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8D85DE87-5889-1841-8F84-EAFAABF03AED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<sst xmlns="http://schemas.openxmlformats.org/spreadsheetml/2006/main" count="732" uniqueCount="224">
  <si>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</si>
  <si>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</si>
  <si>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</si>
  <si>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</si>
  <si>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</si>
  <si>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</si>
  <si>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</si>
  <si>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</si>
  <si>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</si>
  <si>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</si>
  <si>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</si>
  <si>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</si>
  <si>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</si>
  <si>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</si>
  <si>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</si>
  <si>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</si>
  <si>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</si>
  <si>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</si>
  <si>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</si>
  <si>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</si>
  <si>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</si>
  <si>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</si>
  <si>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</si>
  <si>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</si>
  <si>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</si>
  <si>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</si>
  <si>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</si>
  <si>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</si>
  <si>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</si>
  <si>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</si>
  <si>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</si>
  <si>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</si>
  <si>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</si>
  <si>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</si>
  <si>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</si>
  <si>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</si>
  <si>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</si>
  <si>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</si>
  <si>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</si>
  <si>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</si>
  <si>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</si>
  <si>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</si>
  <si>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</si>
  <si>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</si>
  <si>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</si>
  <si>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</si>
  <si>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</si>
  <si>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</si>
  <si>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</si>
  <si>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</si>
  <si>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</si>
  <si>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</si>
  <si>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</si>
  <si>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</si>
  <si>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</si>
  <si>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</si>
  <si>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</si>
  <si>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</si>
  <si>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</si>
  <si>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</si>
  <si>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</si>
  <si>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</si>
  <si>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</si>
  <si>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</si>
  <si>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</si>
  <si>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</si>
  <si>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</si>
  <si>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</si>
  <si>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</si>
  <si>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</si>
  <si>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</si>
  <si>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</si>
  <si>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</si>
  <si>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</si>
  <si>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</si>
  <si>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</si>
  <si>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</si>
  <si>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</si>
  <si>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</si>
  <si>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</si>
  <si>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</si>
  <si>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</si>
  <si>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</si>
  <si>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</si>
  <si>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</si>
  <si>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</si>
  <si>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</si>
  <si>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</si>
  <si>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</si>
  <si>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</si>
  <si>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</si>
  <si>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</si>
  <si>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</si>
  <si>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</si>
  <si>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</si>
  <si>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</si>
  <si>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</si>
  <si>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</si>
  <si>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</si>
  <si>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</si>
  <si>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</si>
  <si>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</si>
  <si>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</si>
  <si>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</si>
  <si>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</si>
  <si>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</si>
  <si>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</si>
  <si>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</si>
  <si>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</si>
  <si>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</si>
  <si>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</si>
  <si>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</si>
  <si>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</si>
  <si>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</si>
  <si>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</si>
  <si>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</si>
  <si>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</si>
  <si>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</si>
  <si>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</si>
  <si>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</si>
  <si>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</si>
  <si>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</si>
  <si>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</si>
  <si>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</si>
  <si>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</si>
  <si>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</si>
  <si>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</si>
  <si>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</si>
  <si>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</si>
  <si>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</si>
  <si>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</si>
  <si>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</si>
  <si>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</si>
  <si>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</si>
  <si>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</si>
  <si>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</si>
  <si>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</si>
  <si>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</si>
  <si>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</si>
  <si>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</si>
  <si>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</si>
  <si>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</si>
  <si>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</si>
  <si>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</si>
  <si>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</si>
  <si>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</si>
  <si>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</si>
  <si>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</si>
  <si>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</si>
  <si>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</si>
  <si>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</si>
  <si>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</si>
  <si>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</si>
  <si>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</si>
  <si>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</si>
  <si>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</si>
  <si>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</si>
  <si>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</si>
  <si>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</si>
  <si>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</si>
  <si>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</si>
  <si>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</si>
  <si>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</si>
  <si>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</si>
  <si>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</si>
  <si>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</si>
  <si>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</si>
  <si>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</si>
  <si>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</si>
  <si>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</si>
  <si>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</si>
  <si>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</si>
  <si>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</si>
  <si>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</si>
  <si>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</si>
  <si>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</si>
  <si>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</si>
  <si>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</si>
  <si>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</si>
  <si>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</si>
  <si>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</si>
  <si>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</si>
  <si>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</si>
  <si>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</si>
  <si>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</si>
  <si>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Campeche</t>
  </si>
  <si>
    <t>Mexico</t>
  </si>
  <si>
    <t>BOX(-90.5527267277669 20.7482142629313,-90.3551362564107 21.0135300474614)</t>
  </si>
  <si>
    <t>beach</t>
  </si>
  <si>
    <t>DryWeight</t>
  </si>
  <si>
    <t>; 01/07/2006 06:01:02 p.m.; 01/07/2006 06:01:25 p.m.; 20/07/2006 11:35:09 p.m.; 8/30/2006 3:11:24 PM</t>
  </si>
  <si>
    <t>Vega-Cendejas M.E.,Arreguın-Sánchez F.,Hernández M.(1993). Trophic fluxes on the Campeche Bank, Mexico . pp 206-213. In Christensen V.,Pauly D.,Christensen V.,Pauly D.,Christensen V.,Pauly D.</t>
  </si>
  <si>
    <t>B. chrysoura</t>
  </si>
  <si>
    <t>H. jaguana</t>
  </si>
  <si>
    <t>H. plumieri</t>
  </si>
  <si>
    <t>Mojarra</t>
  </si>
  <si>
    <t>Other fishes</t>
  </si>
  <si>
    <t>O. chrysoptera</t>
  </si>
  <si>
    <t>Catfish</t>
  </si>
  <si>
    <t>L. rhomboides</t>
  </si>
  <si>
    <t>O. oglinum</t>
  </si>
  <si>
    <t>A. quadricornis</t>
  </si>
  <si>
    <t>Decapoda</t>
  </si>
  <si>
    <t>A. rhomboidalis</t>
  </si>
  <si>
    <t>Microcrustacean</t>
  </si>
  <si>
    <t>Molluscs</t>
  </si>
  <si>
    <t>Worms</t>
  </si>
  <si>
    <t>Copepoda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</si>
  <si>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</si>
  <si>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</si>
  <si>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</si>
  <si>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</si>
  <si>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</si>
  <si>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</si>
  <si>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</si>
  <si>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</si>
  <si>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</si>
  <si>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</si>
  <si>
    <t>boxfish</t>
  </si>
  <si>
    <t>thread herring</t>
  </si>
  <si>
    <t>bream</t>
  </si>
  <si>
    <t>grunt</t>
  </si>
  <si>
    <t>scaled sardine</t>
  </si>
  <si>
    <t>croaker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</si>
</sst>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C5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0" fillId="3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8" fillId="0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8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57" t="s">
        <v>171</v>
      </c>
      <c r="C53" s="101">
        <v>323</v>
      </c>
      <c r="D53" s="101"/>
    </row>
    <row r="54" spans="2:4" x14ac:dyDescent="0.15">
      <c r="B54" s="157" t="s">
        <v>172</v>
      </c>
      <c r="C54" s="157" t="s">
        <v>185</v>
      </c>
      <c r="D54" s="101"/>
    </row>
    <row r="55" spans="2:4" x14ac:dyDescent="0.15">
      <c r="B55" s="157" t="s">
        <v>173</v>
      </c>
      <c r="C55" s="157" t="s">
        <v>186</v>
      </c>
      <c r="D55" s="101"/>
    </row>
    <row r="56" spans="2:4" x14ac:dyDescent="0.15">
      <c r="B56" s="157" t="s">
        <v>174</v>
      </c>
      <c r="C56" s="101">
        <v>250</v>
      </c>
      <c r="D56" s="101"/>
    </row>
    <row r="57" spans="2:4" x14ac:dyDescent="0.15">
      <c r="B57" s="157" t="s">
        <v>175</v>
      </c>
      <c r="C57" s="157" t="s">
        <v>187</v>
      </c>
      <c r="D57" s="101"/>
    </row>
    <row r="58" spans="2:4" x14ac:dyDescent="0.15">
      <c r="B58" s="157" t="s">
        <v>176</v>
      </c>
      <c r="C58" s="157" t="s">
        <v>188</v>
      </c>
      <c r="D58" s="101"/>
    </row>
    <row r="59" spans="2:4" x14ac:dyDescent="0.15">
      <c r="B59" s="157" t="s">
        <v>177</v>
      </c>
      <c r="C59" s="157" t="s">
        <v>189</v>
      </c>
      <c r="D59" s="101"/>
    </row>
    <row r="60" spans="2:4" x14ac:dyDescent="0.15">
      <c r="B60" s="157" t="s">
        <v>178</v>
      </c>
      <c r="C60" s="157" t="s">
        <v>190</v>
      </c>
      <c r="D60" s="101"/>
    </row>
    <row r="61" spans="2:4" x14ac:dyDescent="0.15">
      <c r="B61" s="157" t="s">
        <v>179</v>
      </c>
      <c r="C61" s="101">
        <v>19</v>
      </c>
      <c r="D61" s="101"/>
    </row>
    <row r="62" spans="2:4" x14ac:dyDescent="0.15">
      <c r="B62" s="157" t="s">
        <v>180</v>
      </c>
      <c r="C62" s="101">
        <v>1</v>
      </c>
      <c r="D62" s="101"/>
    </row>
    <row r="63" spans="2:4" x14ac:dyDescent="0.15">
      <c r="B63" s="157" t="s">
        <v>181</v>
      </c>
      <c r="C63" s="101">
        <v>1985</v>
      </c>
      <c r="D63" s="101"/>
    </row>
    <row r="64" spans="2:4" x14ac:dyDescent="0.15">
      <c r="B64" s="157" t="s">
        <v>182</v>
      </c>
      <c r="C64" s="101">
        <v>5</v>
      </c>
      <c r="D64" s="101"/>
    </row>
    <row r="65" spans="2:4" x14ac:dyDescent="0.15">
      <c r="B65" s="157" t="s">
        <v>183</v>
      </c>
      <c r="C65" s="157" t="s">
        <v>191</v>
      </c>
      <c r="D65" s="101"/>
    </row>
    <row r="66" spans="2:4" x14ac:dyDescent="0.15">
      <c r="B66" s="157" t="s">
        <v>184</v>
      </c>
      <c r="D66" s="101"/>
    </row>
    <row r="67" spans="2:4" x14ac:dyDescent="0.15">
      <c r="B67" s="101"/>
      <c r="C67" s="101"/>
      <c r="D67" s="101"/>
    </row>
    <row r="68" spans="2:4" x14ac:dyDescent="0.15">
      <c r="B68" s="101"/>
      <c r="C68" s="101"/>
      <c r="D68" s="10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2" activePane="bottomLeft" state="frozenSplit"/>
      <selection activeCell="E1" sqref="E1"/>
      <selection pane="bottomLeft" activeCell="P26" sqref="P26"/>
    </sheetView>
  </sheetViews>
  <sheetFormatPr baseColWidth="10" defaultColWidth="8.83203125" defaultRowHeight="15" customHeight="1" x14ac:dyDescent="0.15"/>
  <cols>
    <col min="1" max="1" width="22.5" style="76" customWidth="1"/>
    <col min="2" max="3" width="3.33203125" style="76" customWidth="1"/>
    <col min="4" max="4" width="14.33203125" style="76" customWidth="1"/>
    <col min="5" max="5" width="21.6640625" style="76" bestFit="1" customWidth="1"/>
    <col min="6" max="6" width="2.33203125" style="76" bestFit="1" customWidth="1"/>
    <col min="7" max="7" width="11.83203125" style="76" bestFit="1" customWidth="1"/>
    <col min="8" max="8" width="10.83203125" style="76" customWidth="1"/>
    <col min="9" max="9" width="5.83203125" style="76" customWidth="1"/>
    <col min="10" max="10" width="11.83203125" style="76" customWidth="1"/>
    <col min="11" max="11" width="12.83203125" style="76" customWidth="1"/>
    <col min="12" max="12" width="2.33203125" style="76" customWidth="1"/>
    <col min="13" max="13" width="3.83203125" style="76" customWidth="1"/>
    <col min="14" max="14" width="4.3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58" t="s">
        <v>192</v>
      </c>
      <c r="F2" s="76">
        <v>0</v>
      </c>
      <c r="G2" s="76">
        <v>7.9744819999999994E-2</v>
      </c>
      <c r="H2" s="76">
        <v>1.31999993</v>
      </c>
      <c r="I2" s="6">
        <v>11</v>
      </c>
      <c r="J2" s="6">
        <v>0.95</v>
      </c>
      <c r="K2" s="6">
        <v>0.12</v>
      </c>
      <c r="L2" s="6">
        <v>0</v>
      </c>
      <c r="M2" s="76">
        <v>0.2</v>
      </c>
      <c r="N2" s="76">
        <v>0</v>
      </c>
      <c r="P2" s="59" t="s">
        <v>223</v>
      </c>
    </row>
    <row r="3" spans="1:46" ht="15" customHeight="1" x14ac:dyDescent="0.15">
      <c r="A3" s="1" t="s">
        <v>9</v>
      </c>
      <c r="B3" s="4">
        <v>18</v>
      </c>
      <c r="C3" s="76">
        <v>2</v>
      </c>
      <c r="D3"/>
      <c r="E3" s="158" t="s">
        <v>193</v>
      </c>
      <c r="F3" s="76">
        <v>0</v>
      </c>
      <c r="G3" s="76">
        <v>0.753351569</v>
      </c>
      <c r="H3" s="76">
        <v>1.57</v>
      </c>
      <c r="I3" s="76">
        <v>13.3</v>
      </c>
      <c r="J3" s="76">
        <v>0.95</v>
      </c>
      <c r="K3" s="76">
        <v>0.11804511400000001</v>
      </c>
      <c r="L3" s="76">
        <v>0</v>
      </c>
      <c r="M3" s="76">
        <v>0.2</v>
      </c>
      <c r="N3" s="76">
        <v>0</v>
      </c>
      <c r="P3" s="59" t="s">
        <v>222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58" t="s">
        <v>194</v>
      </c>
      <c r="F4" s="76">
        <v>0</v>
      </c>
      <c r="G4" s="76">
        <v>0.36172911499999999</v>
      </c>
      <c r="H4" s="76">
        <v>1.16399992</v>
      </c>
      <c r="I4" s="76">
        <v>9.6999999999999993</v>
      </c>
      <c r="J4" s="76">
        <v>0.95</v>
      </c>
      <c r="K4" s="76">
        <v>0.12</v>
      </c>
      <c r="L4" s="76">
        <v>0</v>
      </c>
      <c r="M4" s="76">
        <v>0.2</v>
      </c>
      <c r="N4" s="76">
        <v>0</v>
      </c>
      <c r="P4" s="59" t="s">
        <v>221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6">
        <v>4</v>
      </c>
      <c r="D5"/>
      <c r="E5" s="158" t="s">
        <v>195</v>
      </c>
      <c r="F5" s="76">
        <v>0</v>
      </c>
      <c r="G5" s="76">
        <v>6.5624399999999999E-2</v>
      </c>
      <c r="H5" s="76">
        <v>2.6160000000000001</v>
      </c>
      <c r="I5" s="76">
        <v>21.8</v>
      </c>
      <c r="J5" s="76">
        <v>0.95</v>
      </c>
      <c r="K5" s="76">
        <v>0.12</v>
      </c>
      <c r="L5" s="76">
        <v>0</v>
      </c>
      <c r="M5" s="76">
        <v>0.2</v>
      </c>
      <c r="N5" s="76">
        <v>0</v>
      </c>
      <c r="P5" s="212"/>
      <c r="Q5" s="68"/>
      <c r="R5" s="68"/>
    </row>
    <row r="6" spans="1:46" ht="15" customHeight="1" thickBot="1" x14ac:dyDescent="0.2">
      <c r="B6" s="1"/>
      <c r="C6" s="76">
        <v>5</v>
      </c>
      <c r="D6"/>
      <c r="E6" s="158" t="s">
        <v>196</v>
      </c>
      <c r="F6" s="76">
        <v>0</v>
      </c>
      <c r="G6" s="76">
        <v>6.5620803800000003</v>
      </c>
      <c r="H6" s="76">
        <v>1.4399999400000001</v>
      </c>
      <c r="I6" s="76">
        <v>7.2</v>
      </c>
      <c r="J6" s="76">
        <v>0.95</v>
      </c>
      <c r="K6" s="76">
        <v>0.2</v>
      </c>
      <c r="L6" s="76">
        <v>0</v>
      </c>
      <c r="M6" s="76">
        <v>0.2</v>
      </c>
      <c r="N6" s="76">
        <v>0</v>
      </c>
      <c r="P6" s="212"/>
      <c r="Q6" s="68"/>
      <c r="R6" s="68"/>
      <c r="W6" s="34" t="s">
        <v>31</v>
      </c>
      <c r="X6" s="50">
        <f>MAX(MainOutputs!G:G)</f>
        <v>0.96277254819869995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121</v>
      </c>
      <c r="C7" s="76">
        <v>6</v>
      </c>
      <c r="D7"/>
      <c r="E7" s="158" t="s">
        <v>197</v>
      </c>
      <c r="F7" s="76">
        <v>0</v>
      </c>
      <c r="G7" s="76">
        <v>1.90567541</v>
      </c>
      <c r="H7" s="76">
        <v>1.2</v>
      </c>
      <c r="I7" s="76">
        <v>9.8000000000000007</v>
      </c>
      <c r="J7" s="76">
        <v>0.95</v>
      </c>
      <c r="K7" s="76">
        <v>0.122448981</v>
      </c>
      <c r="L7" s="76">
        <v>0</v>
      </c>
      <c r="M7" s="76">
        <v>0.2</v>
      </c>
      <c r="N7" s="76">
        <v>0</v>
      </c>
      <c r="P7" s="212" t="s">
        <v>221</v>
      </c>
      <c r="Q7" s="68"/>
      <c r="R7" s="68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32</v>
      </c>
      <c r="C8" s="76">
        <v>7</v>
      </c>
      <c r="D8"/>
      <c r="E8" s="158" t="s">
        <v>198</v>
      </c>
      <c r="F8" s="76">
        <v>0</v>
      </c>
      <c r="G8" s="76">
        <v>9.9475499999999994E-2</v>
      </c>
      <c r="H8" s="76">
        <v>1.16399992</v>
      </c>
      <c r="I8" s="76">
        <v>9.6999999999999993</v>
      </c>
      <c r="J8" s="76">
        <v>0.95</v>
      </c>
      <c r="K8" s="76">
        <v>0.12</v>
      </c>
      <c r="L8" s="76">
        <v>0</v>
      </c>
      <c r="M8" s="76">
        <v>0.2</v>
      </c>
      <c r="N8" s="76">
        <v>0</v>
      </c>
      <c r="P8" s="212"/>
      <c r="Q8" s="68"/>
      <c r="R8" s="68"/>
    </row>
    <row r="9" spans="1:46" ht="15" customHeight="1" x14ac:dyDescent="0.15">
      <c r="B9" s="1"/>
      <c r="C9" s="76">
        <v>8</v>
      </c>
      <c r="D9"/>
      <c r="E9" s="158" t="s">
        <v>199</v>
      </c>
      <c r="F9" s="76">
        <v>0</v>
      </c>
      <c r="G9" s="76">
        <v>0.64636170000000004</v>
      </c>
      <c r="H9" s="76">
        <v>1.6</v>
      </c>
      <c r="I9" s="76">
        <v>12.7</v>
      </c>
      <c r="J9" s="76">
        <v>0.95</v>
      </c>
      <c r="K9" s="76">
        <v>0.12598425099999999</v>
      </c>
      <c r="L9" s="76">
        <v>0</v>
      </c>
      <c r="M9" s="76">
        <v>0.2</v>
      </c>
      <c r="N9" s="76">
        <v>0</v>
      </c>
      <c r="P9" s="212" t="s">
        <v>220</v>
      </c>
      <c r="Q9" s="68"/>
      <c r="R9" s="68"/>
    </row>
    <row r="10" spans="1:46" ht="15" customHeight="1" x14ac:dyDescent="0.15">
      <c r="B10" s="1"/>
      <c r="C10" s="76">
        <v>9</v>
      </c>
      <c r="D10"/>
      <c r="E10" s="158" t="s">
        <v>200</v>
      </c>
      <c r="F10" s="76">
        <v>0</v>
      </c>
      <c r="G10" s="76">
        <v>1.5180813099999999</v>
      </c>
      <c r="H10" s="76">
        <v>1.6</v>
      </c>
      <c r="I10" s="76">
        <v>13.7</v>
      </c>
      <c r="J10" s="76">
        <v>0.95</v>
      </c>
      <c r="K10" s="76">
        <v>0.116788328</v>
      </c>
      <c r="L10" s="76">
        <v>0</v>
      </c>
      <c r="M10" s="76">
        <v>0.2</v>
      </c>
      <c r="N10" s="76">
        <v>0</v>
      </c>
      <c r="P10" s="59" t="s">
        <v>219</v>
      </c>
    </row>
    <row r="11" spans="1:46" ht="15" customHeight="1" x14ac:dyDescent="0.15">
      <c r="C11" s="76">
        <v>10</v>
      </c>
      <c r="D11"/>
      <c r="E11" s="158" t="s">
        <v>201</v>
      </c>
      <c r="F11" s="76">
        <v>0</v>
      </c>
      <c r="G11" s="76">
        <v>9.9681030000000004E-2</v>
      </c>
      <c r="H11" s="76">
        <v>1.056</v>
      </c>
      <c r="I11" s="76">
        <v>8.8000000000000007</v>
      </c>
      <c r="J11" s="76">
        <v>0.95</v>
      </c>
      <c r="K11" s="76">
        <v>0.12</v>
      </c>
      <c r="L11" s="76">
        <v>0</v>
      </c>
      <c r="M11" s="76">
        <v>0.2</v>
      </c>
      <c r="N11" s="76">
        <v>0</v>
      </c>
      <c r="P11" s="59" t="s">
        <v>218</v>
      </c>
    </row>
    <row r="12" spans="1:46" ht="15" customHeight="1" x14ac:dyDescent="0.15">
      <c r="C12" s="76">
        <v>11</v>
      </c>
      <c r="D12"/>
      <c r="E12" s="158" t="s">
        <v>202</v>
      </c>
      <c r="F12" s="76">
        <v>0</v>
      </c>
      <c r="G12" s="76">
        <v>3.7121620000000002</v>
      </c>
      <c r="H12" s="76">
        <v>2.7</v>
      </c>
      <c r="I12" s="76">
        <v>11</v>
      </c>
      <c r="J12" s="76">
        <v>0.95</v>
      </c>
      <c r="K12" s="76">
        <v>0.24545454999999999</v>
      </c>
      <c r="L12" s="76">
        <v>0</v>
      </c>
      <c r="M12" s="76">
        <v>0.2</v>
      </c>
      <c r="N12" s="76">
        <v>0</v>
      </c>
      <c r="P12" s="59"/>
    </row>
    <row r="13" spans="1:46" ht="15" customHeight="1" x14ac:dyDescent="0.15">
      <c r="C13" s="76">
        <v>12</v>
      </c>
      <c r="D13"/>
      <c r="E13" s="158" t="s">
        <v>203</v>
      </c>
      <c r="F13" s="76">
        <v>0</v>
      </c>
      <c r="G13" s="76">
        <v>0.30701756499999999</v>
      </c>
      <c r="H13" s="76">
        <v>0.48</v>
      </c>
      <c r="I13" s="76">
        <v>11.7</v>
      </c>
      <c r="J13" s="76">
        <v>0.95</v>
      </c>
      <c r="K13" s="76">
        <v>4.1025642299999998E-2</v>
      </c>
      <c r="L13" s="76">
        <v>0</v>
      </c>
      <c r="M13" s="76">
        <v>0.2</v>
      </c>
      <c r="N13" s="76">
        <v>0</v>
      </c>
      <c r="P13" s="59"/>
    </row>
    <row r="14" spans="1:46" ht="15" customHeight="1" x14ac:dyDescent="0.15">
      <c r="C14" s="76">
        <v>13</v>
      </c>
      <c r="D14"/>
      <c r="E14" s="158" t="s">
        <v>204</v>
      </c>
      <c r="F14" s="76">
        <v>0</v>
      </c>
      <c r="G14" s="76">
        <v>10.3111134</v>
      </c>
      <c r="H14" s="76">
        <v>5.62</v>
      </c>
      <c r="I14" s="76">
        <v>18.73</v>
      </c>
      <c r="J14" s="76">
        <v>0.95</v>
      </c>
      <c r="K14" s="76">
        <v>0.30005340000000003</v>
      </c>
      <c r="L14" s="76">
        <v>0</v>
      </c>
      <c r="M14" s="76">
        <v>0.2</v>
      </c>
      <c r="N14" s="76">
        <v>0</v>
      </c>
      <c r="P14" s="59"/>
    </row>
    <row r="15" spans="1:46" ht="15" customHeight="1" x14ac:dyDescent="0.15">
      <c r="C15" s="76">
        <v>14</v>
      </c>
      <c r="D15"/>
      <c r="E15" s="158" t="s">
        <v>205</v>
      </c>
      <c r="F15" s="76">
        <v>0</v>
      </c>
      <c r="G15" s="76">
        <v>21.183731099999999</v>
      </c>
      <c r="H15" s="76">
        <v>1.72</v>
      </c>
      <c r="I15" s="76">
        <v>8.6</v>
      </c>
      <c r="J15" s="76">
        <v>0.95</v>
      </c>
      <c r="K15" s="76">
        <v>0.19999998799999999</v>
      </c>
      <c r="L15" s="76">
        <v>0</v>
      </c>
      <c r="M15" s="76">
        <v>0.2</v>
      </c>
      <c r="N15" s="76">
        <v>0</v>
      </c>
      <c r="P15" s="59"/>
    </row>
    <row r="16" spans="1:46" ht="15" customHeight="1" x14ac:dyDescent="0.15">
      <c r="C16" s="76">
        <v>15</v>
      </c>
      <c r="D16"/>
      <c r="E16" s="158" t="s">
        <v>206</v>
      </c>
      <c r="F16" s="76">
        <v>0</v>
      </c>
      <c r="G16" s="76">
        <v>19.352874799999999</v>
      </c>
      <c r="H16" s="76">
        <v>2.75</v>
      </c>
      <c r="I16" s="76">
        <v>13.75</v>
      </c>
      <c r="J16" s="76">
        <v>0.95</v>
      </c>
      <c r="K16" s="76">
        <v>0.2</v>
      </c>
      <c r="L16" s="76">
        <v>0</v>
      </c>
      <c r="M16" s="76">
        <v>0.2</v>
      </c>
      <c r="N16" s="76">
        <v>0</v>
      </c>
      <c r="P16" s="59"/>
    </row>
    <row r="17" spans="1:22" ht="15" customHeight="1" x14ac:dyDescent="0.15">
      <c r="C17" s="76">
        <v>16</v>
      </c>
      <c r="D17"/>
      <c r="E17" s="158" t="s">
        <v>207</v>
      </c>
      <c r="F17" s="76">
        <v>0</v>
      </c>
      <c r="G17" s="76">
        <v>2.5144071600000002</v>
      </c>
      <c r="H17" s="76">
        <v>18.62</v>
      </c>
      <c r="I17" s="76">
        <v>93.1</v>
      </c>
      <c r="J17" s="76">
        <v>0.95</v>
      </c>
      <c r="K17" s="76">
        <v>0.200000018</v>
      </c>
      <c r="L17" s="76">
        <v>0</v>
      </c>
      <c r="M17" s="76">
        <v>0.2</v>
      </c>
      <c r="N17" s="76">
        <v>0</v>
      </c>
      <c r="P17" s="59"/>
      <c r="V17" s="1" t="s">
        <v>30</v>
      </c>
    </row>
    <row r="18" spans="1:22" ht="15" customHeight="1" x14ac:dyDescent="0.15">
      <c r="C18" s="76">
        <v>17</v>
      </c>
      <c r="D18"/>
      <c r="E18" s="158" t="s">
        <v>208</v>
      </c>
      <c r="F18" s="76">
        <v>1</v>
      </c>
      <c r="G18" s="76">
        <v>7.8049116100000004</v>
      </c>
      <c r="H18" s="76">
        <v>46.423000000000002</v>
      </c>
      <c r="I18" s="76">
        <v>0</v>
      </c>
      <c r="J18" s="76">
        <v>0.95</v>
      </c>
      <c r="K18" s="76">
        <v>0</v>
      </c>
      <c r="L18" s="76">
        <v>0</v>
      </c>
      <c r="M18" s="76">
        <v>0</v>
      </c>
      <c r="N18" s="76">
        <v>0</v>
      </c>
      <c r="P18" s="59"/>
      <c r="V18" s="1"/>
    </row>
    <row r="19" spans="1:22" ht="15" customHeight="1" x14ac:dyDescent="0.15">
      <c r="C19" s="76">
        <v>18</v>
      </c>
      <c r="D19"/>
      <c r="E19" s="158" t="s">
        <v>209</v>
      </c>
      <c r="F19" s="76">
        <v>1</v>
      </c>
      <c r="G19" s="76">
        <v>8.8953159999999993</v>
      </c>
      <c r="H19" s="76">
        <v>12.5</v>
      </c>
      <c r="I19" s="76">
        <v>0</v>
      </c>
      <c r="J19" s="76">
        <v>0.95</v>
      </c>
      <c r="K19" s="76">
        <v>0</v>
      </c>
      <c r="L19" s="76">
        <v>0</v>
      </c>
      <c r="M19" s="76">
        <v>0</v>
      </c>
      <c r="N19" s="76">
        <v>0</v>
      </c>
      <c r="P19" s="59"/>
    </row>
    <row r="20" spans="1:22" ht="15" customHeight="1" thickBot="1" x14ac:dyDescent="0.2">
      <c r="C20" s="76">
        <v>19</v>
      </c>
      <c r="D20"/>
      <c r="E20" s="158" t="s">
        <v>210</v>
      </c>
      <c r="F20" s="76">
        <v>2</v>
      </c>
      <c r="G20" s="76">
        <v>12.4</v>
      </c>
      <c r="H20" s="76">
        <v>0</v>
      </c>
      <c r="I20" s="76">
        <v>0</v>
      </c>
      <c r="J20" s="76">
        <v>0.96277254800000001</v>
      </c>
      <c r="K20" s="76">
        <v>0</v>
      </c>
      <c r="L20" s="76">
        <v>0</v>
      </c>
      <c r="M20" s="76">
        <v>0</v>
      </c>
      <c r="N20" s="76">
        <v>150</v>
      </c>
      <c r="P20" s="59"/>
    </row>
    <row r="21" spans="1:22" ht="15" customHeight="1" thickBot="1" x14ac:dyDescent="0.2">
      <c r="A21" s="45" t="s">
        <v>137</v>
      </c>
      <c r="B21" s="94"/>
      <c r="C21" s="76">
        <v>20</v>
      </c>
      <c r="D21"/>
      <c r="E21" s="158" t="s">
        <v>211</v>
      </c>
      <c r="F21" s="76">
        <v>2</v>
      </c>
      <c r="G21" s="76">
        <v>5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P21" s="59"/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58" t="s">
        <v>212</v>
      </c>
      <c r="F22" s="76">
        <v>3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  <c r="P22" s="59"/>
    </row>
    <row r="23" spans="1:22" ht="15" customHeight="1" x14ac:dyDescent="0.15">
      <c r="A23" s="95" t="s">
        <v>59</v>
      </c>
      <c r="B23" s="96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95" t="s">
        <v>60</v>
      </c>
      <c r="B24" s="96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7" t="s">
        <v>44</v>
      </c>
      <c r="B25" s="9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3" bestFit="1" customWidth="1"/>
    <col min="2" max="3" width="5.83203125" style="133" bestFit="1" customWidth="1"/>
    <col min="4" max="4" width="13.83203125" style="133" bestFit="1" customWidth="1"/>
    <col min="5" max="5" width="5.83203125" style="133" bestFit="1" customWidth="1"/>
    <col min="6" max="7" width="13.83203125" style="133" bestFit="1" customWidth="1"/>
    <col min="8" max="11" width="5.83203125" style="133" bestFit="1" customWidth="1"/>
    <col min="12" max="12" width="4.83203125" style="133" bestFit="1" customWidth="1"/>
    <col min="13" max="13" width="14.83203125" style="133" bestFit="1" customWidth="1"/>
    <col min="14" max="14" width="3.83203125" style="133" bestFit="1" customWidth="1"/>
    <col min="15" max="17" width="4.83203125" style="133" bestFit="1" customWidth="1"/>
    <col min="18" max="21" width="2.33203125" style="133" bestFit="1" customWidth="1"/>
    <col min="22" max="29" width="9" style="133" bestFit="1" customWidth="1"/>
    <col min="30" max="16384" width="8.83203125" style="133"/>
  </cols>
  <sheetData>
    <row r="1" spans="1:34" x14ac:dyDescent="0.15">
      <c r="A1" s="132" t="s">
        <v>19</v>
      </c>
      <c r="B1" s="160" t="s">
        <v>192</v>
      </c>
      <c r="C1" s="160" t="s">
        <v>193</v>
      </c>
      <c r="D1" s="160" t="s">
        <v>194</v>
      </c>
      <c r="E1" s="160" t="s">
        <v>195</v>
      </c>
      <c r="F1" s="160" t="s">
        <v>196</v>
      </c>
      <c r="G1" s="160" t="s">
        <v>197</v>
      </c>
      <c r="H1" s="160" t="s">
        <v>198</v>
      </c>
      <c r="I1" s="160" t="s">
        <v>199</v>
      </c>
      <c r="J1" s="160" t="s">
        <v>200</v>
      </c>
      <c r="K1" s="160" t="s">
        <v>201</v>
      </c>
      <c r="L1" s="160" t="s">
        <v>202</v>
      </c>
      <c r="M1" s="160" t="s">
        <v>203</v>
      </c>
      <c r="N1" s="160" t="s">
        <v>204</v>
      </c>
      <c r="O1" s="160" t="s">
        <v>205</v>
      </c>
      <c r="P1" s="160" t="s">
        <v>206</v>
      </c>
      <c r="Q1" s="160" t="s">
        <v>207</v>
      </c>
      <c r="R1" s="160" t="s">
        <v>208</v>
      </c>
      <c r="S1" s="160" t="s">
        <v>209</v>
      </c>
      <c r="T1" s="160" t="s">
        <v>210</v>
      </c>
      <c r="U1" s="160" t="s">
        <v>211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9" t="s">
        <v>192</v>
      </c>
      <c r="B2" s="133">
        <v>0</v>
      </c>
      <c r="C2" s="133">
        <v>0</v>
      </c>
      <c r="D2" s="133">
        <v>0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</row>
    <row r="3" spans="1:34" customFormat="1" x14ac:dyDescent="0.15">
      <c r="A3" s="159" t="s">
        <v>193</v>
      </c>
      <c r="B3" s="133">
        <v>0</v>
      </c>
      <c r="C3" s="133">
        <v>0</v>
      </c>
      <c r="D3" s="133">
        <v>0</v>
      </c>
      <c r="E3" s="133">
        <v>0</v>
      </c>
      <c r="F3" s="133">
        <v>1.9999998740000163E-2</v>
      </c>
      <c r="G3" s="133">
        <v>0</v>
      </c>
      <c r="H3" s="133">
        <v>8.9999999999999993E-3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</row>
    <row r="4" spans="1:34" customFormat="1" x14ac:dyDescent="0.15">
      <c r="A4" s="159" t="s">
        <v>194</v>
      </c>
      <c r="B4" s="133">
        <v>0</v>
      </c>
      <c r="C4" s="133">
        <v>0</v>
      </c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 s="133">
        <v>0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</row>
    <row r="5" spans="1:34" customFormat="1" x14ac:dyDescent="0.15">
      <c r="A5" s="159" t="s">
        <v>195</v>
      </c>
      <c r="B5" s="133">
        <v>5.0000000000000001E-3</v>
      </c>
      <c r="C5" s="133">
        <v>1E-3</v>
      </c>
      <c r="D5" s="133">
        <v>0</v>
      </c>
      <c r="E5" s="133">
        <v>0</v>
      </c>
      <c r="F5" s="133">
        <v>0</v>
      </c>
      <c r="G5" s="133">
        <v>0</v>
      </c>
      <c r="H5" s="133">
        <v>8.9999999999999993E-3</v>
      </c>
      <c r="I5" s="133">
        <v>0</v>
      </c>
      <c r="J5" s="133">
        <v>0</v>
      </c>
      <c r="K5" s="133">
        <v>0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</row>
    <row r="6" spans="1:34" customFormat="1" x14ac:dyDescent="0.15">
      <c r="A6" s="159" t="s">
        <v>196</v>
      </c>
      <c r="B6" s="133">
        <v>0.34499999999999997</v>
      </c>
      <c r="C6" s="133">
        <v>0.36</v>
      </c>
      <c r="D6" s="133">
        <v>7.9999999012000084E-2</v>
      </c>
      <c r="E6" s="133">
        <v>3.6999999999999998E-2</v>
      </c>
      <c r="F6" s="133">
        <v>0</v>
      </c>
      <c r="G6" s="133">
        <v>6.5000000907499939E-2</v>
      </c>
      <c r="H6" s="133">
        <v>0.122</v>
      </c>
      <c r="I6" s="133">
        <v>0.1</v>
      </c>
      <c r="J6" s="133">
        <v>0.112</v>
      </c>
      <c r="K6" s="133">
        <v>5.8999999999999997E-2</v>
      </c>
      <c r="L6" s="133">
        <v>0</v>
      </c>
      <c r="M6" s="133">
        <v>0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</row>
    <row r="7" spans="1:34" customFormat="1" x14ac:dyDescent="0.15">
      <c r="A7" s="159" t="s">
        <v>197</v>
      </c>
      <c r="B7" s="133">
        <v>0</v>
      </c>
      <c r="C7" s="133">
        <v>0</v>
      </c>
      <c r="D7" s="133">
        <v>0</v>
      </c>
      <c r="E7" s="133">
        <v>0</v>
      </c>
      <c r="F7" s="133">
        <v>9.9999993700000817E-3</v>
      </c>
      <c r="G7" s="133">
        <v>0</v>
      </c>
      <c r="H7" s="133">
        <v>0</v>
      </c>
      <c r="I7" s="133">
        <v>0</v>
      </c>
      <c r="J7" s="133">
        <v>0</v>
      </c>
      <c r="K7" s="133">
        <v>0</v>
      </c>
      <c r="L7" s="133">
        <v>0</v>
      </c>
      <c r="M7" s="133">
        <v>0</v>
      </c>
      <c r="N7" s="133">
        <v>0</v>
      </c>
      <c r="O7" s="133">
        <v>0</v>
      </c>
      <c r="P7" s="133">
        <v>0</v>
      </c>
      <c r="Q7" s="133">
        <v>0</v>
      </c>
      <c r="R7" s="133">
        <v>0</v>
      </c>
      <c r="S7" s="133">
        <v>0</v>
      </c>
      <c r="T7" s="133">
        <v>0</v>
      </c>
      <c r="U7" s="133">
        <v>0</v>
      </c>
    </row>
    <row r="8" spans="1:34" customFormat="1" x14ac:dyDescent="0.15">
      <c r="A8" s="159" t="s">
        <v>198</v>
      </c>
      <c r="B8" s="133">
        <v>0</v>
      </c>
      <c r="C8" s="133">
        <v>0</v>
      </c>
      <c r="D8" s="133">
        <v>0</v>
      </c>
      <c r="E8" s="133">
        <v>0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 s="133">
        <v>0</v>
      </c>
      <c r="L8" s="133">
        <v>0</v>
      </c>
      <c r="M8" s="133">
        <v>0</v>
      </c>
      <c r="N8" s="133">
        <v>0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</row>
    <row r="9" spans="1:34" customFormat="1" x14ac:dyDescent="0.15">
      <c r="A9" s="159" t="s">
        <v>199</v>
      </c>
      <c r="B9" s="133">
        <v>0.114</v>
      </c>
      <c r="C9" s="133">
        <v>0</v>
      </c>
      <c r="D9" s="133">
        <v>0</v>
      </c>
      <c r="E9" s="133">
        <v>0</v>
      </c>
      <c r="F9" s="133">
        <v>9.9999993700000817E-3</v>
      </c>
      <c r="G9" s="133">
        <v>0</v>
      </c>
      <c r="H9" s="133">
        <v>0</v>
      </c>
      <c r="I9" s="133">
        <v>0</v>
      </c>
      <c r="J9" s="133">
        <v>0</v>
      </c>
      <c r="K9" s="133">
        <v>0</v>
      </c>
      <c r="L9" s="133">
        <v>0</v>
      </c>
      <c r="M9" s="133">
        <v>0</v>
      </c>
      <c r="N9" s="133">
        <v>0</v>
      </c>
      <c r="O9" s="133">
        <v>0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</row>
    <row r="10" spans="1:34" customFormat="1" x14ac:dyDescent="0.15">
      <c r="A10" s="159" t="s">
        <v>200</v>
      </c>
      <c r="B10" s="133">
        <v>0</v>
      </c>
      <c r="C10" s="133">
        <v>0</v>
      </c>
      <c r="D10" s="133">
        <v>0</v>
      </c>
      <c r="E10" s="133">
        <v>0</v>
      </c>
      <c r="F10" s="133">
        <v>1.9999998740000163E-2</v>
      </c>
      <c r="G10" s="133">
        <v>0</v>
      </c>
      <c r="H10" s="133">
        <v>1.2999999999999999E-2</v>
      </c>
      <c r="I10" s="133">
        <v>0</v>
      </c>
      <c r="J10" s="133">
        <v>0</v>
      </c>
      <c r="K10" s="133">
        <v>0</v>
      </c>
      <c r="L10" s="133">
        <v>0</v>
      </c>
      <c r="M10" s="133">
        <v>0</v>
      </c>
      <c r="N10" s="133">
        <v>0</v>
      </c>
      <c r="O10" s="133">
        <v>0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</row>
    <row r="11" spans="1:34" customFormat="1" x14ac:dyDescent="0.15">
      <c r="A11" s="159" t="s">
        <v>201</v>
      </c>
      <c r="B11" s="133">
        <v>0</v>
      </c>
      <c r="C11" s="133">
        <v>0</v>
      </c>
      <c r="D11" s="133">
        <v>0</v>
      </c>
      <c r="E11" s="133">
        <v>0</v>
      </c>
      <c r="F11" s="133">
        <v>0</v>
      </c>
      <c r="G11" s="133">
        <v>0</v>
      </c>
      <c r="H11" s="133">
        <v>0</v>
      </c>
      <c r="I11" s="133">
        <v>0</v>
      </c>
      <c r="J11" s="133">
        <v>0</v>
      </c>
      <c r="K11" s="133">
        <v>0</v>
      </c>
      <c r="L11" s="133">
        <v>0</v>
      </c>
      <c r="M11" s="133">
        <v>0</v>
      </c>
      <c r="N11" s="133">
        <v>0</v>
      </c>
      <c r="O11" s="133">
        <v>0</v>
      </c>
      <c r="P11" s="133">
        <v>0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</row>
    <row r="12" spans="1:34" customFormat="1" x14ac:dyDescent="0.15">
      <c r="A12" s="159" t="s">
        <v>202</v>
      </c>
      <c r="B12" s="133">
        <v>0.13900000000000001</v>
      </c>
      <c r="C12" s="133">
        <v>5.7000000000000002E-2</v>
      </c>
      <c r="D12" s="133">
        <v>0.20399999394560051</v>
      </c>
      <c r="E12" s="133">
        <v>0.161</v>
      </c>
      <c r="F12" s="133">
        <v>0.15000000104999986</v>
      </c>
      <c r="G12" s="133">
        <v>1.0000000054999996E-2</v>
      </c>
      <c r="H12" s="133">
        <v>0.09</v>
      </c>
      <c r="I12" s="133">
        <v>5.8000000000000003E-2</v>
      </c>
      <c r="J12" s="133">
        <v>1E-3</v>
      </c>
      <c r="K12" s="133">
        <v>8.0000000000000002E-3</v>
      </c>
      <c r="L12" s="133">
        <v>0</v>
      </c>
      <c r="M12" s="133">
        <v>4.9999999352500048E-3</v>
      </c>
      <c r="N12" s="133">
        <v>0</v>
      </c>
      <c r="O12" s="133">
        <v>0</v>
      </c>
      <c r="P12" s="133">
        <v>0</v>
      </c>
      <c r="Q12" s="133">
        <v>0</v>
      </c>
      <c r="R12" s="133">
        <v>0</v>
      </c>
      <c r="S12" s="133">
        <v>0</v>
      </c>
      <c r="T12" s="133">
        <v>0</v>
      </c>
      <c r="U12" s="133">
        <v>0</v>
      </c>
    </row>
    <row r="13" spans="1:34" customFormat="1" x14ac:dyDescent="0.15">
      <c r="A13" s="159" t="s">
        <v>203</v>
      </c>
      <c r="B13" s="133">
        <v>0</v>
      </c>
      <c r="C13" s="133">
        <v>0</v>
      </c>
      <c r="D13" s="133">
        <v>0</v>
      </c>
      <c r="E13" s="133">
        <v>0</v>
      </c>
      <c r="F13" s="133">
        <v>0</v>
      </c>
      <c r="G13" s="133">
        <v>0</v>
      </c>
      <c r="H13" s="133">
        <v>0</v>
      </c>
      <c r="I13" s="133">
        <v>0</v>
      </c>
      <c r="J13" s="133">
        <v>0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</row>
    <row r="14" spans="1:34" customFormat="1" x14ac:dyDescent="0.15">
      <c r="A14" s="159" t="s">
        <v>204</v>
      </c>
      <c r="B14" s="133">
        <v>0.247</v>
      </c>
      <c r="C14" s="133">
        <v>0.37</v>
      </c>
      <c r="D14" s="133">
        <v>0.31000000608399947</v>
      </c>
      <c r="E14" s="133">
        <v>0.61399999999999999</v>
      </c>
      <c r="F14" s="133">
        <v>0.15000000104999986</v>
      </c>
      <c r="G14" s="133">
        <v>0.56699999442850035</v>
      </c>
      <c r="H14" s="133">
        <v>0.124</v>
      </c>
      <c r="I14" s="133">
        <v>0.29099999999999998</v>
      </c>
      <c r="J14" s="133">
        <v>0.51900000000000002</v>
      </c>
      <c r="K14" s="133">
        <v>3.6999999999999998E-2</v>
      </c>
      <c r="L14" s="133">
        <v>0.1</v>
      </c>
      <c r="M14" s="133">
        <v>0.21199999441460046</v>
      </c>
      <c r="N14" s="133">
        <v>0</v>
      </c>
      <c r="O14" s="133">
        <v>0</v>
      </c>
      <c r="P14" s="133">
        <v>0.05</v>
      </c>
      <c r="Q14" s="133">
        <v>0</v>
      </c>
      <c r="R14" s="133">
        <v>0</v>
      </c>
      <c r="S14" s="133">
        <v>0</v>
      </c>
      <c r="T14" s="133">
        <v>0</v>
      </c>
      <c r="U14" s="133">
        <v>0</v>
      </c>
    </row>
    <row r="15" spans="1:34" customFormat="1" x14ac:dyDescent="0.15">
      <c r="A15" s="159" t="s">
        <v>205</v>
      </c>
      <c r="B15" s="133">
        <v>8.3000000000000004E-2</v>
      </c>
      <c r="C15" s="133">
        <v>6.0000000000000001E-3</v>
      </c>
      <c r="D15" s="133">
        <v>6.3000004733199597E-2</v>
      </c>
      <c r="E15" s="133">
        <v>2.3E-2</v>
      </c>
      <c r="F15" s="133">
        <v>0.30000000209999972</v>
      </c>
      <c r="G15" s="133">
        <v>0.11200000377599975</v>
      </c>
      <c r="H15" s="133">
        <v>3.2000000000000001E-2</v>
      </c>
      <c r="I15" s="133">
        <v>0.28299999999999997</v>
      </c>
      <c r="J15" s="133">
        <v>8.9999999999999993E-3</v>
      </c>
      <c r="K15" s="133">
        <v>0.312</v>
      </c>
      <c r="L15" s="133">
        <v>0.35</v>
      </c>
      <c r="M15" s="133">
        <v>0.2380000002579</v>
      </c>
      <c r="N15" s="133">
        <v>0</v>
      </c>
      <c r="O15" s="133">
        <v>0</v>
      </c>
      <c r="P15" s="133">
        <v>0</v>
      </c>
      <c r="Q15" s="133">
        <v>0</v>
      </c>
      <c r="R15" s="133">
        <v>0</v>
      </c>
      <c r="S15" s="133">
        <v>0</v>
      </c>
      <c r="T15" s="133">
        <v>0</v>
      </c>
      <c r="U15" s="133">
        <v>0</v>
      </c>
    </row>
    <row r="16" spans="1:34" customFormat="1" x14ac:dyDescent="0.15">
      <c r="A16" s="159" t="s">
        <v>206</v>
      </c>
      <c r="B16" s="133">
        <v>4.7E-2</v>
      </c>
      <c r="C16" s="133">
        <v>0.17</v>
      </c>
      <c r="D16" s="133">
        <v>0.31999999624800035</v>
      </c>
      <c r="E16" s="133">
        <v>8.5999999999999993E-2</v>
      </c>
      <c r="F16" s="133">
        <v>3.9999997480000327E-2</v>
      </c>
      <c r="G16" s="133">
        <v>0.10499999722750017</v>
      </c>
      <c r="H16" s="133">
        <v>0.38600000000000001</v>
      </c>
      <c r="I16" s="133">
        <v>5.8999999999999997E-2</v>
      </c>
      <c r="J16" s="133">
        <v>0</v>
      </c>
      <c r="K16" s="133">
        <v>0.13300000000000001</v>
      </c>
      <c r="L16" s="133">
        <v>0.1</v>
      </c>
      <c r="M16" s="133">
        <v>9.9999998705000096E-3</v>
      </c>
      <c r="N16" s="133">
        <v>0.2</v>
      </c>
      <c r="O16" s="133">
        <v>0</v>
      </c>
      <c r="P16" s="133">
        <v>0</v>
      </c>
      <c r="Q16" s="133">
        <v>0</v>
      </c>
      <c r="R16" s="133">
        <v>0</v>
      </c>
      <c r="S16" s="133">
        <v>0</v>
      </c>
      <c r="T16" s="133">
        <v>0</v>
      </c>
      <c r="U16" s="133">
        <v>0</v>
      </c>
    </row>
    <row r="17" spans="1:21" customFormat="1" x14ac:dyDescent="0.15">
      <c r="A17" s="159" t="s">
        <v>207</v>
      </c>
      <c r="B17" s="133">
        <v>0</v>
      </c>
      <c r="C17" s="133">
        <v>0</v>
      </c>
      <c r="D17" s="133">
        <v>0</v>
      </c>
      <c r="E17" s="133">
        <v>7.0999999999999994E-2</v>
      </c>
      <c r="F17" s="133">
        <v>0.15000000104999986</v>
      </c>
      <c r="G17" s="133">
        <v>0</v>
      </c>
      <c r="H17" s="133">
        <v>0</v>
      </c>
      <c r="I17" s="133">
        <v>0</v>
      </c>
      <c r="J17" s="133">
        <v>4.1000000000000002E-2</v>
      </c>
      <c r="K17" s="133">
        <v>0</v>
      </c>
      <c r="L17" s="133">
        <v>0</v>
      </c>
      <c r="M17" s="133">
        <v>0</v>
      </c>
      <c r="N17" s="133">
        <v>0</v>
      </c>
      <c r="O17" s="133">
        <v>0.2</v>
      </c>
      <c r="P17" s="133">
        <v>0</v>
      </c>
      <c r="Q17" s="133">
        <v>0</v>
      </c>
      <c r="R17" s="133">
        <v>0</v>
      </c>
      <c r="S17" s="133">
        <v>0</v>
      </c>
      <c r="T17" s="133">
        <v>0</v>
      </c>
      <c r="U17" s="133">
        <v>0</v>
      </c>
    </row>
    <row r="18" spans="1:21" customFormat="1" x14ac:dyDescent="0.15">
      <c r="A18" s="159" t="s">
        <v>208</v>
      </c>
      <c r="B18" s="133">
        <v>0</v>
      </c>
      <c r="C18" s="133">
        <v>0</v>
      </c>
      <c r="D18" s="133">
        <v>0</v>
      </c>
      <c r="E18" s="133">
        <v>0</v>
      </c>
      <c r="F18" s="133">
        <v>0</v>
      </c>
      <c r="G18" s="133">
        <v>0</v>
      </c>
      <c r="H18" s="133">
        <v>0</v>
      </c>
      <c r="I18" s="133">
        <v>1.4999999999999999E-2</v>
      </c>
      <c r="J18" s="133">
        <v>0</v>
      </c>
      <c r="K18" s="133">
        <v>0</v>
      </c>
      <c r="L18" s="133">
        <v>0</v>
      </c>
      <c r="M18" s="133">
        <v>0</v>
      </c>
      <c r="N18" s="133">
        <v>0.3</v>
      </c>
      <c r="O18" s="133">
        <v>0.35</v>
      </c>
      <c r="P18" s="133">
        <v>0</v>
      </c>
      <c r="Q18" s="133">
        <v>0.95</v>
      </c>
      <c r="R18" s="133">
        <v>0</v>
      </c>
      <c r="S18" s="133">
        <v>0</v>
      </c>
      <c r="T18" s="133">
        <v>0</v>
      </c>
      <c r="U18" s="133">
        <v>0</v>
      </c>
    </row>
    <row r="19" spans="1:21" customFormat="1" x14ac:dyDescent="0.15">
      <c r="A19" s="159" t="s">
        <v>209</v>
      </c>
      <c r="B19" s="133">
        <v>0</v>
      </c>
      <c r="C19" s="133">
        <v>2.3E-2</v>
      </c>
      <c r="D19" s="133">
        <v>2.2999999977200002E-2</v>
      </c>
      <c r="E19" s="133">
        <v>8.0000000000000002E-3</v>
      </c>
      <c r="F19" s="133">
        <v>0</v>
      </c>
      <c r="G19" s="133">
        <v>1.0000000054999996E-2</v>
      </c>
      <c r="H19" s="133">
        <v>1.2E-2</v>
      </c>
      <c r="I19" s="133">
        <v>0.151</v>
      </c>
      <c r="J19" s="133">
        <v>0.218</v>
      </c>
      <c r="K19" s="133">
        <v>0.33100000000000002</v>
      </c>
      <c r="L19" s="133">
        <v>0</v>
      </c>
      <c r="M19" s="133">
        <v>0.52400000553419956</v>
      </c>
      <c r="N19" s="133">
        <v>0</v>
      </c>
      <c r="O19" s="133">
        <v>0.25</v>
      </c>
      <c r="P19" s="133">
        <v>0.15</v>
      </c>
      <c r="Q19" s="133">
        <v>0.05</v>
      </c>
      <c r="R19" s="133">
        <v>0</v>
      </c>
      <c r="S19" s="133">
        <v>0</v>
      </c>
      <c r="T19" s="133">
        <v>0</v>
      </c>
      <c r="U19" s="133">
        <v>0</v>
      </c>
    </row>
    <row r="20" spans="1:21" customFormat="1" x14ac:dyDescent="0.15">
      <c r="A20" s="159" t="s">
        <v>210</v>
      </c>
      <c r="B20" s="133">
        <v>0.02</v>
      </c>
      <c r="C20" s="133">
        <v>1.2999999999999999E-2</v>
      </c>
      <c r="D20" s="133">
        <v>0</v>
      </c>
      <c r="E20" s="133">
        <v>0</v>
      </c>
      <c r="F20" s="133">
        <v>0.15000000104999986</v>
      </c>
      <c r="G20" s="133">
        <v>0.13100000355049976</v>
      </c>
      <c r="H20" s="133">
        <v>0.20300000000000001</v>
      </c>
      <c r="I20" s="133">
        <v>4.2999999999999997E-2</v>
      </c>
      <c r="J20" s="133">
        <v>0.1</v>
      </c>
      <c r="K20" s="133">
        <v>0.12</v>
      </c>
      <c r="L20" s="133">
        <v>0.45</v>
      </c>
      <c r="M20" s="133">
        <v>1.099999998755E-2</v>
      </c>
      <c r="N20" s="133">
        <v>0.5</v>
      </c>
      <c r="O20" s="133">
        <v>0.2</v>
      </c>
      <c r="P20" s="133">
        <v>0.8</v>
      </c>
      <c r="Q20" s="133">
        <v>0</v>
      </c>
      <c r="R20" s="133">
        <v>0</v>
      </c>
      <c r="S20" s="133">
        <v>0</v>
      </c>
      <c r="T20" s="133">
        <v>0</v>
      </c>
      <c r="U20" s="133">
        <v>0</v>
      </c>
    </row>
    <row r="21" spans="1:21" customFormat="1" x14ac:dyDescent="0.15">
      <c r="A21" s="159" t="s">
        <v>211</v>
      </c>
      <c r="B21" s="133">
        <v>0</v>
      </c>
      <c r="C21" s="133">
        <v>0</v>
      </c>
      <c r="D21" s="133">
        <v>0</v>
      </c>
      <c r="E21" s="133">
        <v>0</v>
      </c>
      <c r="F21" s="133">
        <v>0</v>
      </c>
      <c r="G21" s="133">
        <v>0</v>
      </c>
      <c r="H21" s="133">
        <v>0</v>
      </c>
      <c r="I21" s="133">
        <v>0</v>
      </c>
      <c r="J21" s="133">
        <v>0</v>
      </c>
      <c r="K21" s="133">
        <v>0</v>
      </c>
      <c r="L21" s="133">
        <v>0</v>
      </c>
      <c r="M21" s="133">
        <v>0</v>
      </c>
      <c r="N21" s="133">
        <v>0</v>
      </c>
      <c r="O21" s="133">
        <v>0</v>
      </c>
      <c r="P21" s="133">
        <v>0</v>
      </c>
      <c r="Q21" s="133">
        <v>0</v>
      </c>
      <c r="R21" s="133">
        <v>0</v>
      </c>
      <c r="S21" s="133">
        <v>0</v>
      </c>
      <c r="T21" s="133">
        <v>0</v>
      </c>
      <c r="U21" s="133">
        <v>0</v>
      </c>
    </row>
    <row r="22" spans="1:21" customFormat="1" x14ac:dyDescent="0.15">
      <c r="A22" s="159" t="s">
        <v>213</v>
      </c>
      <c r="B22" s="133">
        <v>0</v>
      </c>
      <c r="C22" s="133">
        <v>0</v>
      </c>
      <c r="D22" s="133">
        <v>0</v>
      </c>
      <c r="E22" s="133">
        <v>0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 s="133">
        <v>0</v>
      </c>
      <c r="L22" s="133">
        <v>0</v>
      </c>
      <c r="M22" s="133">
        <v>0</v>
      </c>
      <c r="N22" s="133">
        <v>0</v>
      </c>
      <c r="O22" s="133">
        <v>0</v>
      </c>
      <c r="P22" s="133">
        <v>0</v>
      </c>
      <c r="Q22" s="133">
        <v>0</v>
      </c>
      <c r="R22" s="133">
        <v>0</v>
      </c>
      <c r="S22" s="133">
        <v>0</v>
      </c>
      <c r="T22" s="133">
        <v>0</v>
      </c>
      <c r="U22" s="133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3" customWidth="1"/>
    <col min="5" max="6" width="2.33203125" style="102" bestFit="1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62" t="s">
        <v>210</v>
      </c>
      <c r="D1" s="162" t="s">
        <v>211</v>
      </c>
      <c r="E1" s="162" t="s">
        <v>214</v>
      </c>
      <c r="F1" s="162" t="s">
        <v>215</v>
      </c>
      <c r="G1"/>
      <c r="H1"/>
    </row>
    <row r="2" spans="1:8" x14ac:dyDescent="0.15">
      <c r="A2">
        <v>1</v>
      </c>
      <c r="B2" s="161" t="s">
        <v>192</v>
      </c>
      <c r="C2" s="103">
        <v>1</v>
      </c>
      <c r="D2" s="103">
        <v>0</v>
      </c>
      <c r="E2" s="102">
        <v>0</v>
      </c>
      <c r="F2" s="102">
        <v>1</v>
      </c>
      <c r="G2"/>
      <c r="H2"/>
    </row>
    <row r="3" spans="1:8" x14ac:dyDescent="0.15">
      <c r="A3">
        <v>2</v>
      </c>
      <c r="B3" s="161" t="s">
        <v>193</v>
      </c>
      <c r="C3" s="103">
        <v>1</v>
      </c>
      <c r="D3" s="103">
        <v>0</v>
      </c>
      <c r="E3" s="102">
        <v>0</v>
      </c>
      <c r="F3" s="102">
        <v>1</v>
      </c>
      <c r="G3"/>
      <c r="H3"/>
    </row>
    <row r="4" spans="1:8" x14ac:dyDescent="0.15">
      <c r="A4">
        <v>3</v>
      </c>
      <c r="B4" s="161" t="s">
        <v>194</v>
      </c>
      <c r="C4" s="103">
        <v>1</v>
      </c>
      <c r="D4" s="103">
        <v>0</v>
      </c>
      <c r="E4" s="102">
        <v>0</v>
      </c>
      <c r="F4" s="102">
        <v>1</v>
      </c>
      <c r="G4"/>
      <c r="H4"/>
    </row>
    <row r="5" spans="1:8" x14ac:dyDescent="0.15">
      <c r="A5">
        <v>4</v>
      </c>
      <c r="B5" s="161" t="s">
        <v>195</v>
      </c>
      <c r="C5" s="103">
        <v>1</v>
      </c>
      <c r="D5" s="103">
        <v>0</v>
      </c>
      <c r="E5" s="102">
        <v>0</v>
      </c>
      <c r="F5" s="102">
        <v>1</v>
      </c>
      <c r="G5"/>
      <c r="H5"/>
    </row>
    <row r="6" spans="1:8" x14ac:dyDescent="0.15">
      <c r="A6">
        <v>5</v>
      </c>
      <c r="B6" s="161" t="s">
        <v>196</v>
      </c>
      <c r="C6" s="103">
        <v>1</v>
      </c>
      <c r="D6" s="103">
        <v>0</v>
      </c>
      <c r="E6" s="102">
        <v>0</v>
      </c>
      <c r="F6" s="102">
        <v>1</v>
      </c>
      <c r="G6"/>
      <c r="H6"/>
    </row>
    <row r="7" spans="1:8" x14ac:dyDescent="0.15">
      <c r="A7">
        <v>6</v>
      </c>
      <c r="B7" s="161" t="s">
        <v>197</v>
      </c>
      <c r="C7" s="103">
        <v>1</v>
      </c>
      <c r="D7" s="103">
        <v>0</v>
      </c>
      <c r="E7" s="102">
        <v>0</v>
      </c>
      <c r="F7" s="102">
        <v>1</v>
      </c>
      <c r="G7"/>
      <c r="H7"/>
    </row>
    <row r="8" spans="1:8" x14ac:dyDescent="0.15">
      <c r="A8">
        <v>7</v>
      </c>
      <c r="B8" s="161" t="s">
        <v>198</v>
      </c>
      <c r="C8" s="103">
        <v>1</v>
      </c>
      <c r="D8" s="103">
        <v>0</v>
      </c>
      <c r="E8" s="102">
        <v>0</v>
      </c>
      <c r="F8" s="102">
        <v>1</v>
      </c>
      <c r="G8"/>
      <c r="H8"/>
    </row>
    <row r="9" spans="1:8" x14ac:dyDescent="0.15">
      <c r="A9">
        <v>8</v>
      </c>
      <c r="B9" s="161" t="s">
        <v>199</v>
      </c>
      <c r="C9" s="103">
        <v>1</v>
      </c>
      <c r="D9" s="103">
        <v>0</v>
      </c>
      <c r="E9" s="102">
        <v>0</v>
      </c>
      <c r="F9" s="102">
        <v>1</v>
      </c>
      <c r="G9"/>
      <c r="H9"/>
    </row>
    <row r="10" spans="1:8" x14ac:dyDescent="0.15">
      <c r="A10">
        <v>9</v>
      </c>
      <c r="B10" s="161" t="s">
        <v>200</v>
      </c>
      <c r="C10" s="103">
        <v>1</v>
      </c>
      <c r="D10" s="103">
        <v>0</v>
      </c>
      <c r="E10" s="102">
        <v>0</v>
      </c>
      <c r="F10" s="102">
        <v>1</v>
      </c>
      <c r="G10"/>
      <c r="H10"/>
    </row>
    <row r="11" spans="1:8" x14ac:dyDescent="0.15">
      <c r="A11">
        <v>10</v>
      </c>
      <c r="B11" s="161" t="s">
        <v>201</v>
      </c>
      <c r="C11" s="103">
        <v>1</v>
      </c>
      <c r="D11" s="103">
        <v>0</v>
      </c>
      <c r="E11" s="102">
        <v>0</v>
      </c>
      <c r="F11" s="102">
        <v>1</v>
      </c>
      <c r="G11"/>
      <c r="H11"/>
    </row>
    <row r="12" spans="1:8" x14ac:dyDescent="0.15">
      <c r="A12">
        <v>11</v>
      </c>
      <c r="B12" s="161" t="s">
        <v>202</v>
      </c>
      <c r="C12" s="103">
        <v>1</v>
      </c>
      <c r="D12" s="103">
        <v>0</v>
      </c>
      <c r="E12" s="102">
        <v>0</v>
      </c>
      <c r="F12" s="102">
        <v>1</v>
      </c>
      <c r="G12"/>
      <c r="H12"/>
    </row>
    <row r="13" spans="1:8" x14ac:dyDescent="0.15">
      <c r="A13">
        <v>12</v>
      </c>
      <c r="B13" s="161" t="s">
        <v>203</v>
      </c>
      <c r="C13" s="103">
        <v>1</v>
      </c>
      <c r="D13" s="103">
        <v>0</v>
      </c>
      <c r="E13" s="102">
        <v>0</v>
      </c>
      <c r="F13" s="102">
        <v>1</v>
      </c>
      <c r="G13"/>
      <c r="H13"/>
    </row>
    <row r="14" spans="1:8" x14ac:dyDescent="0.15">
      <c r="A14">
        <v>13</v>
      </c>
      <c r="B14" s="161" t="s">
        <v>204</v>
      </c>
      <c r="C14" s="103">
        <v>1</v>
      </c>
      <c r="D14" s="103">
        <v>0</v>
      </c>
      <c r="E14" s="102">
        <v>0</v>
      </c>
      <c r="F14" s="102">
        <v>1</v>
      </c>
      <c r="G14"/>
      <c r="H14"/>
    </row>
    <row r="15" spans="1:8" x14ac:dyDescent="0.15">
      <c r="A15">
        <v>14</v>
      </c>
      <c r="B15" s="161" t="s">
        <v>205</v>
      </c>
      <c r="C15" s="103">
        <v>1</v>
      </c>
      <c r="D15" s="103">
        <v>0</v>
      </c>
      <c r="E15" s="102">
        <v>0</v>
      </c>
      <c r="F15" s="102">
        <v>1</v>
      </c>
      <c r="G15"/>
      <c r="H15"/>
    </row>
    <row r="16" spans="1:8" x14ac:dyDescent="0.15">
      <c r="A16">
        <v>15</v>
      </c>
      <c r="B16" s="161" t="s">
        <v>206</v>
      </c>
      <c r="C16" s="103">
        <v>1</v>
      </c>
      <c r="D16" s="103">
        <v>0</v>
      </c>
      <c r="E16" s="102">
        <v>0</v>
      </c>
      <c r="F16" s="102">
        <v>1</v>
      </c>
      <c r="G16"/>
      <c r="H16"/>
    </row>
    <row r="17" spans="1:8" ht="15" customHeight="1" x14ac:dyDescent="0.15">
      <c r="A17">
        <v>16</v>
      </c>
      <c r="B17" s="161" t="s">
        <v>207</v>
      </c>
      <c r="C17" s="103">
        <v>1</v>
      </c>
      <c r="D17" s="103">
        <v>0</v>
      </c>
      <c r="E17" s="102">
        <v>0</v>
      </c>
      <c r="F17" s="102">
        <v>1</v>
      </c>
      <c r="G17"/>
      <c r="H17"/>
    </row>
    <row r="18" spans="1:8" ht="15" customHeight="1" x14ac:dyDescent="0.15">
      <c r="A18">
        <v>17</v>
      </c>
      <c r="B18" s="161" t="s">
        <v>208</v>
      </c>
      <c r="C18" s="103">
        <v>1</v>
      </c>
      <c r="D18" s="103">
        <v>0</v>
      </c>
      <c r="E18" s="102">
        <v>0</v>
      </c>
      <c r="F18" s="102">
        <v>1</v>
      </c>
      <c r="G18"/>
      <c r="H18"/>
    </row>
    <row r="19" spans="1:8" ht="15" customHeight="1" x14ac:dyDescent="0.15">
      <c r="A19">
        <v>18</v>
      </c>
      <c r="B19" s="161" t="s">
        <v>209</v>
      </c>
      <c r="C19" s="103">
        <v>1</v>
      </c>
      <c r="D19" s="103">
        <v>0</v>
      </c>
      <c r="E19" s="102">
        <v>0</v>
      </c>
      <c r="F19" s="102">
        <v>1</v>
      </c>
      <c r="G19"/>
      <c r="H19"/>
    </row>
    <row r="20" spans="1:8" ht="15" customHeight="1" x14ac:dyDescent="0.15">
      <c r="A20">
        <v>19</v>
      </c>
      <c r="B20" s="161" t="s">
        <v>210</v>
      </c>
      <c r="C20" s="103">
        <v>0</v>
      </c>
      <c r="D20" s="103">
        <v>1</v>
      </c>
      <c r="E20" s="102">
        <v>0</v>
      </c>
      <c r="F20" s="102">
        <v>1</v>
      </c>
      <c r="G20"/>
      <c r="H20"/>
    </row>
    <row r="21" spans="1:8" ht="15" customHeight="1" x14ac:dyDescent="0.15">
      <c r="A21">
        <v>20</v>
      </c>
      <c r="B21" s="161" t="s">
        <v>211</v>
      </c>
      <c r="C21" s="103">
        <v>0</v>
      </c>
      <c r="D21" s="103">
        <v>0</v>
      </c>
      <c r="E21" s="102">
        <v>1</v>
      </c>
      <c r="F21" s="102">
        <v>1</v>
      </c>
      <c r="G21"/>
      <c r="H21"/>
    </row>
    <row r="22" spans="1:8" ht="15" customHeight="1" x14ac:dyDescent="0.15">
      <c r="A22">
        <v>21</v>
      </c>
      <c r="B22" s="161" t="s">
        <v>212</v>
      </c>
      <c r="C22" s="103">
        <v>0</v>
      </c>
      <c r="D22" s="103">
        <v>1</v>
      </c>
      <c r="E22" s="102">
        <v>0</v>
      </c>
      <c r="F22" s="102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4.83203125" bestFit="1" customWidth="1"/>
    <col min="5" max="5" width="12.1640625" bestFit="1" customWidth="1"/>
  </cols>
  <sheetData>
    <row r="1" spans="1:5" s="104" customFormat="1" ht="112" x14ac:dyDescent="0.15">
      <c r="A1" s="5" t="s">
        <v>21</v>
      </c>
      <c r="B1" s="3" t="s">
        <v>0</v>
      </c>
      <c r="C1" s="164" t="s">
        <v>212</v>
      </c>
      <c r="D1" s="164" t="s">
        <v>216</v>
      </c>
      <c r="E1"/>
    </row>
    <row r="2" spans="1:5" ht="15" customHeight="1" x14ac:dyDescent="0.15">
      <c r="A2">
        <v>1</v>
      </c>
      <c r="B2" s="163" t="s">
        <v>192</v>
      </c>
      <c r="C2">
        <v>0.1</v>
      </c>
      <c r="D2">
        <v>0.1</v>
      </c>
    </row>
    <row r="3" spans="1:5" ht="15" customHeight="1" x14ac:dyDescent="0.15">
      <c r="A3">
        <v>2</v>
      </c>
      <c r="B3" s="163" t="s">
        <v>193</v>
      </c>
      <c r="C3">
        <v>0.17</v>
      </c>
      <c r="D3">
        <v>0.17</v>
      </c>
    </row>
    <row r="4" spans="1:5" ht="15" customHeight="1" x14ac:dyDescent="0.15">
      <c r="A4">
        <v>3</v>
      </c>
      <c r="B4" s="163" t="s">
        <v>194</v>
      </c>
      <c r="C4">
        <v>0.4</v>
      </c>
      <c r="D4">
        <v>0.4</v>
      </c>
    </row>
    <row r="5" spans="1:5" ht="15" customHeight="1" x14ac:dyDescent="0.15">
      <c r="A5">
        <v>4</v>
      </c>
      <c r="B5" s="163" t="s">
        <v>195</v>
      </c>
      <c r="C5">
        <v>0.14000000000000001</v>
      </c>
      <c r="D5">
        <v>0.14000000000000001</v>
      </c>
    </row>
    <row r="6" spans="1:5" ht="15" customHeight="1" x14ac:dyDescent="0.15">
      <c r="A6">
        <v>5</v>
      </c>
      <c r="B6" s="163" t="s">
        <v>196</v>
      </c>
      <c r="C6">
        <v>0.2</v>
      </c>
      <c r="D6">
        <v>0.2</v>
      </c>
    </row>
    <row r="7" spans="1:5" ht="15" customHeight="1" x14ac:dyDescent="0.15">
      <c r="A7">
        <v>6</v>
      </c>
      <c r="B7" s="163" t="s">
        <v>197</v>
      </c>
      <c r="C7">
        <v>1.7</v>
      </c>
      <c r="D7">
        <v>1.7</v>
      </c>
    </row>
    <row r="8" spans="1:5" ht="15" customHeight="1" x14ac:dyDescent="0.15">
      <c r="A8">
        <v>7</v>
      </c>
      <c r="B8" s="163" t="s">
        <v>198</v>
      </c>
      <c r="C8">
        <v>0.11</v>
      </c>
      <c r="D8">
        <v>0.11</v>
      </c>
    </row>
    <row r="9" spans="1:5" ht="15" customHeight="1" x14ac:dyDescent="0.15">
      <c r="A9">
        <v>8</v>
      </c>
      <c r="B9" s="163" t="s">
        <v>199</v>
      </c>
      <c r="C9">
        <v>0.41</v>
      </c>
      <c r="D9">
        <v>0.41</v>
      </c>
    </row>
    <row r="10" spans="1:5" ht="15" customHeight="1" x14ac:dyDescent="0.15">
      <c r="A10">
        <v>9</v>
      </c>
      <c r="B10" s="163" t="s">
        <v>200</v>
      </c>
      <c r="C10">
        <v>1.35</v>
      </c>
      <c r="D10">
        <v>1.35</v>
      </c>
    </row>
    <row r="11" spans="1:5" ht="15" customHeight="1" x14ac:dyDescent="0.15">
      <c r="A11">
        <v>10</v>
      </c>
      <c r="B11" s="163" t="s">
        <v>201</v>
      </c>
      <c r="C11">
        <v>0.1</v>
      </c>
      <c r="D11">
        <v>0.1</v>
      </c>
    </row>
    <row r="12" spans="1:5" ht="15" customHeight="1" x14ac:dyDescent="0.15">
      <c r="A12">
        <v>11</v>
      </c>
      <c r="B12" s="163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63" t="s">
        <v>203</v>
      </c>
      <c r="C13">
        <v>0.14000000000000001</v>
      </c>
      <c r="D13">
        <v>0.14000000000000001</v>
      </c>
    </row>
    <row r="14" spans="1:5" ht="15" customHeight="1" x14ac:dyDescent="0.15">
      <c r="A14">
        <v>13</v>
      </c>
      <c r="B14" s="163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63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63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63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3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3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3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3" t="s">
        <v>211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104" customFormat="1" ht="112" x14ac:dyDescent="0.15">
      <c r="A1" s="5" t="s">
        <v>22</v>
      </c>
      <c r="B1" s="3" t="s">
        <v>0</v>
      </c>
      <c r="C1" s="166" t="s">
        <v>212</v>
      </c>
      <c r="D1" s="166" t="s">
        <v>216</v>
      </c>
    </row>
    <row r="2" spans="1:4" x14ac:dyDescent="0.15">
      <c r="A2">
        <v>1</v>
      </c>
      <c r="B2" s="165" t="s">
        <v>192</v>
      </c>
      <c r="C2">
        <v>0</v>
      </c>
      <c r="D2">
        <v>0</v>
      </c>
    </row>
    <row r="3" spans="1:4" x14ac:dyDescent="0.15">
      <c r="A3">
        <v>2</v>
      </c>
      <c r="B3" s="165" t="s">
        <v>193</v>
      </c>
      <c r="C3">
        <v>0</v>
      </c>
      <c r="D3">
        <v>0</v>
      </c>
    </row>
    <row r="4" spans="1:4" x14ac:dyDescent="0.15">
      <c r="A4">
        <v>3</v>
      </c>
      <c r="B4" s="165" t="s">
        <v>194</v>
      </c>
      <c r="C4">
        <v>0</v>
      </c>
      <c r="D4">
        <v>0</v>
      </c>
    </row>
    <row r="5" spans="1:4" x14ac:dyDescent="0.15">
      <c r="A5">
        <v>4</v>
      </c>
      <c r="B5" s="165" t="s">
        <v>195</v>
      </c>
      <c r="C5">
        <v>0</v>
      </c>
      <c r="D5">
        <v>0</v>
      </c>
    </row>
    <row r="6" spans="1:4" x14ac:dyDescent="0.15">
      <c r="A6">
        <v>5</v>
      </c>
      <c r="B6" s="165" t="s">
        <v>196</v>
      </c>
      <c r="C6">
        <v>0</v>
      </c>
      <c r="D6">
        <v>0</v>
      </c>
    </row>
    <row r="7" spans="1:4" x14ac:dyDescent="0.15">
      <c r="A7">
        <v>6</v>
      </c>
      <c r="B7" s="165" t="s">
        <v>197</v>
      </c>
      <c r="C7">
        <v>0</v>
      </c>
      <c r="D7">
        <v>0</v>
      </c>
    </row>
    <row r="8" spans="1:4" x14ac:dyDescent="0.15">
      <c r="A8">
        <v>7</v>
      </c>
      <c r="B8" s="165" t="s">
        <v>198</v>
      </c>
      <c r="C8">
        <v>0</v>
      </c>
      <c r="D8">
        <v>0</v>
      </c>
    </row>
    <row r="9" spans="1:4" x14ac:dyDescent="0.15">
      <c r="A9">
        <v>8</v>
      </c>
      <c r="B9" s="165" t="s">
        <v>199</v>
      </c>
      <c r="C9">
        <v>0</v>
      </c>
      <c r="D9">
        <v>0</v>
      </c>
    </row>
    <row r="10" spans="1:4" x14ac:dyDescent="0.15">
      <c r="A10">
        <v>9</v>
      </c>
      <c r="B10" s="165" t="s">
        <v>200</v>
      </c>
      <c r="C10">
        <v>0</v>
      </c>
      <c r="D10">
        <v>0</v>
      </c>
    </row>
    <row r="11" spans="1:4" x14ac:dyDescent="0.15">
      <c r="A11">
        <v>10</v>
      </c>
      <c r="B11" s="165" t="s">
        <v>201</v>
      </c>
      <c r="C11">
        <v>0</v>
      </c>
      <c r="D11">
        <v>0</v>
      </c>
    </row>
    <row r="12" spans="1:4" x14ac:dyDescent="0.15">
      <c r="A12">
        <v>11</v>
      </c>
      <c r="B12" s="165" t="s">
        <v>202</v>
      </c>
      <c r="C12">
        <v>0</v>
      </c>
      <c r="D12">
        <v>0</v>
      </c>
    </row>
    <row r="13" spans="1:4" x14ac:dyDescent="0.15">
      <c r="A13">
        <v>12</v>
      </c>
      <c r="B13" s="165" t="s">
        <v>203</v>
      </c>
      <c r="C13">
        <v>0</v>
      </c>
      <c r="D13">
        <v>0</v>
      </c>
    </row>
    <row r="14" spans="1:4" x14ac:dyDescent="0.15">
      <c r="A14">
        <v>13</v>
      </c>
      <c r="B14" s="165" t="s">
        <v>204</v>
      </c>
      <c r="C14">
        <v>0</v>
      </c>
      <c r="D14">
        <v>0</v>
      </c>
    </row>
    <row r="15" spans="1:4" x14ac:dyDescent="0.15">
      <c r="A15">
        <v>14</v>
      </c>
      <c r="B15" s="165" t="s">
        <v>205</v>
      </c>
      <c r="C15">
        <v>0</v>
      </c>
      <c r="D15">
        <v>0</v>
      </c>
    </row>
    <row r="16" spans="1:4" x14ac:dyDescent="0.15">
      <c r="A16">
        <v>15</v>
      </c>
      <c r="B16" s="165" t="s">
        <v>206</v>
      </c>
      <c r="C16">
        <v>0</v>
      </c>
      <c r="D16">
        <v>0</v>
      </c>
    </row>
    <row r="17" spans="1:4" x14ac:dyDescent="0.15">
      <c r="A17">
        <v>16</v>
      </c>
      <c r="B17" s="165" t="s">
        <v>207</v>
      </c>
      <c r="C17">
        <v>0</v>
      </c>
      <c r="D17">
        <v>0</v>
      </c>
    </row>
    <row r="18" spans="1:4" x14ac:dyDescent="0.15">
      <c r="A18">
        <v>17</v>
      </c>
      <c r="B18" s="165" t="s">
        <v>208</v>
      </c>
      <c r="C18">
        <v>0</v>
      </c>
      <c r="D18">
        <v>0</v>
      </c>
    </row>
    <row r="19" spans="1:4" x14ac:dyDescent="0.15">
      <c r="A19">
        <v>18</v>
      </c>
      <c r="B19" s="165" t="s">
        <v>209</v>
      </c>
      <c r="C19">
        <v>0</v>
      </c>
      <c r="D19">
        <v>0</v>
      </c>
    </row>
    <row r="20" spans="1:4" x14ac:dyDescent="0.15">
      <c r="A20">
        <v>19</v>
      </c>
      <c r="B20" s="165" t="s">
        <v>210</v>
      </c>
      <c r="C20">
        <v>0</v>
      </c>
      <c r="D20">
        <v>0</v>
      </c>
    </row>
    <row r="21" spans="1:4" x14ac:dyDescent="0.15">
      <c r="A21">
        <v>20</v>
      </c>
      <c r="B21" s="165" t="s">
        <v>211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67" t="s">
        <v>192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67" t="s">
        <v>193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67" t="s">
        <v>194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67" t="s">
        <v>195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67" t="s">
        <v>196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67" t="s">
        <v>197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67" t="s">
        <v>198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9" t="s">
        <v>150</v>
      </c>
      <c r="D9">
        <v>8</v>
      </c>
      <c r="E9" s="167" t="s">
        <v>199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9" t="s">
        <v>150</v>
      </c>
      <c r="D10">
        <v>9</v>
      </c>
      <c r="E10" s="167" t="s">
        <v>200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67" t="s">
        <v>201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67" t="s">
        <v>202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67" t="s">
        <v>203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67" t="s">
        <v>204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67" t="s">
        <v>205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67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67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67" t="s">
        <v>208</v>
      </c>
      <c r="F18">
        <v>0.98</v>
      </c>
      <c r="G18">
        <v>0.8</v>
      </c>
      <c r="H18">
        <v>0.8</v>
      </c>
      <c r="I18">
        <v>0</v>
      </c>
      <c r="J18" s="103">
        <v>0</v>
      </c>
      <c r="K18" s="103">
        <v>0</v>
      </c>
    </row>
    <row r="19" spans="4:33" ht="15" customHeight="1" x14ac:dyDescent="0.15">
      <c r="D19">
        <v>18</v>
      </c>
      <c r="E19" s="167" t="s">
        <v>209</v>
      </c>
      <c r="F19">
        <v>0.98</v>
      </c>
      <c r="G19">
        <v>0.8</v>
      </c>
      <c r="H19">
        <v>0.8</v>
      </c>
      <c r="I19">
        <v>0</v>
      </c>
      <c r="J19" s="103">
        <v>0</v>
      </c>
      <c r="K19" s="103">
        <v>0</v>
      </c>
    </row>
    <row r="20" spans="4:33" ht="15" customHeight="1" x14ac:dyDescent="0.15">
      <c r="D20">
        <v>19</v>
      </c>
      <c r="E20" s="167" t="s">
        <v>210</v>
      </c>
      <c r="F20">
        <v>0.98</v>
      </c>
      <c r="G20">
        <v>0.8</v>
      </c>
      <c r="H20">
        <v>0</v>
      </c>
      <c r="I20">
        <v>0</v>
      </c>
      <c r="J20" s="103">
        <v>0</v>
      </c>
      <c r="K20" s="103">
        <v>0</v>
      </c>
    </row>
    <row r="21" spans="4:33" ht="15" customHeight="1" x14ac:dyDescent="0.15">
      <c r="D21">
        <v>20</v>
      </c>
      <c r="E21" s="167" t="s">
        <v>211</v>
      </c>
      <c r="F21">
        <v>0.98</v>
      </c>
      <c r="G21">
        <v>0.8</v>
      </c>
      <c r="H21">
        <v>0</v>
      </c>
      <c r="I21">
        <v>0</v>
      </c>
      <c r="J21" s="103">
        <v>0</v>
      </c>
      <c r="K21" s="103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1" bestFit="1" customWidth="1"/>
    <col min="2" max="17" width="3.83203125" style="101" customWidth="1"/>
    <col min="18" max="21" width="2.33203125" style="101" customWidth="1"/>
    <col min="22" max="16384" width="10.83203125" style="101"/>
  </cols>
  <sheetData>
    <row r="1" spans="1:30" x14ac:dyDescent="0.15">
      <c r="A1" s="61" t="s">
        <v>118</v>
      </c>
      <c r="B1" s="169" t="s">
        <v>192</v>
      </c>
      <c r="C1" s="169" t="s">
        <v>193</v>
      </c>
      <c r="D1" s="169" t="s">
        <v>194</v>
      </c>
      <c r="E1" s="169" t="s">
        <v>195</v>
      </c>
      <c r="F1" s="169" t="s">
        <v>196</v>
      </c>
      <c r="G1" s="169" t="s">
        <v>197</v>
      </c>
      <c r="H1" s="169" t="s">
        <v>198</v>
      </c>
      <c r="I1" s="169" t="s">
        <v>199</v>
      </c>
      <c r="J1" s="169" t="s">
        <v>200</v>
      </c>
      <c r="K1" s="169" t="s">
        <v>201</v>
      </c>
      <c r="L1" s="169" t="s">
        <v>202</v>
      </c>
      <c r="M1" s="169" t="s">
        <v>203</v>
      </c>
      <c r="N1" s="169" t="s">
        <v>204</v>
      </c>
      <c r="O1" s="169" t="s">
        <v>205</v>
      </c>
      <c r="P1" s="169" t="s">
        <v>206</v>
      </c>
      <c r="Q1" s="169" t="s">
        <v>207</v>
      </c>
      <c r="R1" s="169" t="s">
        <v>208</v>
      </c>
      <c r="S1" s="169" t="s">
        <v>209</v>
      </c>
      <c r="T1" s="169" t="s">
        <v>210</v>
      </c>
      <c r="U1" s="169" t="s">
        <v>211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68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</row>
    <row r="3" spans="1:30" customFormat="1" x14ac:dyDescent="0.15">
      <c r="A3" s="168" t="s">
        <v>193</v>
      </c>
      <c r="B3" s="101">
        <v>0</v>
      </c>
      <c r="C3" s="101">
        <v>0</v>
      </c>
      <c r="D3" s="101">
        <v>0</v>
      </c>
      <c r="E3" s="101">
        <v>0</v>
      </c>
      <c r="F3" s="101">
        <v>0.8</v>
      </c>
      <c r="G3" s="101">
        <v>0</v>
      </c>
      <c r="H3" s="101">
        <v>0.8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</row>
    <row r="4" spans="1:30" customFormat="1" x14ac:dyDescent="0.15">
      <c r="A4" s="168" t="s">
        <v>194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</row>
    <row r="5" spans="1:30" customFormat="1" x14ac:dyDescent="0.15">
      <c r="A5" s="168" t="s">
        <v>195</v>
      </c>
      <c r="B5" s="101">
        <v>0.8</v>
      </c>
      <c r="C5" s="101">
        <v>0.8</v>
      </c>
      <c r="D5" s="101">
        <v>0</v>
      </c>
      <c r="E5" s="101">
        <v>0</v>
      </c>
      <c r="F5" s="101">
        <v>0</v>
      </c>
      <c r="G5" s="101">
        <v>0</v>
      </c>
      <c r="H5" s="101">
        <v>0.8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</row>
    <row r="6" spans="1:30" customFormat="1" x14ac:dyDescent="0.15">
      <c r="A6" s="168" t="s">
        <v>196</v>
      </c>
      <c r="B6" s="101">
        <v>0.8</v>
      </c>
      <c r="C6" s="101">
        <v>0.8</v>
      </c>
      <c r="D6" s="101">
        <v>0.8</v>
      </c>
      <c r="E6" s="101">
        <v>0.8</v>
      </c>
      <c r="F6" s="101">
        <v>0</v>
      </c>
      <c r="G6" s="101">
        <v>0.8</v>
      </c>
      <c r="H6" s="101">
        <v>0.8</v>
      </c>
      <c r="I6" s="101">
        <v>0.8</v>
      </c>
      <c r="J6" s="101">
        <v>0.8</v>
      </c>
      <c r="K6" s="101">
        <v>0.8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</row>
    <row r="7" spans="1:30" customFormat="1" x14ac:dyDescent="0.15">
      <c r="A7" s="168" t="s">
        <v>197</v>
      </c>
      <c r="B7" s="101">
        <v>0</v>
      </c>
      <c r="C7" s="101">
        <v>0</v>
      </c>
      <c r="D7" s="101">
        <v>0</v>
      </c>
      <c r="E7" s="101">
        <v>0</v>
      </c>
      <c r="F7" s="101">
        <v>0.8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</row>
    <row r="8" spans="1:30" customFormat="1" x14ac:dyDescent="0.15">
      <c r="A8" s="168" t="s">
        <v>198</v>
      </c>
      <c r="B8" s="101">
        <v>0</v>
      </c>
      <c r="C8" s="101">
        <v>0</v>
      </c>
      <c r="D8" s="101">
        <v>0</v>
      </c>
      <c r="E8" s="101">
        <v>0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</row>
    <row r="9" spans="1:30" customFormat="1" x14ac:dyDescent="0.15">
      <c r="A9" s="168" t="s">
        <v>199</v>
      </c>
      <c r="B9" s="101">
        <v>0.8</v>
      </c>
      <c r="C9" s="101">
        <v>0</v>
      </c>
      <c r="D9" s="101">
        <v>0</v>
      </c>
      <c r="E9" s="101">
        <v>0</v>
      </c>
      <c r="F9" s="101">
        <v>0.8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</row>
    <row r="10" spans="1:30" customFormat="1" x14ac:dyDescent="0.15">
      <c r="A10" s="168" t="s">
        <v>200</v>
      </c>
      <c r="B10" s="101">
        <v>0</v>
      </c>
      <c r="C10" s="101">
        <v>0</v>
      </c>
      <c r="D10" s="101">
        <v>0</v>
      </c>
      <c r="E10" s="101">
        <v>0</v>
      </c>
      <c r="F10" s="101">
        <v>0.8</v>
      </c>
      <c r="G10" s="101">
        <v>0</v>
      </c>
      <c r="H10" s="101">
        <v>0.8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</row>
    <row r="11" spans="1:30" customFormat="1" x14ac:dyDescent="0.15">
      <c r="A11" s="168" t="s">
        <v>201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</row>
    <row r="12" spans="1:30" customFormat="1" x14ac:dyDescent="0.15">
      <c r="A12" s="168" t="s">
        <v>202</v>
      </c>
      <c r="B12" s="101">
        <v>0.8</v>
      </c>
      <c r="C12" s="101">
        <v>0.8</v>
      </c>
      <c r="D12" s="101">
        <v>0.8</v>
      </c>
      <c r="E12" s="101">
        <v>0.8</v>
      </c>
      <c r="F12" s="101">
        <v>0.8</v>
      </c>
      <c r="G12" s="101">
        <v>0.8</v>
      </c>
      <c r="H12" s="101">
        <v>0.8</v>
      </c>
      <c r="I12" s="101">
        <v>0.8</v>
      </c>
      <c r="J12" s="101">
        <v>0.8</v>
      </c>
      <c r="K12" s="101">
        <v>0.8</v>
      </c>
      <c r="L12" s="101">
        <v>0</v>
      </c>
      <c r="M12" s="101">
        <v>0.8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</row>
    <row r="13" spans="1:30" customFormat="1" x14ac:dyDescent="0.15">
      <c r="A13" s="168" t="s">
        <v>203</v>
      </c>
      <c r="B13" s="101">
        <v>0</v>
      </c>
      <c r="C13" s="101">
        <v>0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</row>
    <row r="14" spans="1:30" customFormat="1" x14ac:dyDescent="0.15">
      <c r="A14" s="168" t="s">
        <v>204</v>
      </c>
      <c r="B14" s="101">
        <v>0.8</v>
      </c>
      <c r="C14" s="101">
        <v>0.8</v>
      </c>
      <c r="D14" s="101">
        <v>0.8</v>
      </c>
      <c r="E14" s="101">
        <v>0.8</v>
      </c>
      <c r="F14" s="101">
        <v>0.8</v>
      </c>
      <c r="G14" s="101">
        <v>0.8</v>
      </c>
      <c r="H14" s="101">
        <v>0.8</v>
      </c>
      <c r="I14" s="101">
        <v>0.8</v>
      </c>
      <c r="J14" s="101">
        <v>0.8</v>
      </c>
      <c r="K14" s="101">
        <v>0.8</v>
      </c>
      <c r="L14" s="101">
        <v>0.8</v>
      </c>
      <c r="M14" s="101">
        <v>0.8</v>
      </c>
      <c r="N14" s="101">
        <v>0</v>
      </c>
      <c r="O14" s="101">
        <v>0</v>
      </c>
      <c r="P14" s="101">
        <v>0.8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</row>
    <row r="15" spans="1:30" customFormat="1" x14ac:dyDescent="0.15">
      <c r="A15" s="168" t="s">
        <v>205</v>
      </c>
      <c r="B15" s="101">
        <v>0.8</v>
      </c>
      <c r="C15" s="101">
        <v>0.8</v>
      </c>
      <c r="D15" s="101">
        <v>0.8</v>
      </c>
      <c r="E15" s="101">
        <v>0.8</v>
      </c>
      <c r="F15" s="101">
        <v>0.8</v>
      </c>
      <c r="G15" s="101">
        <v>0.8</v>
      </c>
      <c r="H15" s="101">
        <v>0.8</v>
      </c>
      <c r="I15" s="101">
        <v>0.8</v>
      </c>
      <c r="J15" s="101">
        <v>0.8</v>
      </c>
      <c r="K15" s="101">
        <v>0.8</v>
      </c>
      <c r="L15" s="101">
        <v>0.8</v>
      </c>
      <c r="M15" s="101">
        <v>0.8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</row>
    <row r="16" spans="1:30" customFormat="1" x14ac:dyDescent="0.15">
      <c r="A16" s="168" t="s">
        <v>206</v>
      </c>
      <c r="B16" s="101">
        <v>0.8</v>
      </c>
      <c r="C16" s="101">
        <v>0.8</v>
      </c>
      <c r="D16" s="101">
        <v>0.8</v>
      </c>
      <c r="E16" s="101">
        <v>0.8</v>
      </c>
      <c r="F16" s="101">
        <v>0.8</v>
      </c>
      <c r="G16" s="101">
        <v>0.8</v>
      </c>
      <c r="H16" s="101">
        <v>0.8</v>
      </c>
      <c r="I16" s="101">
        <v>0.8</v>
      </c>
      <c r="J16" s="101">
        <v>0</v>
      </c>
      <c r="K16" s="101">
        <v>0.8</v>
      </c>
      <c r="L16" s="101">
        <v>0.8</v>
      </c>
      <c r="M16" s="101">
        <v>0.8</v>
      </c>
      <c r="N16" s="101">
        <v>0.8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</row>
    <row r="17" spans="1:21" customFormat="1" x14ac:dyDescent="0.15">
      <c r="A17" s="168" t="s">
        <v>207</v>
      </c>
      <c r="B17" s="101">
        <v>0</v>
      </c>
      <c r="C17" s="101">
        <v>0</v>
      </c>
      <c r="D17" s="101">
        <v>0</v>
      </c>
      <c r="E17" s="101">
        <v>0.8</v>
      </c>
      <c r="F17" s="101">
        <v>0.8</v>
      </c>
      <c r="G17" s="101">
        <v>0</v>
      </c>
      <c r="H17" s="101">
        <v>0</v>
      </c>
      <c r="I17" s="101">
        <v>0</v>
      </c>
      <c r="J17" s="101">
        <v>0.8</v>
      </c>
      <c r="K17" s="101">
        <v>0</v>
      </c>
      <c r="L17" s="101">
        <v>0</v>
      </c>
      <c r="M17" s="101">
        <v>0</v>
      </c>
      <c r="N17" s="101">
        <v>0</v>
      </c>
      <c r="O17" s="101">
        <v>0.8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</row>
    <row r="18" spans="1:21" customFormat="1" x14ac:dyDescent="0.15">
      <c r="A18" s="168" t="s">
        <v>208</v>
      </c>
      <c r="B18" s="101">
        <v>0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0.8</v>
      </c>
      <c r="J18" s="101">
        <v>0</v>
      </c>
      <c r="K18" s="101">
        <v>0</v>
      </c>
      <c r="L18" s="101">
        <v>0</v>
      </c>
      <c r="M18" s="101">
        <v>0</v>
      </c>
      <c r="N18" s="101">
        <v>0.8</v>
      </c>
      <c r="O18" s="101">
        <v>0.8</v>
      </c>
      <c r="P18" s="101">
        <v>0</v>
      </c>
      <c r="Q18" s="101">
        <v>0.8</v>
      </c>
      <c r="R18" s="101">
        <v>0</v>
      </c>
      <c r="S18" s="101">
        <v>0</v>
      </c>
      <c r="T18" s="101">
        <v>0</v>
      </c>
      <c r="U18" s="101">
        <v>0</v>
      </c>
    </row>
    <row r="19" spans="1:21" customFormat="1" x14ac:dyDescent="0.15">
      <c r="A19" s="168" t="s">
        <v>209</v>
      </c>
      <c r="B19" s="101">
        <v>0</v>
      </c>
      <c r="C19" s="101">
        <v>0.8</v>
      </c>
      <c r="D19" s="101">
        <v>0.8</v>
      </c>
      <c r="E19" s="101">
        <v>0.8</v>
      </c>
      <c r="F19" s="101">
        <v>0</v>
      </c>
      <c r="G19" s="101">
        <v>0.8</v>
      </c>
      <c r="H19" s="101">
        <v>0.8</v>
      </c>
      <c r="I19" s="101">
        <v>0.8</v>
      </c>
      <c r="J19" s="101">
        <v>0.8</v>
      </c>
      <c r="K19" s="101">
        <v>0.8</v>
      </c>
      <c r="L19" s="101">
        <v>0</v>
      </c>
      <c r="M19" s="101">
        <v>0.8</v>
      </c>
      <c r="N19" s="101">
        <v>0</v>
      </c>
      <c r="O19" s="101">
        <v>0.8</v>
      </c>
      <c r="P19" s="101">
        <v>0.8</v>
      </c>
      <c r="Q19" s="101">
        <v>0.8</v>
      </c>
      <c r="R19" s="101">
        <v>0</v>
      </c>
      <c r="S19" s="101">
        <v>0</v>
      </c>
      <c r="T19" s="101">
        <v>0</v>
      </c>
      <c r="U19" s="101">
        <v>0</v>
      </c>
    </row>
    <row r="20" spans="1:21" customFormat="1" x14ac:dyDescent="0.15">
      <c r="A20" s="168" t="s">
        <v>210</v>
      </c>
      <c r="B20" s="101">
        <v>0.8</v>
      </c>
      <c r="C20" s="101">
        <v>0.8</v>
      </c>
      <c r="D20" s="101">
        <v>0</v>
      </c>
      <c r="E20" s="101">
        <v>0</v>
      </c>
      <c r="F20" s="101">
        <v>0.8</v>
      </c>
      <c r="G20" s="101">
        <v>0.8</v>
      </c>
      <c r="H20" s="101">
        <v>0.8</v>
      </c>
      <c r="I20" s="101">
        <v>0.8</v>
      </c>
      <c r="J20" s="101">
        <v>0.8</v>
      </c>
      <c r="K20" s="101">
        <v>0.8</v>
      </c>
      <c r="L20" s="101">
        <v>0.8</v>
      </c>
      <c r="M20" s="101">
        <v>0.8</v>
      </c>
      <c r="N20" s="101">
        <v>0.8</v>
      </c>
      <c r="O20" s="101">
        <v>0.8</v>
      </c>
      <c r="P20" s="101">
        <v>0.8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</row>
    <row r="21" spans="1:21" customFormat="1" x14ac:dyDescent="0.15">
      <c r="A21" s="168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0</v>
      </c>
      <c r="G21" s="101">
        <v>0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0</v>
      </c>
    </row>
    <row r="22" spans="1:21" customFormat="1" x14ac:dyDescent="0.15">
      <c r="A22" s="168" t="s">
        <v>213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1" bestFit="1" customWidth="1"/>
    <col min="2" max="21" width="2.33203125" style="101" customWidth="1"/>
    <col min="22" max="16384" width="10.83203125" style="101"/>
  </cols>
  <sheetData>
    <row r="1" spans="1:31" x14ac:dyDescent="0.15">
      <c r="A1" s="61" t="s">
        <v>139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70" t="s">
        <v>192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</row>
    <row r="3" spans="1:31" customFormat="1" x14ac:dyDescent="0.15">
      <c r="A3" s="170" t="s">
        <v>193</v>
      </c>
      <c r="B3" s="101">
        <v>0</v>
      </c>
      <c r="C3" s="101">
        <v>0</v>
      </c>
      <c r="D3" s="101">
        <v>0</v>
      </c>
      <c r="E3" s="101">
        <v>0</v>
      </c>
      <c r="F3" s="101">
        <v>1</v>
      </c>
      <c r="G3" s="101">
        <v>0</v>
      </c>
      <c r="H3" s="101">
        <v>1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</row>
    <row r="4" spans="1:31" customFormat="1" x14ac:dyDescent="0.15">
      <c r="A4" s="170" t="s">
        <v>194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</row>
    <row r="5" spans="1:31" customFormat="1" x14ac:dyDescent="0.15">
      <c r="A5" s="170" t="s">
        <v>195</v>
      </c>
      <c r="B5" s="101">
        <v>1</v>
      </c>
      <c r="C5" s="101">
        <v>1</v>
      </c>
      <c r="D5" s="101">
        <v>0</v>
      </c>
      <c r="E5" s="101">
        <v>0</v>
      </c>
      <c r="F5" s="101">
        <v>0</v>
      </c>
      <c r="G5" s="101">
        <v>0</v>
      </c>
      <c r="H5" s="101">
        <v>1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</row>
    <row r="6" spans="1:31" customFormat="1" x14ac:dyDescent="0.15">
      <c r="A6" s="170" t="s">
        <v>196</v>
      </c>
      <c r="B6" s="101">
        <v>1</v>
      </c>
      <c r="C6" s="101">
        <v>1</v>
      </c>
      <c r="D6" s="101">
        <v>1</v>
      </c>
      <c r="E6" s="101">
        <v>1</v>
      </c>
      <c r="F6" s="101">
        <v>0</v>
      </c>
      <c r="G6" s="101">
        <v>1</v>
      </c>
      <c r="H6" s="101">
        <v>1</v>
      </c>
      <c r="I6" s="101">
        <v>1</v>
      </c>
      <c r="J6" s="101">
        <v>1</v>
      </c>
      <c r="K6" s="101">
        <v>1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</row>
    <row r="7" spans="1:31" customFormat="1" x14ac:dyDescent="0.15">
      <c r="A7" s="170" t="s">
        <v>197</v>
      </c>
      <c r="B7" s="101">
        <v>0</v>
      </c>
      <c r="C7" s="101">
        <v>0</v>
      </c>
      <c r="D7" s="101">
        <v>0</v>
      </c>
      <c r="E7" s="101">
        <v>0</v>
      </c>
      <c r="F7" s="101">
        <v>1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</row>
    <row r="8" spans="1:31" customFormat="1" x14ac:dyDescent="0.15">
      <c r="A8" s="170" t="s">
        <v>198</v>
      </c>
      <c r="B8" s="101">
        <v>0</v>
      </c>
      <c r="C8" s="101">
        <v>0</v>
      </c>
      <c r="D8" s="101">
        <v>0</v>
      </c>
      <c r="E8" s="101">
        <v>0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</row>
    <row r="9" spans="1:31" customFormat="1" x14ac:dyDescent="0.15">
      <c r="A9" s="170" t="s">
        <v>199</v>
      </c>
      <c r="B9" s="101">
        <v>1</v>
      </c>
      <c r="C9" s="101">
        <v>0</v>
      </c>
      <c r="D9" s="101">
        <v>0</v>
      </c>
      <c r="E9" s="101">
        <v>0</v>
      </c>
      <c r="F9" s="101">
        <v>1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</row>
    <row r="10" spans="1:31" customFormat="1" x14ac:dyDescent="0.15">
      <c r="A10" s="170" t="s">
        <v>200</v>
      </c>
      <c r="B10" s="101">
        <v>0</v>
      </c>
      <c r="C10" s="101">
        <v>0</v>
      </c>
      <c r="D10" s="101">
        <v>0</v>
      </c>
      <c r="E10" s="101">
        <v>0</v>
      </c>
      <c r="F10" s="101">
        <v>1</v>
      </c>
      <c r="G10" s="101">
        <v>0</v>
      </c>
      <c r="H10" s="101">
        <v>1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</row>
    <row r="11" spans="1:31" customFormat="1" x14ac:dyDescent="0.15">
      <c r="A11" s="170" t="s">
        <v>201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</row>
    <row r="12" spans="1:31" customFormat="1" x14ac:dyDescent="0.15">
      <c r="A12" s="170" t="s">
        <v>202</v>
      </c>
      <c r="B12" s="101">
        <v>1</v>
      </c>
      <c r="C12" s="101">
        <v>1</v>
      </c>
      <c r="D12" s="101">
        <v>1</v>
      </c>
      <c r="E12" s="101">
        <v>1</v>
      </c>
      <c r="F12" s="101">
        <v>1</v>
      </c>
      <c r="G12" s="101">
        <v>1</v>
      </c>
      <c r="H12" s="101">
        <v>1</v>
      </c>
      <c r="I12" s="101">
        <v>1</v>
      </c>
      <c r="J12" s="101">
        <v>1</v>
      </c>
      <c r="K12" s="101">
        <v>1</v>
      </c>
      <c r="L12" s="101">
        <v>0</v>
      </c>
      <c r="M12" s="101">
        <v>1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</row>
    <row r="13" spans="1:31" customFormat="1" x14ac:dyDescent="0.15">
      <c r="A13" s="170" t="s">
        <v>203</v>
      </c>
      <c r="B13" s="101">
        <v>0</v>
      </c>
      <c r="C13" s="101">
        <v>0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</row>
    <row r="14" spans="1:31" customFormat="1" x14ac:dyDescent="0.15">
      <c r="A14" s="170" t="s">
        <v>204</v>
      </c>
      <c r="B14" s="101">
        <v>1</v>
      </c>
      <c r="C14" s="101">
        <v>1</v>
      </c>
      <c r="D14" s="101">
        <v>1</v>
      </c>
      <c r="E14" s="101">
        <v>1</v>
      </c>
      <c r="F14" s="101">
        <v>1</v>
      </c>
      <c r="G14" s="101">
        <v>1</v>
      </c>
      <c r="H14" s="101">
        <v>1</v>
      </c>
      <c r="I14" s="101">
        <v>1</v>
      </c>
      <c r="J14" s="101">
        <v>1</v>
      </c>
      <c r="K14" s="101">
        <v>1</v>
      </c>
      <c r="L14" s="101">
        <v>1</v>
      </c>
      <c r="M14" s="101">
        <v>1</v>
      </c>
      <c r="N14" s="101">
        <v>0</v>
      </c>
      <c r="O14" s="101">
        <v>0</v>
      </c>
      <c r="P14" s="101">
        <v>1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</row>
    <row r="15" spans="1:31" customFormat="1" x14ac:dyDescent="0.15">
      <c r="A15" s="170" t="s">
        <v>205</v>
      </c>
      <c r="B15" s="101">
        <v>1</v>
      </c>
      <c r="C15" s="101">
        <v>1</v>
      </c>
      <c r="D15" s="101">
        <v>1</v>
      </c>
      <c r="E15" s="101">
        <v>1</v>
      </c>
      <c r="F15" s="101">
        <v>1</v>
      </c>
      <c r="G15" s="101">
        <v>1</v>
      </c>
      <c r="H15" s="101">
        <v>1</v>
      </c>
      <c r="I15" s="101">
        <v>1</v>
      </c>
      <c r="J15" s="101">
        <v>1</v>
      </c>
      <c r="K15" s="101">
        <v>1</v>
      </c>
      <c r="L15" s="101">
        <v>1</v>
      </c>
      <c r="M15" s="101">
        <v>1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</row>
    <row r="16" spans="1:31" customFormat="1" x14ac:dyDescent="0.15">
      <c r="A16" s="170" t="s">
        <v>206</v>
      </c>
      <c r="B16" s="101">
        <v>1</v>
      </c>
      <c r="C16" s="101">
        <v>1</v>
      </c>
      <c r="D16" s="101">
        <v>1</v>
      </c>
      <c r="E16" s="101">
        <v>1</v>
      </c>
      <c r="F16" s="101">
        <v>1</v>
      </c>
      <c r="G16" s="101">
        <v>1</v>
      </c>
      <c r="H16" s="101">
        <v>1</v>
      </c>
      <c r="I16" s="101">
        <v>1</v>
      </c>
      <c r="J16" s="101">
        <v>0</v>
      </c>
      <c r="K16" s="101">
        <v>1</v>
      </c>
      <c r="L16" s="101">
        <v>1</v>
      </c>
      <c r="M16" s="101">
        <v>1</v>
      </c>
      <c r="N16" s="101">
        <v>1</v>
      </c>
      <c r="O16" s="101">
        <v>0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</row>
    <row r="17" spans="1:21" customFormat="1" x14ac:dyDescent="0.15">
      <c r="A17" s="170" t="s">
        <v>207</v>
      </c>
      <c r="B17" s="101">
        <v>0</v>
      </c>
      <c r="C17" s="101">
        <v>0</v>
      </c>
      <c r="D17" s="101">
        <v>0</v>
      </c>
      <c r="E17" s="101">
        <v>1</v>
      </c>
      <c r="F17" s="101">
        <v>1</v>
      </c>
      <c r="G17" s="101">
        <v>0</v>
      </c>
      <c r="H17" s="101">
        <v>0</v>
      </c>
      <c r="I17" s="101">
        <v>0</v>
      </c>
      <c r="J17" s="101">
        <v>1</v>
      </c>
      <c r="K17" s="101">
        <v>0</v>
      </c>
      <c r="L17" s="101">
        <v>0</v>
      </c>
      <c r="M17" s="101">
        <v>0</v>
      </c>
      <c r="N17" s="101">
        <v>0</v>
      </c>
      <c r="O17" s="101">
        <v>1</v>
      </c>
      <c r="P17" s="101">
        <v>0</v>
      </c>
      <c r="Q17" s="101">
        <v>0</v>
      </c>
      <c r="R17" s="101">
        <v>0</v>
      </c>
      <c r="S17" s="101">
        <v>0</v>
      </c>
      <c r="T17" s="101">
        <v>0</v>
      </c>
      <c r="U17" s="101">
        <v>0</v>
      </c>
    </row>
    <row r="18" spans="1:21" customFormat="1" x14ac:dyDescent="0.15">
      <c r="A18" s="170" t="s">
        <v>208</v>
      </c>
      <c r="B18" s="101">
        <v>0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1</v>
      </c>
      <c r="J18" s="101">
        <v>0</v>
      </c>
      <c r="K18" s="101">
        <v>0</v>
      </c>
      <c r="L18" s="101">
        <v>0</v>
      </c>
      <c r="M18" s="101">
        <v>0</v>
      </c>
      <c r="N18" s="101">
        <v>1</v>
      </c>
      <c r="O18" s="101">
        <v>1</v>
      </c>
      <c r="P18" s="101">
        <v>0</v>
      </c>
      <c r="Q18" s="101">
        <v>1</v>
      </c>
      <c r="R18" s="101">
        <v>0</v>
      </c>
      <c r="S18" s="101">
        <v>0</v>
      </c>
      <c r="T18" s="101">
        <v>0</v>
      </c>
      <c r="U18" s="101">
        <v>0</v>
      </c>
    </row>
    <row r="19" spans="1:21" customFormat="1" x14ac:dyDescent="0.15">
      <c r="A19" s="170" t="s">
        <v>209</v>
      </c>
      <c r="B19" s="101">
        <v>0</v>
      </c>
      <c r="C19" s="101">
        <v>1</v>
      </c>
      <c r="D19" s="101">
        <v>1</v>
      </c>
      <c r="E19" s="101">
        <v>1</v>
      </c>
      <c r="F19" s="101">
        <v>0</v>
      </c>
      <c r="G19" s="101">
        <v>1</v>
      </c>
      <c r="H19" s="101">
        <v>1</v>
      </c>
      <c r="I19" s="101">
        <v>1</v>
      </c>
      <c r="J19" s="101">
        <v>1</v>
      </c>
      <c r="K19" s="101">
        <v>1</v>
      </c>
      <c r="L19" s="101">
        <v>0</v>
      </c>
      <c r="M19" s="101">
        <v>1</v>
      </c>
      <c r="N19" s="101">
        <v>0</v>
      </c>
      <c r="O19" s="101">
        <v>1</v>
      </c>
      <c r="P19" s="101">
        <v>1</v>
      </c>
      <c r="Q19" s="101">
        <v>1</v>
      </c>
      <c r="R19" s="101">
        <v>0</v>
      </c>
      <c r="S19" s="101">
        <v>0</v>
      </c>
      <c r="T19" s="101">
        <v>0</v>
      </c>
      <c r="U19" s="101">
        <v>0</v>
      </c>
    </row>
    <row r="20" spans="1:21" customFormat="1" x14ac:dyDescent="0.15">
      <c r="A20" s="170" t="s">
        <v>210</v>
      </c>
      <c r="B20" s="101">
        <v>1</v>
      </c>
      <c r="C20" s="101">
        <v>1</v>
      </c>
      <c r="D20" s="101">
        <v>0</v>
      </c>
      <c r="E20" s="101">
        <v>0</v>
      </c>
      <c r="F20" s="101">
        <v>1</v>
      </c>
      <c r="G20" s="101">
        <v>1</v>
      </c>
      <c r="H20" s="101">
        <v>1</v>
      </c>
      <c r="I20" s="101">
        <v>1</v>
      </c>
      <c r="J20" s="101">
        <v>1</v>
      </c>
      <c r="K20" s="101">
        <v>1</v>
      </c>
      <c r="L20" s="101">
        <v>1</v>
      </c>
      <c r="M20" s="101">
        <v>1</v>
      </c>
      <c r="N20" s="101">
        <v>1</v>
      </c>
      <c r="O20" s="101">
        <v>1</v>
      </c>
      <c r="P20" s="101">
        <v>1</v>
      </c>
      <c r="Q20" s="101">
        <v>0</v>
      </c>
      <c r="R20" s="101">
        <v>0</v>
      </c>
      <c r="S20" s="101">
        <v>0</v>
      </c>
      <c r="T20" s="101">
        <v>0</v>
      </c>
      <c r="U20" s="101">
        <v>0</v>
      </c>
    </row>
    <row r="21" spans="1:21" customFormat="1" x14ac:dyDescent="0.15">
      <c r="A21" s="170" t="s">
        <v>211</v>
      </c>
      <c r="B21" s="101">
        <v>0</v>
      </c>
      <c r="C21" s="101">
        <v>0</v>
      </c>
      <c r="D21" s="101">
        <v>0</v>
      </c>
      <c r="E21" s="101">
        <v>0</v>
      </c>
      <c r="F21" s="101">
        <v>0</v>
      </c>
      <c r="G21" s="101">
        <v>0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</v>
      </c>
      <c r="P21" s="101">
        <v>0</v>
      </c>
      <c r="Q21" s="101">
        <v>0</v>
      </c>
      <c r="R21" s="101">
        <v>0</v>
      </c>
      <c r="S21" s="101">
        <v>0</v>
      </c>
      <c r="T21" s="101">
        <v>0</v>
      </c>
      <c r="U21" s="101">
        <v>0</v>
      </c>
    </row>
    <row r="22" spans="1:21" customFormat="1" x14ac:dyDescent="0.15">
      <c r="A22" s="170" t="s">
        <v>213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3" t="s">
        <v>212</v>
      </c>
    </row>
    <row r="2" spans="1:3" x14ac:dyDescent="0.15">
      <c r="A2">
        <v>1</v>
      </c>
      <c r="B2" s="172" t="s">
        <v>192</v>
      </c>
      <c r="C2">
        <v>0.8</v>
      </c>
    </row>
    <row r="3" spans="1:3" x14ac:dyDescent="0.15">
      <c r="A3">
        <v>2</v>
      </c>
      <c r="B3" s="172" t="s">
        <v>193</v>
      </c>
      <c r="C3">
        <v>0.8</v>
      </c>
    </row>
    <row r="4" spans="1:3" x14ac:dyDescent="0.15">
      <c r="A4">
        <v>3</v>
      </c>
      <c r="B4" s="172" t="s">
        <v>194</v>
      </c>
      <c r="C4">
        <v>0.8</v>
      </c>
    </row>
    <row r="5" spans="1:3" x14ac:dyDescent="0.15">
      <c r="A5">
        <v>4</v>
      </c>
      <c r="B5" s="172" t="s">
        <v>195</v>
      </c>
      <c r="C5">
        <v>0.8</v>
      </c>
    </row>
    <row r="6" spans="1:3" x14ac:dyDescent="0.15">
      <c r="A6">
        <v>5</v>
      </c>
      <c r="B6" s="172" t="s">
        <v>196</v>
      </c>
      <c r="C6">
        <v>0.8</v>
      </c>
    </row>
    <row r="7" spans="1:3" x14ac:dyDescent="0.15">
      <c r="A7">
        <v>6</v>
      </c>
      <c r="B7" s="172" t="s">
        <v>197</v>
      </c>
      <c r="C7">
        <v>0.8</v>
      </c>
    </row>
    <row r="8" spans="1:3" x14ac:dyDescent="0.15">
      <c r="A8">
        <v>7</v>
      </c>
      <c r="B8" s="172" t="s">
        <v>198</v>
      </c>
      <c r="C8">
        <v>0.8</v>
      </c>
    </row>
    <row r="9" spans="1:3" x14ac:dyDescent="0.15">
      <c r="A9">
        <v>8</v>
      </c>
      <c r="B9" s="172" t="s">
        <v>199</v>
      </c>
      <c r="C9">
        <v>0.8</v>
      </c>
    </row>
    <row r="10" spans="1:3" x14ac:dyDescent="0.15">
      <c r="A10">
        <v>9</v>
      </c>
      <c r="B10" s="172" t="s">
        <v>200</v>
      </c>
      <c r="C10">
        <v>0.8</v>
      </c>
    </row>
    <row r="11" spans="1:3" x14ac:dyDescent="0.15">
      <c r="A11">
        <v>10</v>
      </c>
      <c r="B11" s="172" t="s">
        <v>201</v>
      </c>
      <c r="C11">
        <v>0.8</v>
      </c>
    </row>
    <row r="12" spans="1:3" x14ac:dyDescent="0.15">
      <c r="A12">
        <v>11</v>
      </c>
      <c r="B12" s="172" t="s">
        <v>202</v>
      </c>
      <c r="C12">
        <v>0</v>
      </c>
    </row>
    <row r="13" spans="1:3" x14ac:dyDescent="0.15">
      <c r="A13">
        <v>12</v>
      </c>
      <c r="B13" s="172" t="s">
        <v>203</v>
      </c>
      <c r="C13">
        <v>0.8</v>
      </c>
    </row>
    <row r="14" spans="1:3" x14ac:dyDescent="0.15">
      <c r="A14">
        <v>13</v>
      </c>
      <c r="B14" s="172" t="s">
        <v>204</v>
      </c>
      <c r="C14">
        <v>0</v>
      </c>
    </row>
    <row r="15" spans="1:3" x14ac:dyDescent="0.15">
      <c r="A15">
        <v>14</v>
      </c>
      <c r="B15" s="172" t="s">
        <v>205</v>
      </c>
      <c r="C15">
        <v>0</v>
      </c>
    </row>
    <row r="16" spans="1:3" x14ac:dyDescent="0.15">
      <c r="A16">
        <v>15</v>
      </c>
      <c r="B16" s="172" t="s">
        <v>206</v>
      </c>
      <c r="C16">
        <v>0</v>
      </c>
    </row>
    <row r="17" spans="1:3" x14ac:dyDescent="0.15">
      <c r="A17">
        <v>16</v>
      </c>
      <c r="B17" s="172" t="s">
        <v>207</v>
      </c>
      <c r="C17">
        <v>0</v>
      </c>
    </row>
    <row r="18" spans="1:3" x14ac:dyDescent="0.15">
      <c r="A18">
        <v>17</v>
      </c>
      <c r="B18" s="172" t="s">
        <v>208</v>
      </c>
      <c r="C18">
        <v>0</v>
      </c>
    </row>
    <row r="19" spans="1:3" x14ac:dyDescent="0.15">
      <c r="A19">
        <v>18</v>
      </c>
      <c r="B19" s="172" t="s">
        <v>209</v>
      </c>
      <c r="C19">
        <v>0</v>
      </c>
    </row>
    <row r="20" spans="1:3" x14ac:dyDescent="0.15">
      <c r="A20">
        <v>19</v>
      </c>
      <c r="B20" s="172" t="s">
        <v>210</v>
      </c>
      <c r="C20">
        <v>0</v>
      </c>
    </row>
    <row r="21" spans="1:3" x14ac:dyDescent="0.15">
      <c r="A21">
        <v>20</v>
      </c>
      <c r="B21" s="172" t="s">
        <v>211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5" t="s">
        <v>212</v>
      </c>
    </row>
    <row r="2" spans="1:3" x14ac:dyDescent="0.15">
      <c r="A2">
        <v>1</v>
      </c>
      <c r="B2" s="174" t="s">
        <v>192</v>
      </c>
      <c r="C2">
        <v>0.8</v>
      </c>
    </row>
    <row r="3" spans="1:3" x14ac:dyDescent="0.15">
      <c r="A3">
        <v>2</v>
      </c>
      <c r="B3" s="174" t="s">
        <v>193</v>
      </c>
      <c r="C3">
        <v>0.8</v>
      </c>
    </row>
    <row r="4" spans="1:3" x14ac:dyDescent="0.15">
      <c r="A4">
        <v>3</v>
      </c>
      <c r="B4" s="174" t="s">
        <v>194</v>
      </c>
      <c r="C4">
        <v>0.8</v>
      </c>
    </row>
    <row r="5" spans="1:3" x14ac:dyDescent="0.15">
      <c r="A5">
        <v>4</v>
      </c>
      <c r="B5" s="174" t="s">
        <v>195</v>
      </c>
      <c r="C5">
        <v>0.8</v>
      </c>
    </row>
    <row r="6" spans="1:3" x14ac:dyDescent="0.15">
      <c r="A6">
        <v>5</v>
      </c>
      <c r="B6" s="174" t="s">
        <v>196</v>
      </c>
      <c r="C6">
        <v>0.8</v>
      </c>
    </row>
    <row r="7" spans="1:3" x14ac:dyDescent="0.15">
      <c r="A7">
        <v>6</v>
      </c>
      <c r="B7" s="174" t="s">
        <v>197</v>
      </c>
      <c r="C7">
        <v>0.8</v>
      </c>
    </row>
    <row r="8" spans="1:3" x14ac:dyDescent="0.15">
      <c r="A8">
        <v>7</v>
      </c>
      <c r="B8" s="174" t="s">
        <v>198</v>
      </c>
      <c r="C8">
        <v>0.8</v>
      </c>
    </row>
    <row r="9" spans="1:3" x14ac:dyDescent="0.15">
      <c r="A9">
        <v>8</v>
      </c>
      <c r="B9" s="174" t="s">
        <v>199</v>
      </c>
      <c r="C9">
        <v>0.8</v>
      </c>
    </row>
    <row r="10" spans="1:3" x14ac:dyDescent="0.15">
      <c r="A10">
        <v>9</v>
      </c>
      <c r="B10" s="174" t="s">
        <v>200</v>
      </c>
      <c r="C10">
        <v>0.8</v>
      </c>
    </row>
    <row r="11" spans="1:3" x14ac:dyDescent="0.15">
      <c r="A11">
        <v>10</v>
      </c>
      <c r="B11" s="174" t="s">
        <v>201</v>
      </c>
      <c r="C11">
        <v>0.8</v>
      </c>
    </row>
    <row r="12" spans="1:3" x14ac:dyDescent="0.15">
      <c r="A12">
        <v>11</v>
      </c>
      <c r="B12" s="174" t="s">
        <v>202</v>
      </c>
      <c r="C12">
        <v>0</v>
      </c>
    </row>
    <row r="13" spans="1:3" x14ac:dyDescent="0.15">
      <c r="A13">
        <v>12</v>
      </c>
      <c r="B13" s="174" t="s">
        <v>203</v>
      </c>
      <c r="C13">
        <v>0.8</v>
      </c>
    </row>
    <row r="14" spans="1:3" x14ac:dyDescent="0.15">
      <c r="A14">
        <v>13</v>
      </c>
      <c r="B14" s="174" t="s">
        <v>204</v>
      </c>
      <c r="C14">
        <v>0</v>
      </c>
    </row>
    <row r="15" spans="1:3" x14ac:dyDescent="0.15">
      <c r="A15">
        <v>14</v>
      </c>
      <c r="B15" s="174" t="s">
        <v>205</v>
      </c>
      <c r="C15">
        <v>0</v>
      </c>
    </row>
    <row r="16" spans="1:3" x14ac:dyDescent="0.15">
      <c r="A16">
        <v>15</v>
      </c>
      <c r="B16" s="174" t="s">
        <v>206</v>
      </c>
      <c r="C16">
        <v>0</v>
      </c>
    </row>
    <row r="17" spans="1:3" x14ac:dyDescent="0.15">
      <c r="A17">
        <v>16</v>
      </c>
      <c r="B17" s="174" t="s">
        <v>207</v>
      </c>
      <c r="C17">
        <v>0</v>
      </c>
    </row>
    <row r="18" spans="1:3" x14ac:dyDescent="0.15">
      <c r="A18">
        <v>17</v>
      </c>
      <c r="B18" s="174" t="s">
        <v>208</v>
      </c>
      <c r="C18">
        <v>0</v>
      </c>
    </row>
    <row r="19" spans="1:3" x14ac:dyDescent="0.15">
      <c r="A19">
        <v>18</v>
      </c>
      <c r="B19" s="174" t="s">
        <v>209</v>
      </c>
      <c r="C19">
        <v>0</v>
      </c>
    </row>
    <row r="20" spans="1:3" x14ac:dyDescent="0.15">
      <c r="A20">
        <v>19</v>
      </c>
      <c r="B20" s="174" t="s">
        <v>210</v>
      </c>
      <c r="C20">
        <v>0</v>
      </c>
    </row>
    <row r="21" spans="1:3" x14ac:dyDescent="0.15">
      <c r="A21">
        <v>20</v>
      </c>
      <c r="B21" s="174" t="s">
        <v>211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6">
        <v>1</v>
      </c>
      <c r="B2" s="136" t="s">
        <v>192</v>
      </c>
      <c r="C2" s="8">
        <v>3.6525249481201172</v>
      </c>
      <c r="D2" s="9">
        <v>7.9744823276996613E-2</v>
      </c>
      <c r="E2" s="9">
        <v>1.3199999332427979</v>
      </c>
      <c r="F2" s="9">
        <v>11</v>
      </c>
      <c r="G2" s="9">
        <v>0.94999998807907104</v>
      </c>
      <c r="H2" s="9">
        <v>0.11999999731779099</v>
      </c>
      <c r="I2">
        <v>0.10000000149011612</v>
      </c>
      <c r="J2"/>
    </row>
    <row r="3" spans="1:10" ht="15" customHeight="1" x14ac:dyDescent="0.15">
      <c r="A3" s="137">
        <v>2</v>
      </c>
      <c r="B3" s="137" t="s">
        <v>193</v>
      </c>
      <c r="C3" s="8">
        <v>3.492133617401123</v>
      </c>
      <c r="D3" s="9">
        <v>0.75335156917572021</v>
      </c>
      <c r="E3" s="9">
        <v>1.5700000524520874</v>
      </c>
      <c r="F3" s="9">
        <v>13.300000190734863</v>
      </c>
      <c r="G3" s="9">
        <v>0.94999986886978149</v>
      </c>
      <c r="H3" s="9">
        <v>0.11804511398077011</v>
      </c>
      <c r="I3">
        <v>0.17000000178813934</v>
      </c>
      <c r="J3"/>
    </row>
    <row r="4" spans="1:10" ht="15" customHeight="1" x14ac:dyDescent="0.15">
      <c r="A4" s="138">
        <v>3</v>
      </c>
      <c r="B4" s="138" t="s">
        <v>194</v>
      </c>
      <c r="C4" s="8">
        <v>3.2956781387329102</v>
      </c>
      <c r="D4" s="9">
        <v>0.36172911524772644</v>
      </c>
      <c r="E4" s="9">
        <v>1.1639999151229858</v>
      </c>
      <c r="F4" s="9">
        <v>9.6999998092651367</v>
      </c>
      <c r="G4" s="9">
        <v>0.94999992847442627</v>
      </c>
      <c r="H4" s="9">
        <v>0.11999999731779099</v>
      </c>
      <c r="I4">
        <v>0.40000000596046448</v>
      </c>
      <c r="J4"/>
    </row>
    <row r="5" spans="1:10" ht="15" customHeight="1" x14ac:dyDescent="0.15">
      <c r="A5" s="139">
        <v>4</v>
      </c>
      <c r="B5" s="139" t="s">
        <v>195</v>
      </c>
      <c r="C5" s="8">
        <v>3.2773740291595459</v>
      </c>
      <c r="D5" s="9">
        <v>6.5624400973320007E-2</v>
      </c>
      <c r="E5" s="9">
        <v>2.6159999370574951</v>
      </c>
      <c r="F5" s="9">
        <v>21.799999237060547</v>
      </c>
      <c r="G5" s="9">
        <v>0.94999998807907104</v>
      </c>
      <c r="H5" s="9">
        <v>0.12000000476837158</v>
      </c>
      <c r="I5">
        <v>0.14000000059604645</v>
      </c>
      <c r="J5"/>
    </row>
    <row r="6" spans="1:10" ht="15" customHeight="1" x14ac:dyDescent="0.15">
      <c r="A6" s="140">
        <v>5</v>
      </c>
      <c r="B6" s="140" t="s">
        <v>196</v>
      </c>
      <c r="C6" s="8">
        <v>3.1110382080078125</v>
      </c>
      <c r="D6" s="9">
        <v>6.5620803833007812</v>
      </c>
      <c r="E6" s="9">
        <v>1.4399999380111694</v>
      </c>
      <c r="F6" s="9">
        <v>7.1999998092651367</v>
      </c>
      <c r="G6" s="9">
        <v>0.95000004768371582</v>
      </c>
      <c r="H6" s="9">
        <v>0.20000000298023224</v>
      </c>
      <c r="I6">
        <v>0.20000000298023224</v>
      </c>
      <c r="J6"/>
    </row>
    <row r="7" spans="1:10" ht="15" customHeight="1" x14ac:dyDescent="0.15">
      <c r="A7" s="141">
        <v>6</v>
      </c>
      <c r="B7" s="141" t="s">
        <v>197</v>
      </c>
      <c r="C7" s="8">
        <v>3.0867269039154053</v>
      </c>
      <c r="D7" s="9">
        <v>1.9056754112243652</v>
      </c>
      <c r="E7" s="9">
        <v>1.2000000476837158</v>
      </c>
      <c r="F7" s="9">
        <v>9.8000001907348633</v>
      </c>
      <c r="G7" s="9">
        <v>0.94999992847442627</v>
      </c>
      <c r="H7" s="9">
        <v>0.12244898080825806</v>
      </c>
      <c r="I7">
        <v>1.7000000476837158</v>
      </c>
      <c r="J7"/>
    </row>
    <row r="8" spans="1:10" ht="15" customHeight="1" x14ac:dyDescent="0.15">
      <c r="A8" s="142">
        <v>7</v>
      </c>
      <c r="B8" s="142" t="s">
        <v>198</v>
      </c>
      <c r="C8" s="8">
        <v>3.0717704296112061</v>
      </c>
      <c r="D8" s="9">
        <v>9.9475502967834473E-2</v>
      </c>
      <c r="E8" s="9">
        <v>1.1639999151229858</v>
      </c>
      <c r="F8" s="9">
        <v>9.6999998092651367</v>
      </c>
      <c r="G8" s="9">
        <v>0.94999998807907104</v>
      </c>
      <c r="H8" s="9">
        <v>0.11999999731779099</v>
      </c>
      <c r="I8">
        <v>0.10999999940395355</v>
      </c>
      <c r="J8"/>
    </row>
    <row r="9" spans="1:10" ht="15" customHeight="1" x14ac:dyDescent="0.15">
      <c r="A9" s="143">
        <v>8</v>
      </c>
      <c r="B9" s="143" t="s">
        <v>199</v>
      </c>
      <c r="C9" s="8">
        <v>3.0615487098693848</v>
      </c>
      <c r="D9" s="9">
        <v>0.64636170864105225</v>
      </c>
      <c r="E9" s="9">
        <v>1.6000000238418579</v>
      </c>
      <c r="F9" s="9">
        <v>12.699999809265137</v>
      </c>
      <c r="G9" s="9">
        <v>0.94999992847442627</v>
      </c>
      <c r="H9" s="9">
        <v>0.12598425149917603</v>
      </c>
      <c r="I9">
        <v>0.40999999642372131</v>
      </c>
      <c r="J9"/>
    </row>
    <row r="10" spans="1:10" ht="15" customHeight="1" x14ac:dyDescent="0.15">
      <c r="A10" s="144">
        <v>9</v>
      </c>
      <c r="B10" s="144" t="s">
        <v>200</v>
      </c>
      <c r="C10" s="8">
        <v>2.9189746379852295</v>
      </c>
      <c r="D10" s="9">
        <v>1.5180813074111938</v>
      </c>
      <c r="E10" s="9">
        <v>1.6000000238418579</v>
      </c>
      <c r="F10" s="9">
        <v>13.699999809265137</v>
      </c>
      <c r="G10" s="9">
        <v>0.94999992847442627</v>
      </c>
      <c r="H10" s="9">
        <v>0.11678832769393921</v>
      </c>
      <c r="I10">
        <v>1.3500000238418579</v>
      </c>
      <c r="J10"/>
    </row>
    <row r="11" spans="1:10" ht="15" customHeight="1" x14ac:dyDescent="0.15">
      <c r="A11" s="145">
        <v>10</v>
      </c>
      <c r="B11" s="145" t="s">
        <v>201</v>
      </c>
      <c r="C11" s="8">
        <v>2.6980388164520264</v>
      </c>
      <c r="D11" s="9">
        <v>9.9681027233600616E-2</v>
      </c>
      <c r="E11" s="9">
        <v>1.0559999942779541</v>
      </c>
      <c r="F11" s="9">
        <v>8.8000001907348633</v>
      </c>
      <c r="G11" s="9">
        <v>0.94999992847442627</v>
      </c>
      <c r="H11" s="9">
        <v>0.11999999731779099</v>
      </c>
      <c r="I11">
        <v>0.10000000149011612</v>
      </c>
      <c r="J11"/>
    </row>
    <row r="12" spans="1:10" ht="15" customHeight="1" x14ac:dyDescent="0.15">
      <c r="A12" s="146">
        <v>11</v>
      </c>
      <c r="B12" s="146" t="s">
        <v>202</v>
      </c>
      <c r="C12" s="8">
        <v>2.6472728252410889</v>
      </c>
      <c r="D12" s="9">
        <v>3.7121620178222656</v>
      </c>
      <c r="E12" s="9">
        <v>2.7000000476837158</v>
      </c>
      <c r="F12" s="9">
        <v>11</v>
      </c>
      <c r="G12" s="9">
        <v>0.94999992847442627</v>
      </c>
      <c r="H12" s="9">
        <v>0.24545454978942871</v>
      </c>
      <c r="I12">
        <v>0</v>
      </c>
      <c r="J12"/>
    </row>
    <row r="13" spans="1:10" ht="15" customHeight="1" x14ac:dyDescent="0.15">
      <c r="A13" s="147">
        <v>12</v>
      </c>
      <c r="B13" s="147" t="s">
        <v>203</v>
      </c>
      <c r="C13" s="8">
        <v>2.5614120960235596</v>
      </c>
      <c r="D13" s="9">
        <v>0.30701756477355957</v>
      </c>
      <c r="E13" s="9">
        <v>0.47999998927116394</v>
      </c>
      <c r="F13" s="9">
        <v>11.699999809265137</v>
      </c>
      <c r="G13" s="9">
        <v>0.94999998807907104</v>
      </c>
      <c r="H13" s="9">
        <v>4.1025642305612564E-2</v>
      </c>
      <c r="I13">
        <v>0.14000000059604645</v>
      </c>
      <c r="J13"/>
    </row>
    <row r="14" spans="1:10" ht="15" customHeight="1" x14ac:dyDescent="0.15">
      <c r="A14" s="148">
        <v>13</v>
      </c>
      <c r="B14" s="148" t="s">
        <v>204</v>
      </c>
      <c r="C14" s="8">
        <v>2.2121212482452393</v>
      </c>
      <c r="D14" s="9">
        <v>10.311113357543945</v>
      </c>
      <c r="E14" s="9">
        <v>5.619999885559082</v>
      </c>
      <c r="F14" s="9">
        <v>18.729999542236328</v>
      </c>
      <c r="G14" s="9">
        <v>0.95000004768371582</v>
      </c>
      <c r="H14" s="9">
        <v>0.30005338788032532</v>
      </c>
      <c r="I14">
        <v>0</v>
      </c>
      <c r="J14"/>
    </row>
    <row r="15" spans="1:10" ht="15" customHeight="1" x14ac:dyDescent="0.15">
      <c r="A15" s="149">
        <v>14</v>
      </c>
      <c r="B15" s="149" t="s">
        <v>205</v>
      </c>
      <c r="C15" s="8">
        <v>2.2000000476837158</v>
      </c>
      <c r="D15" s="9">
        <v>21.183731079101562</v>
      </c>
      <c r="E15" s="9">
        <v>1.7200000286102295</v>
      </c>
      <c r="F15" s="9">
        <v>8.6000003814697266</v>
      </c>
      <c r="G15" s="9">
        <v>0.94999998807907104</v>
      </c>
      <c r="H15" s="9">
        <v>0.19999998807907104</v>
      </c>
      <c r="I15">
        <v>0</v>
      </c>
      <c r="J15"/>
    </row>
    <row r="16" spans="1:10" ht="15" customHeight="1" x14ac:dyDescent="0.15">
      <c r="A16" s="150">
        <v>15</v>
      </c>
      <c r="B16" s="150" t="s">
        <v>206</v>
      </c>
      <c r="C16" s="8">
        <v>2.0606060028076172</v>
      </c>
      <c r="D16" s="9">
        <v>19.352874755859375</v>
      </c>
      <c r="E16" s="9">
        <v>2.75</v>
      </c>
      <c r="F16" s="9">
        <v>13.75</v>
      </c>
      <c r="G16" s="9">
        <v>0.95000004768371582</v>
      </c>
      <c r="H16" s="9">
        <v>0.20000000298023224</v>
      </c>
      <c r="I16">
        <v>0</v>
      </c>
      <c r="J16"/>
    </row>
    <row r="17" spans="1:10" ht="15" customHeight="1" x14ac:dyDescent="0.15">
      <c r="A17" s="151">
        <v>16</v>
      </c>
      <c r="B17" s="151" t="s">
        <v>207</v>
      </c>
      <c r="C17" s="8">
        <v>2</v>
      </c>
      <c r="D17" s="9">
        <v>2.5144071578979492</v>
      </c>
      <c r="E17" s="9">
        <v>18.620000839233398</v>
      </c>
      <c r="F17" s="9">
        <v>93.099998474121094</v>
      </c>
      <c r="G17" s="9">
        <v>0.94999986886978149</v>
      </c>
      <c r="H17" s="9">
        <v>0.20000001788139343</v>
      </c>
      <c r="I17">
        <v>0</v>
      </c>
      <c r="J17"/>
    </row>
    <row r="18" spans="1:10" ht="15" customHeight="1" x14ac:dyDescent="0.15">
      <c r="A18" s="152">
        <v>17</v>
      </c>
      <c r="B18" s="152" t="s">
        <v>208</v>
      </c>
      <c r="C18" s="8">
        <v>1</v>
      </c>
      <c r="D18" s="9">
        <v>7.8049116134643555</v>
      </c>
      <c r="E18" s="9">
        <v>46.423000335693359</v>
      </c>
      <c r="F18" s="10"/>
      <c r="G18" s="9">
        <v>0.95000004768371582</v>
      </c>
      <c r="H18" s="10"/>
      <c r="I18">
        <v>0</v>
      </c>
      <c r="J18"/>
    </row>
    <row r="19" spans="1:10" ht="15" customHeight="1" x14ac:dyDescent="0.15">
      <c r="A19" s="153">
        <v>18</v>
      </c>
      <c r="B19" s="153" t="s">
        <v>209</v>
      </c>
      <c r="C19" s="8">
        <v>1</v>
      </c>
      <c r="D19" s="9">
        <v>8.8953161239624023</v>
      </c>
      <c r="E19" s="9">
        <v>12.5</v>
      </c>
      <c r="F19" s="10"/>
      <c r="G19" s="9">
        <v>0.94999992847442627</v>
      </c>
      <c r="H19" s="10"/>
      <c r="I19">
        <v>0</v>
      </c>
      <c r="J19"/>
    </row>
    <row r="20" spans="1:10" ht="15" customHeight="1" x14ac:dyDescent="0.15">
      <c r="A20" s="154">
        <v>19</v>
      </c>
      <c r="B20" s="154" t="s">
        <v>210</v>
      </c>
      <c r="C20" s="8">
        <v>1</v>
      </c>
      <c r="D20" s="9">
        <v>12.399999618530273</v>
      </c>
      <c r="E20" s="10"/>
      <c r="F20" s="10"/>
      <c r="G20" s="9">
        <v>0.96277254819869995</v>
      </c>
      <c r="H20" s="10"/>
      <c r="I20">
        <v>0</v>
      </c>
      <c r="J20"/>
    </row>
    <row r="21" spans="1:10" ht="15" customHeight="1" x14ac:dyDescent="0.15">
      <c r="A21" s="155">
        <v>20</v>
      </c>
      <c r="B21" s="155" t="s">
        <v>211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56">
        <v>21</v>
      </c>
      <c r="B22" s="156" t="s">
        <v>212</v>
      </c>
      <c r="C22" s="8">
        <v>4.0638604164123535</v>
      </c>
      <c r="D22" s="10"/>
      <c r="E22" s="10"/>
      <c r="F22" s="10"/>
      <c r="G22" s="10"/>
      <c r="H22" s="10"/>
      <c r="I22">
        <v>4.8199996948242188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1.3199999332427979</v>
      </c>
      <c r="C2">
        <v>6.6000014543533325E-2</v>
      </c>
      <c r="D2" s="184">
        <v>1.2539999485015869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1.5700000524520874</v>
      </c>
      <c r="C3">
        <v>7.8500211238861084E-2</v>
      </c>
      <c r="D3" s="185">
        <v>0.22565825283527374</v>
      </c>
      <c r="E3"/>
      <c r="F3"/>
      <c r="G3"/>
      <c r="H3"/>
      <c r="I3" s="196">
        <v>1.2543141841888428</v>
      </c>
      <c r="J3"/>
      <c r="K3" s="21">
        <v>1.152743399143219E-2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1.1639999151229858</v>
      </c>
      <c r="C4">
        <v>5.8200079947710037E-2</v>
      </c>
      <c r="D4" s="184">
        <v>1.1057999134063721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2.6159999370574951</v>
      </c>
      <c r="C5">
        <v>0.1308000236749649</v>
      </c>
      <c r="D5" s="186">
        <v>2.1333527565002441</v>
      </c>
      <c r="E5" s="24">
        <v>6.683436781167984E-2</v>
      </c>
      <c r="F5" s="64">
        <v>0.1526806503534317</v>
      </c>
      <c r="G5"/>
      <c r="H5"/>
      <c r="I5"/>
      <c r="J5"/>
      <c r="K5" s="65">
        <v>0.13233202695846558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1.4399999380111694</v>
      </c>
      <c r="C6">
        <v>7.1999929845333099E-2</v>
      </c>
      <c r="D6" s="62">
        <v>3.0478140339255333E-2</v>
      </c>
      <c r="E6" s="23">
        <v>4.6118244528770447E-2</v>
      </c>
      <c r="F6" s="198">
        <v>0.54968047142028809</v>
      </c>
      <c r="G6" s="134">
        <v>4.2776342481374741E-2</v>
      </c>
      <c r="H6" s="22">
        <v>8.0664418637752533E-3</v>
      </c>
      <c r="I6"/>
      <c r="J6" s="130">
        <v>0.18498940765857697</v>
      </c>
      <c r="K6" s="18">
        <v>1.7939327284693718E-2</v>
      </c>
      <c r="L6" s="194">
        <v>0.12509436905384064</v>
      </c>
      <c r="M6" s="197">
        <v>0.35497036576271057</v>
      </c>
      <c r="N6" s="22">
        <v>7.8868875280022621E-3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1.2000000476837158</v>
      </c>
      <c r="C7">
        <v>6.0000088065862656E-2</v>
      </c>
      <c r="D7" s="187">
        <v>0.89207220077514648</v>
      </c>
      <c r="E7"/>
      <c r="F7"/>
      <c r="G7"/>
      <c r="H7"/>
      <c r="I7" s="192">
        <v>0.24792772531509399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1.1639999151229858</v>
      </c>
      <c r="C8">
        <v>5.8200009167194366E-2</v>
      </c>
      <c r="D8" s="184">
        <v>1.1057999134063721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1.6000000238418579</v>
      </c>
      <c r="C9">
        <v>8.0000117421150208E-2</v>
      </c>
      <c r="D9" s="188">
        <v>0.6343197226524353</v>
      </c>
      <c r="E9" s="190">
        <v>0.15471215546131134</v>
      </c>
      <c r="F9"/>
      <c r="G9"/>
      <c r="H9"/>
      <c r="I9" s="131">
        <v>0.73096805810928345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1.6000000238418579</v>
      </c>
      <c r="C10">
        <v>8.0000117421150208E-2</v>
      </c>
      <c r="D10" s="189">
        <v>0.88928043842315674</v>
      </c>
      <c r="E10"/>
      <c r="F10"/>
      <c r="G10"/>
      <c r="H10"/>
      <c r="I10" s="195">
        <v>0.62245649099349976</v>
      </c>
      <c r="J10"/>
      <c r="K10" s="22">
        <v>8.2629704847931862E-3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1.0559999942779541</v>
      </c>
      <c r="C11">
        <v>5.2800074219703674E-2</v>
      </c>
      <c r="D11" s="184">
        <v>1.0031999349594116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2.7000000476837158</v>
      </c>
      <c r="C12">
        <v>0.13500019907951355</v>
      </c>
      <c r="D12"/>
      <c r="E12" s="18">
        <v>3.2846048474311829E-2</v>
      </c>
      <c r="F12" s="193">
        <v>0.15384992957115173</v>
      </c>
      <c r="G12" s="67">
        <v>0.19282282888889313</v>
      </c>
      <c r="H12" s="191">
        <v>6.2047000974416733E-2</v>
      </c>
      <c r="I12" s="200">
        <v>1.9091427326202393</v>
      </c>
      <c r="J12" s="20">
        <v>5.0309281796216965E-2</v>
      </c>
      <c r="K12" s="21">
        <v>2.3393943905830383E-2</v>
      </c>
      <c r="L12" s="27">
        <v>0.12825679779052734</v>
      </c>
      <c r="M12" s="14">
        <v>5.6025879457592964E-3</v>
      </c>
      <c r="N12" s="11">
        <v>1.8904198659583926E-3</v>
      </c>
      <c r="O12"/>
      <c r="P12" s="14">
        <v>4.8382924869656563E-3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0.47999998927116394</v>
      </c>
      <c r="C13">
        <v>2.4000005796551704E-2</v>
      </c>
      <c r="D13" s="184">
        <v>0.45599997043609619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5.619999885559082</v>
      </c>
      <c r="C14">
        <v>0.28099972009658813</v>
      </c>
      <c r="D14"/>
      <c r="E14" s="12">
        <v>2.1012930199503899E-2</v>
      </c>
      <c r="F14" s="71">
        <v>0.35953858494758606</v>
      </c>
      <c r="G14" s="20">
        <v>0.10549000650644302</v>
      </c>
      <c r="H14" s="16">
        <v>8.5189223289489746E-2</v>
      </c>
      <c r="I14" s="199">
        <v>0.6873212456703186</v>
      </c>
      <c r="J14" s="100">
        <v>1.026957631111145</v>
      </c>
      <c r="K14" s="14">
        <v>1.1603900231420994E-2</v>
      </c>
      <c r="L14" s="63">
        <v>0.2316683828830719</v>
      </c>
      <c r="M14" s="202">
        <v>1.0468329191207886</v>
      </c>
      <c r="N14" s="11">
        <v>3.1476856674998999E-3</v>
      </c>
      <c r="O14" s="67">
        <v>0.39601719379425049</v>
      </c>
      <c r="P14" s="17">
        <v>7.3854900896549225E-2</v>
      </c>
      <c r="Q14"/>
      <c r="R14"/>
      <c r="S14" s="204">
        <v>1.2903650999069214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1.7200000286102295</v>
      </c>
      <c r="C15">
        <v>8.6000025272369385E-2</v>
      </c>
      <c r="D15"/>
      <c r="E15" s="14">
        <v>3.4369314089417458E-3</v>
      </c>
      <c r="F15" s="14">
        <v>2.8379068244248629E-3</v>
      </c>
      <c r="G15" s="22">
        <v>1.0435020551085472E-2</v>
      </c>
      <c r="H15" s="11">
        <v>1.5532709658145905E-3</v>
      </c>
      <c r="I15" s="195">
        <v>0.66910284757614136</v>
      </c>
      <c r="J15" s="193">
        <v>9.873943030834198E-2</v>
      </c>
      <c r="K15" s="11">
        <v>1.4575901441276073E-3</v>
      </c>
      <c r="L15" s="71">
        <v>0.10966379940509796</v>
      </c>
      <c r="M15" s="22">
        <v>8.8359983637928963E-3</v>
      </c>
      <c r="N15" s="21">
        <v>1.2919547967612743E-2</v>
      </c>
      <c r="O15" s="205">
        <v>0.674660325050354</v>
      </c>
      <c r="P15" s="191">
        <v>4.0357433259487152E-2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2.75</v>
      </c>
      <c r="C16">
        <v>0.13749986886978149</v>
      </c>
      <c r="D16"/>
      <c r="E16" s="11">
        <v>2.1303333342075348E-3</v>
      </c>
      <c r="F16" s="23">
        <v>8.8014207780361176E-2</v>
      </c>
      <c r="G16" s="62">
        <v>5.8017589151859283E-2</v>
      </c>
      <c r="H16" s="14">
        <v>6.3573308289051056E-3</v>
      </c>
      <c r="I16" s="26">
        <v>9.7653664648532867E-2</v>
      </c>
      <c r="J16" s="13">
        <v>0.10132551938295364</v>
      </c>
      <c r="K16" s="21">
        <v>1.924552209675312E-2</v>
      </c>
      <c r="L16" s="15">
        <v>2.5025678798556328E-2</v>
      </c>
      <c r="M16"/>
      <c r="N16" s="14">
        <v>6.0283900238573551E-3</v>
      </c>
      <c r="O16" s="25">
        <v>0.21099595725536346</v>
      </c>
      <c r="P16" s="11">
        <v>1.8561093602329493E-3</v>
      </c>
      <c r="Q16" s="135">
        <v>1.9958498477935791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18.620000839233398</v>
      </c>
      <c r="C17">
        <v>0.93100249767303467</v>
      </c>
      <c r="D17"/>
      <c r="E17"/>
      <c r="F17"/>
      <c r="G17"/>
      <c r="H17" s="14">
        <v>4.039657860994339E-2</v>
      </c>
      <c r="I17" s="201">
        <v>2.8185758590698242</v>
      </c>
      <c r="J17"/>
      <c r="K17"/>
      <c r="L17"/>
      <c r="M17" s="19">
        <v>0.33912816643714905</v>
      </c>
      <c r="N17"/>
      <c r="O17"/>
      <c r="P17"/>
      <c r="Q17"/>
      <c r="R17" s="206">
        <v>14.490899085998535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46.423000335693359</v>
      </c>
      <c r="C18">
        <v>2.3211479187011719</v>
      </c>
      <c r="D18"/>
      <c r="E18"/>
      <c r="F18"/>
      <c r="G18"/>
      <c r="H18"/>
      <c r="I18"/>
      <c r="J18"/>
      <c r="K18"/>
      <c r="L18" s="11">
        <v>1.577620767056942E-2</v>
      </c>
      <c r="M18"/>
      <c r="N18"/>
      <c r="O18"/>
      <c r="P18"/>
      <c r="Q18" s="209">
        <v>7.4232935905456543</v>
      </c>
      <c r="R18" s="210">
        <v>8.1696033477783203</v>
      </c>
      <c r="S18"/>
      <c r="T18" s="211">
        <v>28.49317741394043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12.5</v>
      </c>
      <c r="C19">
        <v>0.62500089406967163</v>
      </c>
      <c r="D19"/>
      <c r="E19"/>
      <c r="F19" s="14">
        <v>2.5906920433044434E-2</v>
      </c>
      <c r="G19" s="11">
        <v>9.0723885223269463E-3</v>
      </c>
      <c r="H19" s="11">
        <v>1.2866203906014562E-3</v>
      </c>
      <c r="I19"/>
      <c r="J19" s="14">
        <v>2.0994892343878746E-2</v>
      </c>
      <c r="K19" s="11">
        <v>1.3016904704272747E-3</v>
      </c>
      <c r="L19" s="18">
        <v>0.13934612274169922</v>
      </c>
      <c r="M19" s="63">
        <v>0.50969541072845459</v>
      </c>
      <c r="N19" s="14">
        <v>3.2640878111124039E-2</v>
      </c>
      <c r="O19"/>
      <c r="P19" s="19">
        <v>0.21160160005092621</v>
      </c>
      <c r="Q19"/>
      <c r="R19" s="208">
        <v>5.1201128959655762</v>
      </c>
      <c r="S19" s="207">
        <v>4.4872274398803711</v>
      </c>
      <c r="T19" s="203">
        <v>1.3158121109008789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0.96277254819869995</v>
      </c>
      <c r="D20"/>
      <c r="E20" s="9">
        <v>1.7543861642479897E-2</v>
      </c>
      <c r="F20" s="9">
        <v>0.13025449216365814</v>
      </c>
      <c r="G20"/>
      <c r="H20"/>
      <c r="I20" s="9">
        <v>7.0870471000671387</v>
      </c>
      <c r="J20" s="9">
        <v>2.4465062618255615</v>
      </c>
      <c r="K20" s="9">
        <v>0.19587720930576324</v>
      </c>
      <c r="L20" s="9">
        <v>0.35297814011573792</v>
      </c>
      <c r="M20" s="9">
        <v>2.0797712802886963</v>
      </c>
      <c r="N20" s="9">
        <v>0.10526316612958908</v>
      </c>
      <c r="O20" s="9">
        <v>18.375202178955078</v>
      </c>
      <c r="P20" s="9">
        <v>3.9513159543275833E-2</v>
      </c>
      <c r="Q20" s="9">
        <v>96.563575744628906</v>
      </c>
      <c r="R20" s="9">
        <v>36.436019897460938</v>
      </c>
      <c r="S20" s="9">
        <v>212.88162231445312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6" t="s">
        <v>192</v>
      </c>
      <c r="E5">
        <v>4</v>
      </c>
      <c r="F5">
        <v>3.11</v>
      </c>
      <c r="G5">
        <v>4</v>
      </c>
      <c r="H5" s="177" t="s">
        <v>192</v>
      </c>
      <c r="J5" s="55"/>
      <c r="K5" s="56"/>
    </row>
    <row r="6" spans="1:12" ht="14" thickBot="1" x14ac:dyDescent="0.2">
      <c r="A6" s="39" t="s">
        <v>121</v>
      </c>
      <c r="D6" s="176" t="s">
        <v>193</v>
      </c>
      <c r="E6">
        <v>5</v>
      </c>
      <c r="F6">
        <v>3.14</v>
      </c>
      <c r="G6">
        <v>5</v>
      </c>
      <c r="H6" s="177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6" t="s">
        <v>194</v>
      </c>
      <c r="E7">
        <v>6</v>
      </c>
      <c r="F7">
        <v>3.24</v>
      </c>
      <c r="G7">
        <v>6</v>
      </c>
      <c r="H7" s="177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6" t="s">
        <v>195</v>
      </c>
      <c r="E8">
        <v>7</v>
      </c>
      <c r="F8">
        <v>3.04</v>
      </c>
      <c r="G8">
        <v>7</v>
      </c>
      <c r="H8" s="177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6" t="s">
        <v>196</v>
      </c>
      <c r="E9">
        <v>8</v>
      </c>
      <c r="F9">
        <v>3.04</v>
      </c>
      <c r="G9">
        <v>8</v>
      </c>
      <c r="H9" s="177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6" t="s">
        <v>197</v>
      </c>
      <c r="E10">
        <v>9</v>
      </c>
      <c r="F10">
        <v>3.24</v>
      </c>
      <c r="G10">
        <v>9</v>
      </c>
      <c r="H10" s="177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6" t="s">
        <v>198</v>
      </c>
      <c r="E11">
        <v>10</v>
      </c>
      <c r="F11">
        <v>3.24</v>
      </c>
      <c r="G11">
        <v>10</v>
      </c>
      <c r="H11" s="177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6" t="s">
        <v>199</v>
      </c>
      <c r="E12">
        <v>11</v>
      </c>
      <c r="F12">
        <v>3.24</v>
      </c>
      <c r="G12">
        <v>11</v>
      </c>
      <c r="H12" s="177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6" t="s">
        <v>200</v>
      </c>
      <c r="E13">
        <v>12</v>
      </c>
      <c r="F13">
        <v>3.14</v>
      </c>
      <c r="G13">
        <v>12</v>
      </c>
      <c r="H13" s="177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6" t="s">
        <v>201</v>
      </c>
      <c r="E14">
        <v>13</v>
      </c>
      <c r="F14">
        <v>3.24</v>
      </c>
      <c r="G14">
        <v>13</v>
      </c>
      <c r="H14" s="177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6" t="s">
        <v>202</v>
      </c>
      <c r="E15">
        <v>14</v>
      </c>
      <c r="F15">
        <v>3.21</v>
      </c>
      <c r="G15">
        <v>14</v>
      </c>
      <c r="H15" s="177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6" t="s">
        <v>203</v>
      </c>
      <c r="E16">
        <v>15</v>
      </c>
      <c r="F16">
        <v>3.24</v>
      </c>
      <c r="G16">
        <v>15</v>
      </c>
      <c r="H16" s="177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6" t="s">
        <v>204</v>
      </c>
      <c r="E17">
        <v>16</v>
      </c>
      <c r="F17">
        <v>3</v>
      </c>
      <c r="G17">
        <v>16</v>
      </c>
      <c r="H17" s="177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6" t="s">
        <v>205</v>
      </c>
      <c r="E18">
        <v>17</v>
      </c>
      <c r="F18">
        <v>3.01</v>
      </c>
      <c r="G18">
        <v>17</v>
      </c>
      <c r="H18" s="177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6" t="s">
        <v>206</v>
      </c>
      <c r="E19">
        <v>18</v>
      </c>
      <c r="F19">
        <v>3.01</v>
      </c>
      <c r="G19">
        <v>18</v>
      </c>
      <c r="H19" s="177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6" t="s">
        <v>207</v>
      </c>
      <c r="E20">
        <v>19</v>
      </c>
      <c r="F20">
        <v>3.11</v>
      </c>
      <c r="G20">
        <v>19</v>
      </c>
      <c r="H20" s="177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6" t="s">
        <v>208</v>
      </c>
      <c r="E21">
        <v>20</v>
      </c>
      <c r="F21">
        <v>2.1</v>
      </c>
      <c r="G21">
        <v>20</v>
      </c>
      <c r="H21" s="177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6" t="s">
        <v>209</v>
      </c>
      <c r="E22">
        <v>21</v>
      </c>
      <c r="F22">
        <v>2.2000000000000002</v>
      </c>
      <c r="G22">
        <v>21</v>
      </c>
      <c r="H22" s="177" t="s">
        <v>209</v>
      </c>
    </row>
    <row r="23" spans="1:12" x14ac:dyDescent="0.15">
      <c r="A23" s="34" t="s">
        <v>129</v>
      </c>
      <c r="B23" s="42">
        <v>4</v>
      </c>
      <c r="C23" s="36"/>
      <c r="D23" s="176" t="s">
        <v>210</v>
      </c>
      <c r="E23">
        <v>22</v>
      </c>
      <c r="F23">
        <v>4.0999999999999996</v>
      </c>
      <c r="G23">
        <v>22</v>
      </c>
      <c r="H23" s="177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76" t="s">
        <v>211</v>
      </c>
      <c r="E24">
        <v>23</v>
      </c>
      <c r="F24">
        <v>4.3</v>
      </c>
      <c r="G24">
        <v>23</v>
      </c>
      <c r="H24" s="177" t="s">
        <v>211</v>
      </c>
    </row>
    <row r="25" spans="1:12" x14ac:dyDescent="0.15">
      <c r="A25" s="34" t="s">
        <v>70</v>
      </c>
      <c r="B25" s="42">
        <v>4.2</v>
      </c>
      <c r="C25" s="36"/>
      <c r="D25" s="176" t="s">
        <v>212</v>
      </c>
      <c r="E25">
        <v>24</v>
      </c>
      <c r="F25">
        <v>5</v>
      </c>
      <c r="G25">
        <v>24</v>
      </c>
      <c r="H25" s="177" t="s">
        <v>212</v>
      </c>
    </row>
    <row r="26" spans="1:12" x14ac:dyDescent="0.15">
      <c r="A26" s="34" t="s">
        <v>123</v>
      </c>
      <c r="B26" s="42">
        <v>4.3</v>
      </c>
      <c r="C26" s="36"/>
      <c r="D26" s="176" t="s">
        <v>138</v>
      </c>
      <c r="E26">
        <v>25</v>
      </c>
      <c r="F26">
        <v>6.1</v>
      </c>
      <c r="G26">
        <v>25</v>
      </c>
      <c r="H26" s="177" t="s">
        <v>138</v>
      </c>
    </row>
    <row r="27" spans="1:12" x14ac:dyDescent="0.15">
      <c r="A27" s="34" t="s">
        <v>125</v>
      </c>
      <c r="B27" s="42">
        <v>6.1</v>
      </c>
      <c r="D27" s="176" t="s">
        <v>45</v>
      </c>
      <c r="E27">
        <v>26</v>
      </c>
      <c r="F27">
        <v>6.2</v>
      </c>
      <c r="G27">
        <v>26</v>
      </c>
      <c r="H27" s="177" t="s">
        <v>45</v>
      </c>
    </row>
    <row r="28" spans="1:12" x14ac:dyDescent="0.15">
      <c r="A28" s="34" t="s">
        <v>124</v>
      </c>
      <c r="B28" s="42">
        <v>6.2</v>
      </c>
    </row>
    <row r="29" spans="1:12" x14ac:dyDescent="0.15">
      <c r="A29" s="34" t="s">
        <v>44</v>
      </c>
      <c r="B29" s="42">
        <v>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7" bestFit="1" customWidth="1"/>
    <col min="2" max="2" width="12.83203125" style="76" customWidth="1"/>
    <col min="3" max="3" width="13.1640625" style="76" customWidth="1"/>
    <col min="4" max="4" width="11.83203125" style="76" customWidth="1"/>
    <col min="5" max="5" width="12.83203125" style="76" customWidth="1"/>
    <col min="6" max="6" width="21.6640625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8" customWidth="1"/>
    <col min="17" max="17" width="2.33203125" style="76" customWidth="1"/>
    <col min="18" max="18" width="2.33203125" style="69" customWidth="1"/>
    <col min="19" max="16384" width="11.5" style="76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8" t="s">
        <v>48</v>
      </c>
      <c r="L1" s="69"/>
      <c r="M1" s="78" t="s">
        <v>119</v>
      </c>
      <c r="N1" s="69"/>
      <c r="O1" s="78" t="s">
        <v>49</v>
      </c>
      <c r="P1" s="70"/>
      <c r="Q1" s="78" t="s">
        <v>50</v>
      </c>
      <c r="R1" s="66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9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9">
        <v>0</v>
      </c>
      <c r="R4" s="102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9">
        <v>0</v>
      </c>
      <c r="R5" s="102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78" t="s">
        <v>192</v>
      </c>
      <c r="G6" s="76">
        <v>0</v>
      </c>
      <c r="H6" s="76">
        <v>0</v>
      </c>
      <c r="I6" s="76">
        <v>0</v>
      </c>
      <c r="J6" s="76">
        <v>0</v>
      </c>
      <c r="K6" s="76">
        <v>1</v>
      </c>
      <c r="L6" s="76">
        <v>0</v>
      </c>
      <c r="M6" s="76">
        <v>1</v>
      </c>
      <c r="N6" s="76">
        <v>0</v>
      </c>
      <c r="O6" s="76">
        <v>1</v>
      </c>
      <c r="P6" s="68">
        <v>0</v>
      </c>
      <c r="Q6" s="76">
        <v>0</v>
      </c>
      <c r="R6" s="69">
        <v>1</v>
      </c>
      <c r="S6"/>
      <c r="T6"/>
    </row>
    <row r="7" spans="1:23" ht="15" customHeight="1" thickBot="1" x14ac:dyDescent="0.2">
      <c r="F7" s="178" t="s">
        <v>193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8">
        <v>0</v>
      </c>
      <c r="Q7" s="76">
        <v>0</v>
      </c>
      <c r="R7" s="69">
        <v>1</v>
      </c>
      <c r="S7"/>
      <c r="T7"/>
    </row>
    <row r="8" spans="1:23" ht="15" customHeight="1" x14ac:dyDescent="0.15">
      <c r="A8" s="78" t="s">
        <v>56</v>
      </c>
      <c r="B8" s="85">
        <v>0.76518052605632314</v>
      </c>
      <c r="C8" s="179" t="s">
        <v>208</v>
      </c>
      <c r="D8" s="80" t="s">
        <v>160</v>
      </c>
      <c r="F8" s="178" t="s">
        <v>194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8">
        <v>0</v>
      </c>
      <c r="Q8" s="76">
        <v>0</v>
      </c>
      <c r="R8" s="69">
        <v>1</v>
      </c>
      <c r="S8"/>
      <c r="T8"/>
      <c r="W8"/>
    </row>
    <row r="9" spans="1:23" ht="15" customHeight="1" x14ac:dyDescent="0.15">
      <c r="A9" s="116" t="s">
        <v>168</v>
      </c>
      <c r="B9" s="87">
        <v>0.23481947394367692</v>
      </c>
      <c r="C9" s="179" t="s">
        <v>209</v>
      </c>
      <c r="D9" s="80" t="s">
        <v>160</v>
      </c>
      <c r="F9" s="178" t="s">
        <v>195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8">
        <v>0</v>
      </c>
      <c r="Q9" s="76">
        <v>0</v>
      </c>
      <c r="R9" s="69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78" t="s">
        <v>196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8">
        <v>0</v>
      </c>
      <c r="Q10" s="76">
        <v>0</v>
      </c>
      <c r="R10" s="69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78" t="s">
        <v>197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8">
        <v>0</v>
      </c>
      <c r="Q11" s="76">
        <v>0</v>
      </c>
      <c r="R11" s="69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78" t="s">
        <v>198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8">
        <v>0</v>
      </c>
      <c r="Q12" s="76">
        <v>0</v>
      </c>
      <c r="R12" s="69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78" t="s">
        <v>199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8">
        <v>0</v>
      </c>
      <c r="Q13" s="76">
        <v>0</v>
      </c>
      <c r="R13" s="69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78" t="s">
        <v>200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8">
        <v>0</v>
      </c>
      <c r="Q14" s="76">
        <v>0</v>
      </c>
      <c r="R14" s="69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78" t="s">
        <v>201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8">
        <v>0</v>
      </c>
      <c r="Q15" s="76">
        <v>0</v>
      </c>
      <c r="R15" s="69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78" t="s">
        <v>202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8">
        <v>0</v>
      </c>
      <c r="Q16" s="76">
        <v>0</v>
      </c>
      <c r="R16" s="69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78" t="s">
        <v>203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8">
        <v>0</v>
      </c>
      <c r="Q17" s="76">
        <v>0</v>
      </c>
      <c r="R17" s="69">
        <v>1</v>
      </c>
      <c r="S17"/>
      <c r="T17"/>
    </row>
    <row r="18" spans="1:20" ht="15" customHeight="1" thickBot="1" x14ac:dyDescent="0.2">
      <c r="B18" s="88"/>
      <c r="F18" s="178" t="s">
        <v>204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8">
        <v>0</v>
      </c>
      <c r="Q18" s="76">
        <v>0</v>
      </c>
      <c r="R18" s="69">
        <v>1</v>
      </c>
      <c r="S18"/>
      <c r="T18"/>
    </row>
    <row r="19" spans="1:20" ht="15" customHeight="1" x14ac:dyDescent="0.15">
      <c r="A19" s="78" t="s">
        <v>57</v>
      </c>
      <c r="B19" s="85">
        <v>0.76518052605632314</v>
      </c>
      <c r="C19" s="180" t="s">
        <v>208</v>
      </c>
      <c r="D19" s="80" t="s">
        <v>160</v>
      </c>
      <c r="F19" s="178" t="s">
        <v>205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8">
        <v>0</v>
      </c>
      <c r="Q19" s="76">
        <v>0</v>
      </c>
      <c r="R19" s="69">
        <v>1</v>
      </c>
      <c r="S19"/>
      <c r="T19"/>
    </row>
    <row r="20" spans="1:20" ht="15" customHeight="1" x14ac:dyDescent="0.15">
      <c r="A20" s="116" t="s">
        <v>168</v>
      </c>
      <c r="B20" s="87">
        <v>0.23481947394367692</v>
      </c>
      <c r="C20" s="180" t="s">
        <v>209</v>
      </c>
      <c r="D20" s="80" t="s">
        <v>160</v>
      </c>
      <c r="F20" s="178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8">
        <v>0</v>
      </c>
      <c r="Q20" s="76">
        <v>0</v>
      </c>
      <c r="R20" s="69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78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8">
        <v>0</v>
      </c>
      <c r="Q21" s="76">
        <v>0</v>
      </c>
      <c r="R21" s="69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78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1</v>
      </c>
      <c r="N22" s="76">
        <v>0</v>
      </c>
      <c r="O22" s="76">
        <v>0</v>
      </c>
      <c r="P22" s="68">
        <v>0</v>
      </c>
      <c r="Q22" s="76">
        <v>0</v>
      </c>
      <c r="R22" s="69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78" t="s">
        <v>209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1</v>
      </c>
      <c r="N23" s="76">
        <v>0</v>
      </c>
      <c r="O23" s="76">
        <v>0</v>
      </c>
      <c r="P23" s="68">
        <v>0</v>
      </c>
      <c r="Q23" s="76">
        <v>0</v>
      </c>
      <c r="R23" s="69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78" t="s">
        <v>210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1</v>
      </c>
      <c r="M24" s="76">
        <v>0</v>
      </c>
      <c r="N24" s="76">
        <v>1</v>
      </c>
      <c r="O24" s="76">
        <v>0</v>
      </c>
      <c r="P24" s="68">
        <v>1</v>
      </c>
      <c r="Q24" s="76">
        <v>0</v>
      </c>
      <c r="R24" s="69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78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1</v>
      </c>
      <c r="M25" s="76">
        <v>0</v>
      </c>
      <c r="N25" s="76">
        <v>1</v>
      </c>
      <c r="O25" s="76">
        <v>0</v>
      </c>
      <c r="P25" s="68">
        <v>1</v>
      </c>
      <c r="Q25" s="76">
        <v>0</v>
      </c>
      <c r="R25" s="69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78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1</v>
      </c>
      <c r="M26" s="76">
        <v>0</v>
      </c>
      <c r="N26" s="76">
        <v>0</v>
      </c>
      <c r="O26" s="76">
        <v>0</v>
      </c>
      <c r="P26" s="68">
        <v>0</v>
      </c>
      <c r="Q26" s="76">
        <v>0</v>
      </c>
      <c r="R26" s="69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6"/>
      <c r="C28" s="75"/>
      <c r="D28" s="80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7"/>
      <c r="B31" s="127" t="s">
        <v>17</v>
      </c>
      <c r="C31" s="127" t="s">
        <v>1</v>
      </c>
      <c r="D31" s="127" t="s">
        <v>161</v>
      </c>
      <c r="E31" s="128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1" t="s">
        <v>208</v>
      </c>
      <c r="B32" s="88">
        <v>7.8049116100000004</v>
      </c>
      <c r="C32" s="88">
        <v>46.423000000000002</v>
      </c>
      <c r="D32" s="88">
        <v>362.32741167103006</v>
      </c>
      <c r="E32" s="118">
        <v>0.76518052605632314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1" t="s">
        <v>209</v>
      </c>
      <c r="B33" s="88">
        <v>8.8953159999999993</v>
      </c>
      <c r="C33" s="88">
        <v>12.5</v>
      </c>
      <c r="D33" s="88">
        <v>111.19144999999999</v>
      </c>
      <c r="E33" s="118">
        <v>0.23481947394367692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9"/>
      <c r="B34" s="88"/>
      <c r="C34" s="88"/>
      <c r="D34" s="88"/>
      <c r="E34" s="11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0"/>
      <c r="B35" s="88"/>
      <c r="C35" s="88"/>
      <c r="D35" s="88"/>
      <c r="E35" s="11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1"/>
      <c r="B36" s="88"/>
      <c r="C36" s="88"/>
      <c r="D36" s="88"/>
      <c r="E36" s="11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1"/>
      <c r="B37" s="88"/>
      <c r="C37" s="88"/>
      <c r="D37" s="88"/>
      <c r="E37" s="11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2"/>
      <c r="B38" s="88"/>
      <c r="C38" s="88"/>
      <c r="D38" s="88"/>
      <c r="E38" s="11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2"/>
      <c r="B39" s="88"/>
      <c r="C39" s="88"/>
      <c r="D39" s="88"/>
      <c r="E39" s="11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2"/>
      <c r="B40" s="88"/>
      <c r="C40" s="88"/>
      <c r="D40" s="88"/>
      <c r="E40" s="11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2"/>
      <c r="B41" s="88"/>
      <c r="C41" s="88"/>
      <c r="D41" s="89"/>
      <c r="E41" s="12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4"/>
      <c r="B42" s="125"/>
      <c r="C42" s="125" t="s">
        <v>162</v>
      </c>
      <c r="D42" s="125">
        <f>SUM(D32:D41)</f>
        <v>473.51886167103004</v>
      </c>
      <c r="E42" s="12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2" customWidth="1"/>
    <col min="3" max="5" width="7.83203125" style="102" customWidth="1"/>
    <col min="6" max="8" width="8.83203125" style="6"/>
    <col min="9" max="9" width="11.83203125" style="6" customWidth="1"/>
    <col min="10" max="11" width="10.1640625" style="6" customWidth="1"/>
    <col min="12" max="12" width="7.5" style="6" customWidth="1"/>
    <col min="13" max="13" width="11.33203125" style="6" customWidth="1"/>
    <col min="14" max="14" width="13.5" style="6" customWidth="1"/>
    <col min="15" max="15" width="7" style="6" customWidth="1"/>
    <col min="16" max="16" width="13" style="6" customWidth="1"/>
    <col min="17" max="17" width="10.33203125" style="6" customWidth="1"/>
    <col min="18" max="18" width="13.6640625" style="6" customWidth="1"/>
    <col min="19" max="19" width="9.5" style="6" customWidth="1"/>
    <col min="20" max="20" width="14.1640625" style="6" customWidth="1"/>
    <col min="21" max="21" width="15" style="6" customWidth="1"/>
    <col min="22" max="22" width="8.6640625" style="6" customWidth="1"/>
    <col min="23" max="23" width="7.33203125" style="6" customWidth="1"/>
    <col min="24" max="24" width="9.5" style="6" customWidth="1"/>
    <col min="25" max="25" width="13.1640625" style="6" customWidth="1"/>
    <col min="26" max="26" width="12.33203125" style="6" customWidth="1"/>
    <col min="27" max="27" width="7.6640625" style="6" customWidth="1"/>
    <col min="28" max="28" width="21.6640625" style="6" customWidth="1"/>
    <col min="29" max="29" width="6.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3" t="s">
        <v>192</v>
      </c>
      <c r="J1" s="183" t="s">
        <v>193</v>
      </c>
      <c r="K1" s="183" t="s">
        <v>194</v>
      </c>
      <c r="L1" s="183" t="s">
        <v>195</v>
      </c>
      <c r="M1" s="183" t="s">
        <v>196</v>
      </c>
      <c r="N1" s="183" t="s">
        <v>197</v>
      </c>
      <c r="O1" s="183" t="s">
        <v>198</v>
      </c>
      <c r="P1" s="183" t="s">
        <v>199</v>
      </c>
      <c r="Q1" s="183" t="s">
        <v>200</v>
      </c>
      <c r="R1" s="183" t="s">
        <v>201</v>
      </c>
      <c r="S1" s="183" t="s">
        <v>202</v>
      </c>
      <c r="T1" s="183" t="s">
        <v>203</v>
      </c>
      <c r="U1" s="183" t="s">
        <v>204</v>
      </c>
      <c r="V1" s="183" t="s">
        <v>205</v>
      </c>
      <c r="W1" s="183" t="s">
        <v>206</v>
      </c>
      <c r="X1" s="183" t="s">
        <v>207</v>
      </c>
      <c r="Y1" s="183" t="s">
        <v>208</v>
      </c>
      <c r="Z1" s="183" t="s">
        <v>209</v>
      </c>
      <c r="AA1" s="183" t="s">
        <v>210</v>
      </c>
      <c r="AB1" s="183" t="s">
        <v>211</v>
      </c>
      <c r="AC1" s="183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2" t="s">
        <v>192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2" t="s">
        <v>193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2" t="s">
        <v>194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2" t="s">
        <v>195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2" t="s">
        <v>196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2" t="s">
        <v>197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2" t="s">
        <v>198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2" t="s">
        <v>199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2" t="s">
        <v>200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2" t="s">
        <v>201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2" t="s">
        <v>202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2" t="s">
        <v>203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2" t="s">
        <v>204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2" t="s">
        <v>205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2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2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2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2" t="s">
        <v>209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2" t="s">
        <v>210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2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2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2023-09-12T19:38:01Z</dcterms:modified>
</cp:coreProperties>
</file>