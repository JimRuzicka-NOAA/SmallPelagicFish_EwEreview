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7F88B5DA-1E97-8948-A9F5-2F0E649B5F6A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Main!$C$2:$N$42</definedName>
    <definedName name="matDetritus">Detritus!$C$2:$E$42</definedName>
    <definedName name="matDiet">Diets!$B$2:$AM$42</definedName>
    <definedName name="matDiscards">Discards!$C$2:$C$41</definedName>
    <definedName name="matFishery">Fishing!$C$2:$C$41</definedName>
    <definedName name="matFishing">Fishing!#REF!</definedName>
    <definedName name="matMort">Mortalities!$A$1:$AR$41</definedName>
    <definedName name="matOut">MainOutputs!$A$2:$I$42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<sst xmlns="http://schemas.openxmlformats.org/spreadsheetml/2006/main" count="1145" uniqueCount="238">
  <si>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</si>
  <si>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</si>
  <si>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</si>
  <si>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</si>
  <si>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</si>
  <si>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</si>
  <si>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</si>
  <si>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</si>
  <si>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</si>
  <si>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</si>
  <si>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</si>
  <si>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</si>
  <si>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</si>
  <si>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</si>
  <si>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</si>
  <si>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</si>
  <si>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</si>
  <si>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</si>
  <si>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</si>
  <si>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</si>
  <si>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</si>
  <si>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</si>
  <si>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</si>
  <si>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</si>
  <si>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</si>
  <si>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</si>
  <si>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</si>
  <si>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</si>
  <si>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</si>
  <si>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</si>
  <si>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</si>
  <si>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</si>
  <si>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</si>
  <si>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</si>
  <si>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</si>
  <si>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</si>
  <si>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</si>
  <si>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</si>
  <si>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</si>
  <si>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</si>
  <si>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</si>
  <si>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</si>
  <si>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</si>
  <si>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</si>
  <si>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</si>
  <si>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</si>
  <si>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</si>
  <si>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</si>
  <si>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</si>
  <si>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</si>
  <si>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</si>
  <si>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</si>
  <si>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</si>
  <si>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</si>
  <si>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</si>
  <si>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</si>
  <si>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</si>
  <si>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</si>
  <si>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</si>
  <si>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</si>
  <si>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</si>
  <si>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</si>
  <si>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</si>
  <si>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</si>
  <si>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</si>
  <si>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</si>
  <si>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</si>
  <si>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</si>
  <si>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</si>
  <si>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</si>
  <si>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</si>
  <si>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</si>
  <si>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</si>
  <si>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</si>
  <si>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</si>
  <si>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</si>
  <si>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</si>
  <si>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</si>
  <si>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</si>
  <si>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</si>
  <si>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</si>
  <si>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</si>
  <si>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</si>
  <si>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</si>
  <si>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</si>
  <si>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</si>
  <si>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</si>
  <si>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</si>
  <si>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</si>
  <si>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</si>
  <si>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</si>
  <si>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</si>
  <si>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</si>
  <si>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</si>
  <si>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</si>
  <si>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</si>
  <si>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</si>
  <si>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</si>
  <si>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</si>
  <si>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</si>
  <si>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</si>
  <si>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</si>
  <si>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</si>
  <si>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</si>
  <si>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</si>
  <si>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</si>
  <si>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</si>
  <si>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</si>
  <si>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</si>
  <si>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</si>
  <si>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</si>
  <si>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</si>
  <si>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</si>
  <si>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</si>
  <si>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</si>
  <si>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</si>
  <si>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</si>
  <si>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</si>
  <si>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</si>
  <si>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</si>
  <si>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</si>
  <si>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</si>
  <si>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</si>
  <si>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</si>
  <si>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</si>
  <si>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</si>
  <si>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</si>
  <si>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</si>
  <si>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</si>
  <si>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</si>
  <si>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</si>
  <si>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</si>
  <si>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</si>
  <si>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</si>
  <si>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</si>
  <si>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</si>
  <si>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</si>
  <si>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</si>
  <si>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</si>
  <si>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</si>
  <si>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</si>
  <si>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</si>
  <si>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</si>
  <si>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</si>
  <si>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</si>
  <si>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</si>
  <si>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</si>
  <si>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</si>
  <si>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</si>
  <si>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</si>
  <si>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</si>
  <si>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</si>
  <si>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</si>
  <si>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</si>
  <si>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</si>
  <si>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</si>
  <si>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</si>
  <si>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</si>
  <si>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</si>
  <si>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</si>
  <si>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</si>
  <si>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</si>
  <si>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</si>
  <si>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</si>
  <si>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</si>
  <si>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</si>
  <si>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cephalopods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</si>
  <si>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</si>
  <si>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</si>
  <si>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</si>
  <si>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</si>
  <si>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</si>
  <si>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</si>
  <si>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</si>
  <si>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</si>
  <si>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</si>
  <si>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</si>
  <si>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</si>
  <si>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</si>
  <si>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</si>
  <si>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</si>
  <si>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</si>
  <si>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</si>
  <si>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</si>
  <si>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</si>
  <si>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</si>
  <si>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Sri Lanka</t>
  </si>
  <si>
    <t>sri Lanka</t>
  </si>
  <si>
    <t>BOX(79.6382601479805 5.71544322411856,82.1067084531895 8.62372413643747)</t>
  </si>
  <si>
    <t>continental shelf</t>
  </si>
  <si>
    <t>WetWeight</t>
  </si>
  <si>
    <t>No description</t>
  </si>
  <si>
    <t>Haputhantri S.S.K.,Villanueva M.C.S.,Moreau J.(2008). Trophic interactions in the coastal ecosystem of Sri Lanka: An ECOPATH preliminary approach Estuarine, Coastal and Shelf Science. pp 304-318</t>
  </si>
  <si>
    <t>Large tunas</t>
  </si>
  <si>
    <t>medium tunas</t>
  </si>
  <si>
    <t>small barracudas</t>
  </si>
  <si>
    <t>small tunas</t>
  </si>
  <si>
    <t>large barracudas</t>
  </si>
  <si>
    <t>wolf herrings</t>
  </si>
  <si>
    <t>needlefish</t>
  </si>
  <si>
    <t>other carangids</t>
  </si>
  <si>
    <t>pomfrets, torps</t>
  </si>
  <si>
    <t>false trevallie</t>
  </si>
  <si>
    <t>yellowstripe</t>
  </si>
  <si>
    <t>dolphinfishes</t>
  </si>
  <si>
    <t>sea cat fish</t>
  </si>
  <si>
    <t>ribbonfish</t>
  </si>
  <si>
    <t>ponyfishes</t>
  </si>
  <si>
    <t>soles</t>
  </si>
  <si>
    <t>indian mackerel</t>
  </si>
  <si>
    <t>terapontids</t>
  </si>
  <si>
    <t>anchovies</t>
  </si>
  <si>
    <t>drums</t>
  </si>
  <si>
    <t>other clupeids</t>
  </si>
  <si>
    <t>sardines</t>
  </si>
  <si>
    <t>thrissa spp</t>
  </si>
  <si>
    <t>herrings</t>
  </si>
  <si>
    <t>crabs</t>
  </si>
  <si>
    <t>flying fishes</t>
  </si>
  <si>
    <t xml:space="preserve">milk fish </t>
  </si>
  <si>
    <t>shrimps</t>
  </si>
  <si>
    <t>bigeye scad</t>
  </si>
  <si>
    <t>halfbeaks</t>
  </si>
  <si>
    <t>mugilids</t>
  </si>
  <si>
    <t>annelids</t>
  </si>
  <si>
    <t>zoobenthos</t>
  </si>
  <si>
    <t>zooplankton</t>
  </si>
  <si>
    <t>molluscs</t>
  </si>
  <si>
    <t>phytoplankton</t>
  </si>
  <si>
    <t>phytobenthos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</si>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</sst>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7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FAD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FFF4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FFB3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FC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F7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FFA3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93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9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8" borderId="0" xfId="0" applyFill="1"/>
    <xf numFmtId="0" fontId="0" fillId="39" borderId="0" xfId="0" applyFill="1"/>
    <xf numFmtId="0" fontId="0" fillId="0" borderId="0" xfId="0" applyFont="1" applyFill="1" applyAlignment="1">
      <alignment horizontal="center"/>
    </xf>
    <xf numFmtId="0" fontId="0" fillId="40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4" borderId="0" xfId="0" applyFill="1"/>
    <xf numFmtId="0" fontId="0" fillId="45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7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5" t="s">
        <v>172</v>
      </c>
      <c r="C53" s="108">
        <v>441</v>
      </c>
      <c r="D53" s="108"/>
    </row>
    <row r="54" spans="2:4" x14ac:dyDescent="0.15">
      <c r="B54" s="175" t="s">
        <v>173</v>
      </c>
      <c r="C54" s="175" t="s">
        <v>186</v>
      </c>
      <c r="D54" s="108"/>
    </row>
    <row r="55" spans="2:4" x14ac:dyDescent="0.15">
      <c r="B55" s="175" t="s">
        <v>174</v>
      </c>
      <c r="C55" s="175" t="s">
        <v>187</v>
      </c>
      <c r="D55" s="108"/>
    </row>
    <row r="56" spans="2:4" x14ac:dyDescent="0.15">
      <c r="B56" s="175" t="s">
        <v>175</v>
      </c>
      <c r="C56" s="108">
        <v>14000</v>
      </c>
      <c r="D56" s="108"/>
    </row>
    <row r="57" spans="2:4" x14ac:dyDescent="0.15">
      <c r="B57" s="175" t="s">
        <v>176</v>
      </c>
      <c r="C57" s="175" t="s">
        <v>188</v>
      </c>
      <c r="D57" s="108"/>
    </row>
    <row r="58" spans="2:4" x14ac:dyDescent="0.15">
      <c r="B58" s="175" t="s">
        <v>177</v>
      </c>
      <c r="C58" s="175" t="s">
        <v>189</v>
      </c>
      <c r="D58" s="108"/>
    </row>
    <row r="59" spans="2:4" x14ac:dyDescent="0.15">
      <c r="B59" s="175" t="s">
        <v>178</v>
      </c>
      <c r="C59" s="175" t="s">
        <v>190</v>
      </c>
      <c r="D59" s="108"/>
    </row>
    <row r="60" spans="2:4" x14ac:dyDescent="0.15">
      <c r="B60" s="175" t="s">
        <v>179</v>
      </c>
      <c r="C60" s="175" t="s">
        <v>191</v>
      </c>
      <c r="D60" s="108"/>
    </row>
    <row r="61" spans="2:4" x14ac:dyDescent="0.15">
      <c r="B61" s="175" t="s">
        <v>180</v>
      </c>
      <c r="C61" s="108">
        <v>39</v>
      </c>
      <c r="D61" s="108"/>
    </row>
    <row r="62" spans="2:4" x14ac:dyDescent="0.15">
      <c r="B62" s="175" t="s">
        <v>181</v>
      </c>
      <c r="C62" s="108">
        <v>1</v>
      </c>
      <c r="D62" s="108"/>
    </row>
    <row r="63" spans="2:4" x14ac:dyDescent="0.15">
      <c r="B63" s="175" t="s">
        <v>182</v>
      </c>
      <c r="C63" s="108">
        <v>2000</v>
      </c>
      <c r="D63" s="108"/>
    </row>
    <row r="64" spans="2:4" x14ac:dyDescent="0.15">
      <c r="B64" s="175" t="s">
        <v>183</v>
      </c>
      <c r="C64" s="108">
        <v>1</v>
      </c>
      <c r="D64" s="108"/>
    </row>
    <row r="65" spans="2:4" x14ac:dyDescent="0.15">
      <c r="B65" s="175" t="s">
        <v>184</v>
      </c>
      <c r="C65" s="175" t="s">
        <v>192</v>
      </c>
      <c r="D65" s="108"/>
    </row>
    <row r="66" spans="2:4" x14ac:dyDescent="0.15">
      <c r="B66" s="175" t="s">
        <v>185</v>
      </c>
      <c r="D66" s="108"/>
    </row>
    <row r="67" spans="2:4" x14ac:dyDescent="0.15">
      <c r="B67" s="108"/>
      <c r="C67" s="108"/>
      <c r="D67" s="108"/>
    </row>
    <row r="68" spans="2:4" x14ac:dyDescent="0.15">
      <c r="B68" s="108"/>
      <c r="C68" s="108"/>
      <c r="D68" s="108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8" sqref="P8"/>
    </sheetView>
  </sheetViews>
  <sheetFormatPr baseColWidth="10" defaultColWidth="8.83203125" defaultRowHeight="15" customHeight="1" x14ac:dyDescent="0.15"/>
  <cols>
    <col min="1" max="1" width="22.5" style="81" customWidth="1"/>
    <col min="2" max="3" width="3.33203125" style="81" customWidth="1"/>
    <col min="4" max="4" width="14.33203125" style="81" customWidth="1"/>
    <col min="5" max="5" width="21.6640625" style="81" bestFit="1" customWidth="1"/>
    <col min="6" max="6" width="2.33203125" style="81" bestFit="1" customWidth="1"/>
    <col min="7" max="7" width="6.83203125" style="81" bestFit="1" customWidth="1"/>
    <col min="8" max="8" width="4.83203125" style="81" customWidth="1"/>
    <col min="9" max="9" width="5.83203125" style="81" customWidth="1"/>
    <col min="10" max="10" width="11.83203125" style="81" customWidth="1"/>
    <col min="11" max="11" width="12.83203125" style="81" customWidth="1"/>
    <col min="12" max="12" width="2.33203125" style="81" customWidth="1"/>
    <col min="13" max="13" width="3.83203125" style="81" customWidth="1"/>
    <col min="14" max="14" width="2.33203125" style="81" customWidth="1"/>
    <col min="16" max="25" width="8.83203125" style="8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1"/>
  </cols>
  <sheetData>
    <row r="1" spans="1:46" s="98" customFormat="1" ht="15" customHeight="1" x14ac:dyDescent="0.15">
      <c r="A1" s="77" t="s">
        <v>18</v>
      </c>
      <c r="C1" s="78" t="s">
        <v>8</v>
      </c>
      <c r="D1" s="77" t="s">
        <v>23</v>
      </c>
      <c r="E1" s="77" t="s">
        <v>0</v>
      </c>
      <c r="F1" s="77" t="s">
        <v>7</v>
      </c>
      <c r="G1" s="79" t="s">
        <v>13</v>
      </c>
      <c r="H1" s="77" t="s">
        <v>1</v>
      </c>
      <c r="I1" s="77" t="s">
        <v>2</v>
      </c>
      <c r="J1" s="77" t="s">
        <v>14</v>
      </c>
      <c r="K1" s="77" t="s">
        <v>3</v>
      </c>
      <c r="L1" s="77" t="s">
        <v>4</v>
      </c>
      <c r="M1" s="77" t="s">
        <v>5</v>
      </c>
      <c r="N1" s="7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8">
        <v>1</v>
      </c>
      <c r="D2"/>
      <c r="E2" s="176" t="s">
        <v>193</v>
      </c>
      <c r="F2" s="81">
        <v>0</v>
      </c>
      <c r="G2" s="81">
        <v>0.17299999999999999</v>
      </c>
      <c r="H2" s="81">
        <v>1.49</v>
      </c>
      <c r="I2" s="6">
        <v>7.77</v>
      </c>
      <c r="J2" s="6">
        <v>0.66598325999999997</v>
      </c>
      <c r="K2" s="6">
        <v>0.191763192</v>
      </c>
      <c r="L2" s="6">
        <v>0</v>
      </c>
      <c r="M2" s="81">
        <v>0.2</v>
      </c>
      <c r="N2" s="81">
        <v>0</v>
      </c>
    </row>
    <row r="3" spans="1:46" ht="15" customHeight="1" x14ac:dyDescent="0.15">
      <c r="A3" s="1" t="s">
        <v>9</v>
      </c>
      <c r="B3" s="4">
        <v>38</v>
      </c>
      <c r="C3" s="81">
        <v>2</v>
      </c>
      <c r="D3"/>
      <c r="E3" s="176" t="s">
        <v>194</v>
      </c>
      <c r="F3" s="81">
        <v>0</v>
      </c>
      <c r="G3" s="81">
        <v>8.0000000000000002E-3</v>
      </c>
      <c r="H3" s="81">
        <v>2.46</v>
      </c>
      <c r="I3" s="81">
        <v>12.29</v>
      </c>
      <c r="J3" s="81">
        <v>0.76799790000000001</v>
      </c>
      <c r="K3" s="81">
        <v>0.20016273900000001</v>
      </c>
      <c r="L3" s="81">
        <v>0</v>
      </c>
      <c r="M3" s="81">
        <v>0.2</v>
      </c>
      <c r="N3" s="81">
        <v>0</v>
      </c>
    </row>
    <row r="4" spans="1:46" ht="15" customHeight="1" x14ac:dyDescent="0.15">
      <c r="A4" s="1" t="s">
        <v>10</v>
      </c>
      <c r="B4" s="4">
        <v>2</v>
      </c>
      <c r="C4" s="81">
        <v>3</v>
      </c>
      <c r="D4"/>
      <c r="E4" s="176" t="s">
        <v>195</v>
      </c>
      <c r="F4" s="81">
        <v>0</v>
      </c>
      <c r="G4" s="81">
        <v>1.6E-2</v>
      </c>
      <c r="H4" s="81">
        <v>3.37</v>
      </c>
      <c r="I4" s="81">
        <v>13.48</v>
      </c>
      <c r="J4" s="81">
        <v>0.82927256800000004</v>
      </c>
      <c r="K4" s="81">
        <v>0.25</v>
      </c>
      <c r="L4" s="81">
        <v>0</v>
      </c>
      <c r="M4" s="81">
        <v>0.2</v>
      </c>
      <c r="N4" s="8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1">
        <v>4</v>
      </c>
      <c r="D5"/>
      <c r="E5" s="176" t="s">
        <v>196</v>
      </c>
      <c r="F5" s="81">
        <v>0</v>
      </c>
      <c r="G5" s="81">
        <v>6.0000000000000001E-3</v>
      </c>
      <c r="H5" s="81">
        <v>2.84</v>
      </c>
      <c r="I5" s="81">
        <v>18.850000000000001</v>
      </c>
      <c r="J5" s="81">
        <v>0.93647749999999996</v>
      </c>
      <c r="K5" s="81">
        <v>0.15066312300000001</v>
      </c>
      <c r="L5" s="81">
        <v>0</v>
      </c>
      <c r="M5" s="81">
        <v>0.2</v>
      </c>
      <c r="N5" s="81">
        <v>0</v>
      </c>
      <c r="P5" s="71"/>
      <c r="Q5" s="71"/>
      <c r="R5" s="71"/>
    </row>
    <row r="6" spans="1:46" ht="15" customHeight="1" thickBot="1" x14ac:dyDescent="0.2">
      <c r="B6" s="1"/>
      <c r="C6" s="81">
        <v>5</v>
      </c>
      <c r="D6"/>
      <c r="E6" s="176" t="s">
        <v>197</v>
      </c>
      <c r="F6" s="81">
        <v>0</v>
      </c>
      <c r="G6" s="81">
        <v>0.42799999999999999</v>
      </c>
      <c r="H6" s="81">
        <v>0.5</v>
      </c>
      <c r="I6" s="81">
        <v>5.49</v>
      </c>
      <c r="J6" s="81">
        <v>0.71207416099999998</v>
      </c>
      <c r="K6" s="81">
        <v>9.1074680000000005E-2</v>
      </c>
      <c r="L6" s="81">
        <v>0</v>
      </c>
      <c r="M6" s="81">
        <v>0.2</v>
      </c>
      <c r="N6" s="81">
        <v>0</v>
      </c>
      <c r="P6" s="71"/>
      <c r="Q6" s="71"/>
      <c r="R6" s="71"/>
      <c r="W6" s="36" t="s">
        <v>31</v>
      </c>
      <c r="X6" s="52">
        <f>MAX(MainOutputs!G:G)</f>
        <v>0.97479945421218872</v>
      </c>
    </row>
    <row r="7" spans="1:46" ht="15" customHeight="1" x14ac:dyDescent="0.15">
      <c r="A7" s="2" t="s">
        <v>27</v>
      </c>
      <c r="B7" s="81">
        <f ca="1">COUNTIF(OFFSET(cornerDiets,1,1,NumLiving+NumDead+1,NumLiving+NumDead),"&gt;0")+NumLiving+NumDead+1</f>
        <v>378</v>
      </c>
      <c r="C7" s="81">
        <v>6</v>
      </c>
      <c r="D7"/>
      <c r="E7" s="176" t="s">
        <v>198</v>
      </c>
      <c r="F7" s="81">
        <v>0</v>
      </c>
      <c r="G7" s="81">
        <v>0.314</v>
      </c>
      <c r="H7" s="81">
        <v>0.35</v>
      </c>
      <c r="I7" s="81">
        <v>6.84</v>
      </c>
      <c r="J7" s="81">
        <v>0.94944669999999998</v>
      </c>
      <c r="K7" s="81">
        <v>5.1169590000000001E-2</v>
      </c>
      <c r="L7" s="81">
        <v>0</v>
      </c>
      <c r="M7" s="81">
        <v>0.2</v>
      </c>
      <c r="N7" s="81">
        <v>0</v>
      </c>
      <c r="P7" s="71"/>
      <c r="Q7" s="71"/>
      <c r="R7" s="71"/>
    </row>
    <row r="8" spans="1:46" ht="15" customHeight="1" x14ac:dyDescent="0.15">
      <c r="A8" s="2" t="s">
        <v>28</v>
      </c>
      <c r="B8" s="81">
        <f ca="1">COUNTIF(OFFSET(cornerFishing,1,2,NumLiving+NumDead,NumGears),"&gt;0")+NumDead*COUNTIF(OFFSET(cornerDiscards,1,2,NumLiving+NumDead,NumGears),"&gt;0")+NumLiving+NumDead+1</f>
        <v>73</v>
      </c>
      <c r="C8" s="81">
        <v>7</v>
      </c>
      <c r="D8"/>
      <c r="E8" s="176" t="s">
        <v>199</v>
      </c>
      <c r="F8" s="81">
        <v>0</v>
      </c>
      <c r="G8" s="81">
        <v>8.5000000000000006E-2</v>
      </c>
      <c r="H8" s="81">
        <v>0.5</v>
      </c>
      <c r="I8" s="81">
        <v>8.2200000000000006</v>
      </c>
      <c r="J8" s="81">
        <v>0.48370766599999998</v>
      </c>
      <c r="K8" s="81">
        <v>6.0827247799999998E-2</v>
      </c>
      <c r="L8" s="81">
        <v>0</v>
      </c>
      <c r="M8" s="81">
        <v>0.2</v>
      </c>
      <c r="N8" s="81">
        <v>0</v>
      </c>
      <c r="P8" s="71"/>
      <c r="Q8" s="71"/>
      <c r="R8" s="71"/>
    </row>
    <row r="9" spans="1:46" ht="15" customHeight="1" x14ac:dyDescent="0.15">
      <c r="B9" s="1"/>
      <c r="C9" s="81">
        <v>8</v>
      </c>
      <c r="D9"/>
      <c r="E9" s="176" t="s">
        <v>200</v>
      </c>
      <c r="F9" s="81">
        <v>0</v>
      </c>
      <c r="G9" s="81">
        <v>0.879</v>
      </c>
      <c r="H9" s="81">
        <v>2</v>
      </c>
      <c r="I9" s="81">
        <v>17.43</v>
      </c>
      <c r="J9" s="81">
        <v>0.78395950000000003</v>
      </c>
      <c r="K9" s="81">
        <v>0.11474469299999999</v>
      </c>
      <c r="L9" s="81">
        <v>0</v>
      </c>
      <c r="M9" s="81">
        <v>0.2</v>
      </c>
      <c r="N9" s="81">
        <v>0</v>
      </c>
      <c r="P9" s="71"/>
      <c r="Q9" s="71"/>
      <c r="R9" s="71"/>
    </row>
    <row r="10" spans="1:46" ht="15" customHeight="1" x14ac:dyDescent="0.15">
      <c r="B10" s="1"/>
      <c r="C10" s="81">
        <v>9</v>
      </c>
      <c r="D10"/>
      <c r="E10" s="176" t="s">
        <v>201</v>
      </c>
      <c r="F10" s="81">
        <v>0</v>
      </c>
      <c r="G10" s="81">
        <v>5.0999999999999997E-2</v>
      </c>
      <c r="H10" s="81">
        <v>2.5</v>
      </c>
      <c r="I10" s="81">
        <v>15.7</v>
      </c>
      <c r="J10" s="81">
        <v>0.90230969999999999</v>
      </c>
      <c r="K10" s="81">
        <v>0.159235671</v>
      </c>
      <c r="L10" s="81">
        <v>0</v>
      </c>
      <c r="M10" s="81">
        <v>0.2</v>
      </c>
      <c r="N10" s="81">
        <v>0</v>
      </c>
    </row>
    <row r="11" spans="1:46" ht="15" customHeight="1" x14ac:dyDescent="0.15">
      <c r="C11" s="81">
        <v>10</v>
      </c>
      <c r="D11"/>
      <c r="E11" s="176" t="s">
        <v>202</v>
      </c>
      <c r="F11" s="81">
        <v>0</v>
      </c>
      <c r="G11" s="81">
        <v>5.3999999999999999E-2</v>
      </c>
      <c r="H11" s="81">
        <v>1.61</v>
      </c>
      <c r="I11" s="81">
        <v>15.45</v>
      </c>
      <c r="J11" s="81">
        <v>0.87761549999999999</v>
      </c>
      <c r="K11" s="81">
        <v>0.104207121</v>
      </c>
      <c r="L11" s="81">
        <v>0</v>
      </c>
      <c r="M11" s="81">
        <v>0.2</v>
      </c>
      <c r="N11" s="81">
        <v>0</v>
      </c>
    </row>
    <row r="12" spans="1:46" ht="15" customHeight="1" x14ac:dyDescent="0.15">
      <c r="C12" s="81">
        <v>11</v>
      </c>
      <c r="D12"/>
      <c r="E12" s="176" t="s">
        <v>203</v>
      </c>
      <c r="F12" s="81">
        <v>0</v>
      </c>
      <c r="G12" s="81">
        <v>8.0000000000000002E-3</v>
      </c>
      <c r="H12" s="81">
        <v>4.26</v>
      </c>
      <c r="I12" s="81">
        <v>23.1</v>
      </c>
      <c r="J12" s="81">
        <v>0.96737830000000002</v>
      </c>
      <c r="K12" s="81">
        <v>0.18441560000000001</v>
      </c>
      <c r="L12" s="81">
        <v>0</v>
      </c>
      <c r="M12" s="81">
        <v>0.2</v>
      </c>
      <c r="N12" s="81">
        <v>0</v>
      </c>
    </row>
    <row r="13" spans="1:46" ht="15" customHeight="1" x14ac:dyDescent="0.15">
      <c r="C13" s="81">
        <v>12</v>
      </c>
      <c r="D13"/>
      <c r="E13" s="176" t="s">
        <v>204</v>
      </c>
      <c r="F13" s="81">
        <v>0</v>
      </c>
      <c r="G13" s="81">
        <v>0.18</v>
      </c>
      <c r="H13" s="81">
        <v>0.25</v>
      </c>
      <c r="I13" s="81">
        <v>3.67</v>
      </c>
      <c r="J13" s="81">
        <v>0.68639709999999998</v>
      </c>
      <c r="K13" s="81">
        <v>6.8119890000000002E-2</v>
      </c>
      <c r="L13" s="81">
        <v>0</v>
      </c>
      <c r="M13" s="81">
        <v>0.2</v>
      </c>
      <c r="N13" s="81">
        <v>0</v>
      </c>
    </row>
    <row r="14" spans="1:46" ht="15" customHeight="1" x14ac:dyDescent="0.15">
      <c r="C14" s="81">
        <v>13</v>
      </c>
      <c r="D14"/>
      <c r="E14" s="176" t="s">
        <v>166</v>
      </c>
      <c r="F14" s="81">
        <v>0</v>
      </c>
      <c r="G14" s="81">
        <v>2.75</v>
      </c>
      <c r="H14" s="81">
        <v>3.1</v>
      </c>
      <c r="I14" s="81">
        <v>12</v>
      </c>
      <c r="J14" s="81">
        <v>0.94388264399999999</v>
      </c>
      <c r="K14" s="81">
        <v>0.258333325</v>
      </c>
      <c r="L14" s="81">
        <v>0</v>
      </c>
      <c r="M14" s="81">
        <v>0.2</v>
      </c>
      <c r="N14" s="81">
        <v>0</v>
      </c>
    </row>
    <row r="15" spans="1:46" ht="15" customHeight="1" x14ac:dyDescent="0.15">
      <c r="C15" s="81">
        <v>14</v>
      </c>
      <c r="D15"/>
      <c r="E15" s="176" t="s">
        <v>205</v>
      </c>
      <c r="F15" s="81">
        <v>0</v>
      </c>
      <c r="G15" s="81">
        <v>9.8000000000000004E-2</v>
      </c>
      <c r="H15" s="81">
        <v>0.98</v>
      </c>
      <c r="I15" s="81">
        <v>6.53</v>
      </c>
      <c r="J15" s="81">
        <v>0.63900259999999998</v>
      </c>
      <c r="K15" s="81">
        <v>0.15007656799999999</v>
      </c>
      <c r="L15" s="81">
        <v>0</v>
      </c>
      <c r="M15" s="81">
        <v>0.2</v>
      </c>
      <c r="N15" s="81">
        <v>0</v>
      </c>
    </row>
    <row r="16" spans="1:46" ht="15" customHeight="1" x14ac:dyDescent="0.15">
      <c r="C16" s="81">
        <v>15</v>
      </c>
      <c r="D16"/>
      <c r="E16" s="176" t="s">
        <v>206</v>
      </c>
      <c r="F16" s="81">
        <v>0</v>
      </c>
      <c r="G16" s="81">
        <v>0.19600000000000001</v>
      </c>
      <c r="H16" s="81">
        <v>1.41</v>
      </c>
      <c r="I16" s="81">
        <v>6.18</v>
      </c>
      <c r="J16" s="81">
        <v>0.498067021</v>
      </c>
      <c r="K16" s="81">
        <v>0.22815534500000001</v>
      </c>
      <c r="L16" s="81">
        <v>0</v>
      </c>
      <c r="M16" s="81">
        <v>0.2</v>
      </c>
      <c r="N16" s="81">
        <v>0</v>
      </c>
    </row>
    <row r="17" spans="1:22" ht="15" customHeight="1" x14ac:dyDescent="0.15">
      <c r="C17" s="81">
        <v>16</v>
      </c>
      <c r="D17"/>
      <c r="E17" s="176" t="s">
        <v>207</v>
      </c>
      <c r="F17" s="81">
        <v>0</v>
      </c>
      <c r="G17" s="81">
        <v>2.3E-2</v>
      </c>
      <c r="H17" s="81">
        <v>4.4000000000000004</v>
      </c>
      <c r="I17" s="81">
        <v>24.12</v>
      </c>
      <c r="J17" s="81">
        <v>0.84068580000000004</v>
      </c>
      <c r="K17" s="81">
        <v>0.18242122199999999</v>
      </c>
      <c r="L17" s="81">
        <v>0</v>
      </c>
      <c r="M17" s="81">
        <v>0.2</v>
      </c>
      <c r="N17" s="81">
        <v>0</v>
      </c>
      <c r="V17" s="1" t="s">
        <v>30</v>
      </c>
    </row>
    <row r="18" spans="1:22" ht="15" customHeight="1" x14ac:dyDescent="0.15">
      <c r="C18" s="81">
        <v>17</v>
      </c>
      <c r="D18"/>
      <c r="E18" s="176" t="s">
        <v>208</v>
      </c>
      <c r="F18" s="81">
        <v>0</v>
      </c>
      <c r="G18" s="81">
        <v>0.122</v>
      </c>
      <c r="H18" s="81">
        <v>1.2</v>
      </c>
      <c r="I18" s="81">
        <v>11.05</v>
      </c>
      <c r="J18" s="81">
        <v>0.94142585999999995</v>
      </c>
      <c r="K18" s="81">
        <v>0.108597286</v>
      </c>
      <c r="L18" s="81">
        <v>0</v>
      </c>
      <c r="M18" s="81">
        <v>0.2</v>
      </c>
      <c r="N18" s="81">
        <v>0</v>
      </c>
      <c r="V18" s="1"/>
    </row>
    <row r="19" spans="1:22" ht="15" customHeight="1" x14ac:dyDescent="0.15">
      <c r="C19" s="81">
        <v>18</v>
      </c>
      <c r="D19"/>
      <c r="E19" s="176" t="s">
        <v>209</v>
      </c>
      <c r="F19" s="81">
        <v>0</v>
      </c>
      <c r="G19" s="81">
        <v>4.1000000000000002E-2</v>
      </c>
      <c r="H19" s="81">
        <v>3.99</v>
      </c>
      <c r="I19" s="81">
        <v>20.88</v>
      </c>
      <c r="J19" s="81">
        <v>0.97479945400000001</v>
      </c>
      <c r="K19" s="81">
        <v>0.19109197</v>
      </c>
      <c r="L19" s="81">
        <v>0</v>
      </c>
      <c r="M19" s="81">
        <v>0.2</v>
      </c>
      <c r="N19" s="81">
        <v>0</v>
      </c>
    </row>
    <row r="20" spans="1:22" ht="15" customHeight="1" thickBot="1" x14ac:dyDescent="0.2">
      <c r="C20" s="81">
        <v>19</v>
      </c>
      <c r="D20"/>
      <c r="E20" s="176" t="s">
        <v>210</v>
      </c>
      <c r="F20" s="81">
        <v>0</v>
      </c>
      <c r="G20" s="81">
        <v>0.04</v>
      </c>
      <c r="H20" s="81">
        <v>1.39</v>
      </c>
      <c r="I20" s="81">
        <v>12.58</v>
      </c>
      <c r="J20" s="81">
        <v>0.83958270000000002</v>
      </c>
      <c r="K20" s="81">
        <v>0.110492848</v>
      </c>
      <c r="L20" s="81">
        <v>0</v>
      </c>
      <c r="M20" s="81">
        <v>0.2</v>
      </c>
      <c r="N20" s="81">
        <v>0</v>
      </c>
    </row>
    <row r="21" spans="1:22" ht="15" customHeight="1" thickBot="1" x14ac:dyDescent="0.2">
      <c r="A21" s="47" t="s">
        <v>137</v>
      </c>
      <c r="B21" s="99"/>
      <c r="C21" s="81">
        <v>20</v>
      </c>
      <c r="D21"/>
      <c r="E21" s="176" t="s">
        <v>211</v>
      </c>
      <c r="F21" s="81">
        <v>0</v>
      </c>
      <c r="G21" s="81">
        <v>0.25</v>
      </c>
      <c r="H21" s="81">
        <v>7.57</v>
      </c>
      <c r="I21" s="81">
        <v>40.69</v>
      </c>
      <c r="J21" s="81">
        <v>0.88328300000000004</v>
      </c>
      <c r="K21" s="81">
        <v>0.18604080000000001</v>
      </c>
      <c r="L21" s="81">
        <v>0</v>
      </c>
      <c r="M21" s="81">
        <v>0.2</v>
      </c>
      <c r="N21" s="81">
        <v>0</v>
      </c>
    </row>
    <row r="22" spans="1:22" ht="15" customHeight="1" x14ac:dyDescent="0.15">
      <c r="A22" s="100" t="s">
        <v>58</v>
      </c>
      <c r="B22" s="101">
        <v>0</v>
      </c>
      <c r="C22" s="81">
        <v>21</v>
      </c>
      <c r="D22"/>
      <c r="E22" s="176" t="s">
        <v>212</v>
      </c>
      <c r="F22" s="81">
        <v>0</v>
      </c>
      <c r="G22" s="81">
        <v>0.12</v>
      </c>
      <c r="H22" s="81">
        <v>1</v>
      </c>
      <c r="I22" s="81">
        <v>8.48</v>
      </c>
      <c r="J22" s="81">
        <v>0.8454081</v>
      </c>
      <c r="K22" s="81">
        <v>0.117924534</v>
      </c>
      <c r="L22" s="81">
        <v>0</v>
      </c>
      <c r="M22" s="81">
        <v>0.2</v>
      </c>
      <c r="N22" s="81">
        <v>0</v>
      </c>
    </row>
    <row r="23" spans="1:22" ht="15" customHeight="1" x14ac:dyDescent="0.15">
      <c r="A23" s="100" t="s">
        <v>59</v>
      </c>
      <c r="B23" s="101">
        <v>1</v>
      </c>
      <c r="C23" s="81">
        <v>22</v>
      </c>
      <c r="D23"/>
      <c r="E23" s="176" t="s">
        <v>213</v>
      </c>
      <c r="F23" s="81">
        <v>0</v>
      </c>
      <c r="G23" s="81">
        <v>0.22600000000000001</v>
      </c>
      <c r="H23" s="81">
        <v>3.09</v>
      </c>
      <c r="I23" s="81">
        <v>22.31</v>
      </c>
      <c r="J23" s="81">
        <v>0.962838054</v>
      </c>
      <c r="K23" s="81">
        <v>0.13850291100000001</v>
      </c>
      <c r="L23" s="81">
        <v>0</v>
      </c>
      <c r="M23" s="81">
        <v>0.2</v>
      </c>
      <c r="N23" s="81">
        <v>0</v>
      </c>
    </row>
    <row r="24" spans="1:22" ht="15" customHeight="1" x14ac:dyDescent="0.15">
      <c r="A24" s="100" t="s">
        <v>60</v>
      </c>
      <c r="B24" s="101">
        <v>2</v>
      </c>
      <c r="C24" s="81">
        <v>23</v>
      </c>
      <c r="D24"/>
      <c r="E24" s="176" t="s">
        <v>214</v>
      </c>
      <c r="F24" s="81">
        <v>0</v>
      </c>
      <c r="G24" s="81">
        <v>0.218</v>
      </c>
      <c r="H24" s="81">
        <v>10.3</v>
      </c>
      <c r="I24" s="81">
        <v>34.020000000000003</v>
      </c>
      <c r="J24" s="81">
        <v>0.91284719999999997</v>
      </c>
      <c r="K24" s="81">
        <v>0.30276307499999999</v>
      </c>
      <c r="L24" s="81">
        <v>0</v>
      </c>
      <c r="M24" s="81">
        <v>0.2</v>
      </c>
      <c r="N24" s="81">
        <v>0</v>
      </c>
    </row>
    <row r="25" spans="1:22" ht="15" customHeight="1" thickBot="1" x14ac:dyDescent="0.2">
      <c r="A25" s="102" t="s">
        <v>44</v>
      </c>
      <c r="B25" s="103">
        <v>3</v>
      </c>
      <c r="C25" s="81">
        <v>24</v>
      </c>
      <c r="D25"/>
      <c r="E25" s="176" t="s">
        <v>215</v>
      </c>
      <c r="F25" s="81">
        <v>0</v>
      </c>
      <c r="G25" s="81">
        <v>0.61199999999999999</v>
      </c>
      <c r="H25" s="81">
        <v>2.4500000000000002</v>
      </c>
      <c r="I25" s="81">
        <v>18.559999999999999</v>
      </c>
      <c r="J25" s="81">
        <v>0.92588633300000001</v>
      </c>
      <c r="K25" s="81">
        <v>0.13200432100000001</v>
      </c>
      <c r="L25" s="81">
        <v>0</v>
      </c>
      <c r="M25" s="81">
        <v>0.2</v>
      </c>
      <c r="N25" s="81">
        <v>0</v>
      </c>
    </row>
    <row r="26" spans="1:22" ht="15" customHeight="1" x14ac:dyDescent="0.15">
      <c r="A26" s="104" t="s">
        <v>140</v>
      </c>
      <c r="C26" s="81">
        <v>25</v>
      </c>
      <c r="D26"/>
      <c r="E26" s="176" t="s">
        <v>216</v>
      </c>
      <c r="F26" s="81">
        <v>0</v>
      </c>
      <c r="G26" s="81">
        <v>0.60599999999999998</v>
      </c>
      <c r="H26" s="81">
        <v>3.65</v>
      </c>
      <c r="I26" s="81">
        <v>23.31</v>
      </c>
      <c r="J26" s="81">
        <v>0.92449170000000003</v>
      </c>
      <c r="K26" s="81">
        <v>0.156585157</v>
      </c>
      <c r="L26" s="81">
        <v>0</v>
      </c>
      <c r="M26" s="81">
        <v>0.2</v>
      </c>
      <c r="N26" s="81">
        <v>0</v>
      </c>
    </row>
    <row r="27" spans="1:22" ht="15" customHeight="1" x14ac:dyDescent="0.15">
      <c r="C27" s="81">
        <v>26</v>
      </c>
      <c r="D27"/>
      <c r="E27" s="176" t="s">
        <v>217</v>
      </c>
      <c r="F27" s="81">
        <v>0</v>
      </c>
      <c r="G27" s="81">
        <v>1.9379999999999999</v>
      </c>
      <c r="H27" s="81">
        <v>2.5</v>
      </c>
      <c r="I27" s="81">
        <v>8.5</v>
      </c>
      <c r="J27" s="81">
        <v>0.94806100000000004</v>
      </c>
      <c r="K27" s="81">
        <v>0.29411765899999998</v>
      </c>
      <c r="L27" s="81">
        <v>0</v>
      </c>
      <c r="M27" s="81">
        <v>0.2</v>
      </c>
      <c r="N27" s="81">
        <v>0</v>
      </c>
    </row>
    <row r="28" spans="1:22" ht="15" customHeight="1" x14ac:dyDescent="0.15">
      <c r="C28" s="81">
        <v>27</v>
      </c>
      <c r="D28"/>
      <c r="E28" s="176" t="s">
        <v>218</v>
      </c>
      <c r="F28" s="81">
        <v>0</v>
      </c>
      <c r="G28" s="81">
        <v>1.2E-2</v>
      </c>
      <c r="H28" s="81">
        <v>3.09</v>
      </c>
      <c r="I28" s="81">
        <v>26.34</v>
      </c>
      <c r="J28" s="81">
        <v>0.88689410000000002</v>
      </c>
      <c r="K28" s="81">
        <v>0.11731206600000001</v>
      </c>
      <c r="L28" s="81">
        <v>0</v>
      </c>
      <c r="M28" s="81">
        <v>0.2</v>
      </c>
      <c r="N28" s="81">
        <v>0</v>
      </c>
    </row>
    <row r="29" spans="1:22" customFormat="1" ht="15" customHeight="1" x14ac:dyDescent="0.15">
      <c r="C29" s="81">
        <v>28</v>
      </c>
      <c r="E29" s="176" t="s">
        <v>219</v>
      </c>
      <c r="F29" s="81">
        <v>0</v>
      </c>
      <c r="G29" s="81">
        <v>0.04</v>
      </c>
      <c r="H29" s="81">
        <v>0.81</v>
      </c>
      <c r="I29" s="81">
        <v>37.75</v>
      </c>
      <c r="J29" s="81">
        <v>0.53612919999999997</v>
      </c>
      <c r="K29" s="81">
        <v>2.1456953099999999E-2</v>
      </c>
      <c r="L29" s="81">
        <v>0</v>
      </c>
      <c r="M29" s="81">
        <v>0.2</v>
      </c>
      <c r="N29" s="81">
        <v>0</v>
      </c>
    </row>
    <row r="30" spans="1:22" customFormat="1" ht="15" customHeight="1" x14ac:dyDescent="0.15">
      <c r="C30" s="81">
        <v>29</v>
      </c>
      <c r="E30" s="176" t="s">
        <v>220</v>
      </c>
      <c r="F30" s="81">
        <v>0</v>
      </c>
      <c r="G30" s="81">
        <v>0.10199999999999999</v>
      </c>
      <c r="H30" s="81">
        <v>5.28</v>
      </c>
      <c r="I30" s="81">
        <v>26.4</v>
      </c>
      <c r="J30" s="81">
        <v>0.92015153199999999</v>
      </c>
      <c r="K30" s="81">
        <v>0.200000018</v>
      </c>
      <c r="L30" s="81">
        <v>0</v>
      </c>
      <c r="M30" s="81">
        <v>0.2</v>
      </c>
      <c r="N30" s="81">
        <v>0</v>
      </c>
    </row>
    <row r="31" spans="1:22" customFormat="1" ht="15" customHeight="1" x14ac:dyDescent="0.15">
      <c r="C31" s="81">
        <v>30</v>
      </c>
      <c r="E31" s="176" t="s">
        <v>221</v>
      </c>
      <c r="F31" s="81">
        <v>0</v>
      </c>
      <c r="G31" s="81">
        <v>0.25700000000000001</v>
      </c>
      <c r="H31" s="81">
        <v>1.6</v>
      </c>
      <c r="I31" s="81">
        <v>32.93</v>
      </c>
      <c r="J31" s="81">
        <v>0.89771520000000005</v>
      </c>
      <c r="K31" s="81">
        <v>4.8587914599999997E-2</v>
      </c>
      <c r="L31" s="81">
        <v>0</v>
      </c>
      <c r="M31" s="81">
        <v>0.2</v>
      </c>
      <c r="N31" s="81">
        <v>0</v>
      </c>
    </row>
    <row r="32" spans="1:22" customFormat="1" ht="15" customHeight="1" x14ac:dyDescent="0.15">
      <c r="C32" s="81">
        <v>31</v>
      </c>
      <c r="E32" s="176" t="s">
        <v>222</v>
      </c>
      <c r="F32" s="81">
        <v>0</v>
      </c>
      <c r="G32" s="81">
        <v>0.03</v>
      </c>
      <c r="H32" s="81">
        <v>2.68</v>
      </c>
      <c r="I32" s="81">
        <v>53.66</v>
      </c>
      <c r="J32" s="81">
        <v>0.5023358</v>
      </c>
      <c r="K32" s="81">
        <v>4.9944095299999998E-2</v>
      </c>
      <c r="L32" s="81">
        <v>0</v>
      </c>
      <c r="M32" s="81">
        <v>0.2</v>
      </c>
      <c r="N32" s="81">
        <v>0</v>
      </c>
    </row>
    <row r="33" spans="3:14" customFormat="1" ht="15" customHeight="1" x14ac:dyDescent="0.15">
      <c r="C33" s="81">
        <v>32</v>
      </c>
      <c r="E33" s="176" t="s">
        <v>223</v>
      </c>
      <c r="F33" s="81">
        <v>0</v>
      </c>
      <c r="G33" s="81">
        <v>8.0000000000000002E-3</v>
      </c>
      <c r="H33" s="81">
        <v>1.1000000000000001</v>
      </c>
      <c r="I33" s="81">
        <v>20.36</v>
      </c>
      <c r="J33" s="81">
        <v>0.66246620000000001</v>
      </c>
      <c r="K33" s="81">
        <v>5.4027505199999999E-2</v>
      </c>
      <c r="L33" s="81">
        <v>0</v>
      </c>
      <c r="M33" s="81">
        <v>0.2</v>
      </c>
      <c r="N33" s="81">
        <v>0</v>
      </c>
    </row>
    <row r="34" spans="3:14" customFormat="1" ht="15" customHeight="1" x14ac:dyDescent="0.15">
      <c r="C34" s="81">
        <v>33</v>
      </c>
      <c r="E34" s="176" t="s">
        <v>224</v>
      </c>
      <c r="F34" s="81">
        <v>0</v>
      </c>
      <c r="G34" s="81">
        <v>0.78</v>
      </c>
      <c r="H34" s="81">
        <v>4.5999999999999996</v>
      </c>
      <c r="I34" s="81">
        <v>25</v>
      </c>
      <c r="J34" s="81">
        <v>0.9726281</v>
      </c>
      <c r="K34" s="81">
        <v>0.184</v>
      </c>
      <c r="L34" s="81">
        <v>0</v>
      </c>
      <c r="M34" s="81">
        <v>0.2</v>
      </c>
      <c r="N34" s="81">
        <v>0</v>
      </c>
    </row>
    <row r="35" spans="3:14" customFormat="1" ht="15" customHeight="1" x14ac:dyDescent="0.15">
      <c r="C35" s="81">
        <v>34</v>
      </c>
      <c r="E35" s="176" t="s">
        <v>225</v>
      </c>
      <c r="F35" s="81">
        <v>0</v>
      </c>
      <c r="G35" s="81">
        <v>5.5590000000000002</v>
      </c>
      <c r="H35" s="81">
        <v>10</v>
      </c>
      <c r="I35" s="81">
        <v>50</v>
      </c>
      <c r="J35" s="81">
        <v>0.94884809999999997</v>
      </c>
      <c r="K35" s="81">
        <v>0.2</v>
      </c>
      <c r="L35" s="81">
        <v>0</v>
      </c>
      <c r="M35" s="81">
        <v>0.2</v>
      </c>
      <c r="N35" s="81">
        <v>0</v>
      </c>
    </row>
    <row r="36" spans="3:14" customFormat="1" ht="15" customHeight="1" x14ac:dyDescent="0.15">
      <c r="C36" s="81">
        <v>35</v>
      </c>
      <c r="E36" s="176" t="s">
        <v>226</v>
      </c>
      <c r="F36" s="81">
        <v>0</v>
      </c>
      <c r="G36" s="81">
        <v>2.0390000000000001</v>
      </c>
      <c r="H36" s="81">
        <v>30</v>
      </c>
      <c r="I36" s="81">
        <v>150</v>
      </c>
      <c r="J36" s="81">
        <v>0.949439645</v>
      </c>
      <c r="K36" s="81">
        <v>0.2</v>
      </c>
      <c r="L36" s="81">
        <v>0</v>
      </c>
      <c r="M36" s="81">
        <v>0.2</v>
      </c>
      <c r="N36" s="81">
        <v>0</v>
      </c>
    </row>
    <row r="37" spans="3:14" customFormat="1" ht="15" customHeight="1" x14ac:dyDescent="0.15">
      <c r="C37" s="81">
        <v>36</v>
      </c>
      <c r="E37" s="176" t="s">
        <v>227</v>
      </c>
      <c r="F37" s="81">
        <v>0</v>
      </c>
      <c r="G37" s="81">
        <v>3.488</v>
      </c>
      <c r="H37" s="81">
        <v>2.5</v>
      </c>
      <c r="I37" s="81">
        <v>9.3000000000000007</v>
      </c>
      <c r="J37" s="81">
        <v>0.95149249999999996</v>
      </c>
      <c r="K37" s="81">
        <v>0.26881719999999998</v>
      </c>
      <c r="L37" s="81">
        <v>0</v>
      </c>
      <c r="M37" s="81">
        <v>0.2</v>
      </c>
      <c r="N37" s="81">
        <v>0</v>
      </c>
    </row>
    <row r="38" spans="3:14" customFormat="1" ht="15" customHeight="1" x14ac:dyDescent="0.15">
      <c r="C38" s="81">
        <v>37</v>
      </c>
      <c r="E38" s="176" t="s">
        <v>228</v>
      </c>
      <c r="F38" s="81">
        <v>1</v>
      </c>
      <c r="G38" s="81">
        <v>2.625</v>
      </c>
      <c r="H38" s="81">
        <v>365</v>
      </c>
      <c r="I38" s="81">
        <v>0</v>
      </c>
      <c r="J38" s="81">
        <v>0.32677537200000001</v>
      </c>
      <c r="K38" s="81">
        <v>0</v>
      </c>
      <c r="L38" s="81">
        <v>0</v>
      </c>
      <c r="M38" s="81">
        <v>0</v>
      </c>
      <c r="N38" s="81">
        <v>0</v>
      </c>
    </row>
    <row r="39" spans="3:14" customFormat="1" ht="15" customHeight="1" x14ac:dyDescent="0.15">
      <c r="C39" s="81">
        <v>38</v>
      </c>
      <c r="E39" s="176" t="s">
        <v>229</v>
      </c>
      <c r="F39" s="81">
        <v>1</v>
      </c>
      <c r="G39" s="81">
        <v>11.477</v>
      </c>
      <c r="H39" s="81">
        <v>12.5</v>
      </c>
      <c r="I39" s="81">
        <v>0</v>
      </c>
      <c r="J39" s="81">
        <v>0.95005499999999998</v>
      </c>
      <c r="K39" s="81">
        <v>0</v>
      </c>
      <c r="L39" s="81">
        <v>0</v>
      </c>
      <c r="M39" s="81">
        <v>0</v>
      </c>
      <c r="N39" s="81">
        <v>0</v>
      </c>
    </row>
    <row r="40" spans="3:14" customFormat="1" ht="15" customHeight="1" x14ac:dyDescent="0.15">
      <c r="C40" s="81">
        <v>39</v>
      </c>
      <c r="E40" s="176" t="s">
        <v>230</v>
      </c>
      <c r="F40" s="81">
        <v>2</v>
      </c>
      <c r="G40" s="81">
        <v>10</v>
      </c>
      <c r="H40" s="81">
        <v>0</v>
      </c>
      <c r="I40" s="81">
        <v>0</v>
      </c>
      <c r="J40" s="81">
        <v>0</v>
      </c>
      <c r="K40" s="81">
        <v>0</v>
      </c>
      <c r="L40" s="81">
        <v>0</v>
      </c>
      <c r="M40" s="81">
        <v>0</v>
      </c>
      <c r="N40" s="81">
        <v>0</v>
      </c>
    </row>
    <row r="41" spans="3:14" customFormat="1" ht="15" customHeight="1" x14ac:dyDescent="0.15">
      <c r="C41" s="81">
        <v>40</v>
      </c>
      <c r="E41" s="176" t="s">
        <v>231</v>
      </c>
      <c r="F41" s="81">
        <v>2</v>
      </c>
      <c r="G41" s="81">
        <v>5</v>
      </c>
      <c r="H41" s="81">
        <v>0</v>
      </c>
      <c r="I41" s="81">
        <v>0</v>
      </c>
      <c r="J41" s="81">
        <v>0</v>
      </c>
      <c r="K41" s="81">
        <v>0</v>
      </c>
      <c r="L41" s="81">
        <v>0</v>
      </c>
      <c r="M41" s="81">
        <v>0</v>
      </c>
      <c r="N41" s="81">
        <v>0</v>
      </c>
    </row>
    <row r="42" spans="3:14" customFormat="1" ht="15" customHeight="1" x14ac:dyDescent="0.15">
      <c r="C42" s="81">
        <v>41</v>
      </c>
      <c r="E42" s="176" t="s">
        <v>232</v>
      </c>
      <c r="F42" s="81">
        <v>3</v>
      </c>
      <c r="G42" s="81">
        <v>0</v>
      </c>
      <c r="H42" s="81">
        <v>0</v>
      </c>
      <c r="I42" s="81">
        <v>0</v>
      </c>
      <c r="J42" s="81">
        <v>0</v>
      </c>
      <c r="K42" s="81">
        <v>0</v>
      </c>
      <c r="L42" s="81">
        <v>0</v>
      </c>
      <c r="M42" s="81">
        <v>0</v>
      </c>
      <c r="N42" s="81">
        <v>0</v>
      </c>
    </row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O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0" bestFit="1" customWidth="1"/>
    <col min="2" max="5" width="4.83203125" style="140" bestFit="1" customWidth="1"/>
    <col min="6" max="6" width="14.83203125" style="140" bestFit="1" customWidth="1"/>
    <col min="7" max="7" width="4.83203125" style="140" bestFit="1" customWidth="1"/>
    <col min="8" max="8" width="13.83203125" style="140" bestFit="1" customWidth="1"/>
    <col min="9" max="10" width="14.83203125" style="140" bestFit="1" customWidth="1"/>
    <col min="11" max="11" width="4.83203125" style="140" bestFit="1" customWidth="1"/>
    <col min="12" max="12" width="12.83203125" style="140" bestFit="1" customWidth="1"/>
    <col min="13" max="13" width="14.83203125" style="140" bestFit="1" customWidth="1"/>
    <col min="14" max="14" width="4.83203125" style="140" bestFit="1" customWidth="1"/>
    <col min="15" max="15" width="14.83203125" style="140" bestFit="1" customWidth="1"/>
    <col min="16" max="18" width="4.83203125" style="140" bestFit="1" customWidth="1"/>
    <col min="19" max="19" width="3.83203125" style="140" bestFit="1" customWidth="1"/>
    <col min="20" max="20" width="4.83203125" style="140" bestFit="1" customWidth="1"/>
    <col min="21" max="21" width="3.83203125" style="140" bestFit="1" customWidth="1"/>
    <col min="22" max="27" width="4.83203125" style="140" bestFit="1" customWidth="1"/>
    <col min="28" max="28" width="3.83203125" style="140" bestFit="1" customWidth="1"/>
    <col min="29" max="29" width="4.83203125" style="140" bestFit="1" customWidth="1"/>
    <col min="30" max="30" width="4.83203125" style="140" customWidth="1"/>
    <col min="31" max="31" width="13.83203125" style="140" customWidth="1"/>
    <col min="32" max="37" width="4.83203125" style="140" customWidth="1"/>
    <col min="38" max="41" width="2.33203125" style="140" customWidth="1"/>
    <col min="42" max="16384" width="8.83203125" style="140"/>
  </cols>
  <sheetData>
    <row r="1" spans="1:41" x14ac:dyDescent="0.15">
      <c r="A1" s="139" t="s">
        <v>19</v>
      </c>
      <c r="B1" s="178" t="s">
        <v>193</v>
      </c>
      <c r="C1" s="178" t="s">
        <v>194</v>
      </c>
      <c r="D1" s="178" t="s">
        <v>195</v>
      </c>
      <c r="E1" s="178" t="s">
        <v>196</v>
      </c>
      <c r="F1" s="178" t="s">
        <v>197</v>
      </c>
      <c r="G1" s="178" t="s">
        <v>198</v>
      </c>
      <c r="H1" s="178" t="s">
        <v>199</v>
      </c>
      <c r="I1" s="178" t="s">
        <v>200</v>
      </c>
      <c r="J1" s="178" t="s">
        <v>201</v>
      </c>
      <c r="K1" s="178" t="s">
        <v>202</v>
      </c>
      <c r="L1" s="178" t="s">
        <v>203</v>
      </c>
      <c r="M1" s="178" t="s">
        <v>204</v>
      </c>
      <c r="N1" s="178" t="s">
        <v>166</v>
      </c>
      <c r="O1" s="178" t="s">
        <v>205</v>
      </c>
      <c r="P1" s="178" t="s">
        <v>206</v>
      </c>
      <c r="Q1" s="178" t="s">
        <v>207</v>
      </c>
      <c r="R1" s="178" t="s">
        <v>208</v>
      </c>
      <c r="S1" s="178" t="s">
        <v>209</v>
      </c>
      <c r="T1" s="178" t="s">
        <v>210</v>
      </c>
      <c r="U1" s="178" t="s">
        <v>211</v>
      </c>
      <c r="V1" s="178" t="s">
        <v>212</v>
      </c>
      <c r="W1" s="178" t="s">
        <v>213</v>
      </c>
      <c r="X1" s="178" t="s">
        <v>214</v>
      </c>
      <c r="Y1" s="178" t="s">
        <v>215</v>
      </c>
      <c r="Z1" s="178" t="s">
        <v>216</v>
      </c>
      <c r="AA1" s="178" t="s">
        <v>217</v>
      </c>
      <c r="AB1" s="178" t="s">
        <v>218</v>
      </c>
      <c r="AC1" s="178" t="s">
        <v>219</v>
      </c>
      <c r="AD1" s="178" t="s">
        <v>220</v>
      </c>
      <c r="AE1" s="178" t="s">
        <v>221</v>
      </c>
      <c r="AF1" s="178" t="s">
        <v>222</v>
      </c>
      <c r="AG1" s="178" t="s">
        <v>223</v>
      </c>
      <c r="AH1" s="178" t="s">
        <v>224</v>
      </c>
      <c r="AI1" s="178" t="s">
        <v>225</v>
      </c>
      <c r="AJ1" s="178" t="s">
        <v>226</v>
      </c>
      <c r="AK1" s="178" t="s">
        <v>227</v>
      </c>
      <c r="AL1" s="178" t="s">
        <v>228</v>
      </c>
      <c r="AM1" s="178" t="s">
        <v>229</v>
      </c>
      <c r="AN1" s="178" t="s">
        <v>230</v>
      </c>
      <c r="AO1" s="178" t="s">
        <v>231</v>
      </c>
    </row>
    <row r="2" spans="1:41" customFormat="1" x14ac:dyDescent="0.15">
      <c r="A2" s="177" t="s">
        <v>193</v>
      </c>
      <c r="B2" s="140">
        <v>9.9999999999999985E-3</v>
      </c>
      <c r="C2" s="140">
        <v>0.02</v>
      </c>
      <c r="D2" s="140">
        <v>0</v>
      </c>
      <c r="E2" s="140">
        <v>1.9999999999999997E-2</v>
      </c>
      <c r="F2" s="140">
        <v>0</v>
      </c>
      <c r="G2" s="140">
        <v>0</v>
      </c>
      <c r="H2" s="140">
        <v>0</v>
      </c>
      <c r="I2" s="140">
        <v>0</v>
      </c>
      <c r="J2" s="140">
        <v>0</v>
      </c>
      <c r="K2" s="140">
        <v>0</v>
      </c>
      <c r="L2" s="140">
        <v>0</v>
      </c>
      <c r="M2" s="140">
        <v>0</v>
      </c>
      <c r="N2" s="140">
        <v>0</v>
      </c>
      <c r="O2" s="140">
        <v>0</v>
      </c>
      <c r="P2" s="140">
        <v>0</v>
      </c>
      <c r="Q2" s="140">
        <v>0</v>
      </c>
      <c r="R2" s="140">
        <v>0</v>
      </c>
      <c r="S2" s="140">
        <v>0</v>
      </c>
      <c r="T2" s="140">
        <v>0</v>
      </c>
      <c r="U2" s="140">
        <v>0</v>
      </c>
      <c r="V2" s="140">
        <v>0</v>
      </c>
      <c r="W2" s="140">
        <v>0</v>
      </c>
      <c r="X2" s="140">
        <v>0</v>
      </c>
      <c r="Y2" s="140">
        <v>0</v>
      </c>
      <c r="Z2" s="140">
        <v>0</v>
      </c>
      <c r="AA2" s="140">
        <v>0</v>
      </c>
      <c r="AB2" s="140">
        <v>0</v>
      </c>
      <c r="AC2" s="140">
        <v>0</v>
      </c>
      <c r="AD2" s="140">
        <v>0</v>
      </c>
      <c r="AE2" s="140">
        <v>0</v>
      </c>
      <c r="AF2" s="140">
        <v>0</v>
      </c>
      <c r="AG2" s="140">
        <v>0</v>
      </c>
      <c r="AH2" s="140">
        <v>0</v>
      </c>
      <c r="AI2" s="140">
        <v>0</v>
      </c>
      <c r="AJ2" s="140">
        <v>0</v>
      </c>
      <c r="AK2" s="140">
        <v>0</v>
      </c>
      <c r="AL2" s="140">
        <v>0</v>
      </c>
      <c r="AM2" s="140">
        <v>0</v>
      </c>
      <c r="AN2" s="140">
        <v>0</v>
      </c>
      <c r="AO2" s="140">
        <v>0</v>
      </c>
    </row>
    <row r="3" spans="1:41" customFormat="1" x14ac:dyDescent="0.15">
      <c r="A3" s="177" t="s">
        <v>194</v>
      </c>
      <c r="B3" s="140">
        <v>0</v>
      </c>
      <c r="C3" s="140">
        <v>0.01</v>
      </c>
      <c r="D3" s="140">
        <v>0</v>
      </c>
      <c r="E3" s="140">
        <v>9.9999999999999985E-3</v>
      </c>
      <c r="F3" s="140">
        <v>0</v>
      </c>
      <c r="G3" s="140">
        <v>0</v>
      </c>
      <c r="H3" s="140">
        <v>0</v>
      </c>
      <c r="I3" s="140">
        <v>0</v>
      </c>
      <c r="J3" s="140">
        <v>0</v>
      </c>
      <c r="K3" s="140">
        <v>0</v>
      </c>
      <c r="L3" s="140">
        <v>0</v>
      </c>
      <c r="M3" s="140">
        <v>0</v>
      </c>
      <c r="N3" s="140">
        <v>0</v>
      </c>
      <c r="O3" s="140">
        <v>0</v>
      </c>
      <c r="P3" s="140">
        <v>0</v>
      </c>
      <c r="Q3" s="140">
        <v>0</v>
      </c>
      <c r="R3" s="140">
        <v>0</v>
      </c>
      <c r="S3" s="140">
        <v>0</v>
      </c>
      <c r="T3" s="140">
        <v>0</v>
      </c>
      <c r="U3" s="140">
        <v>0</v>
      </c>
      <c r="V3" s="140">
        <v>0</v>
      </c>
      <c r="W3" s="140">
        <v>0</v>
      </c>
      <c r="X3" s="140">
        <v>0</v>
      </c>
      <c r="Y3" s="140">
        <v>0</v>
      </c>
      <c r="Z3" s="140">
        <v>0</v>
      </c>
      <c r="AA3" s="140">
        <v>0</v>
      </c>
      <c r="AB3" s="140">
        <v>0</v>
      </c>
      <c r="AC3" s="140">
        <v>0</v>
      </c>
      <c r="AD3" s="140">
        <v>0</v>
      </c>
      <c r="AE3" s="140">
        <v>0</v>
      </c>
      <c r="AF3" s="140">
        <v>0</v>
      </c>
      <c r="AG3" s="140">
        <v>0</v>
      </c>
      <c r="AH3" s="140">
        <v>0</v>
      </c>
      <c r="AI3" s="140">
        <v>0</v>
      </c>
      <c r="AJ3" s="140">
        <v>0</v>
      </c>
      <c r="AK3" s="140">
        <v>0</v>
      </c>
      <c r="AL3" s="140">
        <v>0</v>
      </c>
      <c r="AM3" s="140">
        <v>0</v>
      </c>
      <c r="AN3" s="140">
        <v>0</v>
      </c>
      <c r="AO3" s="140">
        <v>0</v>
      </c>
    </row>
    <row r="4" spans="1:41" customFormat="1" x14ac:dyDescent="0.15">
      <c r="A4" s="177" t="s">
        <v>195</v>
      </c>
      <c r="B4" s="140">
        <v>0</v>
      </c>
      <c r="C4" s="140">
        <v>0</v>
      </c>
      <c r="D4" s="140">
        <v>9.9999999999999985E-3</v>
      </c>
      <c r="E4" s="140">
        <v>0</v>
      </c>
      <c r="F4" s="140">
        <v>0</v>
      </c>
      <c r="G4" s="140">
        <v>0</v>
      </c>
      <c r="H4" s="140">
        <v>1.0101009983838385E-2</v>
      </c>
      <c r="I4" s="140">
        <v>0</v>
      </c>
      <c r="J4" s="140">
        <v>0</v>
      </c>
      <c r="K4" s="140">
        <v>0</v>
      </c>
      <c r="L4" s="140">
        <v>0</v>
      </c>
      <c r="M4" s="140">
        <v>0</v>
      </c>
      <c r="N4" s="140">
        <v>0</v>
      </c>
      <c r="O4" s="140">
        <v>0</v>
      </c>
      <c r="P4" s="140">
        <v>0</v>
      </c>
      <c r="Q4" s="140">
        <v>0</v>
      </c>
      <c r="R4" s="140">
        <v>0</v>
      </c>
      <c r="S4" s="140">
        <v>0</v>
      </c>
      <c r="T4" s="140">
        <v>0</v>
      </c>
      <c r="U4" s="140">
        <v>0</v>
      </c>
      <c r="V4" s="140">
        <v>0</v>
      </c>
      <c r="W4" s="140">
        <v>0</v>
      </c>
      <c r="X4" s="140">
        <v>0</v>
      </c>
      <c r="Y4" s="140">
        <v>0</v>
      </c>
      <c r="Z4" s="140">
        <v>0</v>
      </c>
      <c r="AA4" s="140">
        <v>0</v>
      </c>
      <c r="AB4" s="140">
        <v>0</v>
      </c>
      <c r="AC4" s="140">
        <v>0</v>
      </c>
      <c r="AD4" s="140">
        <v>0</v>
      </c>
      <c r="AE4" s="140">
        <v>0</v>
      </c>
      <c r="AF4" s="140">
        <v>0</v>
      </c>
      <c r="AG4" s="140">
        <v>0</v>
      </c>
      <c r="AH4" s="140">
        <v>0</v>
      </c>
      <c r="AI4" s="140">
        <v>0</v>
      </c>
      <c r="AJ4" s="140">
        <v>0</v>
      </c>
      <c r="AK4" s="140">
        <v>0</v>
      </c>
      <c r="AL4" s="140">
        <v>0</v>
      </c>
      <c r="AM4" s="140">
        <v>0</v>
      </c>
      <c r="AN4" s="140">
        <v>0</v>
      </c>
      <c r="AO4" s="140">
        <v>0</v>
      </c>
    </row>
    <row r="5" spans="1:41" customFormat="1" x14ac:dyDescent="0.15">
      <c r="A5" s="177" t="s">
        <v>196</v>
      </c>
      <c r="B5" s="140">
        <v>0</v>
      </c>
      <c r="C5" s="140">
        <v>0</v>
      </c>
      <c r="D5" s="140">
        <v>0</v>
      </c>
      <c r="E5" s="140">
        <v>0</v>
      </c>
      <c r="F5" s="140">
        <v>0</v>
      </c>
      <c r="G5" s="140">
        <v>0</v>
      </c>
      <c r="H5" s="140">
        <v>1.0101009983838385E-2</v>
      </c>
      <c r="I5" s="140">
        <v>0</v>
      </c>
      <c r="J5" s="140">
        <v>0</v>
      </c>
      <c r="K5" s="140">
        <v>0</v>
      </c>
      <c r="L5" s="140">
        <v>0</v>
      </c>
      <c r="M5" s="140">
        <v>0</v>
      </c>
      <c r="N5" s="140">
        <v>0</v>
      </c>
      <c r="O5" s="140">
        <v>0</v>
      </c>
      <c r="P5" s="140">
        <v>0</v>
      </c>
      <c r="Q5" s="140">
        <v>0</v>
      </c>
      <c r="R5" s="140">
        <v>0</v>
      </c>
      <c r="S5" s="140">
        <v>0</v>
      </c>
      <c r="T5" s="140">
        <v>0</v>
      </c>
      <c r="U5" s="140">
        <v>0</v>
      </c>
      <c r="V5" s="140">
        <v>0</v>
      </c>
      <c r="W5" s="140">
        <v>0</v>
      </c>
      <c r="X5" s="140">
        <v>0</v>
      </c>
      <c r="Y5" s="140">
        <v>0</v>
      </c>
      <c r="Z5" s="140">
        <v>0</v>
      </c>
      <c r="AA5" s="140">
        <v>0</v>
      </c>
      <c r="AB5" s="140">
        <v>0</v>
      </c>
      <c r="AC5" s="140">
        <v>0</v>
      </c>
      <c r="AD5" s="140">
        <v>0</v>
      </c>
      <c r="AE5" s="140">
        <v>0</v>
      </c>
      <c r="AF5" s="140">
        <v>0</v>
      </c>
      <c r="AG5" s="140">
        <v>0</v>
      </c>
      <c r="AH5" s="140">
        <v>0</v>
      </c>
      <c r="AI5" s="140">
        <v>0</v>
      </c>
      <c r="AJ5" s="140">
        <v>0</v>
      </c>
      <c r="AK5" s="140">
        <v>0</v>
      </c>
      <c r="AL5" s="140">
        <v>0</v>
      </c>
      <c r="AM5" s="140">
        <v>0</v>
      </c>
      <c r="AN5" s="140">
        <v>0</v>
      </c>
      <c r="AO5" s="140">
        <v>0</v>
      </c>
    </row>
    <row r="6" spans="1:41" customFormat="1" x14ac:dyDescent="0.15">
      <c r="A6" s="177" t="s">
        <v>197</v>
      </c>
      <c r="B6" s="140">
        <v>2.9999999999999992E-2</v>
      </c>
      <c r="C6" s="140">
        <v>0</v>
      </c>
      <c r="D6" s="140">
        <v>0</v>
      </c>
      <c r="E6" s="140">
        <v>0</v>
      </c>
      <c r="F6" s="140">
        <v>0</v>
      </c>
      <c r="G6" s="140">
        <v>0</v>
      </c>
      <c r="H6" s="140">
        <v>1.0101009983838385E-2</v>
      </c>
      <c r="I6" s="140">
        <v>0</v>
      </c>
      <c r="J6" s="140">
        <v>0</v>
      </c>
      <c r="K6" s="140">
        <v>0</v>
      </c>
      <c r="L6" s="140">
        <v>0</v>
      </c>
      <c r="M6" s="140">
        <v>0</v>
      </c>
      <c r="N6" s="140">
        <v>0</v>
      </c>
      <c r="O6" s="140">
        <v>0</v>
      </c>
      <c r="P6" s="140">
        <v>0</v>
      </c>
      <c r="Q6" s="140">
        <v>0</v>
      </c>
      <c r="R6" s="140">
        <v>0</v>
      </c>
      <c r="S6" s="140">
        <v>0</v>
      </c>
      <c r="T6" s="140">
        <v>0</v>
      </c>
      <c r="U6" s="140">
        <v>0</v>
      </c>
      <c r="V6" s="140">
        <v>0</v>
      </c>
      <c r="W6" s="140">
        <v>0</v>
      </c>
      <c r="X6" s="140">
        <v>0</v>
      </c>
      <c r="Y6" s="140">
        <v>0</v>
      </c>
      <c r="Z6" s="140">
        <v>0</v>
      </c>
      <c r="AA6" s="140">
        <v>0</v>
      </c>
      <c r="AB6" s="140">
        <v>0</v>
      </c>
      <c r="AC6" s="140">
        <v>0</v>
      </c>
      <c r="AD6" s="140">
        <v>0</v>
      </c>
      <c r="AE6" s="140">
        <v>0</v>
      </c>
      <c r="AF6" s="140">
        <v>0</v>
      </c>
      <c r="AG6" s="140">
        <v>0</v>
      </c>
      <c r="AH6" s="140">
        <v>0</v>
      </c>
      <c r="AI6" s="140">
        <v>0</v>
      </c>
      <c r="AJ6" s="140">
        <v>0</v>
      </c>
      <c r="AK6" s="140">
        <v>0</v>
      </c>
      <c r="AL6" s="140">
        <v>0</v>
      </c>
      <c r="AM6" s="140">
        <v>0</v>
      </c>
      <c r="AN6" s="140">
        <v>0</v>
      </c>
      <c r="AO6" s="140">
        <v>0</v>
      </c>
    </row>
    <row r="7" spans="1:41" customFormat="1" x14ac:dyDescent="0.15">
      <c r="A7" s="177" t="s">
        <v>198</v>
      </c>
      <c r="B7" s="140">
        <v>9.9999999999999985E-3</v>
      </c>
      <c r="C7" s="140">
        <v>0.04</v>
      </c>
      <c r="D7" s="140">
        <v>2.9999999999999992E-2</v>
      </c>
      <c r="E7" s="140">
        <v>0</v>
      </c>
      <c r="F7" s="140">
        <v>9.9009901782178243E-3</v>
      </c>
      <c r="G7" s="140">
        <v>0</v>
      </c>
      <c r="H7" s="140">
        <v>3.0303029951515157E-2</v>
      </c>
      <c r="I7" s="140">
        <v>0</v>
      </c>
      <c r="J7" s="140">
        <v>7.2286401010945881E-3</v>
      </c>
      <c r="K7" s="140">
        <v>0</v>
      </c>
      <c r="L7" s="140">
        <v>9.9009902000000028E-3</v>
      </c>
      <c r="M7" s="140">
        <v>9.7546699707359904E-3</v>
      </c>
      <c r="N7" s="140">
        <v>0</v>
      </c>
      <c r="O7" s="140">
        <v>0</v>
      </c>
      <c r="P7" s="140">
        <v>0</v>
      </c>
      <c r="Q7" s="140">
        <v>0</v>
      </c>
      <c r="R7" s="140">
        <v>0</v>
      </c>
      <c r="S7" s="140">
        <v>0</v>
      </c>
      <c r="T7" s="140">
        <v>0</v>
      </c>
      <c r="U7" s="140">
        <v>0</v>
      </c>
      <c r="V7" s="140">
        <v>0</v>
      </c>
      <c r="W7" s="140">
        <v>0</v>
      </c>
      <c r="X7" s="140">
        <v>0</v>
      </c>
      <c r="Y7" s="140">
        <v>0</v>
      </c>
      <c r="Z7" s="140">
        <v>0</v>
      </c>
      <c r="AA7" s="140">
        <v>0</v>
      </c>
      <c r="AB7" s="140">
        <v>0</v>
      </c>
      <c r="AC7" s="140">
        <v>0</v>
      </c>
      <c r="AD7" s="140">
        <v>0</v>
      </c>
      <c r="AE7" s="140">
        <v>0</v>
      </c>
      <c r="AF7" s="140">
        <v>0</v>
      </c>
      <c r="AG7" s="140">
        <v>0</v>
      </c>
      <c r="AH7" s="140">
        <v>0</v>
      </c>
      <c r="AI7" s="140">
        <v>0</v>
      </c>
      <c r="AJ7" s="140">
        <v>0</v>
      </c>
      <c r="AK7" s="140">
        <v>0</v>
      </c>
      <c r="AL7" s="140">
        <v>0</v>
      </c>
      <c r="AM7" s="140">
        <v>0</v>
      </c>
      <c r="AN7" s="140">
        <v>0</v>
      </c>
      <c r="AO7" s="140">
        <v>0</v>
      </c>
    </row>
    <row r="8" spans="1:41" customFormat="1" x14ac:dyDescent="0.15">
      <c r="A8" s="177" t="s">
        <v>199</v>
      </c>
      <c r="B8" s="140">
        <v>0</v>
      </c>
      <c r="C8" s="140">
        <v>0</v>
      </c>
      <c r="D8" s="140">
        <v>0</v>
      </c>
      <c r="E8" s="140">
        <v>0</v>
      </c>
      <c r="F8" s="140">
        <v>0</v>
      </c>
      <c r="G8" s="140">
        <v>0</v>
      </c>
      <c r="H8" s="140">
        <v>1.0101009983838385E-2</v>
      </c>
      <c r="I8" s="140">
        <v>0</v>
      </c>
      <c r="J8" s="140">
        <v>0</v>
      </c>
      <c r="K8" s="140">
        <v>0</v>
      </c>
      <c r="L8" s="140">
        <v>0</v>
      </c>
      <c r="M8" s="140">
        <v>0</v>
      </c>
      <c r="N8" s="140">
        <v>0</v>
      </c>
      <c r="O8" s="140">
        <v>0</v>
      </c>
      <c r="P8" s="140">
        <v>0</v>
      </c>
      <c r="Q8" s="140">
        <v>0</v>
      </c>
      <c r="R8" s="140">
        <v>0</v>
      </c>
      <c r="S8" s="140">
        <v>0</v>
      </c>
      <c r="T8" s="140">
        <v>0</v>
      </c>
      <c r="U8" s="140">
        <v>0</v>
      </c>
      <c r="V8" s="140">
        <v>0</v>
      </c>
      <c r="W8" s="140">
        <v>0</v>
      </c>
      <c r="X8" s="140">
        <v>0</v>
      </c>
      <c r="Y8" s="140">
        <v>0</v>
      </c>
      <c r="Z8" s="140">
        <v>0</v>
      </c>
      <c r="AA8" s="140">
        <v>0</v>
      </c>
      <c r="AB8" s="140">
        <v>0</v>
      </c>
      <c r="AC8" s="140">
        <v>0</v>
      </c>
      <c r="AD8" s="140">
        <v>0</v>
      </c>
      <c r="AE8" s="140">
        <v>0</v>
      </c>
      <c r="AF8" s="140">
        <v>0</v>
      </c>
      <c r="AG8" s="140">
        <v>0</v>
      </c>
      <c r="AH8" s="140">
        <v>0</v>
      </c>
      <c r="AI8" s="140">
        <v>0</v>
      </c>
      <c r="AJ8" s="140">
        <v>0</v>
      </c>
      <c r="AK8" s="140">
        <v>0</v>
      </c>
      <c r="AL8" s="140">
        <v>0</v>
      </c>
      <c r="AM8" s="140">
        <v>0</v>
      </c>
      <c r="AN8" s="140">
        <v>0</v>
      </c>
      <c r="AO8" s="140">
        <v>0</v>
      </c>
    </row>
    <row r="9" spans="1:41" customFormat="1" x14ac:dyDescent="0.15">
      <c r="A9" s="177" t="s">
        <v>200</v>
      </c>
      <c r="B9" s="140">
        <v>4.9999999999999989E-2</v>
      </c>
      <c r="C9" s="140">
        <v>0.08</v>
      </c>
      <c r="D9" s="140">
        <v>9.9999999999999978E-2</v>
      </c>
      <c r="E9" s="140">
        <v>9.9999999999999978E-2</v>
      </c>
      <c r="F9" s="140">
        <v>1.9801980356435649E-2</v>
      </c>
      <c r="G9" s="140">
        <v>0.05</v>
      </c>
      <c r="H9" s="140">
        <v>0.11111111182222223</v>
      </c>
      <c r="I9" s="140">
        <v>3.9603960475247529E-2</v>
      </c>
      <c r="J9" s="140">
        <v>0.102243844196529</v>
      </c>
      <c r="K9" s="140">
        <v>0.02</v>
      </c>
      <c r="L9" s="140">
        <v>1.9801980400000006E-2</v>
      </c>
      <c r="M9" s="140">
        <v>9.7546699707359904E-3</v>
      </c>
      <c r="N9" s="140">
        <v>0</v>
      </c>
      <c r="O9" s="140">
        <v>2.9126211822330113E-2</v>
      </c>
      <c r="P9" s="140">
        <v>0</v>
      </c>
      <c r="Q9" s="140">
        <v>0</v>
      </c>
      <c r="R9" s="140">
        <v>0</v>
      </c>
      <c r="S9" s="140">
        <v>0</v>
      </c>
      <c r="T9" s="140">
        <v>0</v>
      </c>
      <c r="U9" s="140">
        <v>0</v>
      </c>
      <c r="V9" s="140">
        <v>0</v>
      </c>
      <c r="W9" s="140">
        <v>0</v>
      </c>
      <c r="X9" s="140">
        <v>0</v>
      </c>
      <c r="Y9" s="140">
        <v>0</v>
      </c>
      <c r="Z9" s="140">
        <v>0</v>
      </c>
      <c r="AA9" s="140">
        <v>0</v>
      </c>
      <c r="AB9" s="140">
        <v>0</v>
      </c>
      <c r="AC9" s="140">
        <v>0</v>
      </c>
      <c r="AD9" s="140">
        <v>0</v>
      </c>
      <c r="AE9" s="140">
        <v>1.0000000051E-2</v>
      </c>
      <c r="AF9" s="140">
        <v>0</v>
      </c>
      <c r="AG9" s="140">
        <v>0</v>
      </c>
      <c r="AH9" s="140">
        <v>0</v>
      </c>
      <c r="AI9" s="140">
        <v>0</v>
      </c>
      <c r="AJ9" s="140">
        <v>0</v>
      </c>
      <c r="AK9" s="140">
        <v>0</v>
      </c>
      <c r="AL9" s="140">
        <v>0</v>
      </c>
      <c r="AM9" s="140">
        <v>0</v>
      </c>
      <c r="AN9" s="140">
        <v>0</v>
      </c>
      <c r="AO9" s="140">
        <v>0</v>
      </c>
    </row>
    <row r="10" spans="1:41" customFormat="1" x14ac:dyDescent="0.15">
      <c r="A10" s="177" t="s">
        <v>201</v>
      </c>
      <c r="B10" s="140">
        <v>0</v>
      </c>
      <c r="C10" s="140">
        <v>0</v>
      </c>
      <c r="D10" s="140">
        <v>0</v>
      </c>
      <c r="E10" s="140">
        <v>0</v>
      </c>
      <c r="F10" s="140">
        <v>0</v>
      </c>
      <c r="G10" s="140">
        <v>0</v>
      </c>
      <c r="H10" s="140">
        <v>2.020201996767677E-2</v>
      </c>
      <c r="I10" s="140">
        <v>0</v>
      </c>
      <c r="J10" s="140">
        <v>2.0448769239305786E-2</v>
      </c>
      <c r="K10" s="140">
        <v>0.01</v>
      </c>
      <c r="L10" s="140">
        <v>0</v>
      </c>
      <c r="M10" s="140">
        <v>0</v>
      </c>
      <c r="N10" s="140">
        <v>0</v>
      </c>
      <c r="O10" s="140">
        <v>9.7087379407766999E-3</v>
      </c>
      <c r="P10" s="140">
        <v>0</v>
      </c>
      <c r="Q10" s="140">
        <v>0</v>
      </c>
      <c r="R10" s="140">
        <v>0</v>
      </c>
      <c r="S10" s="140">
        <v>0</v>
      </c>
      <c r="T10" s="140">
        <v>0</v>
      </c>
      <c r="U10" s="140">
        <v>0</v>
      </c>
      <c r="V10" s="140">
        <v>0</v>
      </c>
      <c r="W10" s="140">
        <v>0</v>
      </c>
      <c r="X10" s="140">
        <v>0</v>
      </c>
      <c r="Y10" s="140">
        <v>0</v>
      </c>
      <c r="Z10" s="140">
        <v>0</v>
      </c>
      <c r="AA10" s="140">
        <v>0</v>
      </c>
      <c r="AB10" s="140">
        <v>0</v>
      </c>
      <c r="AC10" s="140">
        <v>0</v>
      </c>
      <c r="AD10" s="140">
        <v>0</v>
      </c>
      <c r="AE10" s="140">
        <v>0</v>
      </c>
      <c r="AF10" s="140">
        <v>0</v>
      </c>
      <c r="AG10" s="140">
        <v>0</v>
      </c>
      <c r="AH10" s="140">
        <v>0</v>
      </c>
      <c r="AI10" s="140">
        <v>0</v>
      </c>
      <c r="AJ10" s="140">
        <v>0</v>
      </c>
      <c r="AK10" s="140">
        <v>0</v>
      </c>
      <c r="AL10" s="140">
        <v>0</v>
      </c>
      <c r="AM10" s="140">
        <v>0</v>
      </c>
      <c r="AN10" s="140">
        <v>0</v>
      </c>
      <c r="AO10" s="140">
        <v>0</v>
      </c>
    </row>
    <row r="11" spans="1:41" customFormat="1" x14ac:dyDescent="0.15">
      <c r="A11" s="177" t="s">
        <v>202</v>
      </c>
      <c r="B11" s="140">
        <v>2.9999999999999992E-2</v>
      </c>
      <c r="C11" s="140">
        <v>0</v>
      </c>
      <c r="D11" s="140">
        <v>0</v>
      </c>
      <c r="E11" s="140">
        <v>0</v>
      </c>
      <c r="F11" s="140">
        <v>0</v>
      </c>
      <c r="G11" s="140">
        <v>0</v>
      </c>
      <c r="H11" s="140">
        <v>0</v>
      </c>
      <c r="I11" s="140">
        <v>0</v>
      </c>
      <c r="J11" s="140">
        <v>1.0224384819652885E-2</v>
      </c>
      <c r="K11" s="140">
        <v>0.01</v>
      </c>
      <c r="L11" s="140">
        <v>0</v>
      </c>
      <c r="M11" s="140">
        <v>9.7546699707359904E-3</v>
      </c>
      <c r="N11" s="140">
        <v>0</v>
      </c>
      <c r="O11" s="140">
        <v>0</v>
      </c>
      <c r="P11" s="140">
        <v>0</v>
      </c>
      <c r="Q11" s="140">
        <v>0</v>
      </c>
      <c r="R11" s="140">
        <v>0</v>
      </c>
      <c r="S11" s="140">
        <v>0</v>
      </c>
      <c r="T11" s="140">
        <v>0</v>
      </c>
      <c r="U11" s="140">
        <v>0</v>
      </c>
      <c r="V11" s="140">
        <v>0</v>
      </c>
      <c r="W11" s="140">
        <v>0</v>
      </c>
      <c r="X11" s="140">
        <v>0</v>
      </c>
      <c r="Y11" s="140">
        <v>0</v>
      </c>
      <c r="Z11" s="140">
        <v>0</v>
      </c>
      <c r="AA11" s="140">
        <v>0</v>
      </c>
      <c r="AB11" s="140">
        <v>0</v>
      </c>
      <c r="AC11" s="140">
        <v>0</v>
      </c>
      <c r="AD11" s="140">
        <v>0</v>
      </c>
      <c r="AE11" s="140">
        <v>0</v>
      </c>
      <c r="AF11" s="140">
        <v>0</v>
      </c>
      <c r="AG11" s="140">
        <v>0</v>
      </c>
      <c r="AH11" s="140">
        <v>0</v>
      </c>
      <c r="AI11" s="140">
        <v>0</v>
      </c>
      <c r="AJ11" s="140">
        <v>0</v>
      </c>
      <c r="AK11" s="140">
        <v>0</v>
      </c>
      <c r="AL11" s="140">
        <v>0</v>
      </c>
      <c r="AM11" s="140">
        <v>0</v>
      </c>
      <c r="AN11" s="140">
        <v>0</v>
      </c>
      <c r="AO11" s="140">
        <v>0</v>
      </c>
    </row>
    <row r="12" spans="1:41" customFormat="1" x14ac:dyDescent="0.15">
      <c r="A12" s="177" t="s">
        <v>203</v>
      </c>
      <c r="B12" s="140">
        <v>0</v>
      </c>
      <c r="C12" s="140">
        <v>0</v>
      </c>
      <c r="D12" s="140">
        <v>9.9999999999999985E-3</v>
      </c>
      <c r="E12" s="140">
        <v>0</v>
      </c>
      <c r="F12" s="140">
        <v>0</v>
      </c>
      <c r="G12" s="140">
        <v>0</v>
      </c>
      <c r="H12" s="140">
        <v>1.0101009983838385E-2</v>
      </c>
      <c r="I12" s="140">
        <v>0</v>
      </c>
      <c r="J12" s="140">
        <v>1.0060584925746241E-3</v>
      </c>
      <c r="K12" s="140">
        <v>0</v>
      </c>
      <c r="L12" s="140">
        <v>9.9009902000000028E-3</v>
      </c>
      <c r="M12" s="140">
        <v>5.0236549849290348E-3</v>
      </c>
      <c r="N12" s="140">
        <v>0</v>
      </c>
      <c r="O12" s="140">
        <v>0</v>
      </c>
      <c r="P12" s="140">
        <v>0</v>
      </c>
      <c r="Q12" s="140">
        <v>0</v>
      </c>
      <c r="R12" s="140">
        <v>0</v>
      </c>
      <c r="S12" s="140">
        <v>0</v>
      </c>
      <c r="T12" s="140">
        <v>0</v>
      </c>
      <c r="U12" s="140">
        <v>0</v>
      </c>
      <c r="V12" s="140">
        <v>0</v>
      </c>
      <c r="W12" s="140">
        <v>0</v>
      </c>
      <c r="X12" s="140">
        <v>0</v>
      </c>
      <c r="Y12" s="140">
        <v>0</v>
      </c>
      <c r="Z12" s="140">
        <v>0</v>
      </c>
      <c r="AA12" s="140">
        <v>0</v>
      </c>
      <c r="AB12" s="140">
        <v>0</v>
      </c>
      <c r="AC12" s="140">
        <v>0</v>
      </c>
      <c r="AD12" s="140">
        <v>0</v>
      </c>
      <c r="AE12" s="140">
        <v>0</v>
      </c>
      <c r="AF12" s="140">
        <v>0</v>
      </c>
      <c r="AG12" s="140">
        <v>0</v>
      </c>
      <c r="AH12" s="140">
        <v>0</v>
      </c>
      <c r="AI12" s="140">
        <v>0</v>
      </c>
      <c r="AJ12" s="140">
        <v>0</v>
      </c>
      <c r="AK12" s="140">
        <v>0</v>
      </c>
      <c r="AL12" s="140">
        <v>0</v>
      </c>
      <c r="AM12" s="140">
        <v>0</v>
      </c>
      <c r="AN12" s="140">
        <v>0</v>
      </c>
      <c r="AO12" s="140">
        <v>0</v>
      </c>
    </row>
    <row r="13" spans="1:41" customFormat="1" x14ac:dyDescent="0.15">
      <c r="A13" s="177" t="s">
        <v>204</v>
      </c>
      <c r="B13" s="140">
        <v>0</v>
      </c>
      <c r="C13" s="140">
        <v>0</v>
      </c>
      <c r="D13" s="140">
        <v>0</v>
      </c>
      <c r="E13" s="140">
        <v>0</v>
      </c>
      <c r="F13" s="140">
        <v>0</v>
      </c>
      <c r="G13" s="140">
        <v>0</v>
      </c>
      <c r="H13" s="140">
        <v>0</v>
      </c>
      <c r="I13" s="140">
        <v>0</v>
      </c>
      <c r="J13" s="140">
        <v>0</v>
      </c>
      <c r="K13" s="140">
        <v>0</v>
      </c>
      <c r="L13" s="140">
        <v>0</v>
      </c>
      <c r="M13" s="140">
        <v>1.9509339941471981E-2</v>
      </c>
      <c r="N13" s="140">
        <v>0</v>
      </c>
      <c r="O13" s="140">
        <v>0</v>
      </c>
      <c r="P13" s="140">
        <v>0</v>
      </c>
      <c r="Q13" s="140">
        <v>0</v>
      </c>
      <c r="R13" s="140">
        <v>0</v>
      </c>
      <c r="S13" s="140">
        <v>0</v>
      </c>
      <c r="T13" s="140">
        <v>0</v>
      </c>
      <c r="U13" s="140">
        <v>0</v>
      </c>
      <c r="V13" s="140">
        <v>0</v>
      </c>
      <c r="W13" s="140">
        <v>0</v>
      </c>
      <c r="X13" s="140">
        <v>0</v>
      </c>
      <c r="Y13" s="140">
        <v>0</v>
      </c>
      <c r="Z13" s="140">
        <v>0</v>
      </c>
      <c r="AA13" s="140">
        <v>0</v>
      </c>
      <c r="AB13" s="140">
        <v>0</v>
      </c>
      <c r="AC13" s="140">
        <v>0</v>
      </c>
      <c r="AD13" s="140">
        <v>0</v>
      </c>
      <c r="AE13" s="140">
        <v>0</v>
      </c>
      <c r="AF13" s="140">
        <v>0</v>
      </c>
      <c r="AG13" s="140">
        <v>0</v>
      </c>
      <c r="AH13" s="140">
        <v>0</v>
      </c>
      <c r="AI13" s="140">
        <v>0</v>
      </c>
      <c r="AJ13" s="140">
        <v>0</v>
      </c>
      <c r="AK13" s="140">
        <v>0</v>
      </c>
      <c r="AL13" s="140">
        <v>0</v>
      </c>
      <c r="AM13" s="140">
        <v>0</v>
      </c>
      <c r="AN13" s="140">
        <v>0</v>
      </c>
      <c r="AO13" s="140">
        <v>0</v>
      </c>
    </row>
    <row r="14" spans="1:41" customFormat="1" x14ac:dyDescent="0.15">
      <c r="A14" s="177" t="s">
        <v>166</v>
      </c>
      <c r="B14" s="140">
        <v>0.19999999999999996</v>
      </c>
      <c r="C14" s="140">
        <v>0.1</v>
      </c>
      <c r="D14" s="140">
        <v>4.9999999999999989E-2</v>
      </c>
      <c r="E14" s="140">
        <v>0</v>
      </c>
      <c r="F14" s="140">
        <v>9.9009901782178236E-2</v>
      </c>
      <c r="G14" s="140">
        <v>0.1</v>
      </c>
      <c r="H14" s="140">
        <v>0</v>
      </c>
      <c r="I14" s="140">
        <v>0.24752475597029708</v>
      </c>
      <c r="J14" s="140">
        <v>1.0224384819652885E-2</v>
      </c>
      <c r="K14" s="140">
        <v>0.1</v>
      </c>
      <c r="L14" s="140">
        <v>0</v>
      </c>
      <c r="M14" s="140">
        <v>4.8773349853679947E-2</v>
      </c>
      <c r="N14" s="140">
        <v>0.1</v>
      </c>
      <c r="O14" s="140">
        <v>0</v>
      </c>
      <c r="P14" s="140">
        <v>0.05</v>
      </c>
      <c r="Q14" s="140">
        <v>0</v>
      </c>
      <c r="R14" s="140">
        <v>0</v>
      </c>
      <c r="S14" s="140">
        <v>0</v>
      </c>
      <c r="T14" s="140">
        <v>0</v>
      </c>
      <c r="U14" s="140">
        <v>0</v>
      </c>
      <c r="V14" s="140">
        <v>0</v>
      </c>
      <c r="W14" s="140">
        <v>0</v>
      </c>
      <c r="X14" s="140">
        <v>0</v>
      </c>
      <c r="Y14" s="140">
        <v>0</v>
      </c>
      <c r="Z14" s="140">
        <v>0</v>
      </c>
      <c r="AA14" s="140">
        <v>0</v>
      </c>
      <c r="AB14" s="140">
        <v>0</v>
      </c>
      <c r="AC14" s="140">
        <v>0</v>
      </c>
      <c r="AD14" s="140">
        <v>0</v>
      </c>
      <c r="AE14" s="140">
        <v>0</v>
      </c>
      <c r="AF14" s="140">
        <v>0</v>
      </c>
      <c r="AG14" s="140">
        <v>0</v>
      </c>
      <c r="AH14" s="140">
        <v>0</v>
      </c>
      <c r="AI14" s="140">
        <v>0</v>
      </c>
      <c r="AJ14" s="140">
        <v>0</v>
      </c>
      <c r="AK14" s="140">
        <v>0</v>
      </c>
      <c r="AL14" s="140">
        <v>0</v>
      </c>
      <c r="AM14" s="140">
        <v>0</v>
      </c>
      <c r="AN14" s="140">
        <v>0</v>
      </c>
      <c r="AO14" s="140">
        <v>0</v>
      </c>
    </row>
    <row r="15" spans="1:41" customFormat="1" x14ac:dyDescent="0.15">
      <c r="A15" s="177" t="s">
        <v>205</v>
      </c>
      <c r="B15" s="140">
        <v>0</v>
      </c>
      <c r="C15" s="140">
        <v>0</v>
      </c>
      <c r="D15" s="140">
        <v>9.9999999999999985E-3</v>
      </c>
      <c r="E15" s="140">
        <v>0</v>
      </c>
      <c r="F15" s="140">
        <v>0</v>
      </c>
      <c r="G15" s="140">
        <v>0</v>
      </c>
      <c r="H15" s="140">
        <v>0</v>
      </c>
      <c r="I15" s="140">
        <v>0</v>
      </c>
      <c r="J15" s="140">
        <v>0</v>
      </c>
      <c r="K15" s="140">
        <v>0</v>
      </c>
      <c r="L15" s="140">
        <v>0</v>
      </c>
      <c r="M15" s="140">
        <v>0</v>
      </c>
      <c r="N15" s="140">
        <v>0</v>
      </c>
      <c r="O15" s="140">
        <v>9.7087379407766999E-3</v>
      </c>
      <c r="P15" s="140">
        <v>0</v>
      </c>
      <c r="Q15" s="140">
        <v>0</v>
      </c>
      <c r="R15" s="140">
        <v>0</v>
      </c>
      <c r="S15" s="140">
        <v>0</v>
      </c>
      <c r="T15" s="140">
        <v>0</v>
      </c>
      <c r="U15" s="140">
        <v>0</v>
      </c>
      <c r="V15" s="140">
        <v>0</v>
      </c>
      <c r="W15" s="140">
        <v>0</v>
      </c>
      <c r="X15" s="140">
        <v>0</v>
      </c>
      <c r="Y15" s="140">
        <v>0</v>
      </c>
      <c r="Z15" s="140">
        <v>0</v>
      </c>
      <c r="AA15" s="140">
        <v>0</v>
      </c>
      <c r="AB15" s="140">
        <v>0</v>
      </c>
      <c r="AC15" s="140">
        <v>0</v>
      </c>
      <c r="AD15" s="140">
        <v>0</v>
      </c>
      <c r="AE15" s="140">
        <v>0</v>
      </c>
      <c r="AF15" s="140">
        <v>0</v>
      </c>
      <c r="AG15" s="140">
        <v>0</v>
      </c>
      <c r="AH15" s="140">
        <v>0</v>
      </c>
      <c r="AI15" s="140">
        <v>0</v>
      </c>
      <c r="AJ15" s="140">
        <v>0</v>
      </c>
      <c r="AK15" s="140">
        <v>0</v>
      </c>
      <c r="AL15" s="140">
        <v>0</v>
      </c>
      <c r="AM15" s="140">
        <v>0</v>
      </c>
      <c r="AN15" s="140">
        <v>0</v>
      </c>
      <c r="AO15" s="140">
        <v>0</v>
      </c>
    </row>
    <row r="16" spans="1:41" customFormat="1" x14ac:dyDescent="0.15">
      <c r="A16" s="177" t="s">
        <v>206</v>
      </c>
      <c r="B16" s="140">
        <v>0</v>
      </c>
      <c r="C16" s="140">
        <v>0.02</v>
      </c>
      <c r="D16" s="140">
        <v>3.9999999999999994E-2</v>
      </c>
      <c r="E16" s="140">
        <v>0</v>
      </c>
      <c r="F16" s="140">
        <v>0</v>
      </c>
      <c r="G16" s="140">
        <v>0</v>
      </c>
      <c r="H16" s="140">
        <v>1.0101009983838385E-2</v>
      </c>
      <c r="I16" s="140">
        <v>0</v>
      </c>
      <c r="J16" s="140">
        <v>0</v>
      </c>
      <c r="K16" s="140">
        <v>0.01</v>
      </c>
      <c r="L16" s="140">
        <v>0</v>
      </c>
      <c r="M16" s="140">
        <v>0</v>
      </c>
      <c r="N16" s="140">
        <v>0</v>
      </c>
      <c r="O16" s="140">
        <v>1.9417475781553402E-2</v>
      </c>
      <c r="P16" s="140">
        <v>0.02</v>
      </c>
      <c r="Q16" s="140">
        <v>0</v>
      </c>
      <c r="R16" s="140">
        <v>0</v>
      </c>
      <c r="S16" s="140">
        <v>0</v>
      </c>
      <c r="T16" s="140">
        <v>0</v>
      </c>
      <c r="U16" s="140">
        <v>0</v>
      </c>
      <c r="V16" s="140">
        <v>0</v>
      </c>
      <c r="W16" s="140">
        <v>0</v>
      </c>
      <c r="X16" s="140">
        <v>0</v>
      </c>
      <c r="Y16" s="140">
        <v>0</v>
      </c>
      <c r="Z16" s="140">
        <v>0</v>
      </c>
      <c r="AA16" s="140">
        <v>0</v>
      </c>
      <c r="AB16" s="140">
        <v>0</v>
      </c>
      <c r="AC16" s="140">
        <v>0</v>
      </c>
      <c r="AD16" s="140">
        <v>0</v>
      </c>
      <c r="AE16" s="140">
        <v>0</v>
      </c>
      <c r="AF16" s="140">
        <v>0</v>
      </c>
      <c r="AG16" s="140">
        <v>0</v>
      </c>
      <c r="AH16" s="140">
        <v>0</v>
      </c>
      <c r="AI16" s="140">
        <v>0</v>
      </c>
      <c r="AJ16" s="140">
        <v>0</v>
      </c>
      <c r="AK16" s="140">
        <v>0</v>
      </c>
      <c r="AL16" s="140">
        <v>0</v>
      </c>
      <c r="AM16" s="140">
        <v>0</v>
      </c>
      <c r="AN16" s="140">
        <v>0</v>
      </c>
      <c r="AO16" s="140">
        <v>0</v>
      </c>
    </row>
    <row r="17" spans="1:41" customFormat="1" x14ac:dyDescent="0.15">
      <c r="A17" s="177" t="s">
        <v>207</v>
      </c>
      <c r="B17" s="140">
        <v>0</v>
      </c>
      <c r="C17" s="140">
        <v>0</v>
      </c>
      <c r="D17" s="140">
        <v>9.9999999999999985E-3</v>
      </c>
      <c r="E17" s="140">
        <v>0</v>
      </c>
      <c r="F17" s="140">
        <v>0</v>
      </c>
      <c r="G17" s="140">
        <v>0.01</v>
      </c>
      <c r="H17" s="140">
        <v>0</v>
      </c>
      <c r="I17" s="140">
        <v>0</v>
      </c>
      <c r="J17" s="140">
        <v>0</v>
      </c>
      <c r="K17" s="140">
        <v>0.01</v>
      </c>
      <c r="L17" s="140">
        <v>0</v>
      </c>
      <c r="M17" s="140">
        <v>0</v>
      </c>
      <c r="N17" s="140">
        <v>0</v>
      </c>
      <c r="O17" s="140">
        <v>0</v>
      </c>
      <c r="P17" s="140">
        <v>0</v>
      </c>
      <c r="Q17" s="140">
        <v>0</v>
      </c>
      <c r="R17" s="140">
        <v>0</v>
      </c>
      <c r="S17" s="140">
        <v>0</v>
      </c>
      <c r="T17" s="140">
        <v>0</v>
      </c>
      <c r="U17" s="140">
        <v>0</v>
      </c>
      <c r="V17" s="140">
        <v>0</v>
      </c>
      <c r="W17" s="140">
        <v>0</v>
      </c>
      <c r="X17" s="140">
        <v>0</v>
      </c>
      <c r="Y17" s="140">
        <v>0</v>
      </c>
      <c r="Z17" s="140">
        <v>0</v>
      </c>
      <c r="AA17" s="140">
        <v>0</v>
      </c>
      <c r="AB17" s="140">
        <v>0</v>
      </c>
      <c r="AC17" s="140">
        <v>0</v>
      </c>
      <c r="AD17" s="140">
        <v>0</v>
      </c>
      <c r="AE17" s="140">
        <v>0</v>
      </c>
      <c r="AF17" s="140">
        <v>0</v>
      </c>
      <c r="AG17" s="140">
        <v>0</v>
      </c>
      <c r="AH17" s="140">
        <v>0</v>
      </c>
      <c r="AI17" s="140">
        <v>0</v>
      </c>
      <c r="AJ17" s="140">
        <v>0</v>
      </c>
      <c r="AK17" s="140">
        <v>0</v>
      </c>
      <c r="AL17" s="140">
        <v>0</v>
      </c>
      <c r="AM17" s="140">
        <v>0</v>
      </c>
      <c r="AN17" s="140">
        <v>0</v>
      </c>
      <c r="AO17" s="140">
        <v>0</v>
      </c>
    </row>
    <row r="18" spans="1:41" customFormat="1" x14ac:dyDescent="0.15">
      <c r="A18" s="177" t="s">
        <v>208</v>
      </c>
      <c r="B18" s="140">
        <v>0</v>
      </c>
      <c r="C18" s="140">
        <v>0</v>
      </c>
      <c r="D18" s="140">
        <v>0</v>
      </c>
      <c r="E18" s="140">
        <v>0</v>
      </c>
      <c r="F18" s="140">
        <v>0</v>
      </c>
      <c r="G18" s="140">
        <v>0</v>
      </c>
      <c r="H18" s="140">
        <v>1.0101009983838385E-2</v>
      </c>
      <c r="I18" s="140">
        <v>0</v>
      </c>
      <c r="J18" s="140">
        <v>0</v>
      </c>
      <c r="K18" s="140">
        <v>0.05</v>
      </c>
      <c r="L18" s="140">
        <v>4.9504951000000012E-2</v>
      </c>
      <c r="M18" s="140">
        <v>0</v>
      </c>
      <c r="N18" s="140">
        <v>0</v>
      </c>
      <c r="O18" s="140">
        <v>5.8252423644660226E-2</v>
      </c>
      <c r="P18" s="140">
        <v>0.02</v>
      </c>
      <c r="Q18" s="140">
        <v>0</v>
      </c>
      <c r="R18" s="140">
        <v>0</v>
      </c>
      <c r="S18" s="140">
        <v>0</v>
      </c>
      <c r="T18" s="140">
        <v>0</v>
      </c>
      <c r="U18" s="140">
        <v>0</v>
      </c>
      <c r="V18" s="140">
        <v>0</v>
      </c>
      <c r="W18" s="140">
        <v>0</v>
      </c>
      <c r="X18" s="140">
        <v>0</v>
      </c>
      <c r="Y18" s="140">
        <v>0</v>
      </c>
      <c r="Z18" s="140">
        <v>0</v>
      </c>
      <c r="AA18" s="140">
        <v>0</v>
      </c>
      <c r="AB18" s="140">
        <v>0</v>
      </c>
      <c r="AC18" s="140">
        <v>0</v>
      </c>
      <c r="AD18" s="140">
        <v>0</v>
      </c>
      <c r="AE18" s="140">
        <v>0</v>
      </c>
      <c r="AF18" s="140">
        <v>0</v>
      </c>
      <c r="AG18" s="140">
        <v>0</v>
      </c>
      <c r="AH18" s="140">
        <v>0</v>
      </c>
      <c r="AI18" s="140">
        <v>0</v>
      </c>
      <c r="AJ18" s="140">
        <v>0</v>
      </c>
      <c r="AK18" s="140">
        <v>0</v>
      </c>
      <c r="AL18" s="140">
        <v>0</v>
      </c>
      <c r="AM18" s="140">
        <v>0</v>
      </c>
      <c r="AN18" s="140">
        <v>0</v>
      </c>
      <c r="AO18" s="140">
        <v>0</v>
      </c>
    </row>
    <row r="19" spans="1:41" customFormat="1" x14ac:dyDescent="0.15">
      <c r="A19" s="177" t="s">
        <v>209</v>
      </c>
      <c r="B19" s="140">
        <v>9.9999999999999985E-3</v>
      </c>
      <c r="C19" s="140">
        <v>0.03</v>
      </c>
      <c r="D19" s="140">
        <v>9.9999999999999985E-3</v>
      </c>
      <c r="E19" s="140">
        <v>1.9999999999999997E-2</v>
      </c>
      <c r="F19" s="140">
        <v>9.9009901782178243E-3</v>
      </c>
      <c r="G19" s="140">
        <v>0</v>
      </c>
      <c r="H19" s="140">
        <v>3.0303029951515157E-2</v>
      </c>
      <c r="I19" s="140">
        <v>0</v>
      </c>
      <c r="J19" s="140">
        <v>0</v>
      </c>
      <c r="K19" s="140">
        <v>0</v>
      </c>
      <c r="L19" s="140">
        <v>0</v>
      </c>
      <c r="M19" s="140">
        <v>4.8773349853679947E-2</v>
      </c>
      <c r="N19" s="140">
        <v>0</v>
      </c>
      <c r="O19" s="140">
        <v>0</v>
      </c>
      <c r="P19" s="140">
        <v>0</v>
      </c>
      <c r="Q19" s="140">
        <v>0</v>
      </c>
      <c r="R19" s="140">
        <v>0</v>
      </c>
      <c r="S19" s="140">
        <v>0</v>
      </c>
      <c r="T19" s="140">
        <v>0</v>
      </c>
      <c r="U19" s="140">
        <v>0</v>
      </c>
      <c r="V19" s="140">
        <v>0</v>
      </c>
      <c r="W19" s="140">
        <v>0</v>
      </c>
      <c r="X19" s="140">
        <v>0</v>
      </c>
      <c r="Y19" s="140">
        <v>0</v>
      </c>
      <c r="Z19" s="140">
        <v>0</v>
      </c>
      <c r="AA19" s="140">
        <v>0</v>
      </c>
      <c r="AB19" s="140">
        <v>0</v>
      </c>
      <c r="AC19" s="140">
        <v>0</v>
      </c>
      <c r="AD19" s="140">
        <v>0</v>
      </c>
      <c r="AE19" s="140">
        <v>0</v>
      </c>
      <c r="AF19" s="140">
        <v>0</v>
      </c>
      <c r="AG19" s="140">
        <v>0</v>
      </c>
      <c r="AH19" s="140">
        <v>0</v>
      </c>
      <c r="AI19" s="140">
        <v>0</v>
      </c>
      <c r="AJ19" s="140">
        <v>0</v>
      </c>
      <c r="AK19" s="140">
        <v>0</v>
      </c>
      <c r="AL19" s="140">
        <v>0</v>
      </c>
      <c r="AM19" s="140">
        <v>0</v>
      </c>
      <c r="AN19" s="140">
        <v>0</v>
      </c>
      <c r="AO19" s="140">
        <v>0</v>
      </c>
    </row>
    <row r="20" spans="1:41" customFormat="1" x14ac:dyDescent="0.15">
      <c r="A20" s="177" t="s">
        <v>210</v>
      </c>
      <c r="B20" s="140">
        <v>1.9999999999999997E-2</v>
      </c>
      <c r="C20" s="140">
        <v>0.01</v>
      </c>
      <c r="D20" s="140">
        <v>2.9999999999999992E-2</v>
      </c>
      <c r="E20" s="140">
        <v>0</v>
      </c>
      <c r="F20" s="140">
        <v>0</v>
      </c>
      <c r="G20" s="140">
        <v>0</v>
      </c>
      <c r="H20" s="140">
        <v>0</v>
      </c>
      <c r="I20" s="140">
        <v>0</v>
      </c>
      <c r="J20" s="140">
        <v>0</v>
      </c>
      <c r="K20" s="140">
        <v>0.01</v>
      </c>
      <c r="L20" s="140">
        <v>0</v>
      </c>
      <c r="M20" s="140">
        <v>0</v>
      </c>
      <c r="N20" s="140">
        <v>0</v>
      </c>
      <c r="O20" s="140">
        <v>0</v>
      </c>
      <c r="P20" s="140">
        <v>0</v>
      </c>
      <c r="Q20" s="140">
        <v>0</v>
      </c>
      <c r="R20" s="140">
        <v>0</v>
      </c>
      <c r="S20" s="140">
        <v>0</v>
      </c>
      <c r="T20" s="140">
        <v>0</v>
      </c>
      <c r="U20" s="140">
        <v>0</v>
      </c>
      <c r="V20" s="140">
        <v>0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0</v>
      </c>
      <c r="AC20" s="140">
        <v>0</v>
      </c>
      <c r="AD20" s="140">
        <v>0</v>
      </c>
      <c r="AE20" s="140">
        <v>0</v>
      </c>
      <c r="AF20" s="140">
        <v>0</v>
      </c>
      <c r="AG20" s="140">
        <v>0</v>
      </c>
      <c r="AH20" s="140">
        <v>0</v>
      </c>
      <c r="AI20" s="140">
        <v>0</v>
      </c>
      <c r="AJ20" s="140">
        <v>0</v>
      </c>
      <c r="AK20" s="140">
        <v>0</v>
      </c>
      <c r="AL20" s="140">
        <v>0</v>
      </c>
      <c r="AM20" s="140">
        <v>0</v>
      </c>
      <c r="AN20" s="140">
        <v>0</v>
      </c>
      <c r="AO20" s="140">
        <v>0</v>
      </c>
    </row>
    <row r="21" spans="1:41" customFormat="1" x14ac:dyDescent="0.15">
      <c r="A21" s="177" t="s">
        <v>211</v>
      </c>
      <c r="B21" s="140">
        <v>0.15999999999999998</v>
      </c>
      <c r="C21" s="140">
        <v>0.11</v>
      </c>
      <c r="D21" s="140">
        <v>9.9999999999999978E-2</v>
      </c>
      <c r="E21" s="140">
        <v>0.14999999999999997</v>
      </c>
      <c r="F21" s="140">
        <v>0.19801980356435647</v>
      </c>
      <c r="G21" s="140">
        <v>0.05</v>
      </c>
      <c r="H21" s="140">
        <v>4.040403993535354E-2</v>
      </c>
      <c r="I21" s="140">
        <v>2.9702970356435647E-2</v>
      </c>
      <c r="J21" s="140">
        <v>1.0224384819652885E-2</v>
      </c>
      <c r="K21" s="140">
        <v>0.01</v>
      </c>
      <c r="L21" s="140">
        <v>4.9504951000000012E-2</v>
      </c>
      <c r="M21" s="140">
        <v>9.7546699707359904E-3</v>
      </c>
      <c r="N21" s="140">
        <v>0</v>
      </c>
      <c r="O21" s="140">
        <v>9.7087379407766999E-3</v>
      </c>
      <c r="P21" s="140">
        <v>0.02</v>
      </c>
      <c r="Q21" s="140">
        <v>0.03</v>
      </c>
      <c r="R21" s="140">
        <v>0</v>
      </c>
      <c r="S21" s="140">
        <v>0</v>
      </c>
      <c r="T21" s="140">
        <v>0</v>
      </c>
      <c r="U21" s="140">
        <v>0</v>
      </c>
      <c r="V21" s="140">
        <v>0</v>
      </c>
      <c r="W21" s="140">
        <v>0</v>
      </c>
      <c r="X21" s="140">
        <v>0</v>
      </c>
      <c r="Y21" s="140">
        <v>0</v>
      </c>
      <c r="Z21" s="140">
        <v>0</v>
      </c>
      <c r="AA21" s="140">
        <v>0</v>
      </c>
      <c r="AB21" s="140">
        <v>0</v>
      </c>
      <c r="AC21" s="140">
        <v>0</v>
      </c>
      <c r="AD21" s="140">
        <v>0</v>
      </c>
      <c r="AE21" s="140">
        <v>0</v>
      </c>
      <c r="AF21" s="140">
        <v>0</v>
      </c>
      <c r="AG21" s="140">
        <v>0</v>
      </c>
      <c r="AH21" s="140">
        <v>0</v>
      </c>
      <c r="AI21" s="140">
        <v>0</v>
      </c>
      <c r="AJ21" s="140">
        <v>0</v>
      </c>
      <c r="AK21" s="140">
        <v>0</v>
      </c>
      <c r="AL21" s="140">
        <v>0</v>
      </c>
      <c r="AM21" s="140">
        <v>0</v>
      </c>
      <c r="AN21" s="140">
        <v>0</v>
      </c>
      <c r="AO21" s="140">
        <v>0</v>
      </c>
    </row>
    <row r="22" spans="1:41" customFormat="1" x14ac:dyDescent="0.15">
      <c r="A22" s="177" t="s">
        <v>212</v>
      </c>
      <c r="B22" s="140">
        <v>3.9999999999999994E-2</v>
      </c>
      <c r="C22" s="140">
        <v>0.02</v>
      </c>
      <c r="D22" s="140">
        <v>1.9999999999999997E-2</v>
      </c>
      <c r="E22" s="140">
        <v>0</v>
      </c>
      <c r="F22" s="140">
        <v>0</v>
      </c>
      <c r="G22" s="140">
        <v>0</v>
      </c>
      <c r="H22" s="140">
        <v>1.0101009983838385E-2</v>
      </c>
      <c r="I22" s="140">
        <v>0</v>
      </c>
      <c r="J22" s="140">
        <v>0</v>
      </c>
      <c r="K22" s="140">
        <v>0.01</v>
      </c>
      <c r="L22" s="140">
        <v>0</v>
      </c>
      <c r="M22" s="140">
        <v>0</v>
      </c>
      <c r="N22" s="140">
        <v>0</v>
      </c>
      <c r="O22" s="140">
        <v>0</v>
      </c>
      <c r="P22" s="140">
        <v>0</v>
      </c>
      <c r="Q22" s="140">
        <v>0</v>
      </c>
      <c r="R22" s="140">
        <v>0</v>
      </c>
      <c r="S22" s="140">
        <v>0</v>
      </c>
      <c r="T22" s="140">
        <v>0</v>
      </c>
      <c r="U22" s="140">
        <v>0</v>
      </c>
      <c r="V22" s="140">
        <v>0</v>
      </c>
      <c r="W22" s="140">
        <v>0</v>
      </c>
      <c r="X22" s="140">
        <v>0</v>
      </c>
      <c r="Y22" s="140">
        <v>0</v>
      </c>
      <c r="Z22" s="140">
        <v>0</v>
      </c>
      <c r="AA22" s="140">
        <v>0</v>
      </c>
      <c r="AB22" s="140">
        <v>0</v>
      </c>
      <c r="AC22" s="140">
        <v>0</v>
      </c>
      <c r="AD22" s="140">
        <v>0</v>
      </c>
      <c r="AE22" s="140">
        <v>0</v>
      </c>
      <c r="AF22" s="140">
        <v>0</v>
      </c>
      <c r="AG22" s="140">
        <v>0</v>
      </c>
      <c r="AH22" s="140">
        <v>0</v>
      </c>
      <c r="AI22" s="140">
        <v>0</v>
      </c>
      <c r="AJ22" s="140">
        <v>0</v>
      </c>
      <c r="AK22" s="140">
        <v>0</v>
      </c>
      <c r="AL22" s="140">
        <v>0</v>
      </c>
      <c r="AM22" s="140">
        <v>0</v>
      </c>
      <c r="AN22" s="140">
        <v>0</v>
      </c>
      <c r="AO22" s="140">
        <v>0</v>
      </c>
    </row>
    <row r="23" spans="1:41" customFormat="1" x14ac:dyDescent="0.15">
      <c r="A23" s="177" t="s">
        <v>213</v>
      </c>
      <c r="B23" s="140">
        <v>2.9999999999999992E-2</v>
      </c>
      <c r="C23" s="140">
        <v>7.0000000000000007E-2</v>
      </c>
      <c r="D23" s="140">
        <v>6.9999999999999993E-2</v>
      </c>
      <c r="E23" s="140">
        <v>0</v>
      </c>
      <c r="F23" s="140">
        <v>3.9603960712871297E-2</v>
      </c>
      <c r="G23" s="140">
        <v>0.04</v>
      </c>
      <c r="H23" s="140">
        <v>2.020201996767677E-2</v>
      </c>
      <c r="I23" s="140">
        <v>9.9009901188118823E-3</v>
      </c>
      <c r="J23" s="140">
        <v>1.0224384819652885E-2</v>
      </c>
      <c r="K23" s="140">
        <v>0.01</v>
      </c>
      <c r="L23" s="140">
        <v>3.9603960800000011E-2</v>
      </c>
      <c r="M23" s="140">
        <v>9.7546699707359904E-3</v>
      </c>
      <c r="N23" s="140">
        <v>0</v>
      </c>
      <c r="O23" s="140">
        <v>9.7087379407766999E-3</v>
      </c>
      <c r="P23" s="140">
        <v>0</v>
      </c>
      <c r="Q23" s="140">
        <v>0</v>
      </c>
      <c r="R23" s="140">
        <v>0</v>
      </c>
      <c r="S23" s="140">
        <v>0</v>
      </c>
      <c r="T23" s="140">
        <v>0</v>
      </c>
      <c r="U23" s="140">
        <v>0</v>
      </c>
      <c r="V23" s="140">
        <v>0</v>
      </c>
      <c r="W23" s="140">
        <v>0</v>
      </c>
      <c r="X23" s="140">
        <v>0</v>
      </c>
      <c r="Y23" s="140">
        <v>0</v>
      </c>
      <c r="Z23" s="140">
        <v>0</v>
      </c>
      <c r="AA23" s="140">
        <v>0</v>
      </c>
      <c r="AB23" s="140">
        <v>0</v>
      </c>
      <c r="AC23" s="140">
        <v>0</v>
      </c>
      <c r="AD23" s="140">
        <v>0</v>
      </c>
      <c r="AE23" s="140">
        <v>0</v>
      </c>
      <c r="AF23" s="140">
        <v>0</v>
      </c>
      <c r="AG23" s="140">
        <v>0</v>
      </c>
      <c r="AH23" s="140">
        <v>0</v>
      </c>
      <c r="AI23" s="140">
        <v>0</v>
      </c>
      <c r="AJ23" s="140">
        <v>0</v>
      </c>
      <c r="AK23" s="140">
        <v>0</v>
      </c>
      <c r="AL23" s="140">
        <v>0</v>
      </c>
      <c r="AM23" s="140">
        <v>0</v>
      </c>
      <c r="AN23" s="140">
        <v>0</v>
      </c>
      <c r="AO23" s="140">
        <v>0</v>
      </c>
    </row>
    <row r="24" spans="1:41" customFormat="1" x14ac:dyDescent="0.15">
      <c r="A24" s="177" t="s">
        <v>214</v>
      </c>
      <c r="B24" s="140">
        <v>1.9999999999999997E-2</v>
      </c>
      <c r="C24" s="140">
        <v>0.04</v>
      </c>
      <c r="D24" s="140">
        <v>5.9999999999999984E-2</v>
      </c>
      <c r="E24" s="140">
        <v>0.12999999999999998</v>
      </c>
      <c r="F24" s="140">
        <v>1.9801980356435649E-2</v>
      </c>
      <c r="G24" s="140">
        <v>0.12</v>
      </c>
      <c r="H24" s="140">
        <v>4.040403993535354E-2</v>
      </c>
      <c r="I24" s="140">
        <v>9.9009901188118823E-3</v>
      </c>
      <c r="J24" s="140">
        <v>4.0897538478611571E-2</v>
      </c>
      <c r="K24" s="140">
        <v>0</v>
      </c>
      <c r="L24" s="140">
        <v>1.9801980400000006E-2</v>
      </c>
      <c r="M24" s="140">
        <v>9.7546699707359904E-3</v>
      </c>
      <c r="N24" s="140">
        <v>0</v>
      </c>
      <c r="O24" s="140">
        <v>9.7087379407766999E-3</v>
      </c>
      <c r="P24" s="140">
        <v>0</v>
      </c>
      <c r="Q24" s="140">
        <v>0</v>
      </c>
      <c r="R24" s="140">
        <v>0</v>
      </c>
      <c r="S24" s="140">
        <v>0</v>
      </c>
      <c r="T24" s="140">
        <v>0</v>
      </c>
      <c r="U24" s="140">
        <v>0</v>
      </c>
      <c r="V24" s="140">
        <v>0</v>
      </c>
      <c r="W24" s="140">
        <v>0</v>
      </c>
      <c r="X24" s="140">
        <v>0</v>
      </c>
      <c r="Y24" s="140">
        <v>0</v>
      </c>
      <c r="Z24" s="140">
        <v>0</v>
      </c>
      <c r="AA24" s="140">
        <v>0</v>
      </c>
      <c r="AB24" s="140">
        <v>0</v>
      </c>
      <c r="AC24" s="140">
        <v>0</v>
      </c>
      <c r="AD24" s="140">
        <v>0</v>
      </c>
      <c r="AE24" s="140">
        <v>0</v>
      </c>
      <c r="AF24" s="140">
        <v>0</v>
      </c>
      <c r="AG24" s="140">
        <v>0</v>
      </c>
      <c r="AH24" s="140">
        <v>0</v>
      </c>
      <c r="AI24" s="140">
        <v>0</v>
      </c>
      <c r="AJ24" s="140">
        <v>0</v>
      </c>
      <c r="AK24" s="140">
        <v>0</v>
      </c>
      <c r="AL24" s="140">
        <v>0</v>
      </c>
      <c r="AM24" s="140">
        <v>0</v>
      </c>
      <c r="AN24" s="140">
        <v>0</v>
      </c>
      <c r="AO24" s="140">
        <v>0</v>
      </c>
    </row>
    <row r="25" spans="1:41" customFormat="1" x14ac:dyDescent="0.15">
      <c r="A25" s="177" t="s">
        <v>215</v>
      </c>
      <c r="B25" s="140">
        <v>0.14999999999999997</v>
      </c>
      <c r="C25" s="140">
        <v>0.12</v>
      </c>
      <c r="D25" s="140">
        <v>0.11999999999999997</v>
      </c>
      <c r="E25" s="140">
        <v>0.14999999999999997</v>
      </c>
      <c r="F25" s="140">
        <v>0.18811880338613848</v>
      </c>
      <c r="G25" s="140">
        <v>0.11</v>
      </c>
      <c r="H25" s="140">
        <v>3.0303029951515157E-2</v>
      </c>
      <c r="I25" s="140">
        <v>1.9801980237623765E-2</v>
      </c>
      <c r="J25" s="140">
        <v>2.0448769239305786E-2</v>
      </c>
      <c r="K25" s="140">
        <v>0.01</v>
      </c>
      <c r="L25" s="140">
        <v>9.9009902000000028E-3</v>
      </c>
      <c r="M25" s="140">
        <v>0</v>
      </c>
      <c r="N25" s="140">
        <v>0</v>
      </c>
      <c r="O25" s="140">
        <v>9.7087379407766999E-3</v>
      </c>
      <c r="P25" s="140">
        <v>0</v>
      </c>
      <c r="Q25" s="140">
        <v>0</v>
      </c>
      <c r="R25" s="140">
        <v>0</v>
      </c>
      <c r="S25" s="140">
        <v>0</v>
      </c>
      <c r="T25" s="140">
        <v>0</v>
      </c>
      <c r="U25" s="140">
        <v>0</v>
      </c>
      <c r="V25" s="140">
        <v>0</v>
      </c>
      <c r="W25" s="140">
        <v>0</v>
      </c>
      <c r="X25" s="140">
        <v>0</v>
      </c>
      <c r="Y25" s="140">
        <v>0</v>
      </c>
      <c r="Z25" s="140">
        <v>0</v>
      </c>
      <c r="AA25" s="140">
        <v>0</v>
      </c>
      <c r="AB25" s="140">
        <v>0</v>
      </c>
      <c r="AC25" s="140">
        <v>0</v>
      </c>
      <c r="AD25" s="140">
        <v>0</v>
      </c>
      <c r="AE25" s="140">
        <v>0</v>
      </c>
      <c r="AF25" s="140">
        <v>0</v>
      </c>
      <c r="AG25" s="140">
        <v>0</v>
      </c>
      <c r="AH25" s="140">
        <v>0</v>
      </c>
      <c r="AI25" s="140">
        <v>0</v>
      </c>
      <c r="AJ25" s="140">
        <v>0</v>
      </c>
      <c r="AK25" s="140">
        <v>0</v>
      </c>
      <c r="AL25" s="140">
        <v>0</v>
      </c>
      <c r="AM25" s="140">
        <v>0</v>
      </c>
      <c r="AN25" s="140">
        <v>0</v>
      </c>
      <c r="AO25" s="140">
        <v>0</v>
      </c>
    </row>
    <row r="26" spans="1:41" customFormat="1" x14ac:dyDescent="0.15">
      <c r="A26" s="177" t="s">
        <v>216</v>
      </c>
      <c r="B26" s="140">
        <v>4.9999999999999989E-2</v>
      </c>
      <c r="C26" s="140">
        <v>0.1</v>
      </c>
      <c r="D26" s="140">
        <v>0.11999999999999997</v>
      </c>
      <c r="E26" s="140">
        <v>4.9999999999999989E-2</v>
      </c>
      <c r="F26" s="140">
        <v>0.14851485467326739</v>
      </c>
      <c r="G26" s="140">
        <v>0.15</v>
      </c>
      <c r="H26" s="140">
        <v>5.0505053219191916E-2</v>
      </c>
      <c r="I26" s="140">
        <v>2.9702970356435647E-2</v>
      </c>
      <c r="J26" s="140">
        <v>5.1121922198264495E-2</v>
      </c>
      <c r="K26" s="140">
        <v>0.01</v>
      </c>
      <c r="L26" s="140">
        <v>1.9801980400000006E-2</v>
      </c>
      <c r="M26" s="140">
        <v>9.7546699707359904E-3</v>
      </c>
      <c r="N26" s="140">
        <v>0</v>
      </c>
      <c r="O26" s="140">
        <v>1.9417475781553402E-2</v>
      </c>
      <c r="P26" s="140">
        <v>0</v>
      </c>
      <c r="Q26" s="140">
        <v>0</v>
      </c>
      <c r="R26" s="140">
        <v>0</v>
      </c>
      <c r="S26" s="140">
        <v>0</v>
      </c>
      <c r="T26" s="140">
        <v>0</v>
      </c>
      <c r="U26" s="140">
        <v>0</v>
      </c>
      <c r="V26" s="140">
        <v>0</v>
      </c>
      <c r="W26" s="140">
        <v>0</v>
      </c>
      <c r="X26" s="140">
        <v>0</v>
      </c>
      <c r="Y26" s="140">
        <v>0</v>
      </c>
      <c r="Z26" s="140">
        <v>0</v>
      </c>
      <c r="AA26" s="140">
        <v>0</v>
      </c>
      <c r="AB26" s="140">
        <v>0</v>
      </c>
      <c r="AC26" s="140">
        <v>0</v>
      </c>
      <c r="AD26" s="140">
        <v>0</v>
      </c>
      <c r="AE26" s="140">
        <v>0</v>
      </c>
      <c r="AF26" s="140">
        <v>0</v>
      </c>
      <c r="AG26" s="140">
        <v>0</v>
      </c>
      <c r="AH26" s="140">
        <v>0</v>
      </c>
      <c r="AI26" s="140">
        <v>0</v>
      </c>
      <c r="AJ26" s="140">
        <v>0</v>
      </c>
      <c r="AK26" s="140">
        <v>0</v>
      </c>
      <c r="AL26" s="140">
        <v>0</v>
      </c>
      <c r="AM26" s="140">
        <v>0</v>
      </c>
      <c r="AN26" s="140">
        <v>0</v>
      </c>
      <c r="AO26" s="140">
        <v>0</v>
      </c>
    </row>
    <row r="27" spans="1:41" customFormat="1" x14ac:dyDescent="0.15">
      <c r="A27" s="177" t="s">
        <v>217</v>
      </c>
      <c r="B27" s="140">
        <v>0</v>
      </c>
      <c r="C27" s="140">
        <v>0.02</v>
      </c>
      <c r="D27" s="140">
        <v>0</v>
      </c>
      <c r="E27" s="140">
        <v>4.9999999999999989E-2</v>
      </c>
      <c r="F27" s="140">
        <v>9.9009901782178243E-3</v>
      </c>
      <c r="G27" s="140">
        <v>0</v>
      </c>
      <c r="H27" s="140">
        <v>0</v>
      </c>
      <c r="I27" s="140">
        <v>4.9504950594059412E-2</v>
      </c>
      <c r="J27" s="140">
        <v>1.0224384819652885E-2</v>
      </c>
      <c r="K27" s="140">
        <v>0.05</v>
      </c>
      <c r="L27" s="140">
        <v>5.940593899999997E-2</v>
      </c>
      <c r="M27" s="140">
        <v>4.8773349853679947E-2</v>
      </c>
      <c r="N27" s="140">
        <v>0.1</v>
      </c>
      <c r="O27" s="140">
        <v>4.8543687603883515E-2</v>
      </c>
      <c r="P27" s="140">
        <v>0</v>
      </c>
      <c r="Q27" s="140">
        <v>0.05</v>
      </c>
      <c r="R27" s="140">
        <v>0</v>
      </c>
      <c r="S27" s="140">
        <v>0</v>
      </c>
      <c r="T27" s="140">
        <v>0</v>
      </c>
      <c r="U27" s="140">
        <v>0</v>
      </c>
      <c r="V27" s="140">
        <v>0</v>
      </c>
      <c r="W27" s="140">
        <v>0.05</v>
      </c>
      <c r="X27" s="140">
        <v>0</v>
      </c>
      <c r="Y27" s="140">
        <v>0</v>
      </c>
      <c r="Z27" s="140">
        <v>0</v>
      </c>
      <c r="AA27" s="140">
        <v>0</v>
      </c>
      <c r="AB27" s="140">
        <v>0</v>
      </c>
      <c r="AC27" s="140">
        <v>0</v>
      </c>
      <c r="AD27" s="140">
        <v>0</v>
      </c>
      <c r="AE27" s="140">
        <v>0</v>
      </c>
      <c r="AF27" s="140">
        <v>0</v>
      </c>
      <c r="AG27" s="140">
        <v>0</v>
      </c>
      <c r="AH27" s="140">
        <v>0</v>
      </c>
      <c r="AI27" s="140">
        <v>0</v>
      </c>
      <c r="AJ27" s="140">
        <v>0</v>
      </c>
      <c r="AK27" s="140">
        <v>0</v>
      </c>
      <c r="AL27" s="140">
        <v>0</v>
      </c>
      <c r="AM27" s="140">
        <v>0</v>
      </c>
      <c r="AN27" s="140">
        <v>0</v>
      </c>
      <c r="AO27" s="140">
        <v>0</v>
      </c>
    </row>
    <row r="28" spans="1:41" customFormat="1" x14ac:dyDescent="0.15">
      <c r="A28" s="177" t="s">
        <v>218</v>
      </c>
      <c r="B28" s="140">
        <v>9.9999999999999985E-3</v>
      </c>
      <c r="C28" s="140">
        <v>0</v>
      </c>
      <c r="D28" s="140">
        <v>0</v>
      </c>
      <c r="E28" s="140">
        <v>0</v>
      </c>
      <c r="F28" s="140">
        <v>0</v>
      </c>
      <c r="G28" s="140">
        <v>0</v>
      </c>
      <c r="H28" s="140">
        <v>0</v>
      </c>
      <c r="I28" s="140">
        <v>0</v>
      </c>
      <c r="J28" s="140">
        <v>0</v>
      </c>
      <c r="K28" s="140">
        <v>0</v>
      </c>
      <c r="L28" s="140">
        <v>0</v>
      </c>
      <c r="M28" s="140">
        <v>9.7546699707359904E-3</v>
      </c>
      <c r="N28" s="140">
        <v>0</v>
      </c>
      <c r="O28" s="140">
        <v>0</v>
      </c>
      <c r="P28" s="140">
        <v>0</v>
      </c>
      <c r="Q28" s="140">
        <v>0</v>
      </c>
      <c r="R28" s="140">
        <v>0</v>
      </c>
      <c r="S28" s="140">
        <v>0</v>
      </c>
      <c r="T28" s="140">
        <v>0</v>
      </c>
      <c r="U28" s="140">
        <v>0</v>
      </c>
      <c r="V28" s="140">
        <v>0</v>
      </c>
      <c r="W28" s="140">
        <v>0</v>
      </c>
      <c r="X28" s="140">
        <v>0</v>
      </c>
      <c r="Y28" s="140">
        <v>0</v>
      </c>
      <c r="Z28" s="140">
        <v>0</v>
      </c>
      <c r="AA28" s="140">
        <v>0</v>
      </c>
      <c r="AB28" s="140">
        <v>0</v>
      </c>
      <c r="AC28" s="140">
        <v>0</v>
      </c>
      <c r="AD28" s="140">
        <v>0</v>
      </c>
      <c r="AE28" s="140">
        <v>0</v>
      </c>
      <c r="AF28" s="140">
        <v>0</v>
      </c>
      <c r="AG28" s="140">
        <v>0</v>
      </c>
      <c r="AH28" s="140">
        <v>0</v>
      </c>
      <c r="AI28" s="140">
        <v>0</v>
      </c>
      <c r="AJ28" s="140">
        <v>0</v>
      </c>
      <c r="AK28" s="140">
        <v>0</v>
      </c>
      <c r="AL28" s="140">
        <v>0</v>
      </c>
      <c r="AM28" s="140">
        <v>0</v>
      </c>
      <c r="AN28" s="140">
        <v>0</v>
      </c>
      <c r="AO28" s="140">
        <v>0</v>
      </c>
    </row>
    <row r="29" spans="1:41" customFormat="1" x14ac:dyDescent="0.15">
      <c r="A29" s="177" t="s">
        <v>219</v>
      </c>
      <c r="B29" s="140">
        <v>0</v>
      </c>
      <c r="C29" s="140">
        <v>0</v>
      </c>
      <c r="D29" s="140">
        <v>0</v>
      </c>
      <c r="E29" s="140">
        <v>0</v>
      </c>
      <c r="F29" s="140">
        <v>0</v>
      </c>
      <c r="G29" s="140">
        <v>0</v>
      </c>
      <c r="H29" s="140">
        <v>1.0101009983838385E-2</v>
      </c>
      <c r="I29" s="140">
        <v>0</v>
      </c>
      <c r="J29" s="140">
        <v>0</v>
      </c>
      <c r="K29" s="140">
        <v>0</v>
      </c>
      <c r="L29" s="140">
        <v>0</v>
      </c>
      <c r="M29" s="140">
        <v>0</v>
      </c>
      <c r="N29" s="140">
        <v>0</v>
      </c>
      <c r="O29" s="140">
        <v>9.7087379407766999E-3</v>
      </c>
      <c r="P29" s="140">
        <v>0</v>
      </c>
      <c r="Q29" s="140">
        <v>0</v>
      </c>
      <c r="R29" s="140">
        <v>0</v>
      </c>
      <c r="S29" s="140">
        <v>0</v>
      </c>
      <c r="T29" s="140">
        <v>0</v>
      </c>
      <c r="U29" s="140">
        <v>0</v>
      </c>
      <c r="V29" s="140">
        <v>0</v>
      </c>
      <c r="W29" s="140">
        <v>0</v>
      </c>
      <c r="X29" s="140">
        <v>0</v>
      </c>
      <c r="Y29" s="140">
        <v>0</v>
      </c>
      <c r="Z29" s="140">
        <v>0</v>
      </c>
      <c r="AA29" s="140">
        <v>0</v>
      </c>
      <c r="AB29" s="140">
        <v>0</v>
      </c>
      <c r="AC29" s="140">
        <v>0</v>
      </c>
      <c r="AD29" s="140">
        <v>0</v>
      </c>
      <c r="AE29" s="140">
        <v>0</v>
      </c>
      <c r="AF29" s="140">
        <v>0</v>
      </c>
      <c r="AG29" s="140">
        <v>0</v>
      </c>
      <c r="AH29" s="140">
        <v>0</v>
      </c>
      <c r="AI29" s="140">
        <v>0</v>
      </c>
      <c r="AJ29" s="140">
        <v>0</v>
      </c>
      <c r="AK29" s="140">
        <v>0</v>
      </c>
      <c r="AL29" s="140">
        <v>0</v>
      </c>
      <c r="AM29" s="140">
        <v>0</v>
      </c>
      <c r="AN29" s="140">
        <v>0</v>
      </c>
      <c r="AO29" s="140">
        <v>0</v>
      </c>
    </row>
    <row r="30" spans="1:41" customFormat="1" x14ac:dyDescent="0.15">
      <c r="A30" s="177" t="s">
        <v>220</v>
      </c>
      <c r="B30" s="140">
        <v>9.9999999999999985E-3</v>
      </c>
      <c r="C30" s="140">
        <v>0.05</v>
      </c>
      <c r="D30" s="140">
        <v>0</v>
      </c>
      <c r="E30" s="140">
        <v>1.9999999999999997E-2</v>
      </c>
      <c r="F30" s="140">
        <v>0</v>
      </c>
      <c r="G30" s="140">
        <v>0</v>
      </c>
      <c r="H30" s="140">
        <v>0</v>
      </c>
      <c r="I30" s="140">
        <v>0</v>
      </c>
      <c r="J30" s="140">
        <v>5.1121922198264495E-2</v>
      </c>
      <c r="K30" s="140">
        <v>0.02</v>
      </c>
      <c r="L30" s="140">
        <v>0</v>
      </c>
      <c r="M30" s="140">
        <v>0</v>
      </c>
      <c r="N30" s="140">
        <v>0</v>
      </c>
      <c r="O30" s="140">
        <v>1.9417475781553402E-2</v>
      </c>
      <c r="P30" s="140">
        <v>0.04</v>
      </c>
      <c r="Q30" s="140">
        <v>0.02</v>
      </c>
      <c r="R30" s="140">
        <v>0.01</v>
      </c>
      <c r="S30" s="140">
        <v>0</v>
      </c>
      <c r="T30" s="140">
        <v>0.05</v>
      </c>
      <c r="U30" s="140">
        <v>0</v>
      </c>
      <c r="V30" s="140">
        <v>3.9999999999999994E-2</v>
      </c>
      <c r="W30" s="140">
        <v>0</v>
      </c>
      <c r="X30" s="140">
        <v>0</v>
      </c>
      <c r="Y30" s="140">
        <v>0</v>
      </c>
      <c r="Z30" s="140">
        <v>0</v>
      </c>
      <c r="AA30" s="140">
        <v>0</v>
      </c>
      <c r="AB30" s="140">
        <v>0</v>
      </c>
      <c r="AC30" s="140">
        <v>0</v>
      </c>
      <c r="AD30" s="140">
        <v>0</v>
      </c>
      <c r="AE30" s="140">
        <v>0</v>
      </c>
      <c r="AF30" s="140">
        <v>0</v>
      </c>
      <c r="AG30" s="140">
        <v>0</v>
      </c>
      <c r="AH30" s="140">
        <v>0</v>
      </c>
      <c r="AI30" s="140">
        <v>0</v>
      </c>
      <c r="AJ30" s="140">
        <v>0</v>
      </c>
      <c r="AK30" s="140">
        <v>0</v>
      </c>
      <c r="AL30" s="140">
        <v>0</v>
      </c>
      <c r="AM30" s="140">
        <v>0</v>
      </c>
      <c r="AN30" s="140">
        <v>0</v>
      </c>
      <c r="AO30" s="140">
        <v>0</v>
      </c>
    </row>
    <row r="31" spans="1:41" customFormat="1" x14ac:dyDescent="0.15">
      <c r="A31" s="177" t="s">
        <v>221</v>
      </c>
      <c r="B31" s="140">
        <v>9.9999999999999985E-3</v>
      </c>
      <c r="C31" s="140">
        <v>0</v>
      </c>
      <c r="D31" s="140">
        <v>3.9999999999999994E-2</v>
      </c>
      <c r="E31" s="140">
        <v>0</v>
      </c>
      <c r="F31" s="140">
        <v>0</v>
      </c>
      <c r="G31" s="140">
        <v>0</v>
      </c>
      <c r="H31" s="140">
        <v>2.020201996767677E-2</v>
      </c>
      <c r="I31" s="140">
        <v>9.9009901188118823E-3</v>
      </c>
      <c r="J31" s="140">
        <v>4.0897538478611571E-2</v>
      </c>
      <c r="K31" s="140">
        <v>0.01</v>
      </c>
      <c r="L31" s="140">
        <v>9.9009902000000028E-3</v>
      </c>
      <c r="M31" s="140">
        <v>9.7546699707359904E-3</v>
      </c>
      <c r="N31" s="140">
        <v>0</v>
      </c>
      <c r="O31" s="140">
        <v>0</v>
      </c>
      <c r="P31" s="140">
        <v>0</v>
      </c>
      <c r="Q31" s="140">
        <v>0</v>
      </c>
      <c r="R31" s="140">
        <v>0</v>
      </c>
      <c r="S31" s="140">
        <v>0</v>
      </c>
      <c r="T31" s="140">
        <v>0</v>
      </c>
      <c r="U31" s="140">
        <v>0</v>
      </c>
      <c r="V31" s="140">
        <v>0</v>
      </c>
      <c r="W31" s="140">
        <v>0</v>
      </c>
      <c r="X31" s="140">
        <v>0</v>
      </c>
      <c r="Y31" s="140">
        <v>0</v>
      </c>
      <c r="Z31" s="140">
        <v>0</v>
      </c>
      <c r="AA31" s="140">
        <v>0</v>
      </c>
      <c r="AB31" s="140">
        <v>0</v>
      </c>
      <c r="AC31" s="140">
        <v>0</v>
      </c>
      <c r="AD31" s="140">
        <v>0</v>
      </c>
      <c r="AE31" s="140">
        <v>0</v>
      </c>
      <c r="AF31" s="140">
        <v>0</v>
      </c>
      <c r="AG31" s="140">
        <v>0</v>
      </c>
      <c r="AH31" s="140">
        <v>0</v>
      </c>
      <c r="AI31" s="140">
        <v>0</v>
      </c>
      <c r="AJ31" s="140">
        <v>0</v>
      </c>
      <c r="AK31" s="140">
        <v>0</v>
      </c>
      <c r="AL31" s="140">
        <v>0</v>
      </c>
      <c r="AM31" s="140">
        <v>0</v>
      </c>
      <c r="AN31" s="140">
        <v>0</v>
      </c>
      <c r="AO31" s="140">
        <v>0</v>
      </c>
    </row>
    <row r="32" spans="1:41" customFormat="1" x14ac:dyDescent="0.15">
      <c r="A32" s="177" t="s">
        <v>222</v>
      </c>
      <c r="B32" s="140">
        <v>1.9999999999999997E-2</v>
      </c>
      <c r="C32" s="140">
        <v>0</v>
      </c>
      <c r="D32" s="140">
        <v>1.9999999999999997E-2</v>
      </c>
      <c r="E32" s="140">
        <v>0</v>
      </c>
      <c r="F32" s="140">
        <v>0</v>
      </c>
      <c r="G32" s="140">
        <v>0</v>
      </c>
      <c r="H32" s="140">
        <v>0</v>
      </c>
      <c r="I32" s="140">
        <v>0</v>
      </c>
      <c r="J32" s="140">
        <v>0</v>
      </c>
      <c r="K32" s="140">
        <v>0</v>
      </c>
      <c r="L32" s="140">
        <v>0</v>
      </c>
      <c r="M32" s="140">
        <v>0</v>
      </c>
      <c r="N32" s="140">
        <v>0</v>
      </c>
      <c r="O32" s="140">
        <v>0</v>
      </c>
      <c r="P32" s="140">
        <v>0</v>
      </c>
      <c r="Q32" s="140">
        <v>0</v>
      </c>
      <c r="R32" s="140">
        <v>0</v>
      </c>
      <c r="S32" s="140">
        <v>0</v>
      </c>
      <c r="T32" s="140">
        <v>0</v>
      </c>
      <c r="U32" s="140">
        <v>0</v>
      </c>
      <c r="V32" s="140">
        <v>0</v>
      </c>
      <c r="W32" s="140">
        <v>0</v>
      </c>
      <c r="X32" s="140">
        <v>0</v>
      </c>
      <c r="Y32" s="140">
        <v>0</v>
      </c>
      <c r="Z32" s="140">
        <v>0</v>
      </c>
      <c r="AA32" s="140">
        <v>0</v>
      </c>
      <c r="AB32" s="140">
        <v>0</v>
      </c>
      <c r="AC32" s="140">
        <v>0</v>
      </c>
      <c r="AD32" s="140">
        <v>0</v>
      </c>
      <c r="AE32" s="140">
        <v>0</v>
      </c>
      <c r="AF32" s="140">
        <v>0</v>
      </c>
      <c r="AG32" s="140">
        <v>0</v>
      </c>
      <c r="AH32" s="140">
        <v>0</v>
      </c>
      <c r="AI32" s="140">
        <v>0</v>
      </c>
      <c r="AJ32" s="140">
        <v>0</v>
      </c>
      <c r="AK32" s="140">
        <v>0</v>
      </c>
      <c r="AL32" s="140">
        <v>0</v>
      </c>
      <c r="AM32" s="140">
        <v>0</v>
      </c>
      <c r="AN32" s="140">
        <v>0</v>
      </c>
      <c r="AO32" s="140">
        <v>0</v>
      </c>
    </row>
    <row r="33" spans="1:41" customFormat="1" x14ac:dyDescent="0.15">
      <c r="A33" s="177" t="s">
        <v>223</v>
      </c>
      <c r="B33" s="140">
        <v>0</v>
      </c>
      <c r="C33" s="140">
        <v>0</v>
      </c>
      <c r="D33" s="140">
        <v>0</v>
      </c>
      <c r="E33" s="140">
        <v>0</v>
      </c>
      <c r="F33" s="140">
        <v>0</v>
      </c>
      <c r="G33" s="140">
        <v>0</v>
      </c>
      <c r="H33" s="140">
        <v>0</v>
      </c>
      <c r="I33" s="140">
        <v>0</v>
      </c>
      <c r="J33" s="140">
        <v>0</v>
      </c>
      <c r="K33" s="140">
        <v>0</v>
      </c>
      <c r="L33" s="140">
        <v>9.9009902000000028E-3</v>
      </c>
      <c r="M33" s="140">
        <v>0</v>
      </c>
      <c r="N33" s="140">
        <v>0</v>
      </c>
      <c r="O33" s="140">
        <v>0</v>
      </c>
      <c r="P33" s="140">
        <v>0</v>
      </c>
      <c r="Q33" s="140">
        <v>0</v>
      </c>
      <c r="R33" s="140">
        <v>0</v>
      </c>
      <c r="S33" s="140">
        <v>0</v>
      </c>
      <c r="T33" s="140">
        <v>0</v>
      </c>
      <c r="U33" s="140">
        <v>0</v>
      </c>
      <c r="V33" s="140">
        <v>0</v>
      </c>
      <c r="W33" s="140">
        <v>0</v>
      </c>
      <c r="X33" s="140">
        <v>0</v>
      </c>
      <c r="Y33" s="140">
        <v>0</v>
      </c>
      <c r="Z33" s="140">
        <v>0</v>
      </c>
      <c r="AA33" s="140">
        <v>0</v>
      </c>
      <c r="AB33" s="140">
        <v>0</v>
      </c>
      <c r="AC33" s="140">
        <v>0</v>
      </c>
      <c r="AD33" s="140">
        <v>0</v>
      </c>
      <c r="AE33" s="140">
        <v>0</v>
      </c>
      <c r="AF33" s="140">
        <v>0</v>
      </c>
      <c r="AG33" s="140">
        <v>0</v>
      </c>
      <c r="AH33" s="140">
        <v>0</v>
      </c>
      <c r="AI33" s="140">
        <v>0</v>
      </c>
      <c r="AJ33" s="140">
        <v>0</v>
      </c>
      <c r="AK33" s="140">
        <v>0</v>
      </c>
      <c r="AL33" s="140">
        <v>0</v>
      </c>
      <c r="AM33" s="140">
        <v>0</v>
      </c>
      <c r="AN33" s="140">
        <v>0</v>
      </c>
      <c r="AO33" s="140">
        <v>0</v>
      </c>
    </row>
    <row r="34" spans="1:41" customFormat="1" x14ac:dyDescent="0.15">
      <c r="A34" s="177" t="s">
        <v>224</v>
      </c>
      <c r="B34" s="140">
        <v>0</v>
      </c>
      <c r="C34" s="140">
        <v>0</v>
      </c>
      <c r="D34" s="140">
        <v>0</v>
      </c>
      <c r="E34" s="140">
        <v>0</v>
      </c>
      <c r="F34" s="140">
        <v>9.9009901782178243E-3</v>
      </c>
      <c r="G34" s="140">
        <v>0.02</v>
      </c>
      <c r="H34" s="140">
        <v>5.0505053219191916E-2</v>
      </c>
      <c r="I34" s="140">
        <v>4.9504950594059412E-2</v>
      </c>
      <c r="J34" s="140">
        <v>5.1121922198264495E-2</v>
      </c>
      <c r="K34" s="140">
        <v>0.1</v>
      </c>
      <c r="L34" s="140">
        <v>9.9009902000000025E-2</v>
      </c>
      <c r="M34" s="140">
        <v>4.8773349853679947E-2</v>
      </c>
      <c r="N34" s="140">
        <v>0</v>
      </c>
      <c r="O34" s="140">
        <v>0.14563107411165047</v>
      </c>
      <c r="P34" s="140">
        <v>0</v>
      </c>
      <c r="Q34" s="140">
        <v>0.15</v>
      </c>
      <c r="R34" s="140">
        <v>0.1</v>
      </c>
      <c r="S34" s="140">
        <v>0</v>
      </c>
      <c r="T34" s="140">
        <v>0.05</v>
      </c>
      <c r="U34" s="140">
        <v>0</v>
      </c>
      <c r="V34" s="140">
        <v>0</v>
      </c>
      <c r="W34" s="140">
        <v>0.05</v>
      </c>
      <c r="X34" s="140">
        <v>0</v>
      </c>
      <c r="Y34" s="140">
        <v>0.1</v>
      </c>
      <c r="Z34" s="140">
        <v>0</v>
      </c>
      <c r="AA34" s="140">
        <v>0.01</v>
      </c>
      <c r="AB34" s="140">
        <v>0</v>
      </c>
      <c r="AC34" s="140">
        <v>0.15</v>
      </c>
      <c r="AD34" s="140">
        <v>0.05</v>
      </c>
      <c r="AE34" s="140">
        <v>2.0000000101999999E-2</v>
      </c>
      <c r="AF34" s="140">
        <v>0.02</v>
      </c>
      <c r="AG34" s="140">
        <v>2.0000000000000004E-2</v>
      </c>
      <c r="AH34" s="140">
        <v>0</v>
      </c>
      <c r="AI34" s="140">
        <v>0</v>
      </c>
      <c r="AJ34" s="140">
        <v>0</v>
      </c>
      <c r="AK34" s="140">
        <v>0</v>
      </c>
      <c r="AL34" s="140">
        <v>0</v>
      </c>
      <c r="AM34" s="140">
        <v>0</v>
      </c>
      <c r="AN34" s="140">
        <v>0</v>
      </c>
      <c r="AO34" s="140">
        <v>0</v>
      </c>
    </row>
    <row r="35" spans="1:41" customFormat="1" x14ac:dyDescent="0.15">
      <c r="A35" s="177" t="s">
        <v>225</v>
      </c>
      <c r="B35" s="140">
        <v>4.9999999999999989E-2</v>
      </c>
      <c r="C35" s="140">
        <v>0.02</v>
      </c>
      <c r="D35" s="140">
        <v>4.9999999999999989E-2</v>
      </c>
      <c r="E35" s="140">
        <v>4.9999999999999989E-2</v>
      </c>
      <c r="F35" s="140">
        <v>4.9504950891089118E-2</v>
      </c>
      <c r="G35" s="140">
        <v>0.25</v>
      </c>
      <c r="H35" s="140">
        <v>0.25252523959595963</v>
      </c>
      <c r="I35" s="140">
        <v>0.34653464415841578</v>
      </c>
      <c r="J35" s="140">
        <v>0.20448769239305783</v>
      </c>
      <c r="K35" s="140">
        <v>0.22</v>
      </c>
      <c r="L35" s="140">
        <v>0.34653464699999986</v>
      </c>
      <c r="M35" s="140">
        <v>0.34141343697575971</v>
      </c>
      <c r="N35" s="140">
        <v>0.35</v>
      </c>
      <c r="O35" s="140">
        <v>0.29126214822330093</v>
      </c>
      <c r="P35" s="140">
        <v>0.25</v>
      </c>
      <c r="Q35" s="140">
        <v>0.15</v>
      </c>
      <c r="R35" s="140">
        <v>0.84</v>
      </c>
      <c r="S35" s="140">
        <v>0.5</v>
      </c>
      <c r="T35" s="140">
        <v>0.25</v>
      </c>
      <c r="U35" s="140">
        <v>0.20000000000000004</v>
      </c>
      <c r="V35" s="140">
        <v>0.79999999999999982</v>
      </c>
      <c r="W35" s="140">
        <v>0.61</v>
      </c>
      <c r="X35" s="140">
        <v>0.1</v>
      </c>
      <c r="Y35" s="140">
        <v>0.25</v>
      </c>
      <c r="Z35" s="140">
        <v>0.05</v>
      </c>
      <c r="AA35" s="140">
        <v>0.4</v>
      </c>
      <c r="AB35" s="140">
        <v>0</v>
      </c>
      <c r="AC35" s="140">
        <v>0.25</v>
      </c>
      <c r="AD35" s="140">
        <v>0.15</v>
      </c>
      <c r="AE35" s="140">
        <v>5.9999995205999974E-2</v>
      </c>
      <c r="AF35" s="140">
        <v>0.05</v>
      </c>
      <c r="AG35" s="140">
        <v>5.000000000000001E-2</v>
      </c>
      <c r="AH35" s="140">
        <v>0</v>
      </c>
      <c r="AI35" s="140">
        <v>0.05</v>
      </c>
      <c r="AJ35" s="140">
        <v>0</v>
      </c>
      <c r="AK35" s="140">
        <v>0</v>
      </c>
      <c r="AL35" s="140">
        <v>0</v>
      </c>
      <c r="AM35" s="140">
        <v>0</v>
      </c>
      <c r="AN35" s="140">
        <v>0</v>
      </c>
      <c r="AO35" s="140">
        <v>0</v>
      </c>
    </row>
    <row r="36" spans="1:41" customFormat="1" x14ac:dyDescent="0.15">
      <c r="A36" s="177" t="s">
        <v>226</v>
      </c>
      <c r="B36" s="140">
        <v>8.9999999999999983E-2</v>
      </c>
      <c r="C36" s="140">
        <v>0.1</v>
      </c>
      <c r="D36" s="140">
        <v>9.9999999999999978E-2</v>
      </c>
      <c r="E36" s="140">
        <v>0.14999999999999997</v>
      </c>
      <c r="F36" s="140">
        <v>0.19801980356435647</v>
      </c>
      <c r="G36" s="140">
        <v>0.1</v>
      </c>
      <c r="H36" s="140">
        <v>0.20202021267676767</v>
      </c>
      <c r="I36" s="140">
        <v>0.13861386666336642</v>
      </c>
      <c r="J36" s="140">
        <v>0.35785345868785134</v>
      </c>
      <c r="K36" s="140">
        <v>0.33</v>
      </c>
      <c r="L36" s="140">
        <v>0.14851485500000008</v>
      </c>
      <c r="M36" s="140">
        <v>0.29264011912207966</v>
      </c>
      <c r="N36" s="140">
        <v>0.3</v>
      </c>
      <c r="O36" s="140">
        <v>9.7087375207767029E-2</v>
      </c>
      <c r="P36" s="140">
        <v>0.5</v>
      </c>
      <c r="Q36" s="140">
        <v>0.55000000000000004</v>
      </c>
      <c r="R36" s="140">
        <v>0.05</v>
      </c>
      <c r="S36" s="140">
        <v>0.5</v>
      </c>
      <c r="T36" s="140">
        <v>0.5</v>
      </c>
      <c r="U36" s="140">
        <v>0.70000000000000007</v>
      </c>
      <c r="V36" s="140">
        <v>4.9999999999999989E-2</v>
      </c>
      <c r="W36" s="140">
        <v>0.05</v>
      </c>
      <c r="X36" s="140">
        <v>0.65</v>
      </c>
      <c r="Y36" s="140">
        <v>0.35</v>
      </c>
      <c r="Z36" s="140">
        <v>0.46</v>
      </c>
      <c r="AA36" s="140">
        <v>0.13</v>
      </c>
      <c r="AB36" s="140">
        <v>0.5</v>
      </c>
      <c r="AC36" s="140">
        <v>0.05</v>
      </c>
      <c r="AD36" s="140">
        <v>0.1</v>
      </c>
      <c r="AE36" s="140">
        <v>9.0000000459000001E-2</v>
      </c>
      <c r="AF36" s="140">
        <v>0.1</v>
      </c>
      <c r="AG36" s="140">
        <v>5.000000000000001E-2</v>
      </c>
      <c r="AH36" s="140">
        <v>0.05</v>
      </c>
      <c r="AI36" s="140">
        <v>0</v>
      </c>
      <c r="AJ36" s="140">
        <v>0.05</v>
      </c>
      <c r="AK36" s="140">
        <v>0</v>
      </c>
      <c r="AL36" s="140">
        <v>0</v>
      </c>
      <c r="AM36" s="140">
        <v>0</v>
      </c>
      <c r="AN36" s="140">
        <v>0</v>
      </c>
      <c r="AO36" s="140">
        <v>0</v>
      </c>
    </row>
    <row r="37" spans="1:41" customFormat="1" x14ac:dyDescent="0.15">
      <c r="A37" s="177" t="s">
        <v>227</v>
      </c>
      <c r="B37" s="140">
        <v>0</v>
      </c>
      <c r="C37" s="140">
        <v>0.04</v>
      </c>
      <c r="D37" s="140">
        <v>0</v>
      </c>
      <c r="E37" s="140">
        <v>9.9999999999999978E-2</v>
      </c>
      <c r="F37" s="140">
        <v>0</v>
      </c>
      <c r="G37" s="140">
        <v>0</v>
      </c>
      <c r="H37" s="140">
        <v>0</v>
      </c>
      <c r="I37" s="140">
        <v>0</v>
      </c>
      <c r="J37" s="140">
        <v>0</v>
      </c>
      <c r="K37" s="140">
        <v>0</v>
      </c>
      <c r="L37" s="140">
        <v>9.9009902000000025E-2</v>
      </c>
      <c r="M37" s="140">
        <v>4.8773349853679947E-2</v>
      </c>
      <c r="N37" s="140">
        <v>0.15</v>
      </c>
      <c r="O37" s="140">
        <v>5.8252423644660226E-2</v>
      </c>
      <c r="P37" s="140">
        <v>0</v>
      </c>
      <c r="Q37" s="140">
        <v>0</v>
      </c>
      <c r="R37" s="140">
        <v>0</v>
      </c>
      <c r="S37" s="140">
        <v>0</v>
      </c>
      <c r="T37" s="140">
        <v>0.05</v>
      </c>
      <c r="U37" s="140">
        <v>0</v>
      </c>
      <c r="V37" s="140">
        <v>0</v>
      </c>
      <c r="W37" s="140">
        <v>0.05</v>
      </c>
      <c r="X37" s="140">
        <v>0.05</v>
      </c>
      <c r="Y37" s="140">
        <v>0</v>
      </c>
      <c r="Z37" s="140">
        <v>0.1</v>
      </c>
      <c r="AA37" s="140">
        <v>7.0000000000000007E-2</v>
      </c>
      <c r="AB37" s="140">
        <v>0</v>
      </c>
      <c r="AC37" s="140">
        <v>0.02</v>
      </c>
      <c r="AD37" s="140">
        <v>0</v>
      </c>
      <c r="AE37" s="140">
        <v>0</v>
      </c>
      <c r="AF37" s="140">
        <v>0</v>
      </c>
      <c r="AG37" s="140">
        <v>0</v>
      </c>
      <c r="AH37" s="140">
        <v>0</v>
      </c>
      <c r="AI37" s="140">
        <v>0</v>
      </c>
      <c r="AJ37" s="140">
        <v>0</v>
      </c>
      <c r="AK37" s="140">
        <v>0</v>
      </c>
      <c r="AL37" s="140">
        <v>0</v>
      </c>
      <c r="AM37" s="140">
        <v>0</v>
      </c>
      <c r="AN37" s="140">
        <v>0</v>
      </c>
      <c r="AO37" s="140">
        <v>0</v>
      </c>
    </row>
    <row r="38" spans="1:41" customFormat="1" x14ac:dyDescent="0.15">
      <c r="A38" s="177" t="s">
        <v>228</v>
      </c>
      <c r="B38" s="140">
        <v>0</v>
      </c>
      <c r="C38" s="140">
        <v>0</v>
      </c>
      <c r="D38" s="140">
        <v>0</v>
      </c>
      <c r="E38" s="140">
        <v>0</v>
      </c>
      <c r="F38" s="140">
        <v>0</v>
      </c>
      <c r="G38" s="140">
        <v>0</v>
      </c>
      <c r="H38" s="140">
        <v>1.0101009983838385E-2</v>
      </c>
      <c r="I38" s="140">
        <v>9.9009901188118823E-3</v>
      </c>
      <c r="J38" s="140">
        <v>0</v>
      </c>
      <c r="K38" s="140">
        <v>0</v>
      </c>
      <c r="L38" s="140">
        <v>0</v>
      </c>
      <c r="M38" s="140">
        <v>9.7546699707359904E-3</v>
      </c>
      <c r="N38" s="140">
        <v>0</v>
      </c>
      <c r="O38" s="140">
        <v>0</v>
      </c>
      <c r="P38" s="140">
        <v>0</v>
      </c>
      <c r="Q38" s="140">
        <v>0</v>
      </c>
      <c r="R38" s="140">
        <v>0</v>
      </c>
      <c r="S38" s="140">
        <v>0</v>
      </c>
      <c r="T38" s="140">
        <v>0</v>
      </c>
      <c r="U38" s="140">
        <v>0.10000000000000002</v>
      </c>
      <c r="V38" s="140">
        <v>0</v>
      </c>
      <c r="W38" s="140">
        <v>0.04</v>
      </c>
      <c r="X38" s="140">
        <v>0.2</v>
      </c>
      <c r="Y38" s="140">
        <v>0.05</v>
      </c>
      <c r="Z38" s="140">
        <v>0.39</v>
      </c>
      <c r="AA38" s="140">
        <v>0.01</v>
      </c>
      <c r="AB38" s="140">
        <v>0.5</v>
      </c>
      <c r="AC38" s="140">
        <v>0.05</v>
      </c>
      <c r="AD38" s="140">
        <v>0.1</v>
      </c>
      <c r="AE38" s="140">
        <v>0</v>
      </c>
      <c r="AF38" s="140">
        <v>0.2</v>
      </c>
      <c r="AG38" s="140">
        <v>0.60000000000000009</v>
      </c>
      <c r="AH38" s="140">
        <v>0</v>
      </c>
      <c r="AI38" s="140">
        <v>0.1</v>
      </c>
      <c r="AJ38" s="140">
        <v>0.9</v>
      </c>
      <c r="AK38" s="140">
        <v>0</v>
      </c>
      <c r="AL38" s="140">
        <v>0</v>
      </c>
      <c r="AM38" s="140">
        <v>0</v>
      </c>
      <c r="AN38" s="140">
        <v>0</v>
      </c>
      <c r="AO38" s="140">
        <v>0</v>
      </c>
    </row>
    <row r="39" spans="1:41" x14ac:dyDescent="0.15">
      <c r="A39" s="177" t="s">
        <v>229</v>
      </c>
      <c r="B39" s="140">
        <v>0</v>
      </c>
      <c r="C39" s="140">
        <v>0</v>
      </c>
      <c r="D39" s="140">
        <v>0</v>
      </c>
      <c r="E39" s="140">
        <v>0</v>
      </c>
      <c r="F39" s="140">
        <v>0</v>
      </c>
      <c r="G39" s="140">
        <v>0</v>
      </c>
      <c r="H39" s="140">
        <v>0</v>
      </c>
      <c r="I39" s="140">
        <v>0</v>
      </c>
      <c r="J39" s="140">
        <v>0</v>
      </c>
      <c r="K39" s="140">
        <v>0</v>
      </c>
      <c r="L39" s="140">
        <v>0</v>
      </c>
      <c r="M39" s="140">
        <v>0</v>
      </c>
      <c r="N39" s="140">
        <v>0</v>
      </c>
      <c r="O39" s="140">
        <v>4.8543687603883515E-2</v>
      </c>
      <c r="P39" s="140">
        <v>0.04</v>
      </c>
      <c r="Q39" s="140">
        <v>0</v>
      </c>
      <c r="R39" s="140">
        <v>0</v>
      </c>
      <c r="S39" s="140">
        <v>0</v>
      </c>
      <c r="T39" s="140">
        <v>0.1</v>
      </c>
      <c r="U39" s="140">
        <v>0</v>
      </c>
      <c r="V39" s="140">
        <v>4.9999999999999989E-2</v>
      </c>
      <c r="W39" s="140">
        <v>0.1</v>
      </c>
      <c r="X39" s="140">
        <v>0</v>
      </c>
      <c r="Y39" s="140">
        <v>0.15</v>
      </c>
      <c r="Z39" s="140">
        <v>0</v>
      </c>
      <c r="AA39" s="140">
        <v>0.03</v>
      </c>
      <c r="AB39" s="140">
        <v>0</v>
      </c>
      <c r="AC39" s="140">
        <v>0.43</v>
      </c>
      <c r="AD39" s="140">
        <v>0.2</v>
      </c>
      <c r="AE39" s="140">
        <v>0.10000000051000001</v>
      </c>
      <c r="AF39" s="140">
        <v>0.63</v>
      </c>
      <c r="AG39" s="140">
        <v>0.20000000000000004</v>
      </c>
      <c r="AH39" s="140">
        <v>0.4</v>
      </c>
      <c r="AI39" s="140">
        <v>0.4</v>
      </c>
      <c r="AJ39" s="140">
        <v>0</v>
      </c>
      <c r="AK39" s="140">
        <v>0.35</v>
      </c>
      <c r="AL39" s="140">
        <v>0</v>
      </c>
      <c r="AM39" s="140">
        <v>0</v>
      </c>
      <c r="AN39" s="140">
        <v>0</v>
      </c>
      <c r="AO39" s="140">
        <v>0</v>
      </c>
    </row>
    <row r="40" spans="1:41" x14ac:dyDescent="0.15">
      <c r="A40" s="177" t="s">
        <v>230</v>
      </c>
      <c r="B40" s="140">
        <v>0</v>
      </c>
      <c r="C40" s="140">
        <v>0</v>
      </c>
      <c r="D40" s="140">
        <v>0</v>
      </c>
      <c r="E40" s="140">
        <v>0</v>
      </c>
      <c r="F40" s="140">
        <v>0</v>
      </c>
      <c r="G40" s="140">
        <v>0</v>
      </c>
      <c r="H40" s="140">
        <v>0</v>
      </c>
      <c r="I40" s="140">
        <v>9.9009901188118823E-3</v>
      </c>
      <c r="J40" s="140">
        <v>0</v>
      </c>
      <c r="K40" s="140">
        <v>0</v>
      </c>
      <c r="L40" s="140">
        <v>0</v>
      </c>
      <c r="M40" s="140">
        <v>0</v>
      </c>
      <c r="N40" s="140">
        <v>0</v>
      </c>
      <c r="O40" s="140">
        <v>9.7087375207767029E-2</v>
      </c>
      <c r="P40" s="140">
        <v>0.06</v>
      </c>
      <c r="Q40" s="140">
        <v>0.05</v>
      </c>
      <c r="R40" s="140">
        <v>0</v>
      </c>
      <c r="S40" s="140">
        <v>0</v>
      </c>
      <c r="T40" s="140">
        <v>0</v>
      </c>
      <c r="U40" s="140">
        <v>0</v>
      </c>
      <c r="V40" s="140">
        <v>5.9999999999999984E-2</v>
      </c>
      <c r="W40" s="140">
        <v>0.05</v>
      </c>
      <c r="X40" s="140">
        <v>0</v>
      </c>
      <c r="Y40" s="140">
        <v>0.1</v>
      </c>
      <c r="Z40" s="140">
        <v>0</v>
      </c>
      <c r="AA40" s="140">
        <v>0.35</v>
      </c>
      <c r="AB40" s="140">
        <v>0</v>
      </c>
      <c r="AC40" s="140">
        <v>0.05</v>
      </c>
      <c r="AD40" s="140">
        <v>0.4</v>
      </c>
      <c r="AE40" s="140">
        <v>0.72000000367200001</v>
      </c>
      <c r="AF40" s="140">
        <v>0</v>
      </c>
      <c r="AG40" s="140">
        <v>8.0000000000000016E-2</v>
      </c>
      <c r="AH40" s="140">
        <v>0.55000000000000004</v>
      </c>
      <c r="AI40" s="140">
        <v>0.45</v>
      </c>
      <c r="AJ40" s="140">
        <v>0.05</v>
      </c>
      <c r="AK40" s="140">
        <v>0.65</v>
      </c>
      <c r="AL40" s="140">
        <v>0</v>
      </c>
      <c r="AM40" s="140">
        <v>0</v>
      </c>
      <c r="AN40" s="140">
        <v>0</v>
      </c>
      <c r="AO40" s="140">
        <v>0</v>
      </c>
    </row>
    <row r="41" spans="1:41" x14ac:dyDescent="0.15">
      <c r="A41" s="177" t="s">
        <v>231</v>
      </c>
      <c r="B41" s="140">
        <v>0</v>
      </c>
      <c r="C41" s="140">
        <v>0</v>
      </c>
      <c r="D41" s="140">
        <v>0</v>
      </c>
      <c r="E41" s="140">
        <v>0</v>
      </c>
      <c r="F41" s="140">
        <v>0</v>
      </c>
      <c r="G41" s="140">
        <v>0</v>
      </c>
      <c r="H41" s="140">
        <v>0</v>
      </c>
      <c r="I41" s="140">
        <v>0</v>
      </c>
      <c r="J41" s="140">
        <v>0</v>
      </c>
      <c r="K41" s="140">
        <v>0</v>
      </c>
      <c r="L41" s="140">
        <v>0</v>
      </c>
      <c r="M41" s="140">
        <v>0</v>
      </c>
      <c r="N41" s="140">
        <v>0</v>
      </c>
      <c r="O41" s="140">
        <v>0</v>
      </c>
      <c r="P41" s="140">
        <v>0</v>
      </c>
      <c r="Q41" s="140">
        <v>0</v>
      </c>
      <c r="R41" s="140">
        <v>0</v>
      </c>
      <c r="S41" s="140">
        <v>0</v>
      </c>
      <c r="T41" s="140">
        <v>0</v>
      </c>
      <c r="U41" s="140">
        <v>0</v>
      </c>
      <c r="V41" s="140">
        <v>0</v>
      </c>
      <c r="W41" s="140">
        <v>0</v>
      </c>
      <c r="X41" s="140">
        <v>0</v>
      </c>
      <c r="Y41" s="140">
        <v>0</v>
      </c>
      <c r="Z41" s="140">
        <v>0</v>
      </c>
      <c r="AA41" s="140">
        <v>0</v>
      </c>
      <c r="AB41" s="140">
        <v>0</v>
      </c>
      <c r="AC41" s="140">
        <v>0</v>
      </c>
      <c r="AD41" s="140">
        <v>0</v>
      </c>
      <c r="AE41" s="140">
        <v>0</v>
      </c>
      <c r="AF41" s="140">
        <v>0</v>
      </c>
      <c r="AG41" s="140">
        <v>0</v>
      </c>
      <c r="AH41" s="140">
        <v>0</v>
      </c>
      <c r="AI41" s="140">
        <v>0</v>
      </c>
      <c r="AJ41" s="140">
        <v>0</v>
      </c>
      <c r="AK41" s="140">
        <v>0</v>
      </c>
      <c r="AL41" s="140">
        <v>0</v>
      </c>
      <c r="AM41" s="140">
        <v>0</v>
      </c>
      <c r="AN41" s="140">
        <v>0</v>
      </c>
      <c r="AO41" s="140">
        <v>0</v>
      </c>
    </row>
    <row r="42" spans="1:41" x14ac:dyDescent="0.15">
      <c r="A42" s="177" t="s">
        <v>233</v>
      </c>
      <c r="B42" s="140">
        <v>0</v>
      </c>
      <c r="C42" s="140">
        <v>0</v>
      </c>
      <c r="D42" s="140">
        <v>0</v>
      </c>
      <c r="E42" s="140">
        <v>0</v>
      </c>
      <c r="F42" s="140">
        <v>0</v>
      </c>
      <c r="G42" s="140">
        <v>0</v>
      </c>
      <c r="H42" s="140">
        <v>0</v>
      </c>
      <c r="I42" s="140">
        <v>0</v>
      </c>
      <c r="J42" s="140">
        <v>0</v>
      </c>
      <c r="K42" s="140">
        <v>0</v>
      </c>
      <c r="L42" s="140">
        <v>0</v>
      </c>
      <c r="M42" s="140">
        <v>0</v>
      </c>
      <c r="N42" s="140">
        <v>0</v>
      </c>
      <c r="O42" s="140">
        <v>0</v>
      </c>
      <c r="P42" s="140">
        <v>0</v>
      </c>
      <c r="Q42" s="140">
        <v>0</v>
      </c>
      <c r="R42" s="140">
        <v>0</v>
      </c>
      <c r="S42" s="140">
        <v>0</v>
      </c>
      <c r="T42" s="140">
        <v>0</v>
      </c>
      <c r="U42" s="140">
        <v>0</v>
      </c>
      <c r="V42" s="140">
        <v>0</v>
      </c>
      <c r="W42" s="140">
        <v>0</v>
      </c>
      <c r="X42" s="140">
        <v>0</v>
      </c>
      <c r="Y42" s="140">
        <v>0</v>
      </c>
      <c r="Z42" s="140">
        <v>0</v>
      </c>
      <c r="AA42" s="140">
        <v>0</v>
      </c>
      <c r="AB42" s="140">
        <v>0</v>
      </c>
      <c r="AC42" s="140">
        <v>0</v>
      </c>
      <c r="AD42" s="140">
        <v>0</v>
      </c>
      <c r="AE42" s="140">
        <v>0</v>
      </c>
      <c r="AF42" s="140">
        <v>0</v>
      </c>
      <c r="AG42" s="140">
        <v>0</v>
      </c>
      <c r="AH42" s="140">
        <v>0</v>
      </c>
      <c r="AI42" s="140">
        <v>0</v>
      </c>
      <c r="AJ42" s="140">
        <v>0</v>
      </c>
      <c r="AK42" s="140">
        <v>0</v>
      </c>
      <c r="AL42" s="140">
        <v>0</v>
      </c>
      <c r="AM42" s="140">
        <v>0</v>
      </c>
      <c r="AN42" s="140">
        <v>0</v>
      </c>
      <c r="AO42" s="140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10" customWidth="1"/>
    <col min="5" max="6" width="2.33203125" style="109" bestFit="1" customWidth="1"/>
    <col min="7" max="8" width="8.83203125" style="110"/>
  </cols>
  <sheetData>
    <row r="1" spans="1:8" ht="70" x14ac:dyDescent="0.15">
      <c r="A1" s="5" t="s">
        <v>20</v>
      </c>
      <c r="B1" s="1" t="s">
        <v>0</v>
      </c>
      <c r="C1" s="180" t="s">
        <v>230</v>
      </c>
      <c r="D1" s="180" t="s">
        <v>231</v>
      </c>
      <c r="E1" s="180" t="s">
        <v>234</v>
      </c>
      <c r="F1" s="180" t="s">
        <v>235</v>
      </c>
      <c r="G1"/>
      <c r="H1"/>
    </row>
    <row r="2" spans="1:8" x14ac:dyDescent="0.15">
      <c r="A2">
        <v>1</v>
      </c>
      <c r="B2" s="179" t="s">
        <v>193</v>
      </c>
      <c r="C2" s="110">
        <v>1</v>
      </c>
      <c r="D2" s="110">
        <v>0</v>
      </c>
      <c r="E2" s="109">
        <v>0</v>
      </c>
      <c r="F2" s="109">
        <v>1</v>
      </c>
      <c r="G2"/>
      <c r="H2"/>
    </row>
    <row r="3" spans="1:8" x14ac:dyDescent="0.15">
      <c r="A3">
        <v>2</v>
      </c>
      <c r="B3" s="179" t="s">
        <v>194</v>
      </c>
      <c r="C3" s="110">
        <v>1</v>
      </c>
      <c r="D3" s="110">
        <v>0</v>
      </c>
      <c r="E3" s="109">
        <v>0</v>
      </c>
      <c r="F3" s="109">
        <v>1</v>
      </c>
      <c r="G3"/>
      <c r="H3"/>
    </row>
    <row r="4" spans="1:8" x14ac:dyDescent="0.15">
      <c r="A4">
        <v>3</v>
      </c>
      <c r="B4" s="179" t="s">
        <v>195</v>
      </c>
      <c r="C4" s="110">
        <v>1</v>
      </c>
      <c r="D4" s="110">
        <v>0</v>
      </c>
      <c r="E4" s="109">
        <v>0</v>
      </c>
      <c r="F4" s="109">
        <v>1</v>
      </c>
      <c r="G4"/>
      <c r="H4"/>
    </row>
    <row r="5" spans="1:8" x14ac:dyDescent="0.15">
      <c r="A5">
        <v>4</v>
      </c>
      <c r="B5" s="179" t="s">
        <v>196</v>
      </c>
      <c r="C5" s="110">
        <v>1</v>
      </c>
      <c r="D5" s="110">
        <v>0</v>
      </c>
      <c r="E5" s="109">
        <v>0</v>
      </c>
      <c r="F5" s="109">
        <v>1</v>
      </c>
      <c r="G5"/>
      <c r="H5"/>
    </row>
    <row r="6" spans="1:8" x14ac:dyDescent="0.15">
      <c r="A6">
        <v>5</v>
      </c>
      <c r="B6" s="179" t="s">
        <v>197</v>
      </c>
      <c r="C6" s="110">
        <v>1</v>
      </c>
      <c r="D6" s="110">
        <v>0</v>
      </c>
      <c r="E6" s="109">
        <v>0</v>
      </c>
      <c r="F6" s="109">
        <v>1</v>
      </c>
      <c r="G6"/>
      <c r="H6"/>
    </row>
    <row r="7" spans="1:8" x14ac:dyDescent="0.15">
      <c r="A7">
        <v>6</v>
      </c>
      <c r="B7" s="179" t="s">
        <v>198</v>
      </c>
      <c r="C7" s="110">
        <v>1</v>
      </c>
      <c r="D7" s="110">
        <v>0</v>
      </c>
      <c r="E7" s="109">
        <v>0</v>
      </c>
      <c r="F7" s="109">
        <v>1</v>
      </c>
      <c r="G7"/>
      <c r="H7"/>
    </row>
    <row r="8" spans="1:8" x14ac:dyDescent="0.15">
      <c r="A8">
        <v>7</v>
      </c>
      <c r="B8" s="179" t="s">
        <v>199</v>
      </c>
      <c r="C8" s="110">
        <v>1</v>
      </c>
      <c r="D8" s="110">
        <v>0</v>
      </c>
      <c r="E8" s="109">
        <v>0</v>
      </c>
      <c r="F8" s="109">
        <v>1</v>
      </c>
      <c r="G8"/>
      <c r="H8"/>
    </row>
    <row r="9" spans="1:8" x14ac:dyDescent="0.15">
      <c r="A9">
        <v>8</v>
      </c>
      <c r="B9" s="179" t="s">
        <v>200</v>
      </c>
      <c r="C9" s="110">
        <v>1</v>
      </c>
      <c r="D9" s="110">
        <v>0</v>
      </c>
      <c r="E9" s="109">
        <v>0</v>
      </c>
      <c r="F9" s="109">
        <v>1</v>
      </c>
      <c r="G9"/>
      <c r="H9"/>
    </row>
    <row r="10" spans="1:8" x14ac:dyDescent="0.15">
      <c r="A10">
        <v>9</v>
      </c>
      <c r="B10" s="179" t="s">
        <v>201</v>
      </c>
      <c r="C10" s="110">
        <v>1</v>
      </c>
      <c r="D10" s="110">
        <v>0</v>
      </c>
      <c r="E10" s="109">
        <v>0</v>
      </c>
      <c r="F10" s="109">
        <v>1</v>
      </c>
      <c r="G10"/>
      <c r="H10"/>
    </row>
    <row r="11" spans="1:8" x14ac:dyDescent="0.15">
      <c r="A11">
        <v>10</v>
      </c>
      <c r="B11" s="179" t="s">
        <v>202</v>
      </c>
      <c r="C11" s="110">
        <v>1</v>
      </c>
      <c r="D11" s="110">
        <v>0</v>
      </c>
      <c r="E11" s="109">
        <v>0</v>
      </c>
      <c r="F11" s="109">
        <v>1</v>
      </c>
      <c r="G11"/>
      <c r="H11"/>
    </row>
    <row r="12" spans="1:8" x14ac:dyDescent="0.15">
      <c r="A12">
        <v>11</v>
      </c>
      <c r="B12" s="179" t="s">
        <v>203</v>
      </c>
      <c r="C12" s="110">
        <v>1</v>
      </c>
      <c r="D12" s="110">
        <v>0</v>
      </c>
      <c r="E12" s="109">
        <v>0</v>
      </c>
      <c r="F12" s="109">
        <v>1</v>
      </c>
      <c r="G12"/>
      <c r="H12"/>
    </row>
    <row r="13" spans="1:8" x14ac:dyDescent="0.15">
      <c r="A13">
        <v>12</v>
      </c>
      <c r="B13" s="179" t="s">
        <v>204</v>
      </c>
      <c r="C13" s="110">
        <v>1</v>
      </c>
      <c r="D13" s="110">
        <v>0</v>
      </c>
      <c r="E13" s="109">
        <v>0</v>
      </c>
      <c r="F13" s="109">
        <v>1</v>
      </c>
      <c r="G13"/>
      <c r="H13"/>
    </row>
    <row r="14" spans="1:8" x14ac:dyDescent="0.15">
      <c r="A14">
        <v>13</v>
      </c>
      <c r="B14" s="179" t="s">
        <v>166</v>
      </c>
      <c r="C14" s="110">
        <v>1</v>
      </c>
      <c r="D14" s="110">
        <v>0</v>
      </c>
      <c r="E14" s="109">
        <v>0</v>
      </c>
      <c r="F14" s="109">
        <v>1</v>
      </c>
      <c r="G14"/>
      <c r="H14"/>
    </row>
    <row r="15" spans="1:8" x14ac:dyDescent="0.15">
      <c r="A15">
        <v>14</v>
      </c>
      <c r="B15" s="179" t="s">
        <v>205</v>
      </c>
      <c r="C15" s="110">
        <v>1</v>
      </c>
      <c r="D15" s="110">
        <v>0</v>
      </c>
      <c r="E15" s="109">
        <v>0</v>
      </c>
      <c r="F15" s="109">
        <v>1</v>
      </c>
      <c r="G15"/>
      <c r="H15"/>
    </row>
    <row r="16" spans="1:8" x14ac:dyDescent="0.15">
      <c r="A16">
        <v>15</v>
      </c>
      <c r="B16" s="179" t="s">
        <v>206</v>
      </c>
      <c r="C16" s="110">
        <v>1</v>
      </c>
      <c r="D16" s="110">
        <v>0</v>
      </c>
      <c r="E16" s="109">
        <v>0</v>
      </c>
      <c r="F16" s="109">
        <v>1</v>
      </c>
      <c r="G16"/>
      <c r="H16"/>
    </row>
    <row r="17" spans="1:8" ht="15" customHeight="1" x14ac:dyDescent="0.15">
      <c r="A17">
        <v>16</v>
      </c>
      <c r="B17" s="179" t="s">
        <v>207</v>
      </c>
      <c r="C17" s="110">
        <v>1</v>
      </c>
      <c r="D17" s="110">
        <v>0</v>
      </c>
      <c r="E17" s="109">
        <v>0</v>
      </c>
      <c r="F17" s="109">
        <v>1</v>
      </c>
      <c r="G17"/>
      <c r="H17"/>
    </row>
    <row r="18" spans="1:8" ht="15" customHeight="1" x14ac:dyDescent="0.15">
      <c r="A18">
        <v>17</v>
      </c>
      <c r="B18" s="179" t="s">
        <v>208</v>
      </c>
      <c r="C18" s="110">
        <v>1</v>
      </c>
      <c r="D18" s="110">
        <v>0</v>
      </c>
      <c r="E18" s="109">
        <v>0</v>
      </c>
      <c r="F18" s="109">
        <v>1</v>
      </c>
      <c r="G18"/>
      <c r="H18"/>
    </row>
    <row r="19" spans="1:8" ht="15" customHeight="1" x14ac:dyDescent="0.15">
      <c r="A19">
        <v>18</v>
      </c>
      <c r="B19" s="179" t="s">
        <v>209</v>
      </c>
      <c r="C19" s="110">
        <v>1</v>
      </c>
      <c r="D19" s="110">
        <v>0</v>
      </c>
      <c r="E19" s="109">
        <v>0</v>
      </c>
      <c r="F19" s="109">
        <v>1</v>
      </c>
      <c r="G19"/>
      <c r="H19"/>
    </row>
    <row r="20" spans="1:8" ht="15" customHeight="1" x14ac:dyDescent="0.15">
      <c r="A20">
        <v>19</v>
      </c>
      <c r="B20" s="179" t="s">
        <v>210</v>
      </c>
      <c r="C20" s="110">
        <v>1</v>
      </c>
      <c r="D20" s="110">
        <v>0</v>
      </c>
      <c r="E20" s="109">
        <v>0</v>
      </c>
      <c r="F20" s="109">
        <v>1</v>
      </c>
      <c r="G20"/>
      <c r="H20"/>
    </row>
    <row r="21" spans="1:8" ht="15" customHeight="1" x14ac:dyDescent="0.15">
      <c r="A21">
        <v>20</v>
      </c>
      <c r="B21" s="179" t="s">
        <v>211</v>
      </c>
      <c r="C21" s="110">
        <v>1</v>
      </c>
      <c r="D21" s="110">
        <v>0</v>
      </c>
      <c r="E21" s="109">
        <v>0</v>
      </c>
      <c r="F21" s="109">
        <v>1</v>
      </c>
      <c r="G21"/>
      <c r="H21"/>
    </row>
    <row r="22" spans="1:8" ht="15" customHeight="1" x14ac:dyDescent="0.15">
      <c r="A22">
        <v>21</v>
      </c>
      <c r="B22" s="179" t="s">
        <v>212</v>
      </c>
      <c r="C22" s="110">
        <v>1</v>
      </c>
      <c r="D22" s="110">
        <v>0</v>
      </c>
      <c r="E22" s="109">
        <v>0</v>
      </c>
      <c r="F22" s="109">
        <v>1</v>
      </c>
      <c r="G22"/>
      <c r="H22"/>
    </row>
    <row r="23" spans="1:8" ht="15" customHeight="1" x14ac:dyDescent="0.15">
      <c r="A23">
        <v>22</v>
      </c>
      <c r="B23" s="179" t="s">
        <v>213</v>
      </c>
      <c r="C23" s="110">
        <v>1</v>
      </c>
      <c r="D23" s="110">
        <v>0</v>
      </c>
      <c r="E23" s="109">
        <v>0</v>
      </c>
      <c r="F23" s="109">
        <v>1</v>
      </c>
      <c r="G23"/>
      <c r="H23"/>
    </row>
    <row r="24" spans="1:8" ht="15" customHeight="1" x14ac:dyDescent="0.15">
      <c r="A24">
        <v>23</v>
      </c>
      <c r="B24" s="179" t="s">
        <v>214</v>
      </c>
      <c r="C24" s="110">
        <v>1</v>
      </c>
      <c r="D24" s="110">
        <v>0</v>
      </c>
      <c r="E24" s="109">
        <v>0</v>
      </c>
      <c r="F24" s="109">
        <v>1</v>
      </c>
      <c r="G24"/>
      <c r="H24"/>
    </row>
    <row r="25" spans="1:8" ht="15" customHeight="1" x14ac:dyDescent="0.15">
      <c r="A25">
        <v>24</v>
      </c>
      <c r="B25" s="179" t="s">
        <v>215</v>
      </c>
      <c r="C25" s="110">
        <v>1</v>
      </c>
      <c r="D25" s="110">
        <v>0</v>
      </c>
      <c r="E25" s="109">
        <v>0</v>
      </c>
      <c r="F25" s="109">
        <v>1</v>
      </c>
      <c r="G25"/>
      <c r="H25"/>
    </row>
    <row r="26" spans="1:8" ht="15" customHeight="1" x14ac:dyDescent="0.15">
      <c r="A26">
        <v>25</v>
      </c>
      <c r="B26" s="179" t="s">
        <v>216</v>
      </c>
      <c r="C26" s="110">
        <v>1</v>
      </c>
      <c r="D26" s="110">
        <v>0</v>
      </c>
      <c r="E26" s="109">
        <v>0</v>
      </c>
      <c r="F26" s="109">
        <v>1</v>
      </c>
      <c r="G26"/>
      <c r="H26"/>
    </row>
    <row r="27" spans="1:8" ht="15" customHeight="1" x14ac:dyDescent="0.15">
      <c r="A27">
        <v>26</v>
      </c>
      <c r="B27" s="179" t="s">
        <v>217</v>
      </c>
      <c r="C27" s="110">
        <v>1</v>
      </c>
      <c r="D27" s="110">
        <v>0</v>
      </c>
      <c r="E27" s="109">
        <v>0</v>
      </c>
      <c r="F27" s="109">
        <v>1</v>
      </c>
      <c r="G27"/>
      <c r="H27"/>
    </row>
    <row r="28" spans="1:8" ht="15" customHeight="1" x14ac:dyDescent="0.15">
      <c r="A28">
        <v>27</v>
      </c>
      <c r="B28" s="179" t="s">
        <v>218</v>
      </c>
      <c r="C28" s="110">
        <v>1</v>
      </c>
      <c r="D28" s="110">
        <v>0</v>
      </c>
      <c r="E28" s="109">
        <v>0</v>
      </c>
      <c r="F28" s="109">
        <v>1</v>
      </c>
      <c r="G28"/>
      <c r="H28"/>
    </row>
    <row r="29" spans="1:8" ht="15" customHeight="1" x14ac:dyDescent="0.15">
      <c r="A29">
        <v>28</v>
      </c>
      <c r="B29" s="179" t="s">
        <v>219</v>
      </c>
      <c r="C29" s="110">
        <v>1</v>
      </c>
      <c r="D29" s="110">
        <v>0</v>
      </c>
      <c r="E29" s="109">
        <v>0</v>
      </c>
      <c r="F29" s="109">
        <v>1</v>
      </c>
      <c r="G29"/>
      <c r="H29"/>
    </row>
    <row r="30" spans="1:8" ht="15" customHeight="1" x14ac:dyDescent="0.15">
      <c r="A30">
        <v>29</v>
      </c>
      <c r="B30" s="179" t="s">
        <v>220</v>
      </c>
      <c r="C30" s="110">
        <v>1</v>
      </c>
      <c r="D30" s="110">
        <v>0</v>
      </c>
      <c r="E30" s="109">
        <v>0</v>
      </c>
      <c r="F30" s="109">
        <v>1</v>
      </c>
      <c r="G30"/>
      <c r="H30"/>
    </row>
    <row r="31" spans="1:8" ht="15" customHeight="1" x14ac:dyDescent="0.15">
      <c r="A31">
        <v>30</v>
      </c>
      <c r="B31" s="179" t="s">
        <v>221</v>
      </c>
      <c r="C31" s="110">
        <v>1</v>
      </c>
      <c r="D31" s="110">
        <v>0</v>
      </c>
      <c r="E31" s="109">
        <v>0</v>
      </c>
      <c r="F31" s="109">
        <v>1</v>
      </c>
      <c r="G31"/>
      <c r="H31"/>
    </row>
    <row r="32" spans="1:8" ht="15" customHeight="1" x14ac:dyDescent="0.15">
      <c r="A32">
        <v>31</v>
      </c>
      <c r="B32" s="179" t="s">
        <v>222</v>
      </c>
      <c r="C32" s="110">
        <v>1</v>
      </c>
      <c r="D32" s="110">
        <v>0</v>
      </c>
      <c r="E32" s="109">
        <v>0</v>
      </c>
      <c r="F32" s="109">
        <v>1</v>
      </c>
    </row>
    <row r="33" spans="1:8" ht="15" customHeight="1" x14ac:dyDescent="0.15">
      <c r="A33">
        <v>32</v>
      </c>
      <c r="B33" s="179" t="s">
        <v>223</v>
      </c>
      <c r="C33" s="110">
        <v>1</v>
      </c>
      <c r="D33" s="110">
        <v>0</v>
      </c>
      <c r="E33" s="109">
        <v>0</v>
      </c>
      <c r="F33" s="109">
        <v>1</v>
      </c>
    </row>
    <row r="34" spans="1:8" ht="15" customHeight="1" x14ac:dyDescent="0.15">
      <c r="A34">
        <v>33</v>
      </c>
      <c r="B34" s="179" t="s">
        <v>224</v>
      </c>
      <c r="C34" s="110">
        <v>1</v>
      </c>
      <c r="D34" s="110">
        <v>0</v>
      </c>
      <c r="E34" s="109">
        <v>0</v>
      </c>
      <c r="F34" s="109">
        <v>1</v>
      </c>
    </row>
    <row r="35" spans="1:8" ht="15" customHeight="1" x14ac:dyDescent="0.15">
      <c r="A35">
        <v>34</v>
      </c>
      <c r="B35" s="179" t="s">
        <v>225</v>
      </c>
      <c r="C35" s="110">
        <v>1</v>
      </c>
      <c r="D35" s="110">
        <v>0</v>
      </c>
      <c r="E35" s="109">
        <v>0</v>
      </c>
      <c r="F35" s="109">
        <v>1</v>
      </c>
    </row>
    <row r="36" spans="1:8" ht="15" customHeight="1" x14ac:dyDescent="0.15">
      <c r="A36">
        <v>35</v>
      </c>
      <c r="B36" s="179" t="s">
        <v>226</v>
      </c>
      <c r="C36" s="110">
        <v>1</v>
      </c>
      <c r="D36" s="110">
        <v>0</v>
      </c>
      <c r="E36" s="110">
        <v>0</v>
      </c>
      <c r="F36" s="110">
        <v>1</v>
      </c>
      <c r="G36"/>
      <c r="H36"/>
    </row>
    <row r="37" spans="1:8" ht="15" customHeight="1" x14ac:dyDescent="0.15">
      <c r="A37">
        <v>36</v>
      </c>
      <c r="B37" s="179" t="s">
        <v>227</v>
      </c>
      <c r="C37" s="110">
        <v>1</v>
      </c>
      <c r="D37" s="110">
        <v>0</v>
      </c>
      <c r="E37" s="110">
        <v>0</v>
      </c>
      <c r="F37" s="110">
        <v>1</v>
      </c>
      <c r="G37"/>
      <c r="H37"/>
    </row>
    <row r="38" spans="1:8" ht="15" customHeight="1" x14ac:dyDescent="0.15">
      <c r="A38">
        <v>37</v>
      </c>
      <c r="B38" s="179" t="s">
        <v>228</v>
      </c>
      <c r="C38" s="110">
        <v>1</v>
      </c>
      <c r="D38" s="110">
        <v>0</v>
      </c>
      <c r="E38" s="110">
        <v>0</v>
      </c>
      <c r="F38" s="110">
        <v>1</v>
      </c>
      <c r="G38"/>
      <c r="H38"/>
    </row>
    <row r="39" spans="1:8" ht="15" customHeight="1" x14ac:dyDescent="0.15">
      <c r="A39">
        <v>38</v>
      </c>
      <c r="B39" s="179" t="s">
        <v>229</v>
      </c>
      <c r="C39" s="110">
        <v>1</v>
      </c>
      <c r="D39" s="110">
        <v>0</v>
      </c>
      <c r="E39" s="110">
        <v>0</v>
      </c>
      <c r="F39" s="110">
        <v>1</v>
      </c>
      <c r="G39"/>
      <c r="H39"/>
    </row>
    <row r="40" spans="1:8" ht="15" customHeight="1" x14ac:dyDescent="0.15">
      <c r="A40">
        <v>39</v>
      </c>
      <c r="B40" s="179" t="s">
        <v>230</v>
      </c>
      <c r="C40" s="110">
        <v>0</v>
      </c>
      <c r="D40" s="110">
        <v>1</v>
      </c>
      <c r="E40" s="110">
        <v>0</v>
      </c>
      <c r="F40" s="110">
        <v>1</v>
      </c>
      <c r="G40"/>
      <c r="H40"/>
    </row>
    <row r="41" spans="1:8" ht="15" customHeight="1" x14ac:dyDescent="0.15">
      <c r="A41">
        <v>40</v>
      </c>
      <c r="B41" s="179" t="s">
        <v>231</v>
      </c>
      <c r="C41" s="110">
        <v>0</v>
      </c>
      <c r="D41" s="110">
        <v>0</v>
      </c>
      <c r="E41" s="110">
        <v>1</v>
      </c>
      <c r="F41" s="110">
        <v>1</v>
      </c>
      <c r="G41"/>
      <c r="H41"/>
    </row>
    <row r="42" spans="1:8" ht="15" customHeight="1" x14ac:dyDescent="0.15">
      <c r="A42">
        <v>41</v>
      </c>
      <c r="B42" s="179" t="s">
        <v>232</v>
      </c>
      <c r="C42" s="110">
        <v>0</v>
      </c>
      <c r="D42" s="110">
        <v>1</v>
      </c>
      <c r="E42" s="110">
        <v>0</v>
      </c>
      <c r="F42" s="110">
        <v>1</v>
      </c>
      <c r="G42"/>
      <c r="H42"/>
    </row>
    <row r="43" spans="1:8" ht="15" customHeight="1" x14ac:dyDescent="0.15">
      <c r="C43"/>
      <c r="D43"/>
      <c r="E43" s="110"/>
      <c r="F43" s="110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0"/>
      <c r="F46" s="110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4" width="7.83203125" bestFit="1" customWidth="1"/>
    <col min="5" max="5" width="12.1640625" bestFit="1" customWidth="1"/>
  </cols>
  <sheetData>
    <row r="1" spans="1:5" s="111" customFormat="1" ht="112" x14ac:dyDescent="0.15">
      <c r="A1" s="5" t="s">
        <v>21</v>
      </c>
      <c r="B1" s="3" t="s">
        <v>0</v>
      </c>
      <c r="C1" s="182" t="s">
        <v>232</v>
      </c>
      <c r="D1" s="182" t="s">
        <v>236</v>
      </c>
      <c r="E1"/>
    </row>
    <row r="2" spans="1:5" ht="15" customHeight="1" x14ac:dyDescent="0.15">
      <c r="A2">
        <v>1</v>
      </c>
      <c r="B2" s="181" t="s">
        <v>193</v>
      </c>
      <c r="C2">
        <v>0.154</v>
      </c>
      <c r="D2">
        <v>0.154</v>
      </c>
    </row>
    <row r="3" spans="1:5" ht="15" customHeight="1" x14ac:dyDescent="0.15">
      <c r="A3">
        <v>2</v>
      </c>
      <c r="B3" s="181" t="s">
        <v>194</v>
      </c>
      <c r="C3">
        <v>1.2999999999999999E-2</v>
      </c>
      <c r="D3">
        <v>1.2999999999999999E-2</v>
      </c>
    </row>
    <row r="4" spans="1:5" ht="15" customHeight="1" x14ac:dyDescent="0.15">
      <c r="A4">
        <v>3</v>
      </c>
      <c r="B4" s="181" t="s">
        <v>195</v>
      </c>
      <c r="C4">
        <v>3.5499999999999997E-2</v>
      </c>
      <c r="D4">
        <v>3.5499999999999997E-2</v>
      </c>
    </row>
    <row r="5" spans="1:5" ht="15" customHeight="1" x14ac:dyDescent="0.15">
      <c r="A5">
        <v>4</v>
      </c>
      <c r="B5" s="181" t="s">
        <v>196</v>
      </c>
      <c r="C5">
        <v>8.8999999999999999E-3</v>
      </c>
      <c r="D5">
        <v>8.8999999999999999E-3</v>
      </c>
    </row>
    <row r="6" spans="1:5" ht="15" customHeight="1" x14ac:dyDescent="0.15">
      <c r="A6">
        <v>5</v>
      </c>
      <c r="B6" s="181" t="s">
        <v>197</v>
      </c>
      <c r="C6">
        <v>0.105</v>
      </c>
      <c r="D6">
        <v>0.105</v>
      </c>
    </row>
    <row r="7" spans="1:5" ht="15" customHeight="1" x14ac:dyDescent="0.15">
      <c r="A7">
        <v>6</v>
      </c>
      <c r="B7" s="181" t="s">
        <v>198</v>
      </c>
      <c r="C7">
        <v>2.1999999999999999E-2</v>
      </c>
      <c r="D7">
        <v>2.1999999999999999E-2</v>
      </c>
    </row>
    <row r="8" spans="1:5" ht="15" customHeight="1" x14ac:dyDescent="0.15">
      <c r="A8">
        <v>7</v>
      </c>
      <c r="B8" s="181" t="s">
        <v>199</v>
      </c>
      <c r="C8">
        <v>1.35E-2</v>
      </c>
      <c r="D8">
        <v>1.35E-2</v>
      </c>
    </row>
    <row r="9" spans="1:5" ht="15" customHeight="1" x14ac:dyDescent="0.15">
      <c r="A9">
        <v>8</v>
      </c>
      <c r="B9" s="181" t="s">
        <v>200</v>
      </c>
      <c r="C9">
        <v>0.22</v>
      </c>
      <c r="D9">
        <v>0.22</v>
      </c>
    </row>
    <row r="10" spans="1:5" ht="15" customHeight="1" x14ac:dyDescent="0.15">
      <c r="A10">
        <v>9</v>
      </c>
      <c r="B10" s="181" t="s">
        <v>201</v>
      </c>
      <c r="C10">
        <v>7.0000000000000007E-2</v>
      </c>
      <c r="D10">
        <v>7.0000000000000007E-2</v>
      </c>
    </row>
    <row r="11" spans="1:5" ht="15" customHeight="1" x14ac:dyDescent="0.15">
      <c r="A11">
        <v>10</v>
      </c>
      <c r="B11" s="181" t="s">
        <v>202</v>
      </c>
      <c r="C11">
        <v>1.2999999999999999E-2</v>
      </c>
      <c r="D11">
        <v>1.2999999999999999E-2</v>
      </c>
    </row>
    <row r="12" spans="1:5" ht="15" customHeight="1" x14ac:dyDescent="0.15">
      <c r="A12">
        <v>11</v>
      </c>
      <c r="B12" s="181" t="s">
        <v>203</v>
      </c>
      <c r="C12">
        <v>1.78E-2</v>
      </c>
      <c r="D12">
        <v>1.78E-2</v>
      </c>
    </row>
    <row r="13" spans="1:5" ht="15" customHeight="1" x14ac:dyDescent="0.15">
      <c r="A13">
        <v>12</v>
      </c>
      <c r="B13" s="181" t="s">
        <v>204</v>
      </c>
      <c r="C13">
        <v>1.7999999999999999E-2</v>
      </c>
      <c r="D13">
        <v>1.7999999999999999E-2</v>
      </c>
    </row>
    <row r="14" spans="1:5" ht="15" customHeight="1" x14ac:dyDescent="0.15">
      <c r="A14">
        <v>13</v>
      </c>
      <c r="B14" s="181" t="s">
        <v>166</v>
      </c>
      <c r="C14">
        <v>3.3000000000000002E-2</v>
      </c>
      <c r="D14">
        <v>3.3000000000000002E-2</v>
      </c>
    </row>
    <row r="15" spans="1:5" ht="15" customHeight="1" x14ac:dyDescent="0.15">
      <c r="A15">
        <v>14</v>
      </c>
      <c r="B15" s="181" t="s">
        <v>205</v>
      </c>
      <c r="C15">
        <v>5.2999999999999999E-2</v>
      </c>
      <c r="D15">
        <v>5.2999999999999999E-2</v>
      </c>
    </row>
    <row r="16" spans="1:5" ht="15" customHeight="1" x14ac:dyDescent="0.15">
      <c r="A16">
        <v>15</v>
      </c>
      <c r="B16" s="181" t="s">
        <v>206</v>
      </c>
      <c r="C16">
        <v>7.4999999999999997E-2</v>
      </c>
      <c r="D16">
        <v>7.4999999999999997E-2</v>
      </c>
    </row>
    <row r="17" spans="1:4" ht="15" customHeight="1" x14ac:dyDescent="0.15">
      <c r="A17">
        <v>16</v>
      </c>
      <c r="B17" s="181" t="s">
        <v>207</v>
      </c>
      <c r="C17">
        <v>5.3100000000000001E-2</v>
      </c>
      <c r="D17">
        <v>5.3100000000000001E-2</v>
      </c>
    </row>
    <row r="18" spans="1:4" ht="15" customHeight="1" x14ac:dyDescent="0.15">
      <c r="A18">
        <v>17</v>
      </c>
      <c r="B18" s="181" t="s">
        <v>208</v>
      </c>
      <c r="C18">
        <v>1.84E-2</v>
      </c>
      <c r="D18">
        <v>1.84E-2</v>
      </c>
    </row>
    <row r="19" spans="1:4" ht="15" customHeight="1" x14ac:dyDescent="0.15">
      <c r="A19">
        <v>18</v>
      </c>
      <c r="B19" s="181" t="s">
        <v>209</v>
      </c>
      <c r="C19">
        <v>6.2E-2</v>
      </c>
      <c r="D19">
        <v>6.2E-2</v>
      </c>
    </row>
    <row r="20" spans="1:4" ht="15" customHeight="1" x14ac:dyDescent="0.15">
      <c r="A20">
        <v>19</v>
      </c>
      <c r="B20" s="181" t="s">
        <v>210</v>
      </c>
      <c r="C20">
        <v>4.0000000000000001E-3</v>
      </c>
      <c r="D20">
        <v>4.0000000000000001E-3</v>
      </c>
    </row>
    <row r="21" spans="1:4" ht="15" customHeight="1" x14ac:dyDescent="0.15">
      <c r="A21">
        <v>20</v>
      </c>
      <c r="B21" s="181" t="s">
        <v>211</v>
      </c>
      <c r="C21">
        <v>0.27200000000000002</v>
      </c>
      <c r="D21">
        <v>0.27200000000000002</v>
      </c>
    </row>
    <row r="22" spans="1:4" ht="15" customHeight="1" x14ac:dyDescent="0.15">
      <c r="A22">
        <v>21</v>
      </c>
      <c r="B22" s="181" t="s">
        <v>212</v>
      </c>
      <c r="C22">
        <v>2.5999999999999999E-2</v>
      </c>
      <c r="D22">
        <v>2.5999999999999999E-2</v>
      </c>
    </row>
    <row r="23" spans="1:4" ht="15" customHeight="1" x14ac:dyDescent="0.15">
      <c r="A23">
        <v>22</v>
      </c>
      <c r="B23" s="181" t="s">
        <v>213</v>
      </c>
      <c r="C23">
        <v>0.2288</v>
      </c>
      <c r="D23">
        <v>0.2288</v>
      </c>
    </row>
    <row r="24" spans="1:4" ht="15" customHeight="1" x14ac:dyDescent="0.15">
      <c r="A24">
        <v>23</v>
      </c>
      <c r="B24" s="181" t="s">
        <v>214</v>
      </c>
      <c r="C24">
        <v>1.458</v>
      </c>
      <c r="D24">
        <v>1.458</v>
      </c>
    </row>
    <row r="25" spans="1:4" ht="15" customHeight="1" x14ac:dyDescent="0.15">
      <c r="A25">
        <v>24</v>
      </c>
      <c r="B25" s="181" t="s">
        <v>215</v>
      </c>
      <c r="C25">
        <v>9.64E-2</v>
      </c>
      <c r="D25">
        <v>9.64E-2</v>
      </c>
    </row>
    <row r="26" spans="1:4" ht="15" customHeight="1" x14ac:dyDescent="0.15">
      <c r="A26">
        <v>25</v>
      </c>
      <c r="B26" s="181" t="s">
        <v>216</v>
      </c>
      <c r="C26">
        <v>0.70299999999999996</v>
      </c>
      <c r="D26">
        <v>0.70299999999999996</v>
      </c>
    </row>
    <row r="27" spans="1:4" ht="15" customHeight="1" x14ac:dyDescent="0.15">
      <c r="A27">
        <v>26</v>
      </c>
      <c r="B27" s="181" t="s">
        <v>217</v>
      </c>
      <c r="C27">
        <v>0.1</v>
      </c>
      <c r="D27">
        <v>0.1</v>
      </c>
    </row>
    <row r="28" spans="1:4" ht="15" customHeight="1" x14ac:dyDescent="0.15">
      <c r="A28">
        <v>27</v>
      </c>
      <c r="B28" s="181" t="s">
        <v>218</v>
      </c>
      <c r="C28">
        <v>1.2999999999999999E-2</v>
      </c>
      <c r="D28">
        <v>1.2999999999999999E-2</v>
      </c>
    </row>
    <row r="29" spans="1:4" ht="15" customHeight="1" x14ac:dyDescent="0.15">
      <c r="A29">
        <v>28</v>
      </c>
      <c r="B29" s="181" t="s">
        <v>219</v>
      </c>
      <c r="C29">
        <v>4.1000000000000003E-3</v>
      </c>
      <c r="D29">
        <v>4.1000000000000003E-3</v>
      </c>
    </row>
    <row r="30" spans="1:4" ht="15" customHeight="1" x14ac:dyDescent="0.15">
      <c r="A30">
        <v>29</v>
      </c>
      <c r="B30" s="181" t="s">
        <v>220</v>
      </c>
      <c r="C30">
        <v>0.26600000000000001</v>
      </c>
      <c r="D30">
        <v>0.26600000000000001</v>
      </c>
    </row>
    <row r="31" spans="1:4" ht="15" customHeight="1" x14ac:dyDescent="0.15">
      <c r="A31">
        <v>30</v>
      </c>
      <c r="B31" s="181" t="s">
        <v>221</v>
      </c>
      <c r="C31">
        <v>0.13189999999999999</v>
      </c>
      <c r="D31">
        <v>0.13189999999999999</v>
      </c>
    </row>
    <row r="32" spans="1:4" ht="15" customHeight="1" x14ac:dyDescent="0.15">
      <c r="A32">
        <v>31</v>
      </c>
      <c r="B32" s="181" t="s">
        <v>222</v>
      </c>
      <c r="C32">
        <v>9.1900000000000003E-3</v>
      </c>
      <c r="D32">
        <v>9.1900000000000003E-3</v>
      </c>
    </row>
    <row r="33" spans="1:4" ht="15" customHeight="1" x14ac:dyDescent="0.15">
      <c r="A33">
        <v>32</v>
      </c>
      <c r="B33" s="181" t="s">
        <v>223</v>
      </c>
      <c r="C33">
        <v>4.0000000000000001E-3</v>
      </c>
      <c r="D33">
        <v>4.0000000000000001E-3</v>
      </c>
    </row>
    <row r="34" spans="1:4" ht="15" customHeight="1" x14ac:dyDescent="0.15">
      <c r="A34">
        <v>33</v>
      </c>
      <c r="B34" s="181" t="s">
        <v>224</v>
      </c>
      <c r="C34">
        <v>0</v>
      </c>
      <c r="D34">
        <v>0</v>
      </c>
    </row>
    <row r="35" spans="1:4" ht="15" customHeight="1" x14ac:dyDescent="0.15">
      <c r="A35">
        <v>34</v>
      </c>
      <c r="B35" s="181" t="s">
        <v>225</v>
      </c>
      <c r="C35">
        <v>0</v>
      </c>
      <c r="D35">
        <v>0</v>
      </c>
    </row>
    <row r="36" spans="1:4" ht="15" customHeight="1" x14ac:dyDescent="0.15">
      <c r="A36">
        <v>35</v>
      </c>
      <c r="B36" s="181" t="s">
        <v>226</v>
      </c>
      <c r="C36">
        <v>0</v>
      </c>
      <c r="D36">
        <v>0</v>
      </c>
    </row>
    <row r="37" spans="1:4" ht="15" customHeight="1" x14ac:dyDescent="0.15">
      <c r="A37">
        <v>36</v>
      </c>
      <c r="B37" s="181" t="s">
        <v>227</v>
      </c>
      <c r="C37">
        <v>0</v>
      </c>
      <c r="D37">
        <v>0</v>
      </c>
    </row>
    <row r="38" spans="1:4" ht="15" customHeight="1" x14ac:dyDescent="0.15">
      <c r="A38">
        <v>37</v>
      </c>
      <c r="B38" s="181" t="s">
        <v>228</v>
      </c>
      <c r="C38">
        <v>0</v>
      </c>
      <c r="D38">
        <v>0</v>
      </c>
    </row>
    <row r="39" spans="1:4" ht="15" customHeight="1" x14ac:dyDescent="0.15">
      <c r="A39">
        <v>38</v>
      </c>
      <c r="B39" s="181" t="s">
        <v>229</v>
      </c>
      <c r="C39">
        <v>0</v>
      </c>
      <c r="D39">
        <v>0</v>
      </c>
    </row>
    <row r="40" spans="1:4" ht="15" customHeight="1" x14ac:dyDescent="0.15">
      <c r="A40">
        <v>39</v>
      </c>
      <c r="B40" s="181" t="s">
        <v>230</v>
      </c>
      <c r="C40">
        <v>0</v>
      </c>
      <c r="D40">
        <v>0</v>
      </c>
    </row>
    <row r="41" spans="1:4" ht="15" customHeight="1" x14ac:dyDescent="0.15">
      <c r="A41">
        <v>40</v>
      </c>
      <c r="B41" s="181" t="s">
        <v>231</v>
      </c>
      <c r="C41">
        <v>0</v>
      </c>
      <c r="D41">
        <v>0</v>
      </c>
    </row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4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4" width="2.33203125" bestFit="1" customWidth="1"/>
    <col min="5" max="5" width="12.1640625" bestFit="1" customWidth="1"/>
  </cols>
  <sheetData>
    <row r="1" spans="1:4" s="111" customFormat="1" ht="112" x14ac:dyDescent="0.15">
      <c r="A1" s="5" t="s">
        <v>22</v>
      </c>
      <c r="B1" s="3" t="s">
        <v>0</v>
      </c>
      <c r="C1" s="184" t="s">
        <v>232</v>
      </c>
      <c r="D1" s="184" t="s">
        <v>236</v>
      </c>
    </row>
    <row r="2" spans="1:4" x14ac:dyDescent="0.15">
      <c r="A2">
        <v>1</v>
      </c>
      <c r="B2" s="183" t="s">
        <v>193</v>
      </c>
      <c r="C2">
        <v>0</v>
      </c>
      <c r="D2">
        <v>0</v>
      </c>
    </row>
    <row r="3" spans="1:4" x14ac:dyDescent="0.15">
      <c r="A3">
        <v>2</v>
      </c>
      <c r="B3" s="183" t="s">
        <v>194</v>
      </c>
      <c r="C3">
        <v>0</v>
      </c>
      <c r="D3">
        <v>0</v>
      </c>
    </row>
    <row r="4" spans="1:4" x14ac:dyDescent="0.15">
      <c r="A4">
        <v>3</v>
      </c>
      <c r="B4" s="183" t="s">
        <v>195</v>
      </c>
      <c r="C4">
        <v>0</v>
      </c>
      <c r="D4">
        <v>0</v>
      </c>
    </row>
    <row r="5" spans="1:4" x14ac:dyDescent="0.15">
      <c r="A5">
        <v>4</v>
      </c>
      <c r="B5" s="183" t="s">
        <v>196</v>
      </c>
      <c r="C5">
        <v>0</v>
      </c>
      <c r="D5">
        <v>0</v>
      </c>
    </row>
    <row r="6" spans="1:4" x14ac:dyDescent="0.15">
      <c r="A6">
        <v>5</v>
      </c>
      <c r="B6" s="183" t="s">
        <v>197</v>
      </c>
      <c r="C6">
        <v>0</v>
      </c>
      <c r="D6">
        <v>0</v>
      </c>
    </row>
    <row r="7" spans="1:4" x14ac:dyDescent="0.15">
      <c r="A7">
        <v>6</v>
      </c>
      <c r="B7" s="183" t="s">
        <v>198</v>
      </c>
      <c r="C7">
        <v>0</v>
      </c>
      <c r="D7">
        <v>0</v>
      </c>
    </row>
    <row r="8" spans="1:4" x14ac:dyDescent="0.15">
      <c r="A8">
        <v>7</v>
      </c>
      <c r="B8" s="183" t="s">
        <v>199</v>
      </c>
      <c r="C8">
        <v>0</v>
      </c>
      <c r="D8">
        <v>0</v>
      </c>
    </row>
    <row r="9" spans="1:4" x14ac:dyDescent="0.15">
      <c r="A9">
        <v>8</v>
      </c>
      <c r="B9" s="183" t="s">
        <v>200</v>
      </c>
      <c r="C9">
        <v>0</v>
      </c>
      <c r="D9">
        <v>0</v>
      </c>
    </row>
    <row r="10" spans="1:4" x14ac:dyDescent="0.15">
      <c r="A10">
        <v>9</v>
      </c>
      <c r="B10" s="183" t="s">
        <v>201</v>
      </c>
      <c r="C10">
        <v>0</v>
      </c>
      <c r="D10">
        <v>0</v>
      </c>
    </row>
    <row r="11" spans="1:4" x14ac:dyDescent="0.15">
      <c r="A11">
        <v>10</v>
      </c>
      <c r="B11" s="183" t="s">
        <v>202</v>
      </c>
      <c r="C11">
        <v>0</v>
      </c>
      <c r="D11">
        <v>0</v>
      </c>
    </row>
    <row r="12" spans="1:4" x14ac:dyDescent="0.15">
      <c r="A12">
        <v>11</v>
      </c>
      <c r="B12" s="183" t="s">
        <v>203</v>
      </c>
      <c r="C12">
        <v>0</v>
      </c>
      <c r="D12">
        <v>0</v>
      </c>
    </row>
    <row r="13" spans="1:4" x14ac:dyDescent="0.15">
      <c r="A13">
        <v>12</v>
      </c>
      <c r="B13" s="183" t="s">
        <v>204</v>
      </c>
      <c r="C13">
        <v>0</v>
      </c>
      <c r="D13">
        <v>0</v>
      </c>
    </row>
    <row r="14" spans="1:4" x14ac:dyDescent="0.15">
      <c r="A14">
        <v>13</v>
      </c>
      <c r="B14" s="183" t="s">
        <v>166</v>
      </c>
      <c r="C14">
        <v>0</v>
      </c>
      <c r="D14">
        <v>0</v>
      </c>
    </row>
    <row r="15" spans="1:4" x14ac:dyDescent="0.15">
      <c r="A15">
        <v>14</v>
      </c>
      <c r="B15" s="183" t="s">
        <v>205</v>
      </c>
      <c r="C15">
        <v>0</v>
      </c>
      <c r="D15">
        <v>0</v>
      </c>
    </row>
    <row r="16" spans="1:4" x14ac:dyDescent="0.15">
      <c r="A16">
        <v>15</v>
      </c>
      <c r="B16" s="183" t="s">
        <v>206</v>
      </c>
      <c r="C16">
        <v>0</v>
      </c>
      <c r="D16">
        <v>0</v>
      </c>
    </row>
    <row r="17" spans="1:4" x14ac:dyDescent="0.15">
      <c r="A17">
        <v>16</v>
      </c>
      <c r="B17" s="183" t="s">
        <v>207</v>
      </c>
      <c r="C17">
        <v>0</v>
      </c>
      <c r="D17">
        <v>0</v>
      </c>
    </row>
    <row r="18" spans="1:4" x14ac:dyDescent="0.15">
      <c r="A18">
        <v>17</v>
      </c>
      <c r="B18" s="183" t="s">
        <v>208</v>
      </c>
      <c r="C18">
        <v>0</v>
      </c>
      <c r="D18">
        <v>0</v>
      </c>
    </row>
    <row r="19" spans="1:4" x14ac:dyDescent="0.15">
      <c r="A19">
        <v>18</v>
      </c>
      <c r="B19" s="183" t="s">
        <v>209</v>
      </c>
      <c r="C19">
        <v>0</v>
      </c>
      <c r="D19">
        <v>0</v>
      </c>
    </row>
    <row r="20" spans="1:4" x14ac:dyDescent="0.15">
      <c r="A20">
        <v>19</v>
      </c>
      <c r="B20" s="183" t="s">
        <v>210</v>
      </c>
      <c r="C20">
        <v>0</v>
      </c>
      <c r="D20">
        <v>0</v>
      </c>
    </row>
    <row r="21" spans="1:4" x14ac:dyDescent="0.15">
      <c r="A21">
        <v>20</v>
      </c>
      <c r="B21" s="183" t="s">
        <v>211</v>
      </c>
      <c r="C21">
        <v>0</v>
      </c>
      <c r="D21">
        <v>0</v>
      </c>
    </row>
    <row r="22" spans="1:4" x14ac:dyDescent="0.15">
      <c r="A22">
        <v>21</v>
      </c>
      <c r="B22" s="183" t="s">
        <v>212</v>
      </c>
      <c r="C22">
        <v>0</v>
      </c>
      <c r="D22">
        <v>0</v>
      </c>
    </row>
    <row r="23" spans="1:4" x14ac:dyDescent="0.15">
      <c r="A23">
        <v>22</v>
      </c>
      <c r="B23" s="183" t="s">
        <v>213</v>
      </c>
      <c r="C23">
        <v>0</v>
      </c>
      <c r="D23">
        <v>0</v>
      </c>
    </row>
    <row r="24" spans="1:4" x14ac:dyDescent="0.15">
      <c r="A24">
        <v>23</v>
      </c>
      <c r="B24" s="183" t="s">
        <v>214</v>
      </c>
      <c r="C24">
        <v>0</v>
      </c>
      <c r="D24">
        <v>0</v>
      </c>
    </row>
    <row r="25" spans="1:4" x14ac:dyDescent="0.15">
      <c r="A25">
        <v>24</v>
      </c>
      <c r="B25" s="183" t="s">
        <v>215</v>
      </c>
      <c r="C25">
        <v>0</v>
      </c>
      <c r="D25">
        <v>0</v>
      </c>
    </row>
    <row r="26" spans="1:4" x14ac:dyDescent="0.15">
      <c r="A26">
        <v>25</v>
      </c>
      <c r="B26" s="183" t="s">
        <v>216</v>
      </c>
      <c r="C26">
        <v>0</v>
      </c>
      <c r="D26">
        <v>0</v>
      </c>
    </row>
    <row r="27" spans="1:4" x14ac:dyDescent="0.15">
      <c r="A27">
        <v>26</v>
      </c>
      <c r="B27" s="183" t="s">
        <v>217</v>
      </c>
      <c r="C27">
        <v>0</v>
      </c>
      <c r="D27">
        <v>0</v>
      </c>
    </row>
    <row r="28" spans="1:4" x14ac:dyDescent="0.15">
      <c r="A28">
        <v>27</v>
      </c>
      <c r="B28" s="183" t="s">
        <v>218</v>
      </c>
      <c r="C28">
        <v>0</v>
      </c>
      <c r="D28">
        <v>0</v>
      </c>
    </row>
    <row r="29" spans="1:4" x14ac:dyDescent="0.15">
      <c r="A29">
        <v>28</v>
      </c>
      <c r="B29" s="183" t="s">
        <v>219</v>
      </c>
      <c r="C29">
        <v>0</v>
      </c>
      <c r="D29">
        <v>0</v>
      </c>
    </row>
    <row r="30" spans="1:4" x14ac:dyDescent="0.15">
      <c r="A30">
        <v>29</v>
      </c>
      <c r="B30" s="183" t="s">
        <v>220</v>
      </c>
      <c r="C30">
        <v>0</v>
      </c>
      <c r="D30">
        <v>0</v>
      </c>
    </row>
    <row r="31" spans="1:4" x14ac:dyDescent="0.15">
      <c r="A31">
        <v>30</v>
      </c>
      <c r="B31" s="183" t="s">
        <v>221</v>
      </c>
      <c r="C31">
        <v>0</v>
      </c>
      <c r="D31">
        <v>0</v>
      </c>
    </row>
    <row r="32" spans="1:4" x14ac:dyDescent="0.15">
      <c r="A32">
        <v>31</v>
      </c>
      <c r="B32" s="183" t="s">
        <v>222</v>
      </c>
      <c r="C32">
        <v>0</v>
      </c>
      <c r="D32">
        <v>0</v>
      </c>
    </row>
    <row r="33" spans="1:4" x14ac:dyDescent="0.15">
      <c r="A33">
        <v>32</v>
      </c>
      <c r="B33" s="183" t="s">
        <v>223</v>
      </c>
      <c r="C33">
        <v>0</v>
      </c>
      <c r="D33">
        <v>0</v>
      </c>
    </row>
    <row r="34" spans="1:4" x14ac:dyDescent="0.15">
      <c r="A34">
        <v>33</v>
      </c>
      <c r="B34" s="183" t="s">
        <v>224</v>
      </c>
      <c r="C34">
        <v>0</v>
      </c>
      <c r="D34">
        <v>0</v>
      </c>
    </row>
    <row r="35" spans="1:4" x14ac:dyDescent="0.15">
      <c r="A35">
        <v>34</v>
      </c>
      <c r="B35" s="183" t="s">
        <v>225</v>
      </c>
      <c r="C35">
        <v>0</v>
      </c>
      <c r="D35">
        <v>0</v>
      </c>
    </row>
    <row r="36" spans="1:4" x14ac:dyDescent="0.15">
      <c r="A36">
        <v>35</v>
      </c>
      <c r="B36" s="183" t="s">
        <v>226</v>
      </c>
      <c r="C36">
        <v>0</v>
      </c>
      <c r="D36">
        <v>0</v>
      </c>
    </row>
    <row r="37" spans="1:4" x14ac:dyDescent="0.15">
      <c r="A37">
        <v>36</v>
      </c>
      <c r="B37" s="183" t="s">
        <v>227</v>
      </c>
      <c r="C37">
        <v>0</v>
      </c>
      <c r="D37">
        <v>0</v>
      </c>
    </row>
    <row r="38" spans="1:4" x14ac:dyDescent="0.15">
      <c r="A38">
        <v>37</v>
      </c>
      <c r="B38" s="183" t="s">
        <v>228</v>
      </c>
      <c r="C38">
        <v>0</v>
      </c>
      <c r="D38">
        <v>0</v>
      </c>
    </row>
    <row r="39" spans="1:4" x14ac:dyDescent="0.15">
      <c r="A39">
        <v>38</v>
      </c>
      <c r="B39" s="183" t="s">
        <v>229</v>
      </c>
      <c r="C39">
        <v>0</v>
      </c>
      <c r="D39">
        <v>0</v>
      </c>
    </row>
    <row r="40" spans="1:4" x14ac:dyDescent="0.15">
      <c r="A40">
        <v>39</v>
      </c>
      <c r="B40" s="183" t="s">
        <v>230</v>
      </c>
      <c r="C40">
        <v>0</v>
      </c>
      <c r="D40">
        <v>0</v>
      </c>
    </row>
    <row r="41" spans="1:4" x14ac:dyDescent="0.15">
      <c r="A41">
        <v>40</v>
      </c>
      <c r="B41" s="183" t="s">
        <v>231</v>
      </c>
      <c r="C41">
        <v>0</v>
      </c>
      <c r="D4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5" bestFit="1" customWidth="1"/>
    <col min="6" max="6" width="4.83203125" bestFit="1" customWidth="1"/>
    <col min="7" max="9" width="3.83203125" bestFit="1" customWidth="1"/>
    <col min="10" max="11" width="4.83203125" style="110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2" customFormat="1" ht="14" thickBot="1" x14ac:dyDescent="0.2">
      <c r="D1" s="113" t="s">
        <v>8</v>
      </c>
      <c r="E1" s="113" t="s">
        <v>0</v>
      </c>
      <c r="F1" s="114" t="s">
        <v>99</v>
      </c>
      <c r="G1" s="115" t="s">
        <v>84</v>
      </c>
      <c r="H1" s="115" t="s">
        <v>85</v>
      </c>
      <c r="I1" s="115" t="s">
        <v>86</v>
      </c>
      <c r="J1" s="115" t="s">
        <v>87</v>
      </c>
      <c r="K1" s="115" t="s">
        <v>88</v>
      </c>
      <c r="L1" s="116" t="s">
        <v>89</v>
      </c>
      <c r="M1" s="116" t="s">
        <v>93</v>
      </c>
      <c r="N1" s="116" t="s">
        <v>92</v>
      </c>
      <c r="O1" s="116" t="s">
        <v>90</v>
      </c>
      <c r="P1" s="116" t="s">
        <v>91</v>
      </c>
      <c r="Q1" s="117" t="s">
        <v>94</v>
      </c>
      <c r="R1" s="117" t="s">
        <v>95</v>
      </c>
      <c r="S1" s="117" t="s">
        <v>96</v>
      </c>
      <c r="T1" s="117" t="s">
        <v>97</v>
      </c>
      <c r="U1" s="117" t="s">
        <v>98</v>
      </c>
      <c r="V1" s="115" t="s">
        <v>100</v>
      </c>
      <c r="W1" s="115" t="s">
        <v>101</v>
      </c>
      <c r="X1" s="115" t="s">
        <v>102</v>
      </c>
      <c r="Y1" s="115" t="s">
        <v>134</v>
      </c>
      <c r="Z1" s="116" t="s">
        <v>103</v>
      </c>
      <c r="AA1" s="116" t="s">
        <v>104</v>
      </c>
      <c r="AB1" s="116" t="s">
        <v>105</v>
      </c>
      <c r="AC1" s="118" t="s">
        <v>135</v>
      </c>
      <c r="AD1" s="117" t="s">
        <v>106</v>
      </c>
      <c r="AE1" s="117" t="s">
        <v>107</v>
      </c>
      <c r="AF1" s="117" t="s">
        <v>108</v>
      </c>
      <c r="AG1" s="117" t="s">
        <v>136</v>
      </c>
      <c r="AH1" s="115" t="s">
        <v>109</v>
      </c>
      <c r="AI1" s="115" t="s">
        <v>111</v>
      </c>
      <c r="AJ1" s="115" t="s">
        <v>110</v>
      </c>
      <c r="AK1" s="116" t="s">
        <v>115</v>
      </c>
      <c r="AL1" s="116" t="s">
        <v>116</v>
      </c>
      <c r="AM1" s="116" t="s">
        <v>117</v>
      </c>
      <c r="AN1" s="117" t="s">
        <v>112</v>
      </c>
      <c r="AO1" s="117" t="s">
        <v>113</v>
      </c>
      <c r="AP1" s="117" t="s">
        <v>114</v>
      </c>
    </row>
    <row r="2" spans="1:42" x14ac:dyDescent="0.15">
      <c r="A2" s="119" t="s">
        <v>74</v>
      </c>
      <c r="B2" s="120">
        <v>1</v>
      </c>
      <c r="D2">
        <v>1</v>
      </c>
      <c r="E2" s="185" t="s">
        <v>193</v>
      </c>
      <c r="F2">
        <v>0.98</v>
      </c>
      <c r="G2">
        <v>0.8</v>
      </c>
      <c r="H2">
        <v>0.8</v>
      </c>
      <c r="I2">
        <v>0.8</v>
      </c>
      <c r="J2" s="110">
        <v>0.25</v>
      </c>
      <c r="K2" s="110">
        <v>0.05</v>
      </c>
    </row>
    <row r="3" spans="1:42" x14ac:dyDescent="0.15">
      <c r="A3" s="119" t="s">
        <v>75</v>
      </c>
      <c r="B3" s="121">
        <v>1</v>
      </c>
      <c r="D3">
        <v>2</v>
      </c>
      <c r="E3" s="185" t="s">
        <v>194</v>
      </c>
      <c r="F3">
        <v>0.98</v>
      </c>
      <c r="G3">
        <v>0.8</v>
      </c>
      <c r="H3">
        <v>0.8</v>
      </c>
      <c r="I3">
        <v>0.8</v>
      </c>
      <c r="J3" s="110">
        <v>0.25</v>
      </c>
      <c r="K3" s="110">
        <v>0.05</v>
      </c>
    </row>
    <row r="4" spans="1:42" x14ac:dyDescent="0.15">
      <c r="A4" s="119" t="s">
        <v>76</v>
      </c>
      <c r="B4" s="121">
        <v>1</v>
      </c>
      <c r="D4">
        <v>3</v>
      </c>
      <c r="E4" s="185" t="s">
        <v>195</v>
      </c>
      <c r="F4">
        <v>0.98</v>
      </c>
      <c r="G4">
        <v>0.8</v>
      </c>
      <c r="H4">
        <v>0.8</v>
      </c>
      <c r="I4">
        <v>0.8</v>
      </c>
      <c r="J4" s="110">
        <v>0.25</v>
      </c>
      <c r="K4" s="110">
        <v>0.05</v>
      </c>
    </row>
    <row r="5" spans="1:42" x14ac:dyDescent="0.15">
      <c r="A5" s="119" t="s">
        <v>77</v>
      </c>
      <c r="B5" s="121">
        <v>1</v>
      </c>
      <c r="D5">
        <v>4</v>
      </c>
      <c r="E5" s="185" t="s">
        <v>196</v>
      </c>
      <c r="F5">
        <v>0.98</v>
      </c>
      <c r="G5">
        <v>0.8</v>
      </c>
      <c r="H5">
        <v>0.8</v>
      </c>
      <c r="I5">
        <v>0.8</v>
      </c>
      <c r="J5" s="110">
        <v>0.25</v>
      </c>
      <c r="K5" s="110">
        <v>0.05</v>
      </c>
    </row>
    <row r="6" spans="1:42" x14ac:dyDescent="0.15">
      <c r="A6" s="119" t="s">
        <v>78</v>
      </c>
      <c r="B6" s="121">
        <v>1</v>
      </c>
      <c r="D6">
        <v>5</v>
      </c>
      <c r="E6" s="185" t="s">
        <v>197</v>
      </c>
      <c r="F6">
        <v>0.98</v>
      </c>
      <c r="G6">
        <v>0.8</v>
      </c>
      <c r="H6">
        <v>0.8</v>
      </c>
      <c r="I6">
        <v>0.8</v>
      </c>
      <c r="J6" s="110">
        <v>0.25</v>
      </c>
      <c r="K6" s="110">
        <v>0.05</v>
      </c>
    </row>
    <row r="7" spans="1:42" x14ac:dyDescent="0.15">
      <c r="A7" s="119" t="s">
        <v>79</v>
      </c>
      <c r="B7" s="121">
        <v>1</v>
      </c>
      <c r="D7">
        <v>6</v>
      </c>
      <c r="E7" s="185" t="s">
        <v>198</v>
      </c>
      <c r="F7">
        <v>0.98</v>
      </c>
      <c r="G7">
        <v>0.8</v>
      </c>
      <c r="H7">
        <v>0.8</v>
      </c>
      <c r="I7">
        <v>0.8</v>
      </c>
      <c r="J7" s="110">
        <v>0.25</v>
      </c>
      <c r="K7" s="110">
        <v>0.05</v>
      </c>
    </row>
    <row r="8" spans="1:42" x14ac:dyDescent="0.15">
      <c r="A8" s="119" t="s">
        <v>80</v>
      </c>
      <c r="B8" s="121">
        <v>1</v>
      </c>
      <c r="D8">
        <v>7</v>
      </c>
      <c r="E8" s="185" t="s">
        <v>199</v>
      </c>
      <c r="F8">
        <v>0.98</v>
      </c>
      <c r="G8">
        <v>0.8</v>
      </c>
      <c r="H8">
        <v>0.8</v>
      </c>
      <c r="I8">
        <v>0.8</v>
      </c>
      <c r="J8" s="110">
        <v>0.25</v>
      </c>
      <c r="K8" s="110">
        <v>0.05</v>
      </c>
    </row>
    <row r="9" spans="1:42" x14ac:dyDescent="0.15">
      <c r="A9" s="119" t="s">
        <v>81</v>
      </c>
      <c r="B9" s="121">
        <v>0.1</v>
      </c>
      <c r="C9" s="61" t="s">
        <v>150</v>
      </c>
      <c r="D9">
        <v>8</v>
      </c>
      <c r="E9" s="185" t="s">
        <v>200</v>
      </c>
      <c r="F9">
        <v>0.98</v>
      </c>
      <c r="G9">
        <v>0.8</v>
      </c>
      <c r="H9">
        <v>0.8</v>
      </c>
      <c r="I9">
        <v>0.8</v>
      </c>
      <c r="J9" s="110">
        <v>0.25</v>
      </c>
      <c r="K9" s="110">
        <v>0.05</v>
      </c>
    </row>
    <row r="10" spans="1:42" ht="14" thickBot="1" x14ac:dyDescent="0.2">
      <c r="A10" s="119" t="s">
        <v>149</v>
      </c>
      <c r="B10" s="122">
        <f>1/3</f>
        <v>0.33333333333333331</v>
      </c>
      <c r="C10" s="61" t="s">
        <v>150</v>
      </c>
      <c r="D10">
        <v>9</v>
      </c>
      <c r="E10" s="185" t="s">
        <v>201</v>
      </c>
      <c r="F10">
        <v>0.98</v>
      </c>
      <c r="G10">
        <v>0.8</v>
      </c>
      <c r="H10">
        <v>0.8</v>
      </c>
      <c r="I10">
        <v>0.8</v>
      </c>
      <c r="J10" s="110">
        <v>0.25</v>
      </c>
      <c r="K10" s="110">
        <v>0.05</v>
      </c>
    </row>
    <row r="11" spans="1:42" x14ac:dyDescent="0.15">
      <c r="D11">
        <v>10</v>
      </c>
      <c r="E11" s="185" t="s">
        <v>202</v>
      </c>
      <c r="F11">
        <v>0.98</v>
      </c>
      <c r="G11">
        <v>0.8</v>
      </c>
      <c r="H11">
        <v>0.8</v>
      </c>
      <c r="I11">
        <v>0.8</v>
      </c>
      <c r="J11" s="110">
        <v>0.25</v>
      </c>
      <c r="K11" s="110">
        <v>0.05</v>
      </c>
    </row>
    <row r="12" spans="1:42" x14ac:dyDescent="0.15">
      <c r="D12">
        <v>11</v>
      </c>
      <c r="E12" s="185" t="s">
        <v>203</v>
      </c>
      <c r="F12">
        <v>0.98</v>
      </c>
      <c r="G12">
        <v>0.8</v>
      </c>
      <c r="H12">
        <v>0.8</v>
      </c>
      <c r="I12">
        <v>0.8</v>
      </c>
      <c r="J12" s="110">
        <v>0.25</v>
      </c>
      <c r="K12" s="110">
        <v>0.05</v>
      </c>
    </row>
    <row r="13" spans="1:42" x14ac:dyDescent="0.15">
      <c r="D13">
        <v>12</v>
      </c>
      <c r="E13" s="185" t="s">
        <v>204</v>
      </c>
      <c r="F13">
        <v>0.98</v>
      </c>
      <c r="G13">
        <v>0.8</v>
      </c>
      <c r="H13">
        <v>0.8</v>
      </c>
      <c r="I13">
        <v>0.8</v>
      </c>
      <c r="J13" s="110">
        <v>0.25</v>
      </c>
      <c r="K13" s="110">
        <v>0.05</v>
      </c>
    </row>
    <row r="14" spans="1:42" x14ac:dyDescent="0.15">
      <c r="D14">
        <v>13</v>
      </c>
      <c r="E14" s="185" t="s">
        <v>166</v>
      </c>
      <c r="F14">
        <v>0.98</v>
      </c>
      <c r="G14">
        <v>0.8</v>
      </c>
      <c r="H14">
        <v>0.8</v>
      </c>
      <c r="I14">
        <v>0.8</v>
      </c>
      <c r="J14" s="110">
        <v>0.25</v>
      </c>
      <c r="K14" s="110">
        <v>0.05</v>
      </c>
    </row>
    <row r="15" spans="1:42" x14ac:dyDescent="0.15">
      <c r="D15">
        <v>14</v>
      </c>
      <c r="E15" s="185" t="s">
        <v>205</v>
      </c>
      <c r="F15">
        <v>0.98</v>
      </c>
      <c r="G15">
        <v>0.8</v>
      </c>
      <c r="H15">
        <v>0.8</v>
      </c>
      <c r="I15">
        <v>0.8</v>
      </c>
      <c r="J15" s="110">
        <v>0.25</v>
      </c>
      <c r="K15" s="110">
        <v>0.05</v>
      </c>
    </row>
    <row r="16" spans="1:42" x14ac:dyDescent="0.15">
      <c r="D16">
        <v>15</v>
      </c>
      <c r="E16" s="185" t="s">
        <v>206</v>
      </c>
      <c r="F16">
        <v>0.98</v>
      </c>
      <c r="G16">
        <v>0.8</v>
      </c>
      <c r="H16">
        <v>0.8</v>
      </c>
      <c r="I16">
        <v>0.8</v>
      </c>
      <c r="J16" s="110">
        <v>0.25</v>
      </c>
      <c r="K16" s="110">
        <v>0.05</v>
      </c>
    </row>
    <row r="17" spans="4:33" ht="15" customHeight="1" x14ac:dyDescent="0.15">
      <c r="D17">
        <v>16</v>
      </c>
      <c r="E17" s="185" t="s">
        <v>207</v>
      </c>
      <c r="F17">
        <v>0.98</v>
      </c>
      <c r="G17">
        <v>0.8</v>
      </c>
      <c r="H17">
        <v>0.8</v>
      </c>
      <c r="I17">
        <v>0.8</v>
      </c>
      <c r="J17" s="110">
        <v>0.25</v>
      </c>
      <c r="K17" s="110">
        <v>0.05</v>
      </c>
    </row>
    <row r="18" spans="4:33" ht="15" customHeight="1" x14ac:dyDescent="0.15">
      <c r="D18">
        <v>17</v>
      </c>
      <c r="E18" s="185" t="s">
        <v>208</v>
      </c>
      <c r="F18">
        <v>0.98</v>
      </c>
      <c r="G18">
        <v>0.8</v>
      </c>
      <c r="H18">
        <v>0.8</v>
      </c>
      <c r="I18">
        <v>0.8</v>
      </c>
      <c r="J18" s="110">
        <v>0.25</v>
      </c>
      <c r="K18" s="110">
        <v>0.05</v>
      </c>
    </row>
    <row r="19" spans="4:33" ht="15" customHeight="1" x14ac:dyDescent="0.15">
      <c r="D19">
        <v>18</v>
      </c>
      <c r="E19" s="185" t="s">
        <v>209</v>
      </c>
      <c r="F19">
        <v>0.98</v>
      </c>
      <c r="G19">
        <v>0.8</v>
      </c>
      <c r="H19">
        <v>0.8</v>
      </c>
      <c r="I19">
        <v>0.8</v>
      </c>
      <c r="J19" s="110">
        <v>0.25</v>
      </c>
      <c r="K19" s="110">
        <v>0.05</v>
      </c>
    </row>
    <row r="20" spans="4:33" ht="15" customHeight="1" x14ac:dyDescent="0.15">
      <c r="D20">
        <v>19</v>
      </c>
      <c r="E20" s="185" t="s">
        <v>210</v>
      </c>
      <c r="F20">
        <v>0.98</v>
      </c>
      <c r="G20">
        <v>0.8</v>
      </c>
      <c r="H20">
        <v>0.8</v>
      </c>
      <c r="I20">
        <v>0.8</v>
      </c>
      <c r="J20" s="110">
        <v>0.25</v>
      </c>
      <c r="K20" s="110">
        <v>0.05</v>
      </c>
    </row>
    <row r="21" spans="4:33" ht="15" customHeight="1" x14ac:dyDescent="0.15">
      <c r="D21">
        <v>20</v>
      </c>
      <c r="E21" s="185" t="s">
        <v>211</v>
      </c>
      <c r="F21">
        <v>0.98</v>
      </c>
      <c r="G21">
        <v>0.8</v>
      </c>
      <c r="H21">
        <v>0.8</v>
      </c>
      <c r="I21">
        <v>0.8</v>
      </c>
      <c r="J21" s="110">
        <v>0.25</v>
      </c>
      <c r="K21" s="110">
        <v>0.05</v>
      </c>
    </row>
    <row r="22" spans="4:33" ht="15" customHeight="1" x14ac:dyDescent="0.15">
      <c r="D22">
        <v>21</v>
      </c>
      <c r="E22" s="185" t="s">
        <v>212</v>
      </c>
      <c r="F22">
        <v>0.98</v>
      </c>
      <c r="G22">
        <v>0.8</v>
      </c>
      <c r="H22">
        <v>0.8</v>
      </c>
      <c r="I22">
        <v>0.8</v>
      </c>
      <c r="J22" s="110">
        <v>0.25</v>
      </c>
      <c r="K22" s="110">
        <v>0.05</v>
      </c>
    </row>
    <row r="23" spans="4:33" ht="15" customHeight="1" x14ac:dyDescent="0.15">
      <c r="D23">
        <v>22</v>
      </c>
      <c r="E23" s="185" t="s">
        <v>213</v>
      </c>
      <c r="F23">
        <v>0.98</v>
      </c>
      <c r="G23">
        <v>0.8</v>
      </c>
      <c r="H23">
        <v>0.8</v>
      </c>
      <c r="I23">
        <v>0.8</v>
      </c>
      <c r="J23" s="110">
        <v>0.25</v>
      </c>
      <c r="K23" s="110">
        <v>0.05</v>
      </c>
    </row>
    <row r="24" spans="4:33" ht="15" customHeight="1" x14ac:dyDescent="0.15">
      <c r="D24">
        <v>23</v>
      </c>
      <c r="E24" s="185" t="s">
        <v>214</v>
      </c>
      <c r="F24">
        <v>0.98</v>
      </c>
      <c r="G24">
        <v>0.8</v>
      </c>
      <c r="H24">
        <v>0.8</v>
      </c>
      <c r="I24">
        <v>0.8</v>
      </c>
      <c r="J24" s="110">
        <v>0.25</v>
      </c>
      <c r="K24" s="110">
        <v>0.05</v>
      </c>
    </row>
    <row r="25" spans="4:33" ht="15" customHeight="1" x14ac:dyDescent="0.15">
      <c r="D25">
        <v>24</v>
      </c>
      <c r="E25" s="185" t="s">
        <v>215</v>
      </c>
      <c r="F25">
        <v>0.98</v>
      </c>
      <c r="G25">
        <v>0.8</v>
      </c>
      <c r="H25">
        <v>0.8</v>
      </c>
      <c r="I25">
        <v>0.8</v>
      </c>
      <c r="J25" s="110">
        <v>0.25</v>
      </c>
      <c r="K25" s="110">
        <v>0.05</v>
      </c>
    </row>
    <row r="26" spans="4:33" ht="15" customHeight="1" x14ac:dyDescent="0.15">
      <c r="D26">
        <v>25</v>
      </c>
      <c r="E26" s="185" t="s">
        <v>216</v>
      </c>
      <c r="F26">
        <v>0.98</v>
      </c>
      <c r="G26">
        <v>0.8</v>
      </c>
      <c r="H26">
        <v>0.8</v>
      </c>
      <c r="I26">
        <v>0.8</v>
      </c>
      <c r="J26" s="110">
        <v>0.25</v>
      </c>
      <c r="K26" s="110">
        <v>0.05</v>
      </c>
    </row>
    <row r="27" spans="4:33" ht="15" customHeight="1" x14ac:dyDescent="0.15">
      <c r="D27">
        <v>26</v>
      </c>
      <c r="E27" s="185" t="s">
        <v>217</v>
      </c>
      <c r="F27">
        <v>0.98</v>
      </c>
      <c r="G27">
        <v>0.8</v>
      </c>
      <c r="H27">
        <v>0.8</v>
      </c>
      <c r="I27">
        <v>0.8</v>
      </c>
      <c r="J27" s="110">
        <v>0.25</v>
      </c>
      <c r="K27" s="110">
        <v>0.05</v>
      </c>
    </row>
    <row r="28" spans="4:33" ht="15" customHeight="1" x14ac:dyDescent="0.15">
      <c r="D28">
        <v>27</v>
      </c>
      <c r="E28" s="185" t="s">
        <v>218</v>
      </c>
      <c r="F28">
        <v>0.98</v>
      </c>
      <c r="G28">
        <v>0.8</v>
      </c>
      <c r="H28">
        <v>0.8</v>
      </c>
      <c r="I28">
        <v>0.8</v>
      </c>
      <c r="J28" s="110">
        <v>0.25</v>
      </c>
      <c r="K28" s="110">
        <v>0.05</v>
      </c>
    </row>
    <row r="29" spans="4:33" ht="15" customHeight="1" x14ac:dyDescent="0.15">
      <c r="D29">
        <v>28</v>
      </c>
      <c r="E29" s="185" t="s">
        <v>219</v>
      </c>
      <c r="F29">
        <v>0.98</v>
      </c>
      <c r="G29">
        <v>0.8</v>
      </c>
      <c r="H29">
        <v>0.8</v>
      </c>
      <c r="I29">
        <v>0.8</v>
      </c>
      <c r="J29" s="110">
        <v>0.25</v>
      </c>
      <c r="K29" s="110">
        <v>0.05</v>
      </c>
      <c r="Y29"/>
      <c r="AC29"/>
      <c r="AG29"/>
    </row>
    <row r="30" spans="4:33" ht="15" customHeight="1" x14ac:dyDescent="0.15">
      <c r="D30">
        <v>29</v>
      </c>
      <c r="E30" s="185" t="s">
        <v>220</v>
      </c>
      <c r="F30">
        <v>0.98</v>
      </c>
      <c r="G30">
        <v>0.8</v>
      </c>
      <c r="H30">
        <v>0.8</v>
      </c>
      <c r="I30">
        <v>0.8</v>
      </c>
      <c r="J30" s="110">
        <v>0.25</v>
      </c>
      <c r="K30" s="110">
        <v>0.05</v>
      </c>
      <c r="Y30"/>
      <c r="AC30"/>
      <c r="AG30"/>
    </row>
    <row r="31" spans="4:33" ht="15" customHeight="1" x14ac:dyDescent="0.15">
      <c r="D31">
        <v>30</v>
      </c>
      <c r="E31" s="185" t="s">
        <v>221</v>
      </c>
      <c r="F31">
        <v>0.98</v>
      </c>
      <c r="G31">
        <v>0.8</v>
      </c>
      <c r="H31">
        <v>0.8</v>
      </c>
      <c r="I31">
        <v>0.8</v>
      </c>
      <c r="J31" s="110">
        <v>0.25</v>
      </c>
      <c r="K31" s="110">
        <v>0.05</v>
      </c>
      <c r="Y31"/>
      <c r="AC31"/>
      <c r="AG31"/>
    </row>
    <row r="32" spans="4:33" ht="15" customHeight="1" x14ac:dyDescent="0.15">
      <c r="D32">
        <v>31</v>
      </c>
      <c r="E32" s="185" t="s">
        <v>222</v>
      </c>
      <c r="F32">
        <v>0.98</v>
      </c>
      <c r="G32">
        <v>0.8</v>
      </c>
      <c r="H32">
        <v>0.8</v>
      </c>
      <c r="I32">
        <v>0.8</v>
      </c>
      <c r="J32" s="110">
        <v>0.25</v>
      </c>
      <c r="K32" s="110">
        <v>0.05</v>
      </c>
      <c r="Y32"/>
      <c r="AC32"/>
      <c r="AG32"/>
    </row>
    <row r="33" spans="4:33" ht="15" customHeight="1" x14ac:dyDescent="0.15">
      <c r="D33">
        <v>32</v>
      </c>
      <c r="E33" s="185" t="s">
        <v>223</v>
      </c>
      <c r="F33">
        <v>0.98</v>
      </c>
      <c r="G33">
        <v>0.8</v>
      </c>
      <c r="H33">
        <v>0.8</v>
      </c>
      <c r="I33">
        <v>0.8</v>
      </c>
      <c r="J33" s="110">
        <v>0.25</v>
      </c>
      <c r="K33" s="110">
        <v>0.05</v>
      </c>
      <c r="Y33"/>
      <c r="AC33"/>
      <c r="AG33"/>
    </row>
    <row r="34" spans="4:33" ht="15" customHeight="1" x14ac:dyDescent="0.15">
      <c r="D34">
        <v>33</v>
      </c>
      <c r="E34" s="185" t="s">
        <v>224</v>
      </c>
      <c r="F34">
        <v>0.98</v>
      </c>
      <c r="G34">
        <v>0.8</v>
      </c>
      <c r="H34">
        <v>0.8</v>
      </c>
      <c r="I34">
        <v>0.8</v>
      </c>
      <c r="J34" s="110">
        <v>0.25</v>
      </c>
      <c r="K34" s="110">
        <v>0.05</v>
      </c>
      <c r="Y34"/>
      <c r="AC34"/>
      <c r="AG34"/>
    </row>
    <row r="35" spans="4:33" ht="15" customHeight="1" x14ac:dyDescent="0.15">
      <c r="D35">
        <v>34</v>
      </c>
      <c r="E35" s="185" t="s">
        <v>225</v>
      </c>
      <c r="F35">
        <v>0.98</v>
      </c>
      <c r="G35">
        <v>0.8</v>
      </c>
      <c r="H35">
        <v>0.8</v>
      </c>
      <c r="I35">
        <v>0.8</v>
      </c>
      <c r="J35" s="110">
        <v>0.25</v>
      </c>
      <c r="K35" s="110">
        <v>0.05</v>
      </c>
      <c r="Y35"/>
      <c r="AC35"/>
      <c r="AG35"/>
    </row>
    <row r="36" spans="4:33" ht="15" customHeight="1" x14ac:dyDescent="0.15">
      <c r="D36">
        <v>35</v>
      </c>
      <c r="E36" s="185" t="s">
        <v>226</v>
      </c>
      <c r="F36">
        <v>0.98</v>
      </c>
      <c r="G36">
        <v>0.8</v>
      </c>
      <c r="H36">
        <v>0.8</v>
      </c>
      <c r="I36">
        <v>0.8</v>
      </c>
      <c r="J36" s="110">
        <v>0.25</v>
      </c>
      <c r="K36" s="110">
        <v>0.05</v>
      </c>
      <c r="Y36"/>
      <c r="AC36"/>
      <c r="AG36"/>
    </row>
    <row r="37" spans="4:33" ht="15" customHeight="1" x14ac:dyDescent="0.15">
      <c r="D37">
        <v>36</v>
      </c>
      <c r="E37" s="185" t="s">
        <v>227</v>
      </c>
      <c r="F37">
        <v>0.98</v>
      </c>
      <c r="G37">
        <v>0.8</v>
      </c>
      <c r="H37">
        <v>0.8</v>
      </c>
      <c r="I37">
        <v>0.8</v>
      </c>
      <c r="J37" s="110">
        <v>0.25</v>
      </c>
      <c r="K37" s="110">
        <v>0.05</v>
      </c>
      <c r="Y37"/>
      <c r="AC37"/>
      <c r="AG37"/>
    </row>
    <row r="38" spans="4:33" ht="15" customHeight="1" x14ac:dyDescent="0.15">
      <c r="D38">
        <v>37</v>
      </c>
      <c r="E38" s="185" t="s">
        <v>228</v>
      </c>
      <c r="F38">
        <v>0.98</v>
      </c>
      <c r="G38">
        <v>0.8</v>
      </c>
      <c r="H38">
        <v>0.8</v>
      </c>
      <c r="I38">
        <v>0</v>
      </c>
      <c r="J38" s="110">
        <v>0</v>
      </c>
      <c r="K38" s="110">
        <v>0</v>
      </c>
      <c r="Y38"/>
      <c r="AC38"/>
      <c r="AG38"/>
    </row>
    <row r="39" spans="4:33" ht="15" customHeight="1" x14ac:dyDescent="0.15">
      <c r="D39">
        <v>38</v>
      </c>
      <c r="E39" s="185" t="s">
        <v>229</v>
      </c>
      <c r="F39">
        <v>0.98</v>
      </c>
      <c r="G39">
        <v>0.8</v>
      </c>
      <c r="H39">
        <v>0.8</v>
      </c>
      <c r="I39">
        <v>0</v>
      </c>
      <c r="J39" s="110">
        <v>0</v>
      </c>
      <c r="K39" s="110">
        <v>0</v>
      </c>
    </row>
    <row r="40" spans="4:33" ht="15" customHeight="1" x14ac:dyDescent="0.15">
      <c r="D40">
        <v>39</v>
      </c>
      <c r="E40" s="185" t="s">
        <v>230</v>
      </c>
      <c r="F40">
        <v>0.98</v>
      </c>
      <c r="G40">
        <v>0.8</v>
      </c>
      <c r="H40">
        <v>0</v>
      </c>
      <c r="I40">
        <v>0</v>
      </c>
      <c r="J40" s="110">
        <v>0</v>
      </c>
      <c r="K40" s="110">
        <v>0</v>
      </c>
      <c r="Y40"/>
      <c r="AC40"/>
      <c r="AG40"/>
    </row>
    <row r="41" spans="4:33" ht="15" customHeight="1" x14ac:dyDescent="0.15">
      <c r="D41">
        <v>40</v>
      </c>
      <c r="E41" s="185" t="s">
        <v>231</v>
      </c>
      <c r="F41">
        <v>0.98</v>
      </c>
      <c r="G41">
        <v>0.8</v>
      </c>
      <c r="H41">
        <v>0</v>
      </c>
      <c r="I41">
        <v>0</v>
      </c>
      <c r="J41" s="110">
        <v>0</v>
      </c>
      <c r="K41" s="110">
        <v>0</v>
      </c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O42"/>
  <sheetViews>
    <sheetView workbookViewId="0">
      <selection activeCell="A3" sqref="A3"/>
    </sheetView>
  </sheetViews>
  <sheetFormatPr baseColWidth="10" defaultRowHeight="13" x14ac:dyDescent="0.15"/>
  <cols>
    <col min="1" max="1" width="21.6640625" style="108" bestFit="1" customWidth="1"/>
    <col min="2" max="37" width="3.83203125" style="108" customWidth="1"/>
    <col min="38" max="41" width="2.33203125" style="108" customWidth="1"/>
    <col min="42" max="16384" width="10.83203125" style="108"/>
  </cols>
  <sheetData>
    <row r="1" spans="1:41" x14ac:dyDescent="0.15">
      <c r="A1" s="63" t="s">
        <v>118</v>
      </c>
      <c r="B1" s="187" t="s">
        <v>193</v>
      </c>
      <c r="C1" s="187" t="s">
        <v>194</v>
      </c>
      <c r="D1" s="187" t="s">
        <v>195</v>
      </c>
      <c r="E1" s="187" t="s">
        <v>196</v>
      </c>
      <c r="F1" s="187" t="s">
        <v>197</v>
      </c>
      <c r="G1" s="187" t="s">
        <v>198</v>
      </c>
      <c r="H1" s="187" t="s">
        <v>199</v>
      </c>
      <c r="I1" s="187" t="s">
        <v>200</v>
      </c>
      <c r="J1" s="187" t="s">
        <v>201</v>
      </c>
      <c r="K1" s="187" t="s">
        <v>202</v>
      </c>
      <c r="L1" s="187" t="s">
        <v>203</v>
      </c>
      <c r="M1" s="187" t="s">
        <v>204</v>
      </c>
      <c r="N1" s="187" t="s">
        <v>166</v>
      </c>
      <c r="O1" s="187" t="s">
        <v>205</v>
      </c>
      <c r="P1" s="187" t="s">
        <v>206</v>
      </c>
      <c r="Q1" s="187" t="s">
        <v>207</v>
      </c>
      <c r="R1" s="187" t="s">
        <v>208</v>
      </c>
      <c r="S1" s="187" t="s">
        <v>209</v>
      </c>
      <c r="T1" s="187" t="s">
        <v>210</v>
      </c>
      <c r="U1" s="187" t="s">
        <v>211</v>
      </c>
      <c r="V1" s="187" t="s">
        <v>212</v>
      </c>
      <c r="W1" s="187" t="s">
        <v>213</v>
      </c>
      <c r="X1" s="187" t="s">
        <v>214</v>
      </c>
      <c r="Y1" s="187" t="s">
        <v>215</v>
      </c>
      <c r="Z1" s="187" t="s">
        <v>216</v>
      </c>
      <c r="AA1" s="187" t="s">
        <v>217</v>
      </c>
      <c r="AB1" s="187" t="s">
        <v>218</v>
      </c>
      <c r="AC1" s="187" t="s">
        <v>219</v>
      </c>
      <c r="AD1" s="187" t="s">
        <v>220</v>
      </c>
      <c r="AE1" s="187" t="s">
        <v>221</v>
      </c>
      <c r="AF1" s="187" t="s">
        <v>222</v>
      </c>
      <c r="AG1" s="187" t="s">
        <v>223</v>
      </c>
      <c r="AH1" s="187" t="s">
        <v>224</v>
      </c>
      <c r="AI1" s="187" t="s">
        <v>225</v>
      </c>
      <c r="AJ1" s="187" t="s">
        <v>226</v>
      </c>
      <c r="AK1" s="187" t="s">
        <v>227</v>
      </c>
      <c r="AL1" s="187" t="s">
        <v>228</v>
      </c>
      <c r="AM1" s="187" t="s">
        <v>229</v>
      </c>
      <c r="AN1" s="187" t="s">
        <v>230</v>
      </c>
      <c r="AO1" s="187" t="s">
        <v>231</v>
      </c>
    </row>
    <row r="2" spans="1:41" customFormat="1" x14ac:dyDescent="0.15">
      <c r="A2" s="186" t="s">
        <v>193</v>
      </c>
      <c r="B2" s="108">
        <v>0.8</v>
      </c>
      <c r="C2" s="108">
        <v>0.8</v>
      </c>
      <c r="D2" s="108">
        <v>0</v>
      </c>
      <c r="E2" s="108">
        <v>0.8</v>
      </c>
      <c r="F2" s="108">
        <v>0</v>
      </c>
      <c r="G2" s="108">
        <v>0</v>
      </c>
      <c r="H2" s="108">
        <v>0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  <c r="AH2" s="108">
        <v>0</v>
      </c>
      <c r="AI2" s="108">
        <v>0</v>
      </c>
      <c r="AJ2" s="108">
        <v>0</v>
      </c>
      <c r="AK2" s="108">
        <v>0</v>
      </c>
      <c r="AL2" s="108">
        <v>0</v>
      </c>
      <c r="AM2" s="108">
        <v>0</v>
      </c>
      <c r="AN2" s="108">
        <v>0</v>
      </c>
      <c r="AO2" s="108">
        <v>0</v>
      </c>
    </row>
    <row r="3" spans="1:41" customFormat="1" x14ac:dyDescent="0.15">
      <c r="A3" s="186" t="s">
        <v>194</v>
      </c>
      <c r="B3" s="108">
        <v>0</v>
      </c>
      <c r="C3" s="108">
        <v>0.8</v>
      </c>
      <c r="D3" s="108">
        <v>0</v>
      </c>
      <c r="E3" s="108">
        <v>0.8</v>
      </c>
      <c r="F3" s="108">
        <v>0</v>
      </c>
      <c r="G3" s="108">
        <v>0</v>
      </c>
      <c r="H3" s="108">
        <v>0</v>
      </c>
      <c r="I3" s="108">
        <v>0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  <c r="AF3" s="108">
        <v>0</v>
      </c>
      <c r="AG3" s="108">
        <v>0</v>
      </c>
      <c r="AH3" s="108">
        <v>0</v>
      </c>
      <c r="AI3" s="108">
        <v>0</v>
      </c>
      <c r="AJ3" s="108">
        <v>0</v>
      </c>
      <c r="AK3" s="108">
        <v>0</v>
      </c>
      <c r="AL3" s="108">
        <v>0</v>
      </c>
      <c r="AM3" s="108">
        <v>0</v>
      </c>
      <c r="AN3" s="108">
        <v>0</v>
      </c>
      <c r="AO3" s="108">
        <v>0</v>
      </c>
    </row>
    <row r="4" spans="1:41" customFormat="1" x14ac:dyDescent="0.15">
      <c r="A4" s="186" t="s">
        <v>195</v>
      </c>
      <c r="B4" s="108">
        <v>0</v>
      </c>
      <c r="C4" s="108">
        <v>0</v>
      </c>
      <c r="D4" s="108">
        <v>0.8</v>
      </c>
      <c r="E4" s="108">
        <v>0</v>
      </c>
      <c r="F4" s="108">
        <v>0</v>
      </c>
      <c r="G4" s="108">
        <v>0</v>
      </c>
      <c r="H4" s="108">
        <v>0.8</v>
      </c>
      <c r="I4" s="108">
        <v>0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  <c r="AH4" s="108">
        <v>0</v>
      </c>
      <c r="AI4" s="108">
        <v>0</v>
      </c>
      <c r="AJ4" s="108">
        <v>0</v>
      </c>
      <c r="AK4" s="108">
        <v>0</v>
      </c>
      <c r="AL4" s="108">
        <v>0</v>
      </c>
      <c r="AM4" s="108">
        <v>0</v>
      </c>
      <c r="AN4" s="108">
        <v>0</v>
      </c>
      <c r="AO4" s="108">
        <v>0</v>
      </c>
    </row>
    <row r="5" spans="1:41" customFormat="1" x14ac:dyDescent="0.15">
      <c r="A5" s="186" t="s">
        <v>196</v>
      </c>
      <c r="B5" s="108">
        <v>0</v>
      </c>
      <c r="C5" s="108">
        <v>0</v>
      </c>
      <c r="D5" s="108">
        <v>0</v>
      </c>
      <c r="E5" s="108">
        <v>0</v>
      </c>
      <c r="F5" s="108">
        <v>0</v>
      </c>
      <c r="G5" s="108">
        <v>0</v>
      </c>
      <c r="H5" s="108">
        <v>0.8</v>
      </c>
      <c r="I5" s="108">
        <v>0</v>
      </c>
      <c r="J5" s="108">
        <v>0</v>
      </c>
      <c r="K5" s="108">
        <v>0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0</v>
      </c>
      <c r="AE5" s="108">
        <v>0</v>
      </c>
      <c r="AF5" s="108">
        <v>0</v>
      </c>
      <c r="AG5" s="108">
        <v>0</v>
      </c>
      <c r="AH5" s="108">
        <v>0</v>
      </c>
      <c r="AI5" s="108">
        <v>0</v>
      </c>
      <c r="AJ5" s="108">
        <v>0</v>
      </c>
      <c r="AK5" s="108">
        <v>0</v>
      </c>
      <c r="AL5" s="108">
        <v>0</v>
      </c>
      <c r="AM5" s="108">
        <v>0</v>
      </c>
      <c r="AN5" s="108">
        <v>0</v>
      </c>
      <c r="AO5" s="108">
        <v>0</v>
      </c>
    </row>
    <row r="6" spans="1:41" customFormat="1" x14ac:dyDescent="0.15">
      <c r="A6" s="186" t="s">
        <v>197</v>
      </c>
      <c r="B6" s="108">
        <v>0.8</v>
      </c>
      <c r="C6" s="108">
        <v>0</v>
      </c>
      <c r="D6" s="108">
        <v>0</v>
      </c>
      <c r="E6" s="108">
        <v>0</v>
      </c>
      <c r="F6" s="108">
        <v>0</v>
      </c>
      <c r="G6" s="108">
        <v>0</v>
      </c>
      <c r="H6" s="108">
        <v>0.8</v>
      </c>
      <c r="I6" s="108">
        <v>0</v>
      </c>
      <c r="J6" s="108">
        <v>0</v>
      </c>
      <c r="K6" s="108">
        <v>0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0</v>
      </c>
      <c r="R6" s="108">
        <v>0</v>
      </c>
      <c r="S6" s="108">
        <v>0</v>
      </c>
      <c r="T6" s="108">
        <v>0</v>
      </c>
      <c r="U6" s="108">
        <v>0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0</v>
      </c>
      <c r="AB6" s="108">
        <v>0</v>
      </c>
      <c r="AC6" s="108">
        <v>0</v>
      </c>
      <c r="AD6" s="108">
        <v>0</v>
      </c>
      <c r="AE6" s="108">
        <v>0</v>
      </c>
      <c r="AF6" s="108">
        <v>0</v>
      </c>
      <c r="AG6" s="108">
        <v>0</v>
      </c>
      <c r="AH6" s="108">
        <v>0</v>
      </c>
      <c r="AI6" s="108">
        <v>0</v>
      </c>
      <c r="AJ6" s="108">
        <v>0</v>
      </c>
      <c r="AK6" s="108">
        <v>0</v>
      </c>
      <c r="AL6" s="108">
        <v>0</v>
      </c>
      <c r="AM6" s="108">
        <v>0</v>
      </c>
      <c r="AN6" s="108">
        <v>0</v>
      </c>
      <c r="AO6" s="108">
        <v>0</v>
      </c>
    </row>
    <row r="7" spans="1:41" customFormat="1" x14ac:dyDescent="0.15">
      <c r="A7" s="186" t="s">
        <v>198</v>
      </c>
      <c r="B7" s="108">
        <v>0.8</v>
      </c>
      <c r="C7" s="108">
        <v>0.8</v>
      </c>
      <c r="D7" s="108">
        <v>0.8</v>
      </c>
      <c r="E7" s="108">
        <v>0</v>
      </c>
      <c r="F7" s="108">
        <v>0.8</v>
      </c>
      <c r="G7" s="108">
        <v>0</v>
      </c>
      <c r="H7" s="108">
        <v>0.8</v>
      </c>
      <c r="I7" s="108">
        <v>0</v>
      </c>
      <c r="J7" s="108">
        <v>0.8</v>
      </c>
      <c r="K7" s="108">
        <v>0</v>
      </c>
      <c r="L7" s="108">
        <v>0.8</v>
      </c>
      <c r="M7" s="108">
        <v>0.8</v>
      </c>
      <c r="N7" s="108">
        <v>0</v>
      </c>
      <c r="O7" s="108">
        <v>0</v>
      </c>
      <c r="P7" s="108">
        <v>0</v>
      </c>
      <c r="Q7" s="108">
        <v>0</v>
      </c>
      <c r="R7" s="108">
        <v>0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  <c r="AH7" s="108">
        <v>0</v>
      </c>
      <c r="AI7" s="108">
        <v>0</v>
      </c>
      <c r="AJ7" s="108">
        <v>0</v>
      </c>
      <c r="AK7" s="108">
        <v>0</v>
      </c>
      <c r="AL7" s="108">
        <v>0</v>
      </c>
      <c r="AM7" s="108">
        <v>0</v>
      </c>
      <c r="AN7" s="108">
        <v>0</v>
      </c>
      <c r="AO7" s="108">
        <v>0</v>
      </c>
    </row>
    <row r="8" spans="1:41" customFormat="1" x14ac:dyDescent="0.15">
      <c r="A8" s="186" t="s">
        <v>199</v>
      </c>
      <c r="B8" s="108">
        <v>0</v>
      </c>
      <c r="C8" s="108">
        <v>0</v>
      </c>
      <c r="D8" s="108">
        <v>0</v>
      </c>
      <c r="E8" s="108">
        <v>0</v>
      </c>
      <c r="F8" s="108">
        <v>0</v>
      </c>
      <c r="G8" s="108">
        <v>0</v>
      </c>
      <c r="H8" s="108">
        <v>0.8</v>
      </c>
      <c r="I8" s="108">
        <v>0</v>
      </c>
      <c r="J8" s="108">
        <v>0</v>
      </c>
      <c r="K8" s="108">
        <v>0</v>
      </c>
      <c r="L8" s="108">
        <v>0</v>
      </c>
      <c r="M8" s="108">
        <v>0</v>
      </c>
      <c r="N8" s="108">
        <v>0</v>
      </c>
      <c r="O8" s="108">
        <v>0</v>
      </c>
      <c r="P8" s="108">
        <v>0</v>
      </c>
      <c r="Q8" s="108">
        <v>0</v>
      </c>
      <c r="R8" s="108">
        <v>0</v>
      </c>
      <c r="S8" s="108">
        <v>0</v>
      </c>
      <c r="T8" s="108">
        <v>0</v>
      </c>
      <c r="U8" s="108">
        <v>0</v>
      </c>
      <c r="V8" s="108">
        <v>0</v>
      </c>
      <c r="W8" s="108">
        <v>0</v>
      </c>
      <c r="X8" s="108">
        <v>0</v>
      </c>
      <c r="Y8" s="108">
        <v>0</v>
      </c>
      <c r="Z8" s="108">
        <v>0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  <c r="AF8" s="108">
        <v>0</v>
      </c>
      <c r="AG8" s="108">
        <v>0</v>
      </c>
      <c r="AH8" s="108">
        <v>0</v>
      </c>
      <c r="AI8" s="108">
        <v>0</v>
      </c>
      <c r="AJ8" s="108">
        <v>0</v>
      </c>
      <c r="AK8" s="108">
        <v>0</v>
      </c>
      <c r="AL8" s="108">
        <v>0</v>
      </c>
      <c r="AM8" s="108">
        <v>0</v>
      </c>
      <c r="AN8" s="108">
        <v>0</v>
      </c>
      <c r="AO8" s="108">
        <v>0</v>
      </c>
    </row>
    <row r="9" spans="1:41" customFormat="1" x14ac:dyDescent="0.15">
      <c r="A9" s="186" t="s">
        <v>200</v>
      </c>
      <c r="B9" s="108">
        <v>0.8</v>
      </c>
      <c r="C9" s="108">
        <v>0.8</v>
      </c>
      <c r="D9" s="108">
        <v>0.8</v>
      </c>
      <c r="E9" s="108">
        <v>0.8</v>
      </c>
      <c r="F9" s="108">
        <v>0.8</v>
      </c>
      <c r="G9" s="108">
        <v>0.8</v>
      </c>
      <c r="H9" s="108">
        <v>0.8</v>
      </c>
      <c r="I9" s="108">
        <v>0.8</v>
      </c>
      <c r="J9" s="108">
        <v>0.8</v>
      </c>
      <c r="K9" s="108">
        <v>0.8</v>
      </c>
      <c r="L9" s="108">
        <v>0.8</v>
      </c>
      <c r="M9" s="108">
        <v>0.8</v>
      </c>
      <c r="N9" s="108">
        <v>0</v>
      </c>
      <c r="O9" s="108">
        <v>0.8</v>
      </c>
      <c r="P9" s="108">
        <v>0</v>
      </c>
      <c r="Q9" s="108">
        <v>0</v>
      </c>
      <c r="R9" s="108">
        <v>0</v>
      </c>
      <c r="S9" s="108">
        <v>0</v>
      </c>
      <c r="T9" s="108">
        <v>0</v>
      </c>
      <c r="U9" s="108">
        <v>0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0.8</v>
      </c>
      <c r="AF9" s="108">
        <v>0</v>
      </c>
      <c r="AG9" s="108">
        <v>0</v>
      </c>
      <c r="AH9" s="108">
        <v>0</v>
      </c>
      <c r="AI9" s="108">
        <v>0</v>
      </c>
      <c r="AJ9" s="108">
        <v>0</v>
      </c>
      <c r="AK9" s="108">
        <v>0</v>
      </c>
      <c r="AL9" s="108">
        <v>0</v>
      </c>
      <c r="AM9" s="108">
        <v>0</v>
      </c>
      <c r="AN9" s="108">
        <v>0</v>
      </c>
      <c r="AO9" s="108">
        <v>0</v>
      </c>
    </row>
    <row r="10" spans="1:41" customFormat="1" x14ac:dyDescent="0.15">
      <c r="A10" s="186" t="s">
        <v>201</v>
      </c>
      <c r="B10" s="108">
        <v>0</v>
      </c>
      <c r="C10" s="108">
        <v>0</v>
      </c>
      <c r="D10" s="108">
        <v>0</v>
      </c>
      <c r="E10" s="108">
        <v>0</v>
      </c>
      <c r="F10" s="108">
        <v>0</v>
      </c>
      <c r="G10" s="108">
        <v>0</v>
      </c>
      <c r="H10" s="108">
        <v>0.8</v>
      </c>
      <c r="I10" s="108">
        <v>0</v>
      </c>
      <c r="J10" s="108">
        <v>0.8</v>
      </c>
      <c r="K10" s="108">
        <v>0.8</v>
      </c>
      <c r="L10" s="108">
        <v>0</v>
      </c>
      <c r="M10" s="108">
        <v>0</v>
      </c>
      <c r="N10" s="108">
        <v>0</v>
      </c>
      <c r="O10" s="108">
        <v>0.8</v>
      </c>
      <c r="P10" s="108">
        <v>0</v>
      </c>
      <c r="Q10" s="108">
        <v>0</v>
      </c>
      <c r="R10" s="108">
        <v>0</v>
      </c>
      <c r="S10" s="108">
        <v>0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  <c r="AH10" s="108">
        <v>0</v>
      </c>
      <c r="AI10" s="108">
        <v>0</v>
      </c>
      <c r="AJ10" s="108">
        <v>0</v>
      </c>
      <c r="AK10" s="108">
        <v>0</v>
      </c>
      <c r="AL10" s="108">
        <v>0</v>
      </c>
      <c r="AM10" s="108">
        <v>0</v>
      </c>
      <c r="AN10" s="108">
        <v>0</v>
      </c>
      <c r="AO10" s="108">
        <v>0</v>
      </c>
    </row>
    <row r="11" spans="1:41" customFormat="1" x14ac:dyDescent="0.15">
      <c r="A11" s="186" t="s">
        <v>202</v>
      </c>
      <c r="B11" s="108">
        <v>0.8</v>
      </c>
      <c r="C11" s="108">
        <v>0</v>
      </c>
      <c r="D11" s="108">
        <v>0</v>
      </c>
      <c r="E11" s="108">
        <v>0</v>
      </c>
      <c r="F11" s="108">
        <v>0</v>
      </c>
      <c r="G11" s="108">
        <v>0</v>
      </c>
      <c r="H11" s="108">
        <v>0</v>
      </c>
      <c r="I11" s="108">
        <v>0</v>
      </c>
      <c r="J11" s="108">
        <v>0.8</v>
      </c>
      <c r="K11" s="108">
        <v>0.8</v>
      </c>
      <c r="L11" s="108">
        <v>0</v>
      </c>
      <c r="M11" s="108">
        <v>0.8</v>
      </c>
      <c r="N11" s="108">
        <v>0</v>
      </c>
      <c r="O11" s="108">
        <v>0</v>
      </c>
      <c r="P11" s="108">
        <v>0</v>
      </c>
      <c r="Q11" s="108">
        <v>0</v>
      </c>
      <c r="R11" s="108">
        <v>0</v>
      </c>
      <c r="S11" s="108">
        <v>0</v>
      </c>
      <c r="T11" s="108">
        <v>0</v>
      </c>
      <c r="U11" s="108">
        <v>0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  <c r="AF11" s="108">
        <v>0</v>
      </c>
      <c r="AG11" s="108">
        <v>0</v>
      </c>
      <c r="AH11" s="108">
        <v>0</v>
      </c>
      <c r="AI11" s="108">
        <v>0</v>
      </c>
      <c r="AJ11" s="108">
        <v>0</v>
      </c>
      <c r="AK11" s="108">
        <v>0</v>
      </c>
      <c r="AL11" s="108">
        <v>0</v>
      </c>
      <c r="AM11" s="108">
        <v>0</v>
      </c>
      <c r="AN11" s="108">
        <v>0</v>
      </c>
      <c r="AO11" s="108">
        <v>0</v>
      </c>
    </row>
    <row r="12" spans="1:41" customFormat="1" x14ac:dyDescent="0.15">
      <c r="A12" s="186" t="s">
        <v>203</v>
      </c>
      <c r="B12" s="108">
        <v>0</v>
      </c>
      <c r="C12" s="108">
        <v>0</v>
      </c>
      <c r="D12" s="108">
        <v>0.8</v>
      </c>
      <c r="E12" s="108">
        <v>0</v>
      </c>
      <c r="F12" s="108">
        <v>0</v>
      </c>
      <c r="G12" s="108">
        <v>0</v>
      </c>
      <c r="H12" s="108">
        <v>0.8</v>
      </c>
      <c r="I12" s="108">
        <v>0</v>
      </c>
      <c r="J12" s="108">
        <v>0.8</v>
      </c>
      <c r="K12" s="108">
        <v>0</v>
      </c>
      <c r="L12" s="108">
        <v>0.8</v>
      </c>
      <c r="M12" s="108">
        <v>0.8</v>
      </c>
      <c r="N12" s="108">
        <v>0</v>
      </c>
      <c r="O12" s="108">
        <v>0</v>
      </c>
      <c r="P12" s="108">
        <v>0</v>
      </c>
      <c r="Q12" s="108">
        <v>0</v>
      </c>
      <c r="R12" s="108">
        <v>0</v>
      </c>
      <c r="S12" s="108">
        <v>0</v>
      </c>
      <c r="T12" s="108">
        <v>0</v>
      </c>
      <c r="U12" s="108">
        <v>0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  <c r="AF12" s="108">
        <v>0</v>
      </c>
      <c r="AG12" s="108">
        <v>0</v>
      </c>
      <c r="AH12" s="108">
        <v>0</v>
      </c>
      <c r="AI12" s="108">
        <v>0</v>
      </c>
      <c r="AJ12" s="108">
        <v>0</v>
      </c>
      <c r="AK12" s="108">
        <v>0</v>
      </c>
      <c r="AL12" s="108">
        <v>0</v>
      </c>
      <c r="AM12" s="108">
        <v>0</v>
      </c>
      <c r="AN12" s="108">
        <v>0</v>
      </c>
      <c r="AO12" s="108">
        <v>0</v>
      </c>
    </row>
    <row r="13" spans="1:41" customFormat="1" x14ac:dyDescent="0.15">
      <c r="A13" s="186" t="s">
        <v>204</v>
      </c>
      <c r="B13" s="108">
        <v>0</v>
      </c>
      <c r="C13" s="108">
        <v>0</v>
      </c>
      <c r="D13" s="108">
        <v>0</v>
      </c>
      <c r="E13" s="108">
        <v>0</v>
      </c>
      <c r="F13" s="108">
        <v>0</v>
      </c>
      <c r="G13" s="108">
        <v>0</v>
      </c>
      <c r="H13" s="108">
        <v>0</v>
      </c>
      <c r="I13" s="108">
        <v>0</v>
      </c>
      <c r="J13" s="108">
        <v>0</v>
      </c>
      <c r="K13" s="108">
        <v>0</v>
      </c>
      <c r="L13" s="108">
        <v>0</v>
      </c>
      <c r="M13" s="108">
        <v>0.8</v>
      </c>
      <c r="N13" s="108">
        <v>0</v>
      </c>
      <c r="O13" s="108">
        <v>0</v>
      </c>
      <c r="P13" s="108">
        <v>0</v>
      </c>
      <c r="Q13" s="108">
        <v>0</v>
      </c>
      <c r="R13" s="108">
        <v>0</v>
      </c>
      <c r="S13" s="108">
        <v>0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  <c r="AF13" s="108">
        <v>0</v>
      </c>
      <c r="AG13" s="108">
        <v>0</v>
      </c>
      <c r="AH13" s="108">
        <v>0</v>
      </c>
      <c r="AI13" s="108">
        <v>0</v>
      </c>
      <c r="AJ13" s="108">
        <v>0</v>
      </c>
      <c r="AK13" s="108">
        <v>0</v>
      </c>
      <c r="AL13" s="108">
        <v>0</v>
      </c>
      <c r="AM13" s="108">
        <v>0</v>
      </c>
      <c r="AN13" s="108">
        <v>0</v>
      </c>
      <c r="AO13" s="108">
        <v>0</v>
      </c>
    </row>
    <row r="14" spans="1:41" customFormat="1" x14ac:dyDescent="0.15">
      <c r="A14" s="186" t="s">
        <v>166</v>
      </c>
      <c r="B14" s="108">
        <v>0.8</v>
      </c>
      <c r="C14" s="108">
        <v>0.8</v>
      </c>
      <c r="D14" s="108">
        <v>0.8</v>
      </c>
      <c r="E14" s="108">
        <v>0</v>
      </c>
      <c r="F14" s="108">
        <v>0.8</v>
      </c>
      <c r="G14" s="108">
        <v>0.8</v>
      </c>
      <c r="H14" s="108">
        <v>0</v>
      </c>
      <c r="I14" s="108">
        <v>0.8</v>
      </c>
      <c r="J14" s="108">
        <v>0.8</v>
      </c>
      <c r="K14" s="108">
        <v>0.8</v>
      </c>
      <c r="L14" s="108">
        <v>0</v>
      </c>
      <c r="M14" s="108">
        <v>0.8</v>
      </c>
      <c r="N14" s="108">
        <v>0.8</v>
      </c>
      <c r="O14" s="108">
        <v>0</v>
      </c>
      <c r="P14" s="108">
        <v>0.8</v>
      </c>
      <c r="Q14" s="108">
        <v>0</v>
      </c>
      <c r="R14" s="108">
        <v>0</v>
      </c>
      <c r="S14" s="108">
        <v>0</v>
      </c>
      <c r="T14" s="108">
        <v>0</v>
      </c>
      <c r="U14" s="108">
        <v>0</v>
      </c>
      <c r="V14" s="108">
        <v>0</v>
      </c>
      <c r="W14" s="108">
        <v>0</v>
      </c>
      <c r="X14" s="108">
        <v>0</v>
      </c>
      <c r="Y14" s="108">
        <v>0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  <c r="AH14" s="108">
        <v>0</v>
      </c>
      <c r="AI14" s="108">
        <v>0</v>
      </c>
      <c r="AJ14" s="108">
        <v>0</v>
      </c>
      <c r="AK14" s="108">
        <v>0</v>
      </c>
      <c r="AL14" s="108">
        <v>0</v>
      </c>
      <c r="AM14" s="108">
        <v>0</v>
      </c>
      <c r="AN14" s="108">
        <v>0</v>
      </c>
      <c r="AO14" s="108">
        <v>0</v>
      </c>
    </row>
    <row r="15" spans="1:41" customFormat="1" x14ac:dyDescent="0.15">
      <c r="A15" s="186" t="s">
        <v>205</v>
      </c>
      <c r="B15" s="108">
        <v>0</v>
      </c>
      <c r="C15" s="108">
        <v>0</v>
      </c>
      <c r="D15" s="108">
        <v>0.8</v>
      </c>
      <c r="E15" s="108">
        <v>0</v>
      </c>
      <c r="F15" s="108">
        <v>0</v>
      </c>
      <c r="G15" s="108">
        <v>0</v>
      </c>
      <c r="H15" s="108">
        <v>0</v>
      </c>
      <c r="I15" s="108">
        <v>0</v>
      </c>
      <c r="J15" s="108">
        <v>0</v>
      </c>
      <c r="K15" s="108">
        <v>0</v>
      </c>
      <c r="L15" s="108">
        <v>0</v>
      </c>
      <c r="M15" s="108">
        <v>0</v>
      </c>
      <c r="N15" s="108">
        <v>0</v>
      </c>
      <c r="O15" s="108">
        <v>0.8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  <c r="AF15" s="108">
        <v>0</v>
      </c>
      <c r="AG15" s="108">
        <v>0</v>
      </c>
      <c r="AH15" s="108">
        <v>0</v>
      </c>
      <c r="AI15" s="108">
        <v>0</v>
      </c>
      <c r="AJ15" s="108">
        <v>0</v>
      </c>
      <c r="AK15" s="108">
        <v>0</v>
      </c>
      <c r="AL15" s="108">
        <v>0</v>
      </c>
      <c r="AM15" s="108">
        <v>0</v>
      </c>
      <c r="AN15" s="108">
        <v>0</v>
      </c>
      <c r="AO15" s="108">
        <v>0</v>
      </c>
    </row>
    <row r="16" spans="1:41" customFormat="1" x14ac:dyDescent="0.15">
      <c r="A16" s="186" t="s">
        <v>206</v>
      </c>
      <c r="B16" s="108">
        <v>0</v>
      </c>
      <c r="C16" s="108">
        <v>0.8</v>
      </c>
      <c r="D16" s="108">
        <v>0.8</v>
      </c>
      <c r="E16" s="108">
        <v>0</v>
      </c>
      <c r="F16" s="108">
        <v>0</v>
      </c>
      <c r="G16" s="108">
        <v>0</v>
      </c>
      <c r="H16" s="108">
        <v>0.8</v>
      </c>
      <c r="I16" s="108">
        <v>0</v>
      </c>
      <c r="J16" s="108">
        <v>0</v>
      </c>
      <c r="K16" s="108">
        <v>0.8</v>
      </c>
      <c r="L16" s="108">
        <v>0</v>
      </c>
      <c r="M16" s="108">
        <v>0</v>
      </c>
      <c r="N16" s="108">
        <v>0</v>
      </c>
      <c r="O16" s="108">
        <v>0.8</v>
      </c>
      <c r="P16" s="108">
        <v>0.8</v>
      </c>
      <c r="Q16" s="108">
        <v>0</v>
      </c>
      <c r="R16" s="108">
        <v>0</v>
      </c>
      <c r="S16" s="108">
        <v>0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  <c r="AH16" s="108">
        <v>0</v>
      </c>
      <c r="AI16" s="108">
        <v>0</v>
      </c>
      <c r="AJ16" s="108">
        <v>0</v>
      </c>
      <c r="AK16" s="108">
        <v>0</v>
      </c>
      <c r="AL16" s="108">
        <v>0</v>
      </c>
      <c r="AM16" s="108">
        <v>0</v>
      </c>
      <c r="AN16" s="108">
        <v>0</v>
      </c>
      <c r="AO16" s="108">
        <v>0</v>
      </c>
    </row>
    <row r="17" spans="1:41" customFormat="1" x14ac:dyDescent="0.15">
      <c r="A17" s="186" t="s">
        <v>207</v>
      </c>
      <c r="B17" s="108">
        <v>0</v>
      </c>
      <c r="C17" s="108">
        <v>0</v>
      </c>
      <c r="D17" s="108">
        <v>0.8</v>
      </c>
      <c r="E17" s="108">
        <v>0</v>
      </c>
      <c r="F17" s="108">
        <v>0</v>
      </c>
      <c r="G17" s="108">
        <v>0.8</v>
      </c>
      <c r="H17" s="108">
        <v>0</v>
      </c>
      <c r="I17" s="108">
        <v>0</v>
      </c>
      <c r="J17" s="108">
        <v>0</v>
      </c>
      <c r="K17" s="108">
        <v>0.8</v>
      </c>
      <c r="L17" s="108">
        <v>0</v>
      </c>
      <c r="M17" s="108">
        <v>0</v>
      </c>
      <c r="N17" s="108">
        <v>0</v>
      </c>
      <c r="O17" s="108">
        <v>0</v>
      </c>
      <c r="P17" s="108">
        <v>0</v>
      </c>
      <c r="Q17" s="108">
        <v>0</v>
      </c>
      <c r="R17" s="108">
        <v>0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  <c r="AH17" s="108">
        <v>0</v>
      </c>
      <c r="AI17" s="108">
        <v>0</v>
      </c>
      <c r="AJ17" s="108">
        <v>0</v>
      </c>
      <c r="AK17" s="108">
        <v>0</v>
      </c>
      <c r="AL17" s="108">
        <v>0</v>
      </c>
      <c r="AM17" s="108">
        <v>0</v>
      </c>
      <c r="AN17" s="108">
        <v>0</v>
      </c>
      <c r="AO17" s="108">
        <v>0</v>
      </c>
    </row>
    <row r="18" spans="1:41" customFormat="1" x14ac:dyDescent="0.15">
      <c r="A18" s="186" t="s">
        <v>208</v>
      </c>
      <c r="B18" s="108">
        <v>0</v>
      </c>
      <c r="C18" s="108">
        <v>0</v>
      </c>
      <c r="D18" s="108">
        <v>0</v>
      </c>
      <c r="E18" s="108">
        <v>0</v>
      </c>
      <c r="F18" s="108">
        <v>0</v>
      </c>
      <c r="G18" s="108">
        <v>0</v>
      </c>
      <c r="H18" s="108">
        <v>0.8</v>
      </c>
      <c r="I18" s="108">
        <v>0</v>
      </c>
      <c r="J18" s="108">
        <v>0</v>
      </c>
      <c r="K18" s="108">
        <v>0.8</v>
      </c>
      <c r="L18" s="108">
        <v>0.8</v>
      </c>
      <c r="M18" s="108">
        <v>0</v>
      </c>
      <c r="N18" s="108">
        <v>0</v>
      </c>
      <c r="O18" s="108">
        <v>0.8</v>
      </c>
      <c r="P18" s="108">
        <v>0.8</v>
      </c>
      <c r="Q18" s="108">
        <v>0</v>
      </c>
      <c r="R18" s="108">
        <v>0</v>
      </c>
      <c r="S18" s="108">
        <v>0</v>
      </c>
      <c r="T18" s="108">
        <v>0</v>
      </c>
      <c r="U18" s="108">
        <v>0</v>
      </c>
      <c r="V18" s="108">
        <v>0</v>
      </c>
      <c r="W18" s="108">
        <v>0</v>
      </c>
      <c r="X18" s="108">
        <v>0</v>
      </c>
      <c r="Y18" s="108">
        <v>0</v>
      </c>
      <c r="Z18" s="108">
        <v>0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  <c r="AF18" s="108">
        <v>0</v>
      </c>
      <c r="AG18" s="108">
        <v>0</v>
      </c>
      <c r="AH18" s="108">
        <v>0</v>
      </c>
      <c r="AI18" s="108">
        <v>0</v>
      </c>
      <c r="AJ18" s="108">
        <v>0</v>
      </c>
      <c r="AK18" s="108">
        <v>0</v>
      </c>
      <c r="AL18" s="108">
        <v>0</v>
      </c>
      <c r="AM18" s="108">
        <v>0</v>
      </c>
      <c r="AN18" s="108">
        <v>0</v>
      </c>
      <c r="AO18" s="108">
        <v>0</v>
      </c>
    </row>
    <row r="19" spans="1:41" customFormat="1" x14ac:dyDescent="0.15">
      <c r="A19" s="186" t="s">
        <v>209</v>
      </c>
      <c r="B19" s="108">
        <v>0.8</v>
      </c>
      <c r="C19" s="108">
        <v>0.8</v>
      </c>
      <c r="D19" s="108">
        <v>0.8</v>
      </c>
      <c r="E19" s="108">
        <v>0.8</v>
      </c>
      <c r="F19" s="108">
        <v>0.8</v>
      </c>
      <c r="G19" s="108">
        <v>0</v>
      </c>
      <c r="H19" s="108">
        <v>0.8</v>
      </c>
      <c r="I19" s="108">
        <v>0</v>
      </c>
      <c r="J19" s="108">
        <v>0</v>
      </c>
      <c r="K19" s="108">
        <v>0</v>
      </c>
      <c r="L19" s="108">
        <v>0</v>
      </c>
      <c r="M19" s="108">
        <v>0.8</v>
      </c>
      <c r="N19" s="108">
        <v>0</v>
      </c>
      <c r="O19" s="108">
        <v>0</v>
      </c>
      <c r="P19" s="108">
        <v>0</v>
      </c>
      <c r="Q19" s="108">
        <v>0</v>
      </c>
      <c r="R19" s="108">
        <v>0</v>
      </c>
      <c r="S19" s="108">
        <v>0</v>
      </c>
      <c r="T19" s="108">
        <v>0</v>
      </c>
      <c r="U19" s="108">
        <v>0</v>
      </c>
      <c r="V19" s="108">
        <v>0</v>
      </c>
      <c r="W19" s="108">
        <v>0</v>
      </c>
      <c r="X19" s="108">
        <v>0</v>
      </c>
      <c r="Y19" s="108">
        <v>0</v>
      </c>
      <c r="Z19" s="108">
        <v>0</v>
      </c>
      <c r="AA19" s="108">
        <v>0</v>
      </c>
      <c r="AB19" s="108">
        <v>0</v>
      </c>
      <c r="AC19" s="108">
        <v>0</v>
      </c>
      <c r="AD19" s="108">
        <v>0</v>
      </c>
      <c r="AE19" s="108">
        <v>0</v>
      </c>
      <c r="AF19" s="108">
        <v>0</v>
      </c>
      <c r="AG19" s="108">
        <v>0</v>
      </c>
      <c r="AH19" s="108">
        <v>0</v>
      </c>
      <c r="AI19" s="108">
        <v>0</v>
      </c>
      <c r="AJ19" s="108">
        <v>0</v>
      </c>
      <c r="AK19" s="108">
        <v>0</v>
      </c>
      <c r="AL19" s="108">
        <v>0</v>
      </c>
      <c r="AM19" s="108">
        <v>0</v>
      </c>
      <c r="AN19" s="108">
        <v>0</v>
      </c>
      <c r="AO19" s="108">
        <v>0</v>
      </c>
    </row>
    <row r="20" spans="1:41" customFormat="1" x14ac:dyDescent="0.15">
      <c r="A20" s="186" t="s">
        <v>210</v>
      </c>
      <c r="B20" s="108">
        <v>0.8</v>
      </c>
      <c r="C20" s="108">
        <v>0.8</v>
      </c>
      <c r="D20" s="108">
        <v>0.8</v>
      </c>
      <c r="E20" s="108">
        <v>0</v>
      </c>
      <c r="F20" s="108">
        <v>0</v>
      </c>
      <c r="G20" s="108">
        <v>0</v>
      </c>
      <c r="H20" s="108">
        <v>0</v>
      </c>
      <c r="I20" s="108">
        <v>0</v>
      </c>
      <c r="J20" s="108">
        <v>0</v>
      </c>
      <c r="K20" s="108">
        <v>0.8</v>
      </c>
      <c r="L20" s="108">
        <v>0</v>
      </c>
      <c r="M20" s="108">
        <v>0</v>
      </c>
      <c r="N20" s="108">
        <v>0</v>
      </c>
      <c r="O20" s="108">
        <v>0</v>
      </c>
      <c r="P20" s="108">
        <v>0</v>
      </c>
      <c r="Q20" s="108">
        <v>0</v>
      </c>
      <c r="R20" s="108">
        <v>0</v>
      </c>
      <c r="S20" s="108">
        <v>0</v>
      </c>
      <c r="T20" s="108">
        <v>0</v>
      </c>
      <c r="U20" s="108">
        <v>0</v>
      </c>
      <c r="V20" s="108">
        <v>0</v>
      </c>
      <c r="W20" s="108">
        <v>0</v>
      </c>
      <c r="X20" s="108">
        <v>0</v>
      </c>
      <c r="Y20" s="108">
        <v>0</v>
      </c>
      <c r="Z20" s="108">
        <v>0</v>
      </c>
      <c r="AA20" s="108">
        <v>0</v>
      </c>
      <c r="AB20" s="108">
        <v>0</v>
      </c>
      <c r="AC20" s="108">
        <v>0</v>
      </c>
      <c r="AD20" s="108">
        <v>0</v>
      </c>
      <c r="AE20" s="108">
        <v>0</v>
      </c>
      <c r="AF20" s="108">
        <v>0</v>
      </c>
      <c r="AG20" s="108">
        <v>0</v>
      </c>
      <c r="AH20" s="108">
        <v>0</v>
      </c>
      <c r="AI20" s="108">
        <v>0</v>
      </c>
      <c r="AJ20" s="108">
        <v>0</v>
      </c>
      <c r="AK20" s="108">
        <v>0</v>
      </c>
      <c r="AL20" s="108">
        <v>0</v>
      </c>
      <c r="AM20" s="108">
        <v>0</v>
      </c>
      <c r="AN20" s="108">
        <v>0</v>
      </c>
      <c r="AO20" s="108">
        <v>0</v>
      </c>
    </row>
    <row r="21" spans="1:41" customFormat="1" x14ac:dyDescent="0.15">
      <c r="A21" s="186" t="s">
        <v>211</v>
      </c>
      <c r="B21" s="108">
        <v>0.8</v>
      </c>
      <c r="C21" s="108">
        <v>0.8</v>
      </c>
      <c r="D21" s="108">
        <v>0.8</v>
      </c>
      <c r="E21" s="108">
        <v>0.8</v>
      </c>
      <c r="F21" s="108">
        <v>0.8</v>
      </c>
      <c r="G21" s="108">
        <v>0.8</v>
      </c>
      <c r="H21" s="108">
        <v>0.8</v>
      </c>
      <c r="I21" s="108">
        <v>0.8</v>
      </c>
      <c r="J21" s="108">
        <v>0.8</v>
      </c>
      <c r="K21" s="108">
        <v>0.8</v>
      </c>
      <c r="L21" s="108">
        <v>0.8</v>
      </c>
      <c r="M21" s="108">
        <v>0.8</v>
      </c>
      <c r="N21" s="108">
        <v>0</v>
      </c>
      <c r="O21" s="108">
        <v>0.8</v>
      </c>
      <c r="P21" s="108">
        <v>0.8</v>
      </c>
      <c r="Q21" s="108">
        <v>0.8</v>
      </c>
      <c r="R21" s="108">
        <v>0</v>
      </c>
      <c r="S21" s="108">
        <v>0</v>
      </c>
      <c r="T21" s="108">
        <v>0</v>
      </c>
      <c r="U21" s="108">
        <v>0</v>
      </c>
      <c r="V21" s="108">
        <v>0</v>
      </c>
      <c r="W21" s="108">
        <v>0</v>
      </c>
      <c r="X21" s="108">
        <v>0</v>
      </c>
      <c r="Y21" s="108">
        <v>0</v>
      </c>
      <c r="Z21" s="108">
        <v>0</v>
      </c>
      <c r="AA21" s="108">
        <v>0</v>
      </c>
      <c r="AB21" s="108">
        <v>0</v>
      </c>
      <c r="AC21" s="108">
        <v>0</v>
      </c>
      <c r="AD21" s="108">
        <v>0</v>
      </c>
      <c r="AE21" s="108">
        <v>0</v>
      </c>
      <c r="AF21" s="108">
        <v>0</v>
      </c>
      <c r="AG21" s="108">
        <v>0</v>
      </c>
      <c r="AH21" s="108">
        <v>0</v>
      </c>
      <c r="AI21" s="108">
        <v>0</v>
      </c>
      <c r="AJ21" s="108">
        <v>0</v>
      </c>
      <c r="AK21" s="108">
        <v>0</v>
      </c>
      <c r="AL21" s="108">
        <v>0</v>
      </c>
      <c r="AM21" s="108">
        <v>0</v>
      </c>
      <c r="AN21" s="108">
        <v>0</v>
      </c>
      <c r="AO21" s="108">
        <v>0</v>
      </c>
    </row>
    <row r="22" spans="1:41" customFormat="1" x14ac:dyDescent="0.15">
      <c r="A22" s="186" t="s">
        <v>212</v>
      </c>
      <c r="B22" s="108">
        <v>0.8</v>
      </c>
      <c r="C22" s="108">
        <v>0.8</v>
      </c>
      <c r="D22" s="108">
        <v>0.8</v>
      </c>
      <c r="E22" s="108">
        <v>0</v>
      </c>
      <c r="F22" s="108">
        <v>0</v>
      </c>
      <c r="G22" s="108">
        <v>0</v>
      </c>
      <c r="H22" s="108">
        <v>0.8</v>
      </c>
      <c r="I22" s="108">
        <v>0</v>
      </c>
      <c r="J22" s="108">
        <v>0</v>
      </c>
      <c r="K22" s="108">
        <v>0.8</v>
      </c>
      <c r="L22" s="108">
        <v>0</v>
      </c>
      <c r="M22" s="108">
        <v>0</v>
      </c>
      <c r="N22" s="108">
        <v>0</v>
      </c>
      <c r="O22" s="108">
        <v>0</v>
      </c>
      <c r="P22" s="108">
        <v>0</v>
      </c>
      <c r="Q22" s="108">
        <v>0</v>
      </c>
      <c r="R22" s="108">
        <v>0</v>
      </c>
      <c r="S22" s="108">
        <v>0</v>
      </c>
      <c r="T22" s="108">
        <v>0</v>
      </c>
      <c r="U22" s="108">
        <v>0</v>
      </c>
      <c r="V22" s="108">
        <v>0</v>
      </c>
      <c r="W22" s="108">
        <v>0</v>
      </c>
      <c r="X22" s="108">
        <v>0</v>
      </c>
      <c r="Y22" s="108">
        <v>0</v>
      </c>
      <c r="Z22" s="108">
        <v>0</v>
      </c>
      <c r="AA22" s="108">
        <v>0</v>
      </c>
      <c r="AB22" s="108">
        <v>0</v>
      </c>
      <c r="AC22" s="108">
        <v>0</v>
      </c>
      <c r="AD22" s="108">
        <v>0</v>
      </c>
      <c r="AE22" s="108">
        <v>0</v>
      </c>
      <c r="AF22" s="108">
        <v>0</v>
      </c>
      <c r="AG22" s="108">
        <v>0</v>
      </c>
      <c r="AH22" s="108">
        <v>0</v>
      </c>
      <c r="AI22" s="108">
        <v>0</v>
      </c>
      <c r="AJ22" s="108">
        <v>0</v>
      </c>
      <c r="AK22" s="108">
        <v>0</v>
      </c>
      <c r="AL22" s="108">
        <v>0</v>
      </c>
      <c r="AM22" s="108">
        <v>0</v>
      </c>
      <c r="AN22" s="108">
        <v>0</v>
      </c>
      <c r="AO22" s="108">
        <v>0</v>
      </c>
    </row>
    <row r="23" spans="1:41" customFormat="1" x14ac:dyDescent="0.15">
      <c r="A23" s="186" t="s">
        <v>213</v>
      </c>
      <c r="B23" s="108">
        <v>0.8</v>
      </c>
      <c r="C23" s="108">
        <v>0.8</v>
      </c>
      <c r="D23" s="108">
        <v>0.8</v>
      </c>
      <c r="E23" s="108">
        <v>0</v>
      </c>
      <c r="F23" s="108">
        <v>0.8</v>
      </c>
      <c r="G23" s="108">
        <v>0.8</v>
      </c>
      <c r="H23" s="108">
        <v>0.8</v>
      </c>
      <c r="I23" s="108">
        <v>0.8</v>
      </c>
      <c r="J23" s="108">
        <v>0.8</v>
      </c>
      <c r="K23" s="108">
        <v>0.8</v>
      </c>
      <c r="L23" s="108">
        <v>0.8</v>
      </c>
      <c r="M23" s="108">
        <v>0.8</v>
      </c>
      <c r="N23" s="108">
        <v>0</v>
      </c>
      <c r="O23" s="108">
        <v>0.8</v>
      </c>
      <c r="P23" s="108">
        <v>0</v>
      </c>
      <c r="Q23" s="108">
        <v>0</v>
      </c>
      <c r="R23" s="108">
        <v>0</v>
      </c>
      <c r="S23" s="108">
        <v>0</v>
      </c>
      <c r="T23" s="108">
        <v>0</v>
      </c>
      <c r="U23" s="108">
        <v>0</v>
      </c>
      <c r="V23" s="108">
        <v>0</v>
      </c>
      <c r="W23" s="108">
        <v>0</v>
      </c>
      <c r="X23" s="108">
        <v>0</v>
      </c>
      <c r="Y23" s="108">
        <v>0</v>
      </c>
      <c r="Z23" s="108">
        <v>0</v>
      </c>
      <c r="AA23" s="108">
        <v>0</v>
      </c>
      <c r="AB23" s="108">
        <v>0</v>
      </c>
      <c r="AC23" s="108">
        <v>0</v>
      </c>
      <c r="AD23" s="108">
        <v>0</v>
      </c>
      <c r="AE23" s="108">
        <v>0</v>
      </c>
      <c r="AF23" s="108">
        <v>0</v>
      </c>
      <c r="AG23" s="108">
        <v>0</v>
      </c>
      <c r="AH23" s="108">
        <v>0</v>
      </c>
      <c r="AI23" s="108">
        <v>0</v>
      </c>
      <c r="AJ23" s="108">
        <v>0</v>
      </c>
      <c r="AK23" s="108">
        <v>0</v>
      </c>
      <c r="AL23" s="108">
        <v>0</v>
      </c>
      <c r="AM23" s="108">
        <v>0</v>
      </c>
      <c r="AN23" s="108">
        <v>0</v>
      </c>
      <c r="AO23" s="108">
        <v>0</v>
      </c>
    </row>
    <row r="24" spans="1:41" customFormat="1" x14ac:dyDescent="0.15">
      <c r="A24" s="186" t="s">
        <v>214</v>
      </c>
      <c r="B24" s="108">
        <v>0.8</v>
      </c>
      <c r="C24" s="108">
        <v>0.8</v>
      </c>
      <c r="D24" s="108">
        <v>0.8</v>
      </c>
      <c r="E24" s="108">
        <v>0.8</v>
      </c>
      <c r="F24" s="108">
        <v>0.8</v>
      </c>
      <c r="G24" s="108">
        <v>0.8</v>
      </c>
      <c r="H24" s="108">
        <v>0.8</v>
      </c>
      <c r="I24" s="108">
        <v>0.8</v>
      </c>
      <c r="J24" s="108">
        <v>0.8</v>
      </c>
      <c r="K24" s="108">
        <v>0</v>
      </c>
      <c r="L24" s="108">
        <v>0.8</v>
      </c>
      <c r="M24" s="108">
        <v>0.8</v>
      </c>
      <c r="N24" s="108">
        <v>0</v>
      </c>
      <c r="O24" s="108">
        <v>0.8</v>
      </c>
      <c r="P24" s="108">
        <v>0</v>
      </c>
      <c r="Q24" s="108">
        <v>0</v>
      </c>
      <c r="R24" s="108">
        <v>0</v>
      </c>
      <c r="S24" s="108">
        <v>0</v>
      </c>
      <c r="T24" s="108">
        <v>0</v>
      </c>
      <c r="U24" s="108">
        <v>0</v>
      </c>
      <c r="V24" s="108">
        <v>0</v>
      </c>
      <c r="W24" s="108">
        <v>0</v>
      </c>
      <c r="X24" s="108">
        <v>0</v>
      </c>
      <c r="Y24" s="108">
        <v>0</v>
      </c>
      <c r="Z24" s="108">
        <v>0</v>
      </c>
      <c r="AA24" s="108">
        <v>0</v>
      </c>
      <c r="AB24" s="108">
        <v>0</v>
      </c>
      <c r="AC24" s="108">
        <v>0</v>
      </c>
      <c r="AD24" s="108">
        <v>0</v>
      </c>
      <c r="AE24" s="108">
        <v>0</v>
      </c>
      <c r="AF24" s="108">
        <v>0</v>
      </c>
      <c r="AG24" s="108">
        <v>0</v>
      </c>
      <c r="AH24" s="108">
        <v>0</v>
      </c>
      <c r="AI24" s="108">
        <v>0</v>
      </c>
      <c r="AJ24" s="108">
        <v>0</v>
      </c>
      <c r="AK24" s="108">
        <v>0</v>
      </c>
      <c r="AL24" s="108">
        <v>0</v>
      </c>
      <c r="AM24" s="108">
        <v>0</v>
      </c>
      <c r="AN24" s="108">
        <v>0</v>
      </c>
      <c r="AO24" s="108">
        <v>0</v>
      </c>
    </row>
    <row r="25" spans="1:41" customFormat="1" x14ac:dyDescent="0.15">
      <c r="A25" s="186" t="s">
        <v>215</v>
      </c>
      <c r="B25" s="108">
        <v>0.8</v>
      </c>
      <c r="C25" s="108">
        <v>0.8</v>
      </c>
      <c r="D25" s="108">
        <v>0.8</v>
      </c>
      <c r="E25" s="108">
        <v>0.8</v>
      </c>
      <c r="F25" s="108">
        <v>0.8</v>
      </c>
      <c r="G25" s="108">
        <v>0.8</v>
      </c>
      <c r="H25" s="108">
        <v>0.8</v>
      </c>
      <c r="I25" s="108">
        <v>0.8</v>
      </c>
      <c r="J25" s="108">
        <v>0.8</v>
      </c>
      <c r="K25" s="108">
        <v>0.8</v>
      </c>
      <c r="L25" s="108">
        <v>0.8</v>
      </c>
      <c r="M25" s="108">
        <v>0</v>
      </c>
      <c r="N25" s="108">
        <v>0</v>
      </c>
      <c r="O25" s="108">
        <v>0.8</v>
      </c>
      <c r="P25" s="108">
        <v>0</v>
      </c>
      <c r="Q25" s="108">
        <v>0</v>
      </c>
      <c r="R25" s="108">
        <v>0</v>
      </c>
      <c r="S25" s="108">
        <v>0</v>
      </c>
      <c r="T25" s="108">
        <v>0</v>
      </c>
      <c r="U25" s="108">
        <v>0</v>
      </c>
      <c r="V25" s="108">
        <v>0</v>
      </c>
      <c r="W25" s="108">
        <v>0</v>
      </c>
      <c r="X25" s="108">
        <v>0</v>
      </c>
      <c r="Y25" s="108">
        <v>0</v>
      </c>
      <c r="Z25" s="108">
        <v>0</v>
      </c>
      <c r="AA25" s="108">
        <v>0</v>
      </c>
      <c r="AB25" s="108">
        <v>0</v>
      </c>
      <c r="AC25" s="108">
        <v>0</v>
      </c>
      <c r="AD25" s="108">
        <v>0</v>
      </c>
      <c r="AE25" s="108">
        <v>0</v>
      </c>
      <c r="AF25" s="108">
        <v>0</v>
      </c>
      <c r="AG25" s="108">
        <v>0</v>
      </c>
      <c r="AH25" s="108">
        <v>0</v>
      </c>
      <c r="AI25" s="108">
        <v>0</v>
      </c>
      <c r="AJ25" s="108">
        <v>0</v>
      </c>
      <c r="AK25" s="108">
        <v>0</v>
      </c>
      <c r="AL25" s="108">
        <v>0</v>
      </c>
      <c r="AM25" s="108">
        <v>0</v>
      </c>
      <c r="AN25" s="108">
        <v>0</v>
      </c>
      <c r="AO25" s="108">
        <v>0</v>
      </c>
    </row>
    <row r="26" spans="1:41" customFormat="1" x14ac:dyDescent="0.15">
      <c r="A26" s="186" t="s">
        <v>216</v>
      </c>
      <c r="B26" s="108">
        <v>0.8</v>
      </c>
      <c r="C26" s="108">
        <v>0.8</v>
      </c>
      <c r="D26" s="108">
        <v>0.8</v>
      </c>
      <c r="E26" s="108">
        <v>0.8</v>
      </c>
      <c r="F26" s="108">
        <v>0.8</v>
      </c>
      <c r="G26" s="108">
        <v>0.8</v>
      </c>
      <c r="H26" s="108">
        <v>0.8</v>
      </c>
      <c r="I26" s="108">
        <v>0.8</v>
      </c>
      <c r="J26" s="108">
        <v>0.8</v>
      </c>
      <c r="K26" s="108">
        <v>0.8</v>
      </c>
      <c r="L26" s="108">
        <v>0.8</v>
      </c>
      <c r="M26" s="108">
        <v>0.8</v>
      </c>
      <c r="N26" s="108">
        <v>0</v>
      </c>
      <c r="O26" s="108">
        <v>0.8</v>
      </c>
      <c r="P26" s="108">
        <v>0</v>
      </c>
      <c r="Q26" s="108">
        <v>0</v>
      </c>
      <c r="R26" s="108">
        <v>0</v>
      </c>
      <c r="S26" s="108">
        <v>0</v>
      </c>
      <c r="T26" s="108">
        <v>0</v>
      </c>
      <c r="U26" s="108">
        <v>0</v>
      </c>
      <c r="V26" s="108">
        <v>0</v>
      </c>
      <c r="W26" s="108">
        <v>0</v>
      </c>
      <c r="X26" s="108">
        <v>0</v>
      </c>
      <c r="Y26" s="108">
        <v>0</v>
      </c>
      <c r="Z26" s="108">
        <v>0</v>
      </c>
      <c r="AA26" s="108">
        <v>0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  <c r="AH26" s="108">
        <v>0</v>
      </c>
      <c r="AI26" s="108">
        <v>0</v>
      </c>
      <c r="AJ26" s="108">
        <v>0</v>
      </c>
      <c r="AK26" s="108">
        <v>0</v>
      </c>
      <c r="AL26" s="108">
        <v>0</v>
      </c>
      <c r="AM26" s="108">
        <v>0</v>
      </c>
      <c r="AN26" s="108">
        <v>0</v>
      </c>
      <c r="AO26" s="108">
        <v>0</v>
      </c>
    </row>
    <row r="27" spans="1:41" customFormat="1" x14ac:dyDescent="0.15">
      <c r="A27" s="186" t="s">
        <v>217</v>
      </c>
      <c r="B27" s="108">
        <v>0</v>
      </c>
      <c r="C27" s="108">
        <v>0.8</v>
      </c>
      <c r="D27" s="108">
        <v>0</v>
      </c>
      <c r="E27" s="108">
        <v>0.8</v>
      </c>
      <c r="F27" s="108">
        <v>0.8</v>
      </c>
      <c r="G27" s="108">
        <v>0</v>
      </c>
      <c r="H27" s="108">
        <v>0</v>
      </c>
      <c r="I27" s="108">
        <v>0.8</v>
      </c>
      <c r="J27" s="108">
        <v>0.8</v>
      </c>
      <c r="K27" s="108">
        <v>0.8</v>
      </c>
      <c r="L27" s="108">
        <v>0.8</v>
      </c>
      <c r="M27" s="108">
        <v>0.8</v>
      </c>
      <c r="N27" s="108">
        <v>0.8</v>
      </c>
      <c r="O27" s="108">
        <v>0.8</v>
      </c>
      <c r="P27" s="108">
        <v>0</v>
      </c>
      <c r="Q27" s="108">
        <v>0.8</v>
      </c>
      <c r="R27" s="108">
        <v>0</v>
      </c>
      <c r="S27" s="108">
        <v>0</v>
      </c>
      <c r="T27" s="108">
        <v>0</v>
      </c>
      <c r="U27" s="108">
        <v>0</v>
      </c>
      <c r="V27" s="108">
        <v>0</v>
      </c>
      <c r="W27" s="108">
        <v>0.8</v>
      </c>
      <c r="X27" s="108">
        <v>0</v>
      </c>
      <c r="Y27" s="108">
        <v>0</v>
      </c>
      <c r="Z27" s="108">
        <v>0</v>
      </c>
      <c r="AA27" s="108">
        <v>0</v>
      </c>
      <c r="AB27" s="108">
        <v>0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  <c r="AH27" s="108">
        <v>0</v>
      </c>
      <c r="AI27" s="108">
        <v>0</v>
      </c>
      <c r="AJ27" s="108">
        <v>0</v>
      </c>
      <c r="AK27" s="108">
        <v>0</v>
      </c>
      <c r="AL27" s="108">
        <v>0</v>
      </c>
      <c r="AM27" s="108">
        <v>0</v>
      </c>
      <c r="AN27" s="108">
        <v>0</v>
      </c>
      <c r="AO27" s="108">
        <v>0</v>
      </c>
    </row>
    <row r="28" spans="1:41" customFormat="1" x14ac:dyDescent="0.15">
      <c r="A28" s="186" t="s">
        <v>218</v>
      </c>
      <c r="B28" s="108">
        <v>0.8</v>
      </c>
      <c r="C28" s="108">
        <v>0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0</v>
      </c>
      <c r="M28" s="108">
        <v>0.8</v>
      </c>
      <c r="N28" s="108">
        <v>0</v>
      </c>
      <c r="O28" s="108">
        <v>0</v>
      </c>
      <c r="P28" s="108">
        <v>0</v>
      </c>
      <c r="Q28" s="108">
        <v>0</v>
      </c>
      <c r="R28" s="108">
        <v>0</v>
      </c>
      <c r="S28" s="108">
        <v>0</v>
      </c>
      <c r="T28" s="108">
        <v>0</v>
      </c>
      <c r="U28" s="108">
        <v>0</v>
      </c>
      <c r="V28" s="108">
        <v>0</v>
      </c>
      <c r="W28" s="108">
        <v>0</v>
      </c>
      <c r="X28" s="108">
        <v>0</v>
      </c>
      <c r="Y28" s="108">
        <v>0</v>
      </c>
      <c r="Z28" s="108">
        <v>0</v>
      </c>
      <c r="AA28" s="108">
        <v>0</v>
      </c>
      <c r="AB28" s="108">
        <v>0</v>
      </c>
      <c r="AC28" s="108">
        <v>0</v>
      </c>
      <c r="AD28" s="108">
        <v>0</v>
      </c>
      <c r="AE28" s="108">
        <v>0</v>
      </c>
      <c r="AF28" s="108">
        <v>0</v>
      </c>
      <c r="AG28" s="108">
        <v>0</v>
      </c>
      <c r="AH28" s="108">
        <v>0</v>
      </c>
      <c r="AI28" s="108">
        <v>0</v>
      </c>
      <c r="AJ28" s="108">
        <v>0</v>
      </c>
      <c r="AK28" s="108">
        <v>0</v>
      </c>
      <c r="AL28" s="108">
        <v>0</v>
      </c>
      <c r="AM28" s="108">
        <v>0</v>
      </c>
      <c r="AN28" s="108">
        <v>0</v>
      </c>
      <c r="AO28" s="108">
        <v>0</v>
      </c>
    </row>
    <row r="29" spans="1:41" customFormat="1" x14ac:dyDescent="0.15">
      <c r="A29" s="186" t="s">
        <v>219</v>
      </c>
      <c r="B29" s="108">
        <v>0</v>
      </c>
      <c r="C29" s="108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0.8</v>
      </c>
      <c r="I29" s="108">
        <v>0</v>
      </c>
      <c r="J29" s="108">
        <v>0</v>
      </c>
      <c r="K29" s="108">
        <v>0</v>
      </c>
      <c r="L29" s="108">
        <v>0</v>
      </c>
      <c r="M29" s="108">
        <v>0</v>
      </c>
      <c r="N29" s="108">
        <v>0</v>
      </c>
      <c r="O29" s="108">
        <v>0.8</v>
      </c>
      <c r="P29" s="108">
        <v>0</v>
      </c>
      <c r="Q29" s="108">
        <v>0</v>
      </c>
      <c r="R29" s="108">
        <v>0</v>
      </c>
      <c r="S29" s="108">
        <v>0</v>
      </c>
      <c r="T29" s="108">
        <v>0</v>
      </c>
      <c r="U29" s="108">
        <v>0</v>
      </c>
      <c r="V29" s="108">
        <v>0</v>
      </c>
      <c r="W29" s="108">
        <v>0</v>
      </c>
      <c r="X29" s="108">
        <v>0</v>
      </c>
      <c r="Y29" s="108">
        <v>0</v>
      </c>
      <c r="Z29" s="108">
        <v>0</v>
      </c>
      <c r="AA29" s="108">
        <v>0</v>
      </c>
      <c r="AB29" s="108">
        <v>0</v>
      </c>
      <c r="AC29" s="108">
        <v>0</v>
      </c>
      <c r="AD29" s="108">
        <v>0</v>
      </c>
      <c r="AE29" s="108">
        <v>0</v>
      </c>
      <c r="AF29" s="108">
        <v>0</v>
      </c>
      <c r="AG29" s="108">
        <v>0</v>
      </c>
      <c r="AH29" s="108">
        <v>0</v>
      </c>
      <c r="AI29" s="108">
        <v>0</v>
      </c>
      <c r="AJ29" s="108">
        <v>0</v>
      </c>
      <c r="AK29" s="108">
        <v>0</v>
      </c>
      <c r="AL29" s="108">
        <v>0</v>
      </c>
      <c r="AM29" s="108">
        <v>0</v>
      </c>
      <c r="AN29" s="108">
        <v>0</v>
      </c>
      <c r="AO29" s="108">
        <v>0</v>
      </c>
    </row>
    <row r="30" spans="1:41" customFormat="1" x14ac:dyDescent="0.15">
      <c r="A30" s="186" t="s">
        <v>220</v>
      </c>
      <c r="B30" s="108">
        <v>0.8</v>
      </c>
      <c r="C30" s="108">
        <v>0.8</v>
      </c>
      <c r="D30" s="108">
        <v>0</v>
      </c>
      <c r="E30" s="108">
        <v>0.8</v>
      </c>
      <c r="F30" s="108">
        <v>0</v>
      </c>
      <c r="G30" s="108">
        <v>0</v>
      </c>
      <c r="H30" s="108">
        <v>0</v>
      </c>
      <c r="I30" s="108">
        <v>0</v>
      </c>
      <c r="J30" s="108">
        <v>0.8</v>
      </c>
      <c r="K30" s="108">
        <v>0.8</v>
      </c>
      <c r="L30" s="108">
        <v>0</v>
      </c>
      <c r="M30" s="108">
        <v>0</v>
      </c>
      <c r="N30" s="108">
        <v>0</v>
      </c>
      <c r="O30" s="108">
        <v>0.8</v>
      </c>
      <c r="P30" s="108">
        <v>0.8</v>
      </c>
      <c r="Q30" s="108">
        <v>0.8</v>
      </c>
      <c r="R30" s="108">
        <v>0.8</v>
      </c>
      <c r="S30" s="108">
        <v>0</v>
      </c>
      <c r="T30" s="108">
        <v>0.8</v>
      </c>
      <c r="U30" s="108">
        <v>0</v>
      </c>
      <c r="V30" s="108">
        <v>0.8</v>
      </c>
      <c r="W30" s="108">
        <v>0</v>
      </c>
      <c r="X30" s="108">
        <v>0</v>
      </c>
      <c r="Y30" s="108">
        <v>0</v>
      </c>
      <c r="Z30" s="108">
        <v>0</v>
      </c>
      <c r="AA30" s="108">
        <v>0</v>
      </c>
      <c r="AB30" s="108">
        <v>0</v>
      </c>
      <c r="AC30" s="108">
        <v>0</v>
      </c>
      <c r="AD30" s="108">
        <v>0</v>
      </c>
      <c r="AE30" s="108">
        <v>0</v>
      </c>
      <c r="AF30" s="108">
        <v>0</v>
      </c>
      <c r="AG30" s="108">
        <v>0</v>
      </c>
      <c r="AH30" s="108">
        <v>0</v>
      </c>
      <c r="AI30" s="108">
        <v>0</v>
      </c>
      <c r="AJ30" s="108">
        <v>0</v>
      </c>
      <c r="AK30" s="108">
        <v>0</v>
      </c>
      <c r="AL30" s="108">
        <v>0</v>
      </c>
      <c r="AM30" s="108">
        <v>0</v>
      </c>
      <c r="AN30" s="108">
        <v>0</v>
      </c>
      <c r="AO30" s="108">
        <v>0</v>
      </c>
    </row>
    <row r="31" spans="1:41" customFormat="1" x14ac:dyDescent="0.15">
      <c r="A31" s="186" t="s">
        <v>221</v>
      </c>
      <c r="B31" s="108">
        <v>0.8</v>
      </c>
      <c r="C31" s="108">
        <v>0</v>
      </c>
      <c r="D31" s="108">
        <v>0.8</v>
      </c>
      <c r="E31" s="108">
        <v>0</v>
      </c>
      <c r="F31" s="108">
        <v>0</v>
      </c>
      <c r="G31" s="108">
        <v>0</v>
      </c>
      <c r="H31" s="108">
        <v>0.8</v>
      </c>
      <c r="I31" s="108">
        <v>0.8</v>
      </c>
      <c r="J31" s="108">
        <v>0.8</v>
      </c>
      <c r="K31" s="108">
        <v>0.8</v>
      </c>
      <c r="L31" s="108">
        <v>0.8</v>
      </c>
      <c r="M31" s="108">
        <v>0.8</v>
      </c>
      <c r="N31" s="108">
        <v>0</v>
      </c>
      <c r="O31" s="108">
        <v>0</v>
      </c>
      <c r="P31" s="108">
        <v>0</v>
      </c>
      <c r="Q31" s="108">
        <v>0</v>
      </c>
      <c r="R31" s="108">
        <v>0</v>
      </c>
      <c r="S31" s="108">
        <v>0</v>
      </c>
      <c r="T31" s="108">
        <v>0</v>
      </c>
      <c r="U31" s="108">
        <v>0</v>
      </c>
      <c r="V31" s="108">
        <v>0</v>
      </c>
      <c r="W31" s="108">
        <v>0</v>
      </c>
      <c r="X31" s="108">
        <v>0</v>
      </c>
      <c r="Y31" s="108">
        <v>0</v>
      </c>
      <c r="Z31" s="108">
        <v>0</v>
      </c>
      <c r="AA31" s="108">
        <v>0</v>
      </c>
      <c r="AB31" s="108">
        <v>0</v>
      </c>
      <c r="AC31" s="108">
        <v>0</v>
      </c>
      <c r="AD31" s="108">
        <v>0</v>
      </c>
      <c r="AE31" s="108">
        <v>0</v>
      </c>
      <c r="AF31" s="108">
        <v>0</v>
      </c>
      <c r="AG31" s="108">
        <v>0</v>
      </c>
      <c r="AH31" s="108">
        <v>0</v>
      </c>
      <c r="AI31" s="108">
        <v>0</v>
      </c>
      <c r="AJ31" s="108">
        <v>0</v>
      </c>
      <c r="AK31" s="108">
        <v>0</v>
      </c>
      <c r="AL31" s="108">
        <v>0</v>
      </c>
      <c r="AM31" s="108">
        <v>0</v>
      </c>
      <c r="AN31" s="108">
        <v>0</v>
      </c>
      <c r="AO31" s="108">
        <v>0</v>
      </c>
    </row>
    <row r="32" spans="1:41" customFormat="1" x14ac:dyDescent="0.15">
      <c r="A32" s="186" t="s">
        <v>222</v>
      </c>
      <c r="B32" s="108">
        <v>0.8</v>
      </c>
      <c r="C32" s="108">
        <v>0</v>
      </c>
      <c r="D32" s="108">
        <v>0.8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0</v>
      </c>
      <c r="M32" s="108">
        <v>0</v>
      </c>
      <c r="N32" s="108">
        <v>0</v>
      </c>
      <c r="O32" s="108">
        <v>0</v>
      </c>
      <c r="P32" s="108">
        <v>0</v>
      </c>
      <c r="Q32" s="108">
        <v>0</v>
      </c>
      <c r="R32" s="108">
        <v>0</v>
      </c>
      <c r="S32" s="108">
        <v>0</v>
      </c>
      <c r="T32" s="108">
        <v>0</v>
      </c>
      <c r="U32" s="108">
        <v>0</v>
      </c>
      <c r="V32" s="108">
        <v>0</v>
      </c>
      <c r="W32" s="108">
        <v>0</v>
      </c>
      <c r="X32" s="108">
        <v>0</v>
      </c>
      <c r="Y32" s="108">
        <v>0</v>
      </c>
      <c r="Z32" s="108">
        <v>0</v>
      </c>
      <c r="AA32" s="108">
        <v>0</v>
      </c>
      <c r="AB32" s="108">
        <v>0</v>
      </c>
      <c r="AC32" s="108">
        <v>0</v>
      </c>
      <c r="AD32" s="108">
        <v>0</v>
      </c>
      <c r="AE32" s="108">
        <v>0</v>
      </c>
      <c r="AF32" s="108">
        <v>0</v>
      </c>
      <c r="AG32" s="108">
        <v>0</v>
      </c>
      <c r="AH32" s="108">
        <v>0</v>
      </c>
      <c r="AI32" s="108">
        <v>0</v>
      </c>
      <c r="AJ32" s="108">
        <v>0</v>
      </c>
      <c r="AK32" s="108">
        <v>0</v>
      </c>
      <c r="AL32" s="108">
        <v>0</v>
      </c>
      <c r="AM32" s="108">
        <v>0</v>
      </c>
      <c r="AN32" s="108">
        <v>0</v>
      </c>
      <c r="AO32" s="108">
        <v>0</v>
      </c>
    </row>
    <row r="33" spans="1:41" x14ac:dyDescent="0.15">
      <c r="A33" s="186" t="s">
        <v>223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8">
        <v>0</v>
      </c>
      <c r="L33" s="108">
        <v>0.8</v>
      </c>
      <c r="M33" s="108">
        <v>0</v>
      </c>
      <c r="N33" s="108">
        <v>0</v>
      </c>
      <c r="O33" s="108">
        <v>0</v>
      </c>
      <c r="P33" s="108">
        <v>0</v>
      </c>
      <c r="Q33" s="108">
        <v>0</v>
      </c>
      <c r="R33" s="108">
        <v>0</v>
      </c>
      <c r="S33" s="108">
        <v>0</v>
      </c>
      <c r="T33" s="108">
        <v>0</v>
      </c>
      <c r="U33" s="108">
        <v>0</v>
      </c>
      <c r="V33" s="108">
        <v>0</v>
      </c>
      <c r="W33" s="108">
        <v>0</v>
      </c>
      <c r="X33" s="108">
        <v>0</v>
      </c>
      <c r="Y33" s="108">
        <v>0</v>
      </c>
      <c r="Z33" s="108">
        <v>0</v>
      </c>
      <c r="AA33" s="108">
        <v>0</v>
      </c>
      <c r="AB33" s="108">
        <v>0</v>
      </c>
      <c r="AC33" s="108">
        <v>0</v>
      </c>
      <c r="AD33" s="108">
        <v>0</v>
      </c>
      <c r="AE33" s="108">
        <v>0</v>
      </c>
      <c r="AF33" s="108">
        <v>0</v>
      </c>
      <c r="AG33" s="108">
        <v>0</v>
      </c>
      <c r="AH33" s="108">
        <v>0</v>
      </c>
      <c r="AI33" s="108">
        <v>0</v>
      </c>
      <c r="AJ33" s="108">
        <v>0</v>
      </c>
      <c r="AK33" s="108">
        <v>0</v>
      </c>
      <c r="AL33" s="108">
        <v>0</v>
      </c>
      <c r="AM33" s="108">
        <v>0</v>
      </c>
      <c r="AN33" s="108">
        <v>0</v>
      </c>
      <c r="AO33" s="108">
        <v>0</v>
      </c>
    </row>
    <row r="34" spans="1:41" x14ac:dyDescent="0.15">
      <c r="A34" s="186" t="s">
        <v>224</v>
      </c>
      <c r="B34" s="108">
        <v>0</v>
      </c>
      <c r="C34" s="108">
        <v>0</v>
      </c>
      <c r="D34" s="108">
        <v>0</v>
      </c>
      <c r="E34" s="108">
        <v>0</v>
      </c>
      <c r="F34" s="108">
        <v>0.8</v>
      </c>
      <c r="G34" s="108">
        <v>0.8</v>
      </c>
      <c r="H34" s="108">
        <v>0.8</v>
      </c>
      <c r="I34" s="108">
        <v>0.8</v>
      </c>
      <c r="J34" s="108">
        <v>0.8</v>
      </c>
      <c r="K34" s="108">
        <v>0.8</v>
      </c>
      <c r="L34" s="108">
        <v>0.8</v>
      </c>
      <c r="M34" s="108">
        <v>0.8</v>
      </c>
      <c r="N34" s="108">
        <v>0</v>
      </c>
      <c r="O34" s="108">
        <v>0.8</v>
      </c>
      <c r="P34" s="108">
        <v>0</v>
      </c>
      <c r="Q34" s="108">
        <v>0.8</v>
      </c>
      <c r="R34" s="108">
        <v>0.8</v>
      </c>
      <c r="S34" s="108">
        <v>0</v>
      </c>
      <c r="T34" s="108">
        <v>0.8</v>
      </c>
      <c r="U34" s="108">
        <v>0</v>
      </c>
      <c r="V34" s="108">
        <v>0</v>
      </c>
      <c r="W34" s="108">
        <v>0.8</v>
      </c>
      <c r="X34" s="108">
        <v>0</v>
      </c>
      <c r="Y34" s="108">
        <v>0.8</v>
      </c>
      <c r="Z34" s="108">
        <v>0</v>
      </c>
      <c r="AA34" s="108">
        <v>0.8</v>
      </c>
      <c r="AB34" s="108">
        <v>0</v>
      </c>
      <c r="AC34" s="108">
        <v>0.8</v>
      </c>
      <c r="AD34" s="108">
        <v>0.8</v>
      </c>
      <c r="AE34" s="108">
        <v>0.8</v>
      </c>
      <c r="AF34" s="108">
        <v>0.8</v>
      </c>
      <c r="AG34" s="108">
        <v>0.8</v>
      </c>
      <c r="AH34" s="108">
        <v>0</v>
      </c>
      <c r="AI34" s="108">
        <v>0</v>
      </c>
      <c r="AJ34" s="108">
        <v>0</v>
      </c>
      <c r="AK34" s="108">
        <v>0</v>
      </c>
      <c r="AL34" s="108">
        <v>0</v>
      </c>
      <c r="AM34" s="108">
        <v>0</v>
      </c>
      <c r="AN34" s="108">
        <v>0</v>
      </c>
      <c r="AO34" s="108">
        <v>0</v>
      </c>
    </row>
    <row r="35" spans="1:41" x14ac:dyDescent="0.15">
      <c r="A35" s="186" t="s">
        <v>225</v>
      </c>
      <c r="B35" s="108">
        <v>0.8</v>
      </c>
      <c r="C35" s="108">
        <v>0.8</v>
      </c>
      <c r="D35" s="108">
        <v>0.8</v>
      </c>
      <c r="E35" s="108">
        <v>0.8</v>
      </c>
      <c r="F35" s="108">
        <v>0.8</v>
      </c>
      <c r="G35" s="108">
        <v>0.8</v>
      </c>
      <c r="H35" s="108">
        <v>0.8</v>
      </c>
      <c r="I35" s="108">
        <v>0.8</v>
      </c>
      <c r="J35" s="108">
        <v>0.8</v>
      </c>
      <c r="K35" s="108">
        <v>0.8</v>
      </c>
      <c r="L35" s="108">
        <v>0.8</v>
      </c>
      <c r="M35" s="108">
        <v>0.8</v>
      </c>
      <c r="N35" s="108">
        <v>0.8</v>
      </c>
      <c r="O35" s="108">
        <v>0.8</v>
      </c>
      <c r="P35" s="108">
        <v>0.8</v>
      </c>
      <c r="Q35" s="108">
        <v>0.8</v>
      </c>
      <c r="R35" s="108">
        <v>0.8</v>
      </c>
      <c r="S35" s="108">
        <v>0.8</v>
      </c>
      <c r="T35" s="108">
        <v>0.8</v>
      </c>
      <c r="U35" s="108">
        <v>0.8</v>
      </c>
      <c r="V35" s="108">
        <v>0.8</v>
      </c>
      <c r="W35" s="108">
        <v>0.8</v>
      </c>
      <c r="X35" s="108">
        <v>0.8</v>
      </c>
      <c r="Y35" s="108">
        <v>0.8</v>
      </c>
      <c r="Z35" s="108">
        <v>0.8</v>
      </c>
      <c r="AA35" s="108">
        <v>0.8</v>
      </c>
      <c r="AB35" s="108">
        <v>0</v>
      </c>
      <c r="AC35" s="108">
        <v>0.8</v>
      </c>
      <c r="AD35" s="108">
        <v>0.8</v>
      </c>
      <c r="AE35" s="108">
        <v>0.8</v>
      </c>
      <c r="AF35" s="108">
        <v>0.8</v>
      </c>
      <c r="AG35" s="108">
        <v>0.8</v>
      </c>
      <c r="AH35" s="108">
        <v>0</v>
      </c>
      <c r="AI35" s="108">
        <v>0.8</v>
      </c>
      <c r="AJ35" s="108">
        <v>0</v>
      </c>
      <c r="AK35" s="108">
        <v>0</v>
      </c>
      <c r="AL35" s="108">
        <v>0</v>
      </c>
      <c r="AM35" s="108">
        <v>0</v>
      </c>
      <c r="AN35" s="108">
        <v>0</v>
      </c>
      <c r="AO35" s="108">
        <v>0</v>
      </c>
    </row>
    <row r="36" spans="1:41" x14ac:dyDescent="0.15">
      <c r="A36" s="186" t="s">
        <v>226</v>
      </c>
      <c r="B36" s="108">
        <v>0.8</v>
      </c>
      <c r="C36" s="108">
        <v>0.8</v>
      </c>
      <c r="D36" s="108">
        <v>0.8</v>
      </c>
      <c r="E36" s="108">
        <v>0.8</v>
      </c>
      <c r="F36" s="108">
        <v>0.8</v>
      </c>
      <c r="G36" s="108">
        <v>0.8</v>
      </c>
      <c r="H36" s="108">
        <v>0.8</v>
      </c>
      <c r="I36" s="108">
        <v>0.8</v>
      </c>
      <c r="J36" s="108">
        <v>0.8</v>
      </c>
      <c r="K36" s="108">
        <v>0.8</v>
      </c>
      <c r="L36" s="108">
        <v>0.8</v>
      </c>
      <c r="M36" s="108">
        <v>0.8</v>
      </c>
      <c r="N36" s="108">
        <v>0.8</v>
      </c>
      <c r="O36" s="108">
        <v>0.8</v>
      </c>
      <c r="P36" s="108">
        <v>0.8</v>
      </c>
      <c r="Q36" s="108">
        <v>0.8</v>
      </c>
      <c r="R36" s="108">
        <v>0.8</v>
      </c>
      <c r="S36" s="108">
        <v>0.8</v>
      </c>
      <c r="T36" s="108">
        <v>0.8</v>
      </c>
      <c r="U36" s="108">
        <v>0.8</v>
      </c>
      <c r="V36" s="108">
        <v>0.8</v>
      </c>
      <c r="W36" s="108">
        <v>0.8</v>
      </c>
      <c r="X36" s="108">
        <v>0.8</v>
      </c>
      <c r="Y36" s="108">
        <v>0.8</v>
      </c>
      <c r="Z36" s="108">
        <v>0.8</v>
      </c>
      <c r="AA36" s="108">
        <v>0.8</v>
      </c>
      <c r="AB36" s="108">
        <v>0.8</v>
      </c>
      <c r="AC36" s="108">
        <v>0.8</v>
      </c>
      <c r="AD36" s="108">
        <v>0.8</v>
      </c>
      <c r="AE36" s="108">
        <v>0.8</v>
      </c>
      <c r="AF36" s="108">
        <v>0.8</v>
      </c>
      <c r="AG36" s="108">
        <v>0.8</v>
      </c>
      <c r="AH36" s="108">
        <v>0.8</v>
      </c>
      <c r="AI36" s="108">
        <v>0</v>
      </c>
      <c r="AJ36" s="108">
        <v>0.8</v>
      </c>
      <c r="AK36" s="108">
        <v>0</v>
      </c>
      <c r="AL36" s="108">
        <v>0</v>
      </c>
      <c r="AM36" s="108">
        <v>0</v>
      </c>
      <c r="AN36" s="108">
        <v>0</v>
      </c>
      <c r="AO36" s="108">
        <v>0</v>
      </c>
    </row>
    <row r="37" spans="1:41" x14ac:dyDescent="0.15">
      <c r="A37" s="186" t="s">
        <v>227</v>
      </c>
      <c r="B37" s="108">
        <v>0</v>
      </c>
      <c r="C37" s="108">
        <v>0.8</v>
      </c>
      <c r="D37" s="108">
        <v>0</v>
      </c>
      <c r="E37" s="108">
        <v>0.8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8">
        <v>0</v>
      </c>
      <c r="L37" s="108">
        <v>0.8</v>
      </c>
      <c r="M37" s="108">
        <v>0.8</v>
      </c>
      <c r="N37" s="108">
        <v>0.8</v>
      </c>
      <c r="O37" s="108">
        <v>0.8</v>
      </c>
      <c r="P37" s="108">
        <v>0</v>
      </c>
      <c r="Q37" s="108">
        <v>0</v>
      </c>
      <c r="R37" s="108">
        <v>0</v>
      </c>
      <c r="S37" s="108">
        <v>0</v>
      </c>
      <c r="T37" s="108">
        <v>0.8</v>
      </c>
      <c r="U37" s="108">
        <v>0</v>
      </c>
      <c r="V37" s="108">
        <v>0</v>
      </c>
      <c r="W37" s="108">
        <v>0.8</v>
      </c>
      <c r="X37" s="108">
        <v>0.8</v>
      </c>
      <c r="Y37" s="108">
        <v>0</v>
      </c>
      <c r="Z37" s="108">
        <v>0.8</v>
      </c>
      <c r="AA37" s="108">
        <v>0.8</v>
      </c>
      <c r="AB37" s="108">
        <v>0</v>
      </c>
      <c r="AC37" s="108">
        <v>0.8</v>
      </c>
      <c r="AD37" s="108">
        <v>0</v>
      </c>
      <c r="AE37" s="108">
        <v>0</v>
      </c>
      <c r="AF37" s="108">
        <v>0</v>
      </c>
      <c r="AG37" s="108">
        <v>0</v>
      </c>
      <c r="AH37" s="108">
        <v>0</v>
      </c>
      <c r="AI37" s="108">
        <v>0</v>
      </c>
      <c r="AJ37" s="108">
        <v>0</v>
      </c>
      <c r="AK37" s="108">
        <v>0</v>
      </c>
      <c r="AL37" s="108">
        <v>0</v>
      </c>
      <c r="AM37" s="108">
        <v>0</v>
      </c>
      <c r="AN37" s="108">
        <v>0</v>
      </c>
      <c r="AO37" s="108">
        <v>0</v>
      </c>
    </row>
    <row r="38" spans="1:41" x14ac:dyDescent="0.15">
      <c r="A38" s="186" t="s">
        <v>228</v>
      </c>
      <c r="B38" s="108">
        <v>0</v>
      </c>
      <c r="C38" s="108">
        <v>0</v>
      </c>
      <c r="D38" s="108">
        <v>0</v>
      </c>
      <c r="E38" s="108">
        <v>0</v>
      </c>
      <c r="F38" s="108">
        <v>0</v>
      </c>
      <c r="G38" s="108">
        <v>0</v>
      </c>
      <c r="H38" s="108">
        <v>0.8</v>
      </c>
      <c r="I38" s="108">
        <v>0.8</v>
      </c>
      <c r="J38" s="108">
        <v>0</v>
      </c>
      <c r="K38" s="108">
        <v>0</v>
      </c>
      <c r="L38" s="108">
        <v>0</v>
      </c>
      <c r="M38" s="108">
        <v>0.8</v>
      </c>
      <c r="N38" s="108">
        <v>0</v>
      </c>
      <c r="O38" s="108">
        <v>0</v>
      </c>
      <c r="P38" s="108">
        <v>0</v>
      </c>
      <c r="Q38" s="108">
        <v>0</v>
      </c>
      <c r="R38" s="108">
        <v>0</v>
      </c>
      <c r="S38" s="108">
        <v>0</v>
      </c>
      <c r="T38" s="108">
        <v>0</v>
      </c>
      <c r="U38" s="108">
        <v>0.8</v>
      </c>
      <c r="V38" s="108">
        <v>0</v>
      </c>
      <c r="W38" s="108">
        <v>0.8</v>
      </c>
      <c r="X38" s="108">
        <v>0.8</v>
      </c>
      <c r="Y38" s="108">
        <v>0.8</v>
      </c>
      <c r="Z38" s="108">
        <v>0.8</v>
      </c>
      <c r="AA38" s="108">
        <v>0.8</v>
      </c>
      <c r="AB38" s="108">
        <v>0.8</v>
      </c>
      <c r="AC38" s="108">
        <v>0.8</v>
      </c>
      <c r="AD38" s="108">
        <v>0.8</v>
      </c>
      <c r="AE38" s="108">
        <v>0</v>
      </c>
      <c r="AF38" s="108">
        <v>0.8</v>
      </c>
      <c r="AG38" s="108">
        <v>0.8</v>
      </c>
      <c r="AH38" s="108">
        <v>0</v>
      </c>
      <c r="AI38" s="108">
        <v>0.8</v>
      </c>
      <c r="AJ38" s="108">
        <v>0.8</v>
      </c>
      <c r="AK38" s="108">
        <v>0</v>
      </c>
      <c r="AL38" s="108">
        <v>0</v>
      </c>
      <c r="AM38" s="108">
        <v>0</v>
      </c>
      <c r="AN38" s="108">
        <v>0</v>
      </c>
      <c r="AO38" s="108">
        <v>0</v>
      </c>
    </row>
    <row r="39" spans="1:41" x14ac:dyDescent="0.15">
      <c r="A39" s="186" t="s">
        <v>229</v>
      </c>
      <c r="B39" s="108">
        <v>0</v>
      </c>
      <c r="C39" s="108">
        <v>0</v>
      </c>
      <c r="D39" s="108">
        <v>0</v>
      </c>
      <c r="E39" s="108">
        <v>0</v>
      </c>
      <c r="F39" s="108">
        <v>0</v>
      </c>
      <c r="G39" s="108">
        <v>0</v>
      </c>
      <c r="H39" s="108">
        <v>0</v>
      </c>
      <c r="I39" s="108">
        <v>0</v>
      </c>
      <c r="J39" s="108">
        <v>0</v>
      </c>
      <c r="K39" s="108">
        <v>0</v>
      </c>
      <c r="L39" s="108">
        <v>0</v>
      </c>
      <c r="M39" s="108">
        <v>0</v>
      </c>
      <c r="N39" s="108">
        <v>0</v>
      </c>
      <c r="O39" s="108">
        <v>0.8</v>
      </c>
      <c r="P39" s="108">
        <v>0.8</v>
      </c>
      <c r="Q39" s="108">
        <v>0</v>
      </c>
      <c r="R39" s="108">
        <v>0</v>
      </c>
      <c r="S39" s="108">
        <v>0</v>
      </c>
      <c r="T39" s="108">
        <v>0.8</v>
      </c>
      <c r="U39" s="108">
        <v>0</v>
      </c>
      <c r="V39" s="108">
        <v>0.8</v>
      </c>
      <c r="W39" s="108">
        <v>0.8</v>
      </c>
      <c r="X39" s="108">
        <v>0</v>
      </c>
      <c r="Y39" s="108">
        <v>0.8</v>
      </c>
      <c r="Z39" s="108">
        <v>0</v>
      </c>
      <c r="AA39" s="108">
        <v>0.8</v>
      </c>
      <c r="AB39" s="108">
        <v>0</v>
      </c>
      <c r="AC39" s="108">
        <v>0.8</v>
      </c>
      <c r="AD39" s="108">
        <v>0.8</v>
      </c>
      <c r="AE39" s="108">
        <v>0.8</v>
      </c>
      <c r="AF39" s="108">
        <v>0.8</v>
      </c>
      <c r="AG39" s="108">
        <v>0.8</v>
      </c>
      <c r="AH39" s="108">
        <v>0.8</v>
      </c>
      <c r="AI39" s="108">
        <v>0.8</v>
      </c>
      <c r="AJ39" s="108">
        <v>0</v>
      </c>
      <c r="AK39" s="108">
        <v>0.8</v>
      </c>
      <c r="AL39" s="108">
        <v>0</v>
      </c>
      <c r="AM39" s="108">
        <v>0</v>
      </c>
      <c r="AN39" s="108">
        <v>0</v>
      </c>
      <c r="AO39" s="108">
        <v>0</v>
      </c>
    </row>
    <row r="40" spans="1:41" x14ac:dyDescent="0.15">
      <c r="A40" s="186" t="s">
        <v>230</v>
      </c>
      <c r="B40" s="108">
        <v>0</v>
      </c>
      <c r="C40" s="108">
        <v>0</v>
      </c>
      <c r="D40" s="108">
        <v>0</v>
      </c>
      <c r="E40" s="108">
        <v>0</v>
      </c>
      <c r="F40" s="108">
        <v>0</v>
      </c>
      <c r="G40" s="108">
        <v>0</v>
      </c>
      <c r="H40" s="108">
        <v>0</v>
      </c>
      <c r="I40" s="108">
        <v>0.8</v>
      </c>
      <c r="J40" s="108">
        <v>0</v>
      </c>
      <c r="K40" s="108">
        <v>0</v>
      </c>
      <c r="L40" s="108">
        <v>0</v>
      </c>
      <c r="M40" s="108">
        <v>0</v>
      </c>
      <c r="N40" s="108">
        <v>0</v>
      </c>
      <c r="O40" s="108">
        <v>0.8</v>
      </c>
      <c r="P40" s="108">
        <v>0.8</v>
      </c>
      <c r="Q40" s="108">
        <v>0.8</v>
      </c>
      <c r="R40" s="108">
        <v>0</v>
      </c>
      <c r="S40" s="108">
        <v>0</v>
      </c>
      <c r="T40" s="108">
        <v>0</v>
      </c>
      <c r="U40" s="108">
        <v>0</v>
      </c>
      <c r="V40" s="108">
        <v>0.8</v>
      </c>
      <c r="W40" s="108">
        <v>0.8</v>
      </c>
      <c r="X40" s="108">
        <v>0</v>
      </c>
      <c r="Y40" s="108">
        <v>0.8</v>
      </c>
      <c r="Z40" s="108">
        <v>0</v>
      </c>
      <c r="AA40" s="108">
        <v>0.8</v>
      </c>
      <c r="AB40" s="108">
        <v>0</v>
      </c>
      <c r="AC40" s="108">
        <v>0.8</v>
      </c>
      <c r="AD40" s="108">
        <v>0.8</v>
      </c>
      <c r="AE40" s="108">
        <v>0.8</v>
      </c>
      <c r="AF40" s="108">
        <v>0</v>
      </c>
      <c r="AG40" s="108">
        <v>0.8</v>
      </c>
      <c r="AH40" s="108">
        <v>0.8</v>
      </c>
      <c r="AI40" s="108">
        <v>0.8</v>
      </c>
      <c r="AJ40" s="108">
        <v>0.8</v>
      </c>
      <c r="AK40" s="108">
        <v>0.8</v>
      </c>
      <c r="AL40" s="108">
        <v>0</v>
      </c>
      <c r="AM40" s="108">
        <v>0</v>
      </c>
      <c r="AN40" s="108">
        <v>0</v>
      </c>
      <c r="AO40" s="108">
        <v>0</v>
      </c>
    </row>
    <row r="41" spans="1:41" x14ac:dyDescent="0.15">
      <c r="A41" s="186" t="s">
        <v>231</v>
      </c>
      <c r="B41" s="108">
        <v>0</v>
      </c>
      <c r="C41" s="108">
        <v>0</v>
      </c>
      <c r="D41" s="108">
        <v>0</v>
      </c>
      <c r="E41" s="108">
        <v>0</v>
      </c>
      <c r="F41" s="108">
        <v>0</v>
      </c>
      <c r="G41" s="108">
        <v>0</v>
      </c>
      <c r="H41" s="108">
        <v>0</v>
      </c>
      <c r="I41" s="108">
        <v>0</v>
      </c>
      <c r="J41" s="108">
        <v>0</v>
      </c>
      <c r="K41" s="108">
        <v>0</v>
      </c>
      <c r="L41" s="108">
        <v>0</v>
      </c>
      <c r="M41" s="108">
        <v>0</v>
      </c>
      <c r="N41" s="108">
        <v>0</v>
      </c>
      <c r="O41" s="108">
        <v>0</v>
      </c>
      <c r="P41" s="108">
        <v>0</v>
      </c>
      <c r="Q41" s="108">
        <v>0</v>
      </c>
      <c r="R41" s="108">
        <v>0</v>
      </c>
      <c r="S41" s="108">
        <v>0</v>
      </c>
      <c r="T41" s="108">
        <v>0</v>
      </c>
      <c r="U41" s="108">
        <v>0</v>
      </c>
      <c r="V41" s="108">
        <v>0</v>
      </c>
      <c r="W41" s="108">
        <v>0</v>
      </c>
      <c r="X41" s="108">
        <v>0</v>
      </c>
      <c r="Y41" s="108">
        <v>0</v>
      </c>
      <c r="Z41" s="108">
        <v>0</v>
      </c>
      <c r="AA41" s="108">
        <v>0</v>
      </c>
      <c r="AB41" s="108">
        <v>0</v>
      </c>
      <c r="AC41" s="108">
        <v>0</v>
      </c>
      <c r="AD41" s="108">
        <v>0</v>
      </c>
      <c r="AE41" s="108">
        <v>0</v>
      </c>
      <c r="AF41" s="108">
        <v>0</v>
      </c>
      <c r="AG41" s="108">
        <v>0</v>
      </c>
      <c r="AH41" s="108">
        <v>0</v>
      </c>
      <c r="AI41" s="108">
        <v>0</v>
      </c>
      <c r="AJ41" s="108">
        <v>0</v>
      </c>
      <c r="AK41" s="108">
        <v>0</v>
      </c>
      <c r="AL41" s="108">
        <v>0</v>
      </c>
      <c r="AM41" s="108">
        <v>0</v>
      </c>
      <c r="AN41" s="108">
        <v>0</v>
      </c>
      <c r="AO41" s="108">
        <v>0</v>
      </c>
    </row>
    <row r="42" spans="1:41" x14ac:dyDescent="0.15">
      <c r="A42" s="186" t="s">
        <v>233</v>
      </c>
      <c r="B42" s="108">
        <v>0</v>
      </c>
      <c r="C42" s="108">
        <v>0</v>
      </c>
      <c r="D42" s="108">
        <v>0</v>
      </c>
      <c r="E42" s="108">
        <v>0</v>
      </c>
      <c r="F42" s="108">
        <v>0</v>
      </c>
      <c r="G42" s="108">
        <v>0</v>
      </c>
      <c r="H42" s="108">
        <v>0</v>
      </c>
      <c r="I42" s="108">
        <v>0</v>
      </c>
      <c r="J42" s="108">
        <v>0</v>
      </c>
      <c r="K42" s="108">
        <v>0</v>
      </c>
      <c r="L42" s="108">
        <v>0</v>
      </c>
      <c r="M42" s="108">
        <v>0</v>
      </c>
      <c r="N42" s="108">
        <v>0</v>
      </c>
      <c r="O42" s="108">
        <v>0</v>
      </c>
      <c r="P42" s="108">
        <v>0</v>
      </c>
      <c r="Q42" s="108">
        <v>0</v>
      </c>
      <c r="R42" s="108">
        <v>0</v>
      </c>
      <c r="S42" s="108">
        <v>0</v>
      </c>
      <c r="T42" s="108">
        <v>0</v>
      </c>
      <c r="U42" s="108">
        <v>0</v>
      </c>
      <c r="V42" s="108">
        <v>0</v>
      </c>
      <c r="W42" s="108">
        <v>0</v>
      </c>
      <c r="X42" s="108">
        <v>0</v>
      </c>
      <c r="Y42" s="108">
        <v>0</v>
      </c>
      <c r="Z42" s="108">
        <v>0</v>
      </c>
      <c r="AA42" s="108">
        <v>0</v>
      </c>
      <c r="AB42" s="108">
        <v>0</v>
      </c>
      <c r="AC42" s="108">
        <v>0</v>
      </c>
      <c r="AD42" s="108">
        <v>0</v>
      </c>
      <c r="AE42" s="108">
        <v>0</v>
      </c>
      <c r="AF42" s="108">
        <v>0</v>
      </c>
      <c r="AG42" s="108">
        <v>0</v>
      </c>
      <c r="AH42" s="108">
        <v>0</v>
      </c>
      <c r="AI42" s="108">
        <v>0</v>
      </c>
      <c r="AJ42" s="108">
        <v>0</v>
      </c>
      <c r="AK42" s="108">
        <v>0</v>
      </c>
      <c r="AL42" s="108">
        <v>0</v>
      </c>
      <c r="AM42" s="108">
        <v>0</v>
      </c>
      <c r="AN42" s="108">
        <v>0</v>
      </c>
      <c r="AO42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O42"/>
  <sheetViews>
    <sheetView workbookViewId="0">
      <selection activeCell="A3" sqref="A3"/>
    </sheetView>
  </sheetViews>
  <sheetFormatPr baseColWidth="10" defaultRowHeight="13" x14ac:dyDescent="0.15"/>
  <cols>
    <col min="1" max="1" width="21.6640625" style="108" bestFit="1" customWidth="1"/>
    <col min="2" max="41" width="2.33203125" style="108" customWidth="1"/>
    <col min="42" max="16384" width="10.83203125" style="108"/>
  </cols>
  <sheetData>
    <row r="1" spans="1:41" x14ac:dyDescent="0.15">
      <c r="A1" s="63" t="s">
        <v>139</v>
      </c>
      <c r="B1" s="189" t="s">
        <v>193</v>
      </c>
      <c r="C1" s="189" t="s">
        <v>194</v>
      </c>
      <c r="D1" s="189" t="s">
        <v>195</v>
      </c>
      <c r="E1" s="189" t="s">
        <v>196</v>
      </c>
      <c r="F1" s="189" t="s">
        <v>197</v>
      </c>
      <c r="G1" s="189" t="s">
        <v>198</v>
      </c>
      <c r="H1" s="189" t="s">
        <v>199</v>
      </c>
      <c r="I1" s="189" t="s">
        <v>200</v>
      </c>
      <c r="J1" s="189" t="s">
        <v>201</v>
      </c>
      <c r="K1" s="189" t="s">
        <v>202</v>
      </c>
      <c r="L1" s="189" t="s">
        <v>203</v>
      </c>
      <c r="M1" s="189" t="s">
        <v>204</v>
      </c>
      <c r="N1" s="189" t="s">
        <v>166</v>
      </c>
      <c r="O1" s="189" t="s">
        <v>205</v>
      </c>
      <c r="P1" s="189" t="s">
        <v>206</v>
      </c>
      <c r="Q1" s="189" t="s">
        <v>207</v>
      </c>
      <c r="R1" s="189" t="s">
        <v>208</v>
      </c>
      <c r="S1" s="189" t="s">
        <v>209</v>
      </c>
      <c r="T1" s="189" t="s">
        <v>210</v>
      </c>
      <c r="U1" s="189" t="s">
        <v>211</v>
      </c>
      <c r="V1" s="189" t="s">
        <v>212</v>
      </c>
      <c r="W1" s="189" t="s">
        <v>213</v>
      </c>
      <c r="X1" s="189" t="s">
        <v>214</v>
      </c>
      <c r="Y1" s="189" t="s">
        <v>215</v>
      </c>
      <c r="Z1" s="189" t="s">
        <v>216</v>
      </c>
      <c r="AA1" s="189" t="s">
        <v>217</v>
      </c>
      <c r="AB1" s="189" t="s">
        <v>218</v>
      </c>
      <c r="AC1" s="189" t="s">
        <v>219</v>
      </c>
      <c r="AD1" s="189" t="s">
        <v>220</v>
      </c>
      <c r="AE1" s="189" t="s">
        <v>221</v>
      </c>
      <c r="AF1" s="189" t="s">
        <v>222</v>
      </c>
      <c r="AG1" s="189" t="s">
        <v>223</v>
      </c>
      <c r="AH1" s="189" t="s">
        <v>224</v>
      </c>
      <c r="AI1" s="189" t="s">
        <v>225</v>
      </c>
      <c r="AJ1" s="189" t="s">
        <v>226</v>
      </c>
      <c r="AK1" s="189" t="s">
        <v>227</v>
      </c>
      <c r="AL1" s="189" t="s">
        <v>228</v>
      </c>
      <c r="AM1" s="189" t="s">
        <v>229</v>
      </c>
      <c r="AN1" s="189" t="s">
        <v>230</v>
      </c>
      <c r="AO1" s="189" t="s">
        <v>231</v>
      </c>
    </row>
    <row r="2" spans="1:41" customFormat="1" x14ac:dyDescent="0.15">
      <c r="A2" s="188" t="s">
        <v>193</v>
      </c>
      <c r="B2" s="108">
        <v>1</v>
      </c>
      <c r="C2" s="108">
        <v>1</v>
      </c>
      <c r="D2" s="108">
        <v>0</v>
      </c>
      <c r="E2" s="108">
        <v>1</v>
      </c>
      <c r="F2" s="108">
        <v>0</v>
      </c>
      <c r="G2" s="108">
        <v>0</v>
      </c>
      <c r="H2" s="108">
        <v>0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  <c r="AH2" s="108">
        <v>0</v>
      </c>
      <c r="AI2" s="108">
        <v>0</v>
      </c>
      <c r="AJ2" s="108">
        <v>0</v>
      </c>
      <c r="AK2" s="108">
        <v>0</v>
      </c>
      <c r="AL2" s="108">
        <v>0</v>
      </c>
      <c r="AM2" s="108">
        <v>0</v>
      </c>
      <c r="AN2" s="108">
        <v>0</v>
      </c>
      <c r="AO2" s="108">
        <v>0</v>
      </c>
    </row>
    <row r="3" spans="1:41" customFormat="1" x14ac:dyDescent="0.15">
      <c r="A3" s="188" t="s">
        <v>194</v>
      </c>
      <c r="B3" s="108">
        <v>0</v>
      </c>
      <c r="C3" s="108">
        <v>1</v>
      </c>
      <c r="D3" s="108">
        <v>0</v>
      </c>
      <c r="E3" s="108">
        <v>1</v>
      </c>
      <c r="F3" s="108">
        <v>0</v>
      </c>
      <c r="G3" s="108">
        <v>0</v>
      </c>
      <c r="H3" s="108">
        <v>0</v>
      </c>
      <c r="I3" s="108">
        <v>0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  <c r="AF3" s="108">
        <v>0</v>
      </c>
      <c r="AG3" s="108">
        <v>0</v>
      </c>
      <c r="AH3" s="108">
        <v>0</v>
      </c>
      <c r="AI3" s="108">
        <v>0</v>
      </c>
      <c r="AJ3" s="108">
        <v>0</v>
      </c>
      <c r="AK3" s="108">
        <v>0</v>
      </c>
      <c r="AL3" s="108">
        <v>0</v>
      </c>
      <c r="AM3" s="108">
        <v>0</v>
      </c>
      <c r="AN3" s="108">
        <v>0</v>
      </c>
      <c r="AO3" s="108">
        <v>0</v>
      </c>
    </row>
    <row r="4" spans="1:41" customFormat="1" x14ac:dyDescent="0.15">
      <c r="A4" s="188" t="s">
        <v>195</v>
      </c>
      <c r="B4" s="108">
        <v>0</v>
      </c>
      <c r="C4" s="108">
        <v>0</v>
      </c>
      <c r="D4" s="108">
        <v>1</v>
      </c>
      <c r="E4" s="108">
        <v>0</v>
      </c>
      <c r="F4" s="108">
        <v>0</v>
      </c>
      <c r="G4" s="108">
        <v>0</v>
      </c>
      <c r="H4" s="108">
        <v>1</v>
      </c>
      <c r="I4" s="108">
        <v>0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  <c r="AH4" s="108">
        <v>0</v>
      </c>
      <c r="AI4" s="108">
        <v>0</v>
      </c>
      <c r="AJ4" s="108">
        <v>0</v>
      </c>
      <c r="AK4" s="108">
        <v>0</v>
      </c>
      <c r="AL4" s="108">
        <v>0</v>
      </c>
      <c r="AM4" s="108">
        <v>0</v>
      </c>
      <c r="AN4" s="108">
        <v>0</v>
      </c>
      <c r="AO4" s="108">
        <v>0</v>
      </c>
    </row>
    <row r="5" spans="1:41" customFormat="1" x14ac:dyDescent="0.15">
      <c r="A5" s="188" t="s">
        <v>196</v>
      </c>
      <c r="B5" s="108">
        <v>0</v>
      </c>
      <c r="C5" s="108">
        <v>0</v>
      </c>
      <c r="D5" s="108">
        <v>0</v>
      </c>
      <c r="E5" s="108">
        <v>0</v>
      </c>
      <c r="F5" s="108">
        <v>0</v>
      </c>
      <c r="G5" s="108">
        <v>0</v>
      </c>
      <c r="H5" s="108">
        <v>1</v>
      </c>
      <c r="I5" s="108">
        <v>0</v>
      </c>
      <c r="J5" s="108">
        <v>0</v>
      </c>
      <c r="K5" s="108">
        <v>0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0</v>
      </c>
      <c r="AE5" s="108">
        <v>0</v>
      </c>
      <c r="AF5" s="108">
        <v>0</v>
      </c>
      <c r="AG5" s="108">
        <v>0</v>
      </c>
      <c r="AH5" s="108">
        <v>0</v>
      </c>
      <c r="AI5" s="108">
        <v>0</v>
      </c>
      <c r="AJ5" s="108">
        <v>0</v>
      </c>
      <c r="AK5" s="108">
        <v>0</v>
      </c>
      <c r="AL5" s="108">
        <v>0</v>
      </c>
      <c r="AM5" s="108">
        <v>0</v>
      </c>
      <c r="AN5" s="108">
        <v>0</v>
      </c>
      <c r="AO5" s="108">
        <v>0</v>
      </c>
    </row>
    <row r="6" spans="1:41" customFormat="1" x14ac:dyDescent="0.15">
      <c r="A6" s="188" t="s">
        <v>197</v>
      </c>
      <c r="B6" s="108">
        <v>1</v>
      </c>
      <c r="C6" s="108">
        <v>0</v>
      </c>
      <c r="D6" s="108">
        <v>0</v>
      </c>
      <c r="E6" s="108">
        <v>0</v>
      </c>
      <c r="F6" s="108">
        <v>0</v>
      </c>
      <c r="G6" s="108">
        <v>0</v>
      </c>
      <c r="H6" s="108">
        <v>1</v>
      </c>
      <c r="I6" s="108">
        <v>0</v>
      </c>
      <c r="J6" s="108">
        <v>0</v>
      </c>
      <c r="K6" s="108">
        <v>0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0</v>
      </c>
      <c r="R6" s="108">
        <v>0</v>
      </c>
      <c r="S6" s="108">
        <v>0</v>
      </c>
      <c r="T6" s="108">
        <v>0</v>
      </c>
      <c r="U6" s="108">
        <v>0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0</v>
      </c>
      <c r="AB6" s="108">
        <v>0</v>
      </c>
      <c r="AC6" s="108">
        <v>0</v>
      </c>
      <c r="AD6" s="108">
        <v>0</v>
      </c>
      <c r="AE6" s="108">
        <v>0</v>
      </c>
      <c r="AF6" s="108">
        <v>0</v>
      </c>
      <c r="AG6" s="108">
        <v>0</v>
      </c>
      <c r="AH6" s="108">
        <v>0</v>
      </c>
      <c r="AI6" s="108">
        <v>0</v>
      </c>
      <c r="AJ6" s="108">
        <v>0</v>
      </c>
      <c r="AK6" s="108">
        <v>0</v>
      </c>
      <c r="AL6" s="108">
        <v>0</v>
      </c>
      <c r="AM6" s="108">
        <v>0</v>
      </c>
      <c r="AN6" s="108">
        <v>0</v>
      </c>
      <c r="AO6" s="108">
        <v>0</v>
      </c>
    </row>
    <row r="7" spans="1:41" customFormat="1" x14ac:dyDescent="0.15">
      <c r="A7" s="188" t="s">
        <v>198</v>
      </c>
      <c r="B7" s="108">
        <v>1</v>
      </c>
      <c r="C7" s="108">
        <v>1</v>
      </c>
      <c r="D7" s="108">
        <v>1</v>
      </c>
      <c r="E7" s="108">
        <v>0</v>
      </c>
      <c r="F7" s="108">
        <v>1</v>
      </c>
      <c r="G7" s="108">
        <v>0</v>
      </c>
      <c r="H7" s="108">
        <v>1</v>
      </c>
      <c r="I7" s="108">
        <v>0</v>
      </c>
      <c r="J7" s="108">
        <v>1</v>
      </c>
      <c r="K7" s="108">
        <v>0</v>
      </c>
      <c r="L7" s="108">
        <v>1</v>
      </c>
      <c r="M7" s="108">
        <v>1</v>
      </c>
      <c r="N7" s="108">
        <v>0</v>
      </c>
      <c r="O7" s="108">
        <v>0</v>
      </c>
      <c r="P7" s="108">
        <v>0</v>
      </c>
      <c r="Q7" s="108">
        <v>0</v>
      </c>
      <c r="R7" s="108">
        <v>0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  <c r="AH7" s="108">
        <v>0</v>
      </c>
      <c r="AI7" s="108">
        <v>0</v>
      </c>
      <c r="AJ7" s="108">
        <v>0</v>
      </c>
      <c r="AK7" s="108">
        <v>0</v>
      </c>
      <c r="AL7" s="108">
        <v>0</v>
      </c>
      <c r="AM7" s="108">
        <v>0</v>
      </c>
      <c r="AN7" s="108">
        <v>0</v>
      </c>
      <c r="AO7" s="108">
        <v>0</v>
      </c>
    </row>
    <row r="8" spans="1:41" customFormat="1" x14ac:dyDescent="0.15">
      <c r="A8" s="188" t="s">
        <v>199</v>
      </c>
      <c r="B8" s="108">
        <v>0</v>
      </c>
      <c r="C8" s="108">
        <v>0</v>
      </c>
      <c r="D8" s="108">
        <v>0</v>
      </c>
      <c r="E8" s="108">
        <v>0</v>
      </c>
      <c r="F8" s="108">
        <v>0</v>
      </c>
      <c r="G8" s="108">
        <v>0</v>
      </c>
      <c r="H8" s="108">
        <v>1</v>
      </c>
      <c r="I8" s="108">
        <v>0</v>
      </c>
      <c r="J8" s="108">
        <v>0</v>
      </c>
      <c r="K8" s="108">
        <v>0</v>
      </c>
      <c r="L8" s="108">
        <v>0</v>
      </c>
      <c r="M8" s="108">
        <v>0</v>
      </c>
      <c r="N8" s="108">
        <v>0</v>
      </c>
      <c r="O8" s="108">
        <v>0</v>
      </c>
      <c r="P8" s="108">
        <v>0</v>
      </c>
      <c r="Q8" s="108">
        <v>0</v>
      </c>
      <c r="R8" s="108">
        <v>0</v>
      </c>
      <c r="S8" s="108">
        <v>0</v>
      </c>
      <c r="T8" s="108">
        <v>0</v>
      </c>
      <c r="U8" s="108">
        <v>0</v>
      </c>
      <c r="V8" s="108">
        <v>0</v>
      </c>
      <c r="W8" s="108">
        <v>0</v>
      </c>
      <c r="X8" s="108">
        <v>0</v>
      </c>
      <c r="Y8" s="108">
        <v>0</v>
      </c>
      <c r="Z8" s="108">
        <v>0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  <c r="AF8" s="108">
        <v>0</v>
      </c>
      <c r="AG8" s="108">
        <v>0</v>
      </c>
      <c r="AH8" s="108">
        <v>0</v>
      </c>
      <c r="AI8" s="108">
        <v>0</v>
      </c>
      <c r="AJ8" s="108">
        <v>0</v>
      </c>
      <c r="AK8" s="108">
        <v>0</v>
      </c>
      <c r="AL8" s="108">
        <v>0</v>
      </c>
      <c r="AM8" s="108">
        <v>0</v>
      </c>
      <c r="AN8" s="108">
        <v>0</v>
      </c>
      <c r="AO8" s="108">
        <v>0</v>
      </c>
    </row>
    <row r="9" spans="1:41" customFormat="1" x14ac:dyDescent="0.15">
      <c r="A9" s="188" t="s">
        <v>200</v>
      </c>
      <c r="B9" s="108">
        <v>1</v>
      </c>
      <c r="C9" s="108">
        <v>1</v>
      </c>
      <c r="D9" s="108">
        <v>1</v>
      </c>
      <c r="E9" s="108">
        <v>1</v>
      </c>
      <c r="F9" s="108">
        <v>1</v>
      </c>
      <c r="G9" s="108">
        <v>1</v>
      </c>
      <c r="H9" s="108">
        <v>1</v>
      </c>
      <c r="I9" s="108">
        <v>1</v>
      </c>
      <c r="J9" s="108">
        <v>1</v>
      </c>
      <c r="K9" s="108">
        <v>1</v>
      </c>
      <c r="L9" s="108">
        <v>1</v>
      </c>
      <c r="M9" s="108">
        <v>1</v>
      </c>
      <c r="N9" s="108">
        <v>0</v>
      </c>
      <c r="O9" s="108">
        <v>1</v>
      </c>
      <c r="P9" s="108">
        <v>0</v>
      </c>
      <c r="Q9" s="108">
        <v>0</v>
      </c>
      <c r="R9" s="108">
        <v>0</v>
      </c>
      <c r="S9" s="108">
        <v>0</v>
      </c>
      <c r="T9" s="108">
        <v>0</v>
      </c>
      <c r="U9" s="108">
        <v>0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1</v>
      </c>
      <c r="AF9" s="108">
        <v>0</v>
      </c>
      <c r="AG9" s="108">
        <v>0</v>
      </c>
      <c r="AH9" s="108">
        <v>0</v>
      </c>
      <c r="AI9" s="108">
        <v>0</v>
      </c>
      <c r="AJ9" s="108">
        <v>0</v>
      </c>
      <c r="AK9" s="108">
        <v>0</v>
      </c>
      <c r="AL9" s="108">
        <v>0</v>
      </c>
      <c r="AM9" s="108">
        <v>0</v>
      </c>
      <c r="AN9" s="108">
        <v>0</v>
      </c>
      <c r="AO9" s="108">
        <v>0</v>
      </c>
    </row>
    <row r="10" spans="1:41" customFormat="1" x14ac:dyDescent="0.15">
      <c r="A10" s="188" t="s">
        <v>201</v>
      </c>
      <c r="B10" s="108">
        <v>0</v>
      </c>
      <c r="C10" s="108">
        <v>0</v>
      </c>
      <c r="D10" s="108">
        <v>0</v>
      </c>
      <c r="E10" s="108">
        <v>0</v>
      </c>
      <c r="F10" s="108">
        <v>0</v>
      </c>
      <c r="G10" s="108">
        <v>0</v>
      </c>
      <c r="H10" s="108">
        <v>1</v>
      </c>
      <c r="I10" s="108">
        <v>0</v>
      </c>
      <c r="J10" s="108">
        <v>1</v>
      </c>
      <c r="K10" s="108">
        <v>1</v>
      </c>
      <c r="L10" s="108">
        <v>0</v>
      </c>
      <c r="M10" s="108">
        <v>0</v>
      </c>
      <c r="N10" s="108">
        <v>0</v>
      </c>
      <c r="O10" s="108">
        <v>1</v>
      </c>
      <c r="P10" s="108">
        <v>0</v>
      </c>
      <c r="Q10" s="108">
        <v>0</v>
      </c>
      <c r="R10" s="108">
        <v>0</v>
      </c>
      <c r="S10" s="108">
        <v>0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  <c r="AH10" s="108">
        <v>0</v>
      </c>
      <c r="AI10" s="108">
        <v>0</v>
      </c>
      <c r="AJ10" s="108">
        <v>0</v>
      </c>
      <c r="AK10" s="108">
        <v>0</v>
      </c>
      <c r="AL10" s="108">
        <v>0</v>
      </c>
      <c r="AM10" s="108">
        <v>0</v>
      </c>
      <c r="AN10" s="108">
        <v>0</v>
      </c>
      <c r="AO10" s="108">
        <v>0</v>
      </c>
    </row>
    <row r="11" spans="1:41" customFormat="1" x14ac:dyDescent="0.15">
      <c r="A11" s="188" t="s">
        <v>202</v>
      </c>
      <c r="B11" s="108">
        <v>1</v>
      </c>
      <c r="C11" s="108">
        <v>0</v>
      </c>
      <c r="D11" s="108">
        <v>0</v>
      </c>
      <c r="E11" s="108">
        <v>0</v>
      </c>
      <c r="F11" s="108">
        <v>0</v>
      </c>
      <c r="G11" s="108">
        <v>0</v>
      </c>
      <c r="H11" s="108">
        <v>0</v>
      </c>
      <c r="I11" s="108">
        <v>0</v>
      </c>
      <c r="J11" s="108">
        <v>1</v>
      </c>
      <c r="K11" s="108">
        <v>1</v>
      </c>
      <c r="L11" s="108">
        <v>0</v>
      </c>
      <c r="M11" s="108">
        <v>1</v>
      </c>
      <c r="N11" s="108">
        <v>0</v>
      </c>
      <c r="O11" s="108">
        <v>0</v>
      </c>
      <c r="P11" s="108">
        <v>0</v>
      </c>
      <c r="Q11" s="108">
        <v>0</v>
      </c>
      <c r="R11" s="108">
        <v>0</v>
      </c>
      <c r="S11" s="108">
        <v>0</v>
      </c>
      <c r="T11" s="108">
        <v>0</v>
      </c>
      <c r="U11" s="108">
        <v>0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  <c r="AF11" s="108">
        <v>0</v>
      </c>
      <c r="AG11" s="108">
        <v>0</v>
      </c>
      <c r="AH11" s="108">
        <v>0</v>
      </c>
      <c r="AI11" s="108">
        <v>0</v>
      </c>
      <c r="AJ11" s="108">
        <v>0</v>
      </c>
      <c r="AK11" s="108">
        <v>0</v>
      </c>
      <c r="AL11" s="108">
        <v>0</v>
      </c>
      <c r="AM11" s="108">
        <v>0</v>
      </c>
      <c r="AN11" s="108">
        <v>0</v>
      </c>
      <c r="AO11" s="108">
        <v>0</v>
      </c>
    </row>
    <row r="12" spans="1:41" customFormat="1" x14ac:dyDescent="0.15">
      <c r="A12" s="188" t="s">
        <v>203</v>
      </c>
      <c r="B12" s="108">
        <v>0</v>
      </c>
      <c r="C12" s="108">
        <v>0</v>
      </c>
      <c r="D12" s="108">
        <v>1</v>
      </c>
      <c r="E12" s="108">
        <v>0</v>
      </c>
      <c r="F12" s="108">
        <v>0</v>
      </c>
      <c r="G12" s="108">
        <v>0</v>
      </c>
      <c r="H12" s="108">
        <v>1</v>
      </c>
      <c r="I12" s="108">
        <v>0</v>
      </c>
      <c r="J12" s="108">
        <v>1</v>
      </c>
      <c r="K12" s="108">
        <v>0</v>
      </c>
      <c r="L12" s="108">
        <v>1</v>
      </c>
      <c r="M12" s="108">
        <v>1</v>
      </c>
      <c r="N12" s="108">
        <v>0</v>
      </c>
      <c r="O12" s="108">
        <v>0</v>
      </c>
      <c r="P12" s="108">
        <v>0</v>
      </c>
      <c r="Q12" s="108">
        <v>0</v>
      </c>
      <c r="R12" s="108">
        <v>0</v>
      </c>
      <c r="S12" s="108">
        <v>0</v>
      </c>
      <c r="T12" s="108">
        <v>0</v>
      </c>
      <c r="U12" s="108">
        <v>0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  <c r="AF12" s="108">
        <v>0</v>
      </c>
      <c r="AG12" s="108">
        <v>0</v>
      </c>
      <c r="AH12" s="108">
        <v>0</v>
      </c>
      <c r="AI12" s="108">
        <v>0</v>
      </c>
      <c r="AJ12" s="108">
        <v>0</v>
      </c>
      <c r="AK12" s="108">
        <v>0</v>
      </c>
      <c r="AL12" s="108">
        <v>0</v>
      </c>
      <c r="AM12" s="108">
        <v>0</v>
      </c>
      <c r="AN12" s="108">
        <v>0</v>
      </c>
      <c r="AO12" s="108">
        <v>0</v>
      </c>
    </row>
    <row r="13" spans="1:41" customFormat="1" x14ac:dyDescent="0.15">
      <c r="A13" s="188" t="s">
        <v>204</v>
      </c>
      <c r="B13" s="108">
        <v>0</v>
      </c>
      <c r="C13" s="108">
        <v>0</v>
      </c>
      <c r="D13" s="108">
        <v>0</v>
      </c>
      <c r="E13" s="108">
        <v>0</v>
      </c>
      <c r="F13" s="108">
        <v>0</v>
      </c>
      <c r="G13" s="108">
        <v>0</v>
      </c>
      <c r="H13" s="108">
        <v>0</v>
      </c>
      <c r="I13" s="108">
        <v>0</v>
      </c>
      <c r="J13" s="108">
        <v>0</v>
      </c>
      <c r="K13" s="108">
        <v>0</v>
      </c>
      <c r="L13" s="108">
        <v>0</v>
      </c>
      <c r="M13" s="108">
        <v>1</v>
      </c>
      <c r="N13" s="108">
        <v>0</v>
      </c>
      <c r="O13" s="108">
        <v>0</v>
      </c>
      <c r="P13" s="108">
        <v>0</v>
      </c>
      <c r="Q13" s="108">
        <v>0</v>
      </c>
      <c r="R13" s="108">
        <v>0</v>
      </c>
      <c r="S13" s="108">
        <v>0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  <c r="AF13" s="108">
        <v>0</v>
      </c>
      <c r="AG13" s="108">
        <v>0</v>
      </c>
      <c r="AH13" s="108">
        <v>0</v>
      </c>
      <c r="AI13" s="108">
        <v>0</v>
      </c>
      <c r="AJ13" s="108">
        <v>0</v>
      </c>
      <c r="AK13" s="108">
        <v>0</v>
      </c>
      <c r="AL13" s="108">
        <v>0</v>
      </c>
      <c r="AM13" s="108">
        <v>0</v>
      </c>
      <c r="AN13" s="108">
        <v>0</v>
      </c>
      <c r="AO13" s="108">
        <v>0</v>
      </c>
    </row>
    <row r="14" spans="1:41" customFormat="1" x14ac:dyDescent="0.15">
      <c r="A14" s="188" t="s">
        <v>166</v>
      </c>
      <c r="B14" s="108">
        <v>1</v>
      </c>
      <c r="C14" s="108">
        <v>1</v>
      </c>
      <c r="D14" s="108">
        <v>1</v>
      </c>
      <c r="E14" s="108">
        <v>0</v>
      </c>
      <c r="F14" s="108">
        <v>1</v>
      </c>
      <c r="G14" s="108">
        <v>1</v>
      </c>
      <c r="H14" s="108">
        <v>0</v>
      </c>
      <c r="I14" s="108">
        <v>1</v>
      </c>
      <c r="J14" s="108">
        <v>1</v>
      </c>
      <c r="K14" s="108">
        <v>1</v>
      </c>
      <c r="L14" s="108">
        <v>0</v>
      </c>
      <c r="M14" s="108">
        <v>1</v>
      </c>
      <c r="N14" s="108">
        <v>1</v>
      </c>
      <c r="O14" s="108">
        <v>0</v>
      </c>
      <c r="P14" s="108">
        <v>1</v>
      </c>
      <c r="Q14" s="108">
        <v>0</v>
      </c>
      <c r="R14" s="108">
        <v>0</v>
      </c>
      <c r="S14" s="108">
        <v>0</v>
      </c>
      <c r="T14" s="108">
        <v>0</v>
      </c>
      <c r="U14" s="108">
        <v>0</v>
      </c>
      <c r="V14" s="108">
        <v>0</v>
      </c>
      <c r="W14" s="108">
        <v>0</v>
      </c>
      <c r="X14" s="108">
        <v>0</v>
      </c>
      <c r="Y14" s="108">
        <v>0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  <c r="AH14" s="108">
        <v>0</v>
      </c>
      <c r="AI14" s="108">
        <v>0</v>
      </c>
      <c r="AJ14" s="108">
        <v>0</v>
      </c>
      <c r="AK14" s="108">
        <v>0</v>
      </c>
      <c r="AL14" s="108">
        <v>0</v>
      </c>
      <c r="AM14" s="108">
        <v>0</v>
      </c>
      <c r="AN14" s="108">
        <v>0</v>
      </c>
      <c r="AO14" s="108">
        <v>0</v>
      </c>
    </row>
    <row r="15" spans="1:41" customFormat="1" x14ac:dyDescent="0.15">
      <c r="A15" s="188" t="s">
        <v>205</v>
      </c>
      <c r="B15" s="108">
        <v>0</v>
      </c>
      <c r="C15" s="108">
        <v>0</v>
      </c>
      <c r="D15" s="108">
        <v>1</v>
      </c>
      <c r="E15" s="108">
        <v>0</v>
      </c>
      <c r="F15" s="108">
        <v>0</v>
      </c>
      <c r="G15" s="108">
        <v>0</v>
      </c>
      <c r="H15" s="108">
        <v>0</v>
      </c>
      <c r="I15" s="108">
        <v>0</v>
      </c>
      <c r="J15" s="108">
        <v>0</v>
      </c>
      <c r="K15" s="108">
        <v>0</v>
      </c>
      <c r="L15" s="108">
        <v>0</v>
      </c>
      <c r="M15" s="108">
        <v>0</v>
      </c>
      <c r="N15" s="108">
        <v>0</v>
      </c>
      <c r="O15" s="108">
        <v>1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  <c r="AF15" s="108">
        <v>0</v>
      </c>
      <c r="AG15" s="108">
        <v>0</v>
      </c>
      <c r="AH15" s="108">
        <v>0</v>
      </c>
      <c r="AI15" s="108">
        <v>0</v>
      </c>
      <c r="AJ15" s="108">
        <v>0</v>
      </c>
      <c r="AK15" s="108">
        <v>0</v>
      </c>
      <c r="AL15" s="108">
        <v>0</v>
      </c>
      <c r="AM15" s="108">
        <v>0</v>
      </c>
      <c r="AN15" s="108">
        <v>0</v>
      </c>
      <c r="AO15" s="108">
        <v>0</v>
      </c>
    </row>
    <row r="16" spans="1:41" customFormat="1" x14ac:dyDescent="0.15">
      <c r="A16" s="188" t="s">
        <v>206</v>
      </c>
      <c r="B16" s="108">
        <v>0</v>
      </c>
      <c r="C16" s="108">
        <v>1</v>
      </c>
      <c r="D16" s="108">
        <v>1</v>
      </c>
      <c r="E16" s="108">
        <v>0</v>
      </c>
      <c r="F16" s="108">
        <v>0</v>
      </c>
      <c r="G16" s="108">
        <v>0</v>
      </c>
      <c r="H16" s="108">
        <v>1</v>
      </c>
      <c r="I16" s="108">
        <v>0</v>
      </c>
      <c r="J16" s="108">
        <v>0</v>
      </c>
      <c r="K16" s="108">
        <v>1</v>
      </c>
      <c r="L16" s="108">
        <v>0</v>
      </c>
      <c r="M16" s="108">
        <v>0</v>
      </c>
      <c r="N16" s="108">
        <v>0</v>
      </c>
      <c r="O16" s="108">
        <v>1</v>
      </c>
      <c r="P16" s="108">
        <v>1</v>
      </c>
      <c r="Q16" s="108">
        <v>0</v>
      </c>
      <c r="R16" s="108">
        <v>0</v>
      </c>
      <c r="S16" s="108">
        <v>0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  <c r="AH16" s="108">
        <v>0</v>
      </c>
      <c r="AI16" s="108">
        <v>0</v>
      </c>
      <c r="AJ16" s="108">
        <v>0</v>
      </c>
      <c r="AK16" s="108">
        <v>0</v>
      </c>
      <c r="AL16" s="108">
        <v>0</v>
      </c>
      <c r="AM16" s="108">
        <v>0</v>
      </c>
      <c r="AN16" s="108">
        <v>0</v>
      </c>
      <c r="AO16" s="108">
        <v>0</v>
      </c>
    </row>
    <row r="17" spans="1:41" customFormat="1" x14ac:dyDescent="0.15">
      <c r="A17" s="188" t="s">
        <v>207</v>
      </c>
      <c r="B17" s="108">
        <v>0</v>
      </c>
      <c r="C17" s="108">
        <v>0</v>
      </c>
      <c r="D17" s="108">
        <v>1</v>
      </c>
      <c r="E17" s="108">
        <v>0</v>
      </c>
      <c r="F17" s="108">
        <v>0</v>
      </c>
      <c r="G17" s="108">
        <v>1</v>
      </c>
      <c r="H17" s="108">
        <v>0</v>
      </c>
      <c r="I17" s="108">
        <v>0</v>
      </c>
      <c r="J17" s="108">
        <v>0</v>
      </c>
      <c r="K17" s="108">
        <v>1</v>
      </c>
      <c r="L17" s="108">
        <v>0</v>
      </c>
      <c r="M17" s="108">
        <v>0</v>
      </c>
      <c r="N17" s="108">
        <v>0</v>
      </c>
      <c r="O17" s="108">
        <v>0</v>
      </c>
      <c r="P17" s="108">
        <v>0</v>
      </c>
      <c r="Q17" s="108">
        <v>0</v>
      </c>
      <c r="R17" s="108">
        <v>0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  <c r="AH17" s="108">
        <v>0</v>
      </c>
      <c r="AI17" s="108">
        <v>0</v>
      </c>
      <c r="AJ17" s="108">
        <v>0</v>
      </c>
      <c r="AK17" s="108">
        <v>0</v>
      </c>
      <c r="AL17" s="108">
        <v>0</v>
      </c>
      <c r="AM17" s="108">
        <v>0</v>
      </c>
      <c r="AN17" s="108">
        <v>0</v>
      </c>
      <c r="AO17" s="108">
        <v>0</v>
      </c>
    </row>
    <row r="18" spans="1:41" customFormat="1" x14ac:dyDescent="0.15">
      <c r="A18" s="188" t="s">
        <v>208</v>
      </c>
      <c r="B18" s="108">
        <v>0</v>
      </c>
      <c r="C18" s="108">
        <v>0</v>
      </c>
      <c r="D18" s="108">
        <v>0</v>
      </c>
      <c r="E18" s="108">
        <v>0</v>
      </c>
      <c r="F18" s="108">
        <v>0</v>
      </c>
      <c r="G18" s="108">
        <v>0</v>
      </c>
      <c r="H18" s="108">
        <v>1</v>
      </c>
      <c r="I18" s="108">
        <v>0</v>
      </c>
      <c r="J18" s="108">
        <v>0</v>
      </c>
      <c r="K18" s="108">
        <v>1</v>
      </c>
      <c r="L18" s="108">
        <v>1</v>
      </c>
      <c r="M18" s="108">
        <v>0</v>
      </c>
      <c r="N18" s="108">
        <v>0</v>
      </c>
      <c r="O18" s="108">
        <v>1</v>
      </c>
      <c r="P18" s="108">
        <v>1</v>
      </c>
      <c r="Q18" s="108">
        <v>0</v>
      </c>
      <c r="R18" s="108">
        <v>0</v>
      </c>
      <c r="S18" s="108">
        <v>0</v>
      </c>
      <c r="T18" s="108">
        <v>0</v>
      </c>
      <c r="U18" s="108">
        <v>0</v>
      </c>
      <c r="V18" s="108">
        <v>0</v>
      </c>
      <c r="W18" s="108">
        <v>0</v>
      </c>
      <c r="X18" s="108">
        <v>0</v>
      </c>
      <c r="Y18" s="108">
        <v>0</v>
      </c>
      <c r="Z18" s="108">
        <v>0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  <c r="AF18" s="108">
        <v>0</v>
      </c>
      <c r="AG18" s="108">
        <v>0</v>
      </c>
      <c r="AH18" s="108">
        <v>0</v>
      </c>
      <c r="AI18" s="108">
        <v>0</v>
      </c>
      <c r="AJ18" s="108">
        <v>0</v>
      </c>
      <c r="AK18" s="108">
        <v>0</v>
      </c>
      <c r="AL18" s="108">
        <v>0</v>
      </c>
      <c r="AM18" s="108">
        <v>0</v>
      </c>
      <c r="AN18" s="108">
        <v>0</v>
      </c>
      <c r="AO18" s="108">
        <v>0</v>
      </c>
    </row>
    <row r="19" spans="1:41" customFormat="1" x14ac:dyDescent="0.15">
      <c r="A19" s="188" t="s">
        <v>209</v>
      </c>
      <c r="B19" s="108">
        <v>1</v>
      </c>
      <c r="C19" s="108">
        <v>1</v>
      </c>
      <c r="D19" s="108">
        <v>1</v>
      </c>
      <c r="E19" s="108">
        <v>1</v>
      </c>
      <c r="F19" s="108">
        <v>1</v>
      </c>
      <c r="G19" s="108">
        <v>0</v>
      </c>
      <c r="H19" s="108">
        <v>1</v>
      </c>
      <c r="I19" s="108">
        <v>0</v>
      </c>
      <c r="J19" s="108">
        <v>0</v>
      </c>
      <c r="K19" s="108">
        <v>0</v>
      </c>
      <c r="L19" s="108">
        <v>0</v>
      </c>
      <c r="M19" s="108">
        <v>1</v>
      </c>
      <c r="N19" s="108">
        <v>0</v>
      </c>
      <c r="O19" s="108">
        <v>0</v>
      </c>
      <c r="P19" s="108">
        <v>0</v>
      </c>
      <c r="Q19" s="108">
        <v>0</v>
      </c>
      <c r="R19" s="108">
        <v>0</v>
      </c>
      <c r="S19" s="108">
        <v>0</v>
      </c>
      <c r="T19" s="108">
        <v>0</v>
      </c>
      <c r="U19" s="108">
        <v>0</v>
      </c>
      <c r="V19" s="108">
        <v>0</v>
      </c>
      <c r="W19" s="108">
        <v>0</v>
      </c>
      <c r="X19" s="108">
        <v>0</v>
      </c>
      <c r="Y19" s="108">
        <v>0</v>
      </c>
      <c r="Z19" s="108">
        <v>0</v>
      </c>
      <c r="AA19" s="108">
        <v>0</v>
      </c>
      <c r="AB19" s="108">
        <v>0</v>
      </c>
      <c r="AC19" s="108">
        <v>0</v>
      </c>
      <c r="AD19" s="108">
        <v>0</v>
      </c>
      <c r="AE19" s="108">
        <v>0</v>
      </c>
      <c r="AF19" s="108">
        <v>0</v>
      </c>
      <c r="AG19" s="108">
        <v>0</v>
      </c>
      <c r="AH19" s="108">
        <v>0</v>
      </c>
      <c r="AI19" s="108">
        <v>0</v>
      </c>
      <c r="AJ19" s="108">
        <v>0</v>
      </c>
      <c r="AK19" s="108">
        <v>0</v>
      </c>
      <c r="AL19" s="108">
        <v>0</v>
      </c>
      <c r="AM19" s="108">
        <v>0</v>
      </c>
      <c r="AN19" s="108">
        <v>0</v>
      </c>
      <c r="AO19" s="108">
        <v>0</v>
      </c>
    </row>
    <row r="20" spans="1:41" customFormat="1" x14ac:dyDescent="0.15">
      <c r="A20" s="188" t="s">
        <v>210</v>
      </c>
      <c r="B20" s="108">
        <v>1</v>
      </c>
      <c r="C20" s="108">
        <v>1</v>
      </c>
      <c r="D20" s="108">
        <v>1</v>
      </c>
      <c r="E20" s="108">
        <v>0</v>
      </c>
      <c r="F20" s="108">
        <v>0</v>
      </c>
      <c r="G20" s="108">
        <v>0</v>
      </c>
      <c r="H20" s="108">
        <v>0</v>
      </c>
      <c r="I20" s="108">
        <v>0</v>
      </c>
      <c r="J20" s="108">
        <v>0</v>
      </c>
      <c r="K20" s="108">
        <v>1</v>
      </c>
      <c r="L20" s="108">
        <v>0</v>
      </c>
      <c r="M20" s="108">
        <v>0</v>
      </c>
      <c r="N20" s="108">
        <v>0</v>
      </c>
      <c r="O20" s="108">
        <v>0</v>
      </c>
      <c r="P20" s="108">
        <v>0</v>
      </c>
      <c r="Q20" s="108">
        <v>0</v>
      </c>
      <c r="R20" s="108">
        <v>0</v>
      </c>
      <c r="S20" s="108">
        <v>0</v>
      </c>
      <c r="T20" s="108">
        <v>0</v>
      </c>
      <c r="U20" s="108">
        <v>0</v>
      </c>
      <c r="V20" s="108">
        <v>0</v>
      </c>
      <c r="W20" s="108">
        <v>0</v>
      </c>
      <c r="X20" s="108">
        <v>0</v>
      </c>
      <c r="Y20" s="108">
        <v>0</v>
      </c>
      <c r="Z20" s="108">
        <v>0</v>
      </c>
      <c r="AA20" s="108">
        <v>0</v>
      </c>
      <c r="AB20" s="108">
        <v>0</v>
      </c>
      <c r="AC20" s="108">
        <v>0</v>
      </c>
      <c r="AD20" s="108">
        <v>0</v>
      </c>
      <c r="AE20" s="108">
        <v>0</v>
      </c>
      <c r="AF20" s="108">
        <v>0</v>
      </c>
      <c r="AG20" s="108">
        <v>0</v>
      </c>
      <c r="AH20" s="108">
        <v>0</v>
      </c>
      <c r="AI20" s="108">
        <v>0</v>
      </c>
      <c r="AJ20" s="108">
        <v>0</v>
      </c>
      <c r="AK20" s="108">
        <v>0</v>
      </c>
      <c r="AL20" s="108">
        <v>0</v>
      </c>
      <c r="AM20" s="108">
        <v>0</v>
      </c>
      <c r="AN20" s="108">
        <v>0</v>
      </c>
      <c r="AO20" s="108">
        <v>0</v>
      </c>
    </row>
    <row r="21" spans="1:41" customFormat="1" x14ac:dyDescent="0.15">
      <c r="A21" s="188" t="s">
        <v>211</v>
      </c>
      <c r="B21" s="108">
        <v>1</v>
      </c>
      <c r="C21" s="108">
        <v>1</v>
      </c>
      <c r="D21" s="108">
        <v>1</v>
      </c>
      <c r="E21" s="108">
        <v>1</v>
      </c>
      <c r="F21" s="108">
        <v>1</v>
      </c>
      <c r="G21" s="108">
        <v>1</v>
      </c>
      <c r="H21" s="108">
        <v>1</v>
      </c>
      <c r="I21" s="108">
        <v>1</v>
      </c>
      <c r="J21" s="108">
        <v>1</v>
      </c>
      <c r="K21" s="108">
        <v>1</v>
      </c>
      <c r="L21" s="108">
        <v>1</v>
      </c>
      <c r="M21" s="108">
        <v>1</v>
      </c>
      <c r="N21" s="108">
        <v>0</v>
      </c>
      <c r="O21" s="108">
        <v>1</v>
      </c>
      <c r="P21" s="108">
        <v>1</v>
      </c>
      <c r="Q21" s="108">
        <v>1</v>
      </c>
      <c r="R21" s="108">
        <v>0</v>
      </c>
      <c r="S21" s="108">
        <v>0</v>
      </c>
      <c r="T21" s="108">
        <v>0</v>
      </c>
      <c r="U21" s="108">
        <v>0</v>
      </c>
      <c r="V21" s="108">
        <v>0</v>
      </c>
      <c r="W21" s="108">
        <v>0</v>
      </c>
      <c r="X21" s="108">
        <v>0</v>
      </c>
      <c r="Y21" s="108">
        <v>0</v>
      </c>
      <c r="Z21" s="108">
        <v>0</v>
      </c>
      <c r="AA21" s="108">
        <v>0</v>
      </c>
      <c r="AB21" s="108">
        <v>0</v>
      </c>
      <c r="AC21" s="108">
        <v>0</v>
      </c>
      <c r="AD21" s="108">
        <v>0</v>
      </c>
      <c r="AE21" s="108">
        <v>0</v>
      </c>
      <c r="AF21" s="108">
        <v>0</v>
      </c>
      <c r="AG21" s="108">
        <v>0</v>
      </c>
      <c r="AH21" s="108">
        <v>0</v>
      </c>
      <c r="AI21" s="108">
        <v>0</v>
      </c>
      <c r="AJ21" s="108">
        <v>0</v>
      </c>
      <c r="AK21" s="108">
        <v>0</v>
      </c>
      <c r="AL21" s="108">
        <v>0</v>
      </c>
      <c r="AM21" s="108">
        <v>0</v>
      </c>
      <c r="AN21" s="108">
        <v>0</v>
      </c>
      <c r="AO21" s="108">
        <v>0</v>
      </c>
    </row>
    <row r="22" spans="1:41" customFormat="1" x14ac:dyDescent="0.15">
      <c r="A22" s="188" t="s">
        <v>212</v>
      </c>
      <c r="B22" s="108">
        <v>1</v>
      </c>
      <c r="C22" s="108">
        <v>1</v>
      </c>
      <c r="D22" s="108">
        <v>1</v>
      </c>
      <c r="E22" s="108">
        <v>0</v>
      </c>
      <c r="F22" s="108">
        <v>0</v>
      </c>
      <c r="G22" s="108">
        <v>0</v>
      </c>
      <c r="H22" s="108">
        <v>1</v>
      </c>
      <c r="I22" s="108">
        <v>0</v>
      </c>
      <c r="J22" s="108">
        <v>0</v>
      </c>
      <c r="K22" s="108">
        <v>1</v>
      </c>
      <c r="L22" s="108">
        <v>0</v>
      </c>
      <c r="M22" s="108">
        <v>0</v>
      </c>
      <c r="N22" s="108">
        <v>0</v>
      </c>
      <c r="O22" s="108">
        <v>0</v>
      </c>
      <c r="P22" s="108">
        <v>0</v>
      </c>
      <c r="Q22" s="108">
        <v>0</v>
      </c>
      <c r="R22" s="108">
        <v>0</v>
      </c>
      <c r="S22" s="108">
        <v>0</v>
      </c>
      <c r="T22" s="108">
        <v>0</v>
      </c>
      <c r="U22" s="108">
        <v>0</v>
      </c>
      <c r="V22" s="108">
        <v>0</v>
      </c>
      <c r="W22" s="108">
        <v>0</v>
      </c>
      <c r="X22" s="108">
        <v>0</v>
      </c>
      <c r="Y22" s="108">
        <v>0</v>
      </c>
      <c r="Z22" s="108">
        <v>0</v>
      </c>
      <c r="AA22" s="108">
        <v>0</v>
      </c>
      <c r="AB22" s="108">
        <v>0</v>
      </c>
      <c r="AC22" s="108">
        <v>0</v>
      </c>
      <c r="AD22" s="108">
        <v>0</v>
      </c>
      <c r="AE22" s="108">
        <v>0</v>
      </c>
      <c r="AF22" s="108">
        <v>0</v>
      </c>
      <c r="AG22" s="108">
        <v>0</v>
      </c>
      <c r="AH22" s="108">
        <v>0</v>
      </c>
      <c r="AI22" s="108">
        <v>0</v>
      </c>
      <c r="AJ22" s="108">
        <v>0</v>
      </c>
      <c r="AK22" s="108">
        <v>0</v>
      </c>
      <c r="AL22" s="108">
        <v>0</v>
      </c>
      <c r="AM22" s="108">
        <v>0</v>
      </c>
      <c r="AN22" s="108">
        <v>0</v>
      </c>
      <c r="AO22" s="108">
        <v>0</v>
      </c>
    </row>
    <row r="23" spans="1:41" customFormat="1" x14ac:dyDescent="0.15">
      <c r="A23" s="188" t="s">
        <v>213</v>
      </c>
      <c r="B23" s="108">
        <v>1</v>
      </c>
      <c r="C23" s="108">
        <v>1</v>
      </c>
      <c r="D23" s="108">
        <v>1</v>
      </c>
      <c r="E23" s="108">
        <v>0</v>
      </c>
      <c r="F23" s="108">
        <v>1</v>
      </c>
      <c r="G23" s="108">
        <v>1</v>
      </c>
      <c r="H23" s="108">
        <v>1</v>
      </c>
      <c r="I23" s="108">
        <v>1</v>
      </c>
      <c r="J23" s="108">
        <v>1</v>
      </c>
      <c r="K23" s="108">
        <v>1</v>
      </c>
      <c r="L23" s="108">
        <v>1</v>
      </c>
      <c r="M23" s="108">
        <v>1</v>
      </c>
      <c r="N23" s="108">
        <v>0</v>
      </c>
      <c r="O23" s="108">
        <v>1</v>
      </c>
      <c r="P23" s="108">
        <v>0</v>
      </c>
      <c r="Q23" s="108">
        <v>0</v>
      </c>
      <c r="R23" s="108">
        <v>0</v>
      </c>
      <c r="S23" s="108">
        <v>0</v>
      </c>
      <c r="T23" s="108">
        <v>0</v>
      </c>
      <c r="U23" s="108">
        <v>0</v>
      </c>
      <c r="V23" s="108">
        <v>0</v>
      </c>
      <c r="W23" s="108">
        <v>0</v>
      </c>
      <c r="X23" s="108">
        <v>0</v>
      </c>
      <c r="Y23" s="108">
        <v>0</v>
      </c>
      <c r="Z23" s="108">
        <v>0</v>
      </c>
      <c r="AA23" s="108">
        <v>0</v>
      </c>
      <c r="AB23" s="108">
        <v>0</v>
      </c>
      <c r="AC23" s="108">
        <v>0</v>
      </c>
      <c r="AD23" s="108">
        <v>0</v>
      </c>
      <c r="AE23" s="108">
        <v>0</v>
      </c>
      <c r="AF23" s="108">
        <v>0</v>
      </c>
      <c r="AG23" s="108">
        <v>0</v>
      </c>
      <c r="AH23" s="108">
        <v>0</v>
      </c>
      <c r="AI23" s="108">
        <v>0</v>
      </c>
      <c r="AJ23" s="108">
        <v>0</v>
      </c>
      <c r="AK23" s="108">
        <v>0</v>
      </c>
      <c r="AL23" s="108">
        <v>0</v>
      </c>
      <c r="AM23" s="108">
        <v>0</v>
      </c>
      <c r="AN23" s="108">
        <v>0</v>
      </c>
      <c r="AO23" s="108">
        <v>0</v>
      </c>
    </row>
    <row r="24" spans="1:41" customFormat="1" x14ac:dyDescent="0.15">
      <c r="A24" s="188" t="s">
        <v>214</v>
      </c>
      <c r="B24" s="108">
        <v>1</v>
      </c>
      <c r="C24" s="108">
        <v>1</v>
      </c>
      <c r="D24" s="108">
        <v>1</v>
      </c>
      <c r="E24" s="108">
        <v>1</v>
      </c>
      <c r="F24" s="108">
        <v>1</v>
      </c>
      <c r="G24" s="108">
        <v>1</v>
      </c>
      <c r="H24" s="108">
        <v>1</v>
      </c>
      <c r="I24" s="108">
        <v>1</v>
      </c>
      <c r="J24" s="108">
        <v>1</v>
      </c>
      <c r="K24" s="108">
        <v>0</v>
      </c>
      <c r="L24" s="108">
        <v>1</v>
      </c>
      <c r="M24" s="108">
        <v>1</v>
      </c>
      <c r="N24" s="108">
        <v>0</v>
      </c>
      <c r="O24" s="108">
        <v>1</v>
      </c>
      <c r="P24" s="108">
        <v>0</v>
      </c>
      <c r="Q24" s="108">
        <v>0</v>
      </c>
      <c r="R24" s="108">
        <v>0</v>
      </c>
      <c r="S24" s="108">
        <v>0</v>
      </c>
      <c r="T24" s="108">
        <v>0</v>
      </c>
      <c r="U24" s="108">
        <v>0</v>
      </c>
      <c r="V24" s="108">
        <v>0</v>
      </c>
      <c r="W24" s="108">
        <v>0</v>
      </c>
      <c r="X24" s="108">
        <v>0</v>
      </c>
      <c r="Y24" s="108">
        <v>0</v>
      </c>
      <c r="Z24" s="108">
        <v>0</v>
      </c>
      <c r="AA24" s="108">
        <v>0</v>
      </c>
      <c r="AB24" s="108">
        <v>0</v>
      </c>
      <c r="AC24" s="108">
        <v>0</v>
      </c>
      <c r="AD24" s="108">
        <v>0</v>
      </c>
      <c r="AE24" s="108">
        <v>0</v>
      </c>
      <c r="AF24" s="108">
        <v>0</v>
      </c>
      <c r="AG24" s="108">
        <v>0</v>
      </c>
      <c r="AH24" s="108">
        <v>0</v>
      </c>
      <c r="AI24" s="108">
        <v>0</v>
      </c>
      <c r="AJ24" s="108">
        <v>0</v>
      </c>
      <c r="AK24" s="108">
        <v>0</v>
      </c>
      <c r="AL24" s="108">
        <v>0</v>
      </c>
      <c r="AM24" s="108">
        <v>0</v>
      </c>
      <c r="AN24" s="108">
        <v>0</v>
      </c>
      <c r="AO24" s="108">
        <v>0</v>
      </c>
    </row>
    <row r="25" spans="1:41" customFormat="1" x14ac:dyDescent="0.15">
      <c r="A25" s="188" t="s">
        <v>215</v>
      </c>
      <c r="B25" s="108">
        <v>1</v>
      </c>
      <c r="C25" s="108">
        <v>1</v>
      </c>
      <c r="D25" s="108">
        <v>1</v>
      </c>
      <c r="E25" s="108">
        <v>1</v>
      </c>
      <c r="F25" s="108">
        <v>1</v>
      </c>
      <c r="G25" s="108">
        <v>1</v>
      </c>
      <c r="H25" s="108">
        <v>1</v>
      </c>
      <c r="I25" s="108">
        <v>1</v>
      </c>
      <c r="J25" s="108">
        <v>1</v>
      </c>
      <c r="K25" s="108">
        <v>1</v>
      </c>
      <c r="L25" s="108">
        <v>1</v>
      </c>
      <c r="M25" s="108">
        <v>0</v>
      </c>
      <c r="N25" s="108">
        <v>0</v>
      </c>
      <c r="O25" s="108">
        <v>1</v>
      </c>
      <c r="P25" s="108">
        <v>0</v>
      </c>
      <c r="Q25" s="108">
        <v>0</v>
      </c>
      <c r="R25" s="108">
        <v>0</v>
      </c>
      <c r="S25" s="108">
        <v>0</v>
      </c>
      <c r="T25" s="108">
        <v>0</v>
      </c>
      <c r="U25" s="108">
        <v>0</v>
      </c>
      <c r="V25" s="108">
        <v>0</v>
      </c>
      <c r="W25" s="108">
        <v>0</v>
      </c>
      <c r="X25" s="108">
        <v>0</v>
      </c>
      <c r="Y25" s="108">
        <v>0</v>
      </c>
      <c r="Z25" s="108">
        <v>0</v>
      </c>
      <c r="AA25" s="108">
        <v>0</v>
      </c>
      <c r="AB25" s="108">
        <v>0</v>
      </c>
      <c r="AC25" s="108">
        <v>0</v>
      </c>
      <c r="AD25" s="108">
        <v>0</v>
      </c>
      <c r="AE25" s="108">
        <v>0</v>
      </c>
      <c r="AF25" s="108">
        <v>0</v>
      </c>
      <c r="AG25" s="108">
        <v>0</v>
      </c>
      <c r="AH25" s="108">
        <v>0</v>
      </c>
      <c r="AI25" s="108">
        <v>0</v>
      </c>
      <c r="AJ25" s="108">
        <v>0</v>
      </c>
      <c r="AK25" s="108">
        <v>0</v>
      </c>
      <c r="AL25" s="108">
        <v>0</v>
      </c>
      <c r="AM25" s="108">
        <v>0</v>
      </c>
      <c r="AN25" s="108">
        <v>0</v>
      </c>
      <c r="AO25" s="108">
        <v>0</v>
      </c>
    </row>
    <row r="26" spans="1:41" customFormat="1" x14ac:dyDescent="0.15">
      <c r="A26" s="188" t="s">
        <v>216</v>
      </c>
      <c r="B26" s="108">
        <v>1</v>
      </c>
      <c r="C26" s="108">
        <v>1</v>
      </c>
      <c r="D26" s="108">
        <v>1</v>
      </c>
      <c r="E26" s="108">
        <v>1</v>
      </c>
      <c r="F26" s="108">
        <v>1</v>
      </c>
      <c r="G26" s="108">
        <v>1</v>
      </c>
      <c r="H26" s="108">
        <v>1</v>
      </c>
      <c r="I26" s="108">
        <v>1</v>
      </c>
      <c r="J26" s="108">
        <v>1</v>
      </c>
      <c r="K26" s="108">
        <v>1</v>
      </c>
      <c r="L26" s="108">
        <v>1</v>
      </c>
      <c r="M26" s="108">
        <v>1</v>
      </c>
      <c r="N26" s="108">
        <v>0</v>
      </c>
      <c r="O26" s="108">
        <v>1</v>
      </c>
      <c r="P26" s="108">
        <v>0</v>
      </c>
      <c r="Q26" s="108">
        <v>0</v>
      </c>
      <c r="R26" s="108">
        <v>0</v>
      </c>
      <c r="S26" s="108">
        <v>0</v>
      </c>
      <c r="T26" s="108">
        <v>0</v>
      </c>
      <c r="U26" s="108">
        <v>0</v>
      </c>
      <c r="V26" s="108">
        <v>0</v>
      </c>
      <c r="W26" s="108">
        <v>0</v>
      </c>
      <c r="X26" s="108">
        <v>0</v>
      </c>
      <c r="Y26" s="108">
        <v>0</v>
      </c>
      <c r="Z26" s="108">
        <v>0</v>
      </c>
      <c r="AA26" s="108">
        <v>0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  <c r="AH26" s="108">
        <v>0</v>
      </c>
      <c r="AI26" s="108">
        <v>0</v>
      </c>
      <c r="AJ26" s="108">
        <v>0</v>
      </c>
      <c r="AK26" s="108">
        <v>0</v>
      </c>
      <c r="AL26" s="108">
        <v>0</v>
      </c>
      <c r="AM26" s="108">
        <v>0</v>
      </c>
      <c r="AN26" s="108">
        <v>0</v>
      </c>
      <c r="AO26" s="108">
        <v>0</v>
      </c>
    </row>
    <row r="27" spans="1:41" customFormat="1" x14ac:dyDescent="0.15">
      <c r="A27" s="188" t="s">
        <v>217</v>
      </c>
      <c r="B27" s="108">
        <v>0</v>
      </c>
      <c r="C27" s="108">
        <v>1</v>
      </c>
      <c r="D27" s="108">
        <v>0</v>
      </c>
      <c r="E27" s="108">
        <v>1</v>
      </c>
      <c r="F27" s="108">
        <v>1</v>
      </c>
      <c r="G27" s="108">
        <v>0</v>
      </c>
      <c r="H27" s="108">
        <v>0</v>
      </c>
      <c r="I27" s="108">
        <v>1</v>
      </c>
      <c r="J27" s="108">
        <v>1</v>
      </c>
      <c r="K27" s="108">
        <v>1</v>
      </c>
      <c r="L27" s="108">
        <v>1</v>
      </c>
      <c r="M27" s="108">
        <v>1</v>
      </c>
      <c r="N27" s="108">
        <v>1</v>
      </c>
      <c r="O27" s="108">
        <v>1</v>
      </c>
      <c r="P27" s="108">
        <v>0</v>
      </c>
      <c r="Q27" s="108">
        <v>1</v>
      </c>
      <c r="R27" s="108">
        <v>0</v>
      </c>
      <c r="S27" s="108">
        <v>0</v>
      </c>
      <c r="T27" s="108">
        <v>0</v>
      </c>
      <c r="U27" s="108">
        <v>0</v>
      </c>
      <c r="V27" s="108">
        <v>0</v>
      </c>
      <c r="W27" s="108">
        <v>1</v>
      </c>
      <c r="X27" s="108">
        <v>0</v>
      </c>
      <c r="Y27" s="108">
        <v>0</v>
      </c>
      <c r="Z27" s="108">
        <v>0</v>
      </c>
      <c r="AA27" s="108">
        <v>0</v>
      </c>
      <c r="AB27" s="108">
        <v>0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  <c r="AH27" s="108">
        <v>0</v>
      </c>
      <c r="AI27" s="108">
        <v>0</v>
      </c>
      <c r="AJ27" s="108">
        <v>0</v>
      </c>
      <c r="AK27" s="108">
        <v>0</v>
      </c>
      <c r="AL27" s="108">
        <v>0</v>
      </c>
      <c r="AM27" s="108">
        <v>0</v>
      </c>
      <c r="AN27" s="108">
        <v>0</v>
      </c>
      <c r="AO27" s="108">
        <v>0</v>
      </c>
    </row>
    <row r="28" spans="1:41" customFormat="1" x14ac:dyDescent="0.15">
      <c r="A28" s="188" t="s">
        <v>218</v>
      </c>
      <c r="B28" s="108">
        <v>1</v>
      </c>
      <c r="C28" s="108">
        <v>0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0</v>
      </c>
      <c r="M28" s="108">
        <v>1</v>
      </c>
      <c r="N28" s="108">
        <v>0</v>
      </c>
      <c r="O28" s="108">
        <v>0</v>
      </c>
      <c r="P28" s="108">
        <v>0</v>
      </c>
      <c r="Q28" s="108">
        <v>0</v>
      </c>
      <c r="R28" s="108">
        <v>0</v>
      </c>
      <c r="S28" s="108">
        <v>0</v>
      </c>
      <c r="T28" s="108">
        <v>0</v>
      </c>
      <c r="U28" s="108">
        <v>0</v>
      </c>
      <c r="V28" s="108">
        <v>0</v>
      </c>
      <c r="W28" s="108">
        <v>0</v>
      </c>
      <c r="X28" s="108">
        <v>0</v>
      </c>
      <c r="Y28" s="108">
        <v>0</v>
      </c>
      <c r="Z28" s="108">
        <v>0</v>
      </c>
      <c r="AA28" s="108">
        <v>0</v>
      </c>
      <c r="AB28" s="108">
        <v>0</v>
      </c>
      <c r="AC28" s="108">
        <v>0</v>
      </c>
      <c r="AD28" s="108">
        <v>0</v>
      </c>
      <c r="AE28" s="108">
        <v>0</v>
      </c>
      <c r="AF28" s="108">
        <v>0</v>
      </c>
      <c r="AG28" s="108">
        <v>0</v>
      </c>
      <c r="AH28" s="108">
        <v>0</v>
      </c>
      <c r="AI28" s="108">
        <v>0</v>
      </c>
      <c r="AJ28" s="108">
        <v>0</v>
      </c>
      <c r="AK28" s="108">
        <v>0</v>
      </c>
      <c r="AL28" s="108">
        <v>0</v>
      </c>
      <c r="AM28" s="108">
        <v>0</v>
      </c>
      <c r="AN28" s="108">
        <v>0</v>
      </c>
      <c r="AO28" s="108">
        <v>0</v>
      </c>
    </row>
    <row r="29" spans="1:41" customFormat="1" x14ac:dyDescent="0.15">
      <c r="A29" s="188" t="s">
        <v>219</v>
      </c>
      <c r="B29" s="108">
        <v>0</v>
      </c>
      <c r="C29" s="108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1</v>
      </c>
      <c r="I29" s="108">
        <v>0</v>
      </c>
      <c r="J29" s="108">
        <v>0</v>
      </c>
      <c r="K29" s="108">
        <v>0</v>
      </c>
      <c r="L29" s="108">
        <v>0</v>
      </c>
      <c r="M29" s="108">
        <v>0</v>
      </c>
      <c r="N29" s="108">
        <v>0</v>
      </c>
      <c r="O29" s="108">
        <v>1</v>
      </c>
      <c r="P29" s="108">
        <v>0</v>
      </c>
      <c r="Q29" s="108">
        <v>0</v>
      </c>
      <c r="R29" s="108">
        <v>0</v>
      </c>
      <c r="S29" s="108">
        <v>0</v>
      </c>
      <c r="T29" s="108">
        <v>0</v>
      </c>
      <c r="U29" s="108">
        <v>0</v>
      </c>
      <c r="V29" s="108">
        <v>0</v>
      </c>
      <c r="W29" s="108">
        <v>0</v>
      </c>
      <c r="X29" s="108">
        <v>0</v>
      </c>
      <c r="Y29" s="108">
        <v>0</v>
      </c>
      <c r="Z29" s="108">
        <v>0</v>
      </c>
      <c r="AA29" s="108">
        <v>0</v>
      </c>
      <c r="AB29" s="108">
        <v>0</v>
      </c>
      <c r="AC29" s="108">
        <v>0</v>
      </c>
      <c r="AD29" s="108">
        <v>0</v>
      </c>
      <c r="AE29" s="108">
        <v>0</v>
      </c>
      <c r="AF29" s="108">
        <v>0</v>
      </c>
      <c r="AG29" s="108">
        <v>0</v>
      </c>
      <c r="AH29" s="108">
        <v>0</v>
      </c>
      <c r="AI29" s="108">
        <v>0</v>
      </c>
      <c r="AJ29" s="108">
        <v>0</v>
      </c>
      <c r="AK29" s="108">
        <v>0</v>
      </c>
      <c r="AL29" s="108">
        <v>0</v>
      </c>
      <c r="AM29" s="108">
        <v>0</v>
      </c>
      <c r="AN29" s="108">
        <v>0</v>
      </c>
      <c r="AO29" s="108">
        <v>0</v>
      </c>
    </row>
    <row r="30" spans="1:41" customFormat="1" x14ac:dyDescent="0.15">
      <c r="A30" s="188" t="s">
        <v>220</v>
      </c>
      <c r="B30" s="108">
        <v>1</v>
      </c>
      <c r="C30" s="108">
        <v>1</v>
      </c>
      <c r="D30" s="108">
        <v>0</v>
      </c>
      <c r="E30" s="108">
        <v>1</v>
      </c>
      <c r="F30" s="108">
        <v>0</v>
      </c>
      <c r="G30" s="108">
        <v>0</v>
      </c>
      <c r="H30" s="108">
        <v>0</v>
      </c>
      <c r="I30" s="108">
        <v>0</v>
      </c>
      <c r="J30" s="108">
        <v>1</v>
      </c>
      <c r="K30" s="108">
        <v>1</v>
      </c>
      <c r="L30" s="108">
        <v>0</v>
      </c>
      <c r="M30" s="108">
        <v>0</v>
      </c>
      <c r="N30" s="108">
        <v>0</v>
      </c>
      <c r="O30" s="108">
        <v>1</v>
      </c>
      <c r="P30" s="108">
        <v>1</v>
      </c>
      <c r="Q30" s="108">
        <v>1</v>
      </c>
      <c r="R30" s="108">
        <v>1</v>
      </c>
      <c r="S30" s="108">
        <v>0</v>
      </c>
      <c r="T30" s="108">
        <v>1</v>
      </c>
      <c r="U30" s="108">
        <v>0</v>
      </c>
      <c r="V30" s="108">
        <v>1</v>
      </c>
      <c r="W30" s="108">
        <v>0</v>
      </c>
      <c r="X30" s="108">
        <v>0</v>
      </c>
      <c r="Y30" s="108">
        <v>0</v>
      </c>
      <c r="Z30" s="108">
        <v>0</v>
      </c>
      <c r="AA30" s="108">
        <v>0</v>
      </c>
      <c r="AB30" s="108">
        <v>0</v>
      </c>
      <c r="AC30" s="108">
        <v>0</v>
      </c>
      <c r="AD30" s="108">
        <v>0</v>
      </c>
      <c r="AE30" s="108">
        <v>0</v>
      </c>
      <c r="AF30" s="108">
        <v>0</v>
      </c>
      <c r="AG30" s="108">
        <v>0</v>
      </c>
      <c r="AH30" s="108">
        <v>0</v>
      </c>
      <c r="AI30" s="108">
        <v>0</v>
      </c>
      <c r="AJ30" s="108">
        <v>0</v>
      </c>
      <c r="AK30" s="108">
        <v>0</v>
      </c>
      <c r="AL30" s="108">
        <v>0</v>
      </c>
      <c r="AM30" s="108">
        <v>0</v>
      </c>
      <c r="AN30" s="108">
        <v>0</v>
      </c>
      <c r="AO30" s="108">
        <v>0</v>
      </c>
    </row>
    <row r="31" spans="1:41" customFormat="1" x14ac:dyDescent="0.15">
      <c r="A31" s="188" t="s">
        <v>221</v>
      </c>
      <c r="B31" s="108">
        <v>1</v>
      </c>
      <c r="C31" s="108">
        <v>0</v>
      </c>
      <c r="D31" s="108">
        <v>1</v>
      </c>
      <c r="E31" s="108">
        <v>0</v>
      </c>
      <c r="F31" s="108">
        <v>0</v>
      </c>
      <c r="G31" s="108">
        <v>0</v>
      </c>
      <c r="H31" s="108">
        <v>1</v>
      </c>
      <c r="I31" s="108">
        <v>1</v>
      </c>
      <c r="J31" s="108">
        <v>1</v>
      </c>
      <c r="K31" s="108">
        <v>1</v>
      </c>
      <c r="L31" s="108">
        <v>1</v>
      </c>
      <c r="M31" s="108">
        <v>1</v>
      </c>
      <c r="N31" s="108">
        <v>0</v>
      </c>
      <c r="O31" s="108">
        <v>0</v>
      </c>
      <c r="P31" s="108">
        <v>0</v>
      </c>
      <c r="Q31" s="108">
        <v>0</v>
      </c>
      <c r="R31" s="108">
        <v>0</v>
      </c>
      <c r="S31" s="108">
        <v>0</v>
      </c>
      <c r="T31" s="108">
        <v>0</v>
      </c>
      <c r="U31" s="108">
        <v>0</v>
      </c>
      <c r="V31" s="108">
        <v>0</v>
      </c>
      <c r="W31" s="108">
        <v>0</v>
      </c>
      <c r="X31" s="108">
        <v>0</v>
      </c>
      <c r="Y31" s="108">
        <v>0</v>
      </c>
      <c r="Z31" s="108">
        <v>0</v>
      </c>
      <c r="AA31" s="108">
        <v>0</v>
      </c>
      <c r="AB31" s="108">
        <v>0</v>
      </c>
      <c r="AC31" s="108">
        <v>0</v>
      </c>
      <c r="AD31" s="108">
        <v>0</v>
      </c>
      <c r="AE31" s="108">
        <v>0</v>
      </c>
      <c r="AF31" s="108">
        <v>0</v>
      </c>
      <c r="AG31" s="108">
        <v>0</v>
      </c>
      <c r="AH31" s="108">
        <v>0</v>
      </c>
      <c r="AI31" s="108">
        <v>0</v>
      </c>
      <c r="AJ31" s="108">
        <v>0</v>
      </c>
      <c r="AK31" s="108">
        <v>0</v>
      </c>
      <c r="AL31" s="108">
        <v>0</v>
      </c>
      <c r="AM31" s="108">
        <v>0</v>
      </c>
      <c r="AN31" s="108">
        <v>0</v>
      </c>
      <c r="AO31" s="108">
        <v>0</v>
      </c>
    </row>
    <row r="32" spans="1:41" x14ac:dyDescent="0.15">
      <c r="A32" s="188" t="s">
        <v>222</v>
      </c>
      <c r="B32" s="108">
        <v>1</v>
      </c>
      <c r="C32" s="108">
        <v>0</v>
      </c>
      <c r="D32" s="108">
        <v>1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0</v>
      </c>
      <c r="M32" s="108">
        <v>0</v>
      </c>
      <c r="N32" s="108">
        <v>0</v>
      </c>
      <c r="O32" s="108">
        <v>0</v>
      </c>
      <c r="P32" s="108">
        <v>0</v>
      </c>
      <c r="Q32" s="108">
        <v>0</v>
      </c>
      <c r="R32" s="108">
        <v>0</v>
      </c>
      <c r="S32" s="108">
        <v>0</v>
      </c>
      <c r="T32" s="108">
        <v>0</v>
      </c>
      <c r="U32" s="108">
        <v>0</v>
      </c>
      <c r="V32" s="108">
        <v>0</v>
      </c>
      <c r="W32" s="108">
        <v>0</v>
      </c>
      <c r="X32" s="108">
        <v>0</v>
      </c>
      <c r="Y32" s="108">
        <v>0</v>
      </c>
      <c r="Z32" s="108">
        <v>0</v>
      </c>
      <c r="AA32" s="108">
        <v>0</v>
      </c>
      <c r="AB32" s="108">
        <v>0</v>
      </c>
      <c r="AC32" s="108">
        <v>0</v>
      </c>
      <c r="AD32" s="108">
        <v>0</v>
      </c>
      <c r="AE32" s="108">
        <v>0</v>
      </c>
      <c r="AF32" s="108">
        <v>0</v>
      </c>
      <c r="AG32" s="108">
        <v>0</v>
      </c>
      <c r="AH32" s="108">
        <v>0</v>
      </c>
      <c r="AI32" s="108">
        <v>0</v>
      </c>
      <c r="AJ32" s="108">
        <v>0</v>
      </c>
      <c r="AK32" s="108">
        <v>0</v>
      </c>
      <c r="AL32" s="108">
        <v>0</v>
      </c>
      <c r="AM32" s="108">
        <v>0</v>
      </c>
      <c r="AN32" s="108">
        <v>0</v>
      </c>
      <c r="AO32" s="108">
        <v>0</v>
      </c>
    </row>
    <row r="33" spans="1:41" x14ac:dyDescent="0.15">
      <c r="A33" s="188" t="s">
        <v>223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8">
        <v>0</v>
      </c>
      <c r="L33" s="108">
        <v>1</v>
      </c>
      <c r="M33" s="108">
        <v>0</v>
      </c>
      <c r="N33" s="108">
        <v>0</v>
      </c>
      <c r="O33" s="108">
        <v>0</v>
      </c>
      <c r="P33" s="108">
        <v>0</v>
      </c>
      <c r="Q33" s="108">
        <v>0</v>
      </c>
      <c r="R33" s="108">
        <v>0</v>
      </c>
      <c r="S33" s="108">
        <v>0</v>
      </c>
      <c r="T33" s="108">
        <v>0</v>
      </c>
      <c r="U33" s="108">
        <v>0</v>
      </c>
      <c r="V33" s="108">
        <v>0</v>
      </c>
      <c r="W33" s="108">
        <v>0</v>
      </c>
      <c r="X33" s="108">
        <v>0</v>
      </c>
      <c r="Y33" s="108">
        <v>0</v>
      </c>
      <c r="Z33" s="108">
        <v>0</v>
      </c>
      <c r="AA33" s="108">
        <v>0</v>
      </c>
      <c r="AB33" s="108">
        <v>0</v>
      </c>
      <c r="AC33" s="108">
        <v>0</v>
      </c>
      <c r="AD33" s="108">
        <v>0</v>
      </c>
      <c r="AE33" s="108">
        <v>0</v>
      </c>
      <c r="AF33" s="108">
        <v>0</v>
      </c>
      <c r="AG33" s="108">
        <v>0</v>
      </c>
      <c r="AH33" s="108">
        <v>0</v>
      </c>
      <c r="AI33" s="108">
        <v>0</v>
      </c>
      <c r="AJ33" s="108">
        <v>0</v>
      </c>
      <c r="AK33" s="108">
        <v>0</v>
      </c>
      <c r="AL33" s="108">
        <v>0</v>
      </c>
      <c r="AM33" s="108">
        <v>0</v>
      </c>
      <c r="AN33" s="108">
        <v>0</v>
      </c>
      <c r="AO33" s="108">
        <v>0</v>
      </c>
    </row>
    <row r="34" spans="1:41" x14ac:dyDescent="0.15">
      <c r="A34" s="188" t="s">
        <v>224</v>
      </c>
      <c r="B34" s="108">
        <v>0</v>
      </c>
      <c r="C34" s="108">
        <v>0</v>
      </c>
      <c r="D34" s="108">
        <v>0</v>
      </c>
      <c r="E34" s="108">
        <v>0</v>
      </c>
      <c r="F34" s="108">
        <v>1</v>
      </c>
      <c r="G34" s="108">
        <v>1</v>
      </c>
      <c r="H34" s="108">
        <v>1</v>
      </c>
      <c r="I34" s="108">
        <v>1</v>
      </c>
      <c r="J34" s="108">
        <v>1</v>
      </c>
      <c r="K34" s="108">
        <v>1</v>
      </c>
      <c r="L34" s="108">
        <v>1</v>
      </c>
      <c r="M34" s="108">
        <v>1</v>
      </c>
      <c r="N34" s="108">
        <v>0</v>
      </c>
      <c r="O34" s="108">
        <v>1</v>
      </c>
      <c r="P34" s="108">
        <v>0</v>
      </c>
      <c r="Q34" s="108">
        <v>1</v>
      </c>
      <c r="R34" s="108">
        <v>1</v>
      </c>
      <c r="S34" s="108">
        <v>0</v>
      </c>
      <c r="T34" s="108">
        <v>1</v>
      </c>
      <c r="U34" s="108">
        <v>0</v>
      </c>
      <c r="V34" s="108">
        <v>0</v>
      </c>
      <c r="W34" s="108">
        <v>1</v>
      </c>
      <c r="X34" s="108">
        <v>0</v>
      </c>
      <c r="Y34" s="108">
        <v>1</v>
      </c>
      <c r="Z34" s="108">
        <v>0</v>
      </c>
      <c r="AA34" s="108">
        <v>1</v>
      </c>
      <c r="AB34" s="108">
        <v>0</v>
      </c>
      <c r="AC34" s="108">
        <v>1</v>
      </c>
      <c r="AD34" s="108">
        <v>1</v>
      </c>
      <c r="AE34" s="108">
        <v>1</v>
      </c>
      <c r="AF34" s="108">
        <v>1</v>
      </c>
      <c r="AG34" s="108">
        <v>1</v>
      </c>
      <c r="AH34" s="108">
        <v>0</v>
      </c>
      <c r="AI34" s="108">
        <v>0</v>
      </c>
      <c r="AJ34" s="108">
        <v>0</v>
      </c>
      <c r="AK34" s="108">
        <v>0</v>
      </c>
      <c r="AL34" s="108">
        <v>0</v>
      </c>
      <c r="AM34" s="108">
        <v>0</v>
      </c>
      <c r="AN34" s="108">
        <v>0</v>
      </c>
      <c r="AO34" s="108">
        <v>0</v>
      </c>
    </row>
    <row r="35" spans="1:41" x14ac:dyDescent="0.15">
      <c r="A35" s="188" t="s">
        <v>225</v>
      </c>
      <c r="B35" s="108">
        <v>1</v>
      </c>
      <c r="C35" s="108">
        <v>1</v>
      </c>
      <c r="D35" s="108">
        <v>1</v>
      </c>
      <c r="E35" s="108">
        <v>1</v>
      </c>
      <c r="F35" s="108">
        <v>1</v>
      </c>
      <c r="G35" s="108">
        <v>1</v>
      </c>
      <c r="H35" s="108">
        <v>1</v>
      </c>
      <c r="I35" s="108">
        <v>1</v>
      </c>
      <c r="J35" s="108">
        <v>1</v>
      </c>
      <c r="K35" s="108">
        <v>1</v>
      </c>
      <c r="L35" s="108">
        <v>1</v>
      </c>
      <c r="M35" s="108">
        <v>1</v>
      </c>
      <c r="N35" s="108">
        <v>1</v>
      </c>
      <c r="O35" s="108">
        <v>1</v>
      </c>
      <c r="P35" s="108">
        <v>1</v>
      </c>
      <c r="Q35" s="108">
        <v>1</v>
      </c>
      <c r="R35" s="108">
        <v>1</v>
      </c>
      <c r="S35" s="108">
        <v>1</v>
      </c>
      <c r="T35" s="108">
        <v>1</v>
      </c>
      <c r="U35" s="108">
        <v>1</v>
      </c>
      <c r="V35" s="108">
        <v>1</v>
      </c>
      <c r="W35" s="108">
        <v>1</v>
      </c>
      <c r="X35" s="108">
        <v>1</v>
      </c>
      <c r="Y35" s="108">
        <v>1</v>
      </c>
      <c r="Z35" s="108">
        <v>1</v>
      </c>
      <c r="AA35" s="108">
        <v>1</v>
      </c>
      <c r="AB35" s="108">
        <v>0</v>
      </c>
      <c r="AC35" s="108">
        <v>1</v>
      </c>
      <c r="AD35" s="108">
        <v>1</v>
      </c>
      <c r="AE35" s="108">
        <v>1</v>
      </c>
      <c r="AF35" s="108">
        <v>1</v>
      </c>
      <c r="AG35" s="108">
        <v>1</v>
      </c>
      <c r="AH35" s="108">
        <v>0</v>
      </c>
      <c r="AI35" s="108">
        <v>1</v>
      </c>
      <c r="AJ35" s="108">
        <v>0</v>
      </c>
      <c r="AK35" s="108">
        <v>0</v>
      </c>
      <c r="AL35" s="108">
        <v>0</v>
      </c>
      <c r="AM35" s="108">
        <v>0</v>
      </c>
      <c r="AN35" s="108">
        <v>0</v>
      </c>
      <c r="AO35" s="108">
        <v>0</v>
      </c>
    </row>
    <row r="36" spans="1:41" x14ac:dyDescent="0.15">
      <c r="A36" s="188" t="s">
        <v>226</v>
      </c>
      <c r="B36" s="108">
        <v>1</v>
      </c>
      <c r="C36" s="108">
        <v>1</v>
      </c>
      <c r="D36" s="108">
        <v>1</v>
      </c>
      <c r="E36" s="108">
        <v>1</v>
      </c>
      <c r="F36" s="108">
        <v>1</v>
      </c>
      <c r="G36" s="108">
        <v>1</v>
      </c>
      <c r="H36" s="108">
        <v>1</v>
      </c>
      <c r="I36" s="108">
        <v>1</v>
      </c>
      <c r="J36" s="108">
        <v>1</v>
      </c>
      <c r="K36" s="108">
        <v>1</v>
      </c>
      <c r="L36" s="108">
        <v>1</v>
      </c>
      <c r="M36" s="108">
        <v>1</v>
      </c>
      <c r="N36" s="108">
        <v>1</v>
      </c>
      <c r="O36" s="108">
        <v>1</v>
      </c>
      <c r="P36" s="108">
        <v>1</v>
      </c>
      <c r="Q36" s="108">
        <v>1</v>
      </c>
      <c r="R36" s="108">
        <v>1</v>
      </c>
      <c r="S36" s="108">
        <v>1</v>
      </c>
      <c r="T36" s="108">
        <v>1</v>
      </c>
      <c r="U36" s="108">
        <v>1</v>
      </c>
      <c r="V36" s="108">
        <v>1</v>
      </c>
      <c r="W36" s="108">
        <v>1</v>
      </c>
      <c r="X36" s="108">
        <v>1</v>
      </c>
      <c r="Y36" s="108">
        <v>1</v>
      </c>
      <c r="Z36" s="108">
        <v>1</v>
      </c>
      <c r="AA36" s="108">
        <v>1</v>
      </c>
      <c r="AB36" s="108">
        <v>1</v>
      </c>
      <c r="AC36" s="108">
        <v>1</v>
      </c>
      <c r="AD36" s="108">
        <v>1</v>
      </c>
      <c r="AE36" s="108">
        <v>1</v>
      </c>
      <c r="AF36" s="108">
        <v>1</v>
      </c>
      <c r="AG36" s="108">
        <v>1</v>
      </c>
      <c r="AH36" s="108">
        <v>1</v>
      </c>
      <c r="AI36" s="108">
        <v>0</v>
      </c>
      <c r="AJ36" s="108">
        <v>1</v>
      </c>
      <c r="AK36" s="108">
        <v>0</v>
      </c>
      <c r="AL36" s="108">
        <v>0</v>
      </c>
      <c r="AM36" s="108">
        <v>0</v>
      </c>
      <c r="AN36" s="108">
        <v>0</v>
      </c>
      <c r="AO36" s="108">
        <v>0</v>
      </c>
    </row>
    <row r="37" spans="1:41" x14ac:dyDescent="0.15">
      <c r="A37" s="188" t="s">
        <v>227</v>
      </c>
      <c r="B37" s="108">
        <v>0</v>
      </c>
      <c r="C37" s="108">
        <v>1</v>
      </c>
      <c r="D37" s="108">
        <v>0</v>
      </c>
      <c r="E37" s="108">
        <v>1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8">
        <v>0</v>
      </c>
      <c r="L37" s="108">
        <v>1</v>
      </c>
      <c r="M37" s="108">
        <v>1</v>
      </c>
      <c r="N37" s="108">
        <v>1</v>
      </c>
      <c r="O37" s="108">
        <v>1</v>
      </c>
      <c r="P37" s="108">
        <v>0</v>
      </c>
      <c r="Q37" s="108">
        <v>0</v>
      </c>
      <c r="R37" s="108">
        <v>0</v>
      </c>
      <c r="S37" s="108">
        <v>0</v>
      </c>
      <c r="T37" s="108">
        <v>1</v>
      </c>
      <c r="U37" s="108">
        <v>0</v>
      </c>
      <c r="V37" s="108">
        <v>0</v>
      </c>
      <c r="W37" s="108">
        <v>1</v>
      </c>
      <c r="X37" s="108">
        <v>1</v>
      </c>
      <c r="Y37" s="108">
        <v>0</v>
      </c>
      <c r="Z37" s="108">
        <v>1</v>
      </c>
      <c r="AA37" s="108">
        <v>1</v>
      </c>
      <c r="AB37" s="108">
        <v>0</v>
      </c>
      <c r="AC37" s="108">
        <v>1</v>
      </c>
      <c r="AD37" s="108">
        <v>0</v>
      </c>
      <c r="AE37" s="108">
        <v>0</v>
      </c>
      <c r="AF37" s="108">
        <v>0</v>
      </c>
      <c r="AG37" s="108">
        <v>0</v>
      </c>
      <c r="AH37" s="108">
        <v>0</v>
      </c>
      <c r="AI37" s="108">
        <v>0</v>
      </c>
      <c r="AJ37" s="108">
        <v>0</v>
      </c>
      <c r="AK37" s="108">
        <v>0</v>
      </c>
      <c r="AL37" s="108">
        <v>0</v>
      </c>
      <c r="AM37" s="108">
        <v>0</v>
      </c>
      <c r="AN37" s="108">
        <v>0</v>
      </c>
      <c r="AO37" s="108">
        <v>0</v>
      </c>
    </row>
    <row r="38" spans="1:41" x14ac:dyDescent="0.15">
      <c r="A38" s="188" t="s">
        <v>228</v>
      </c>
      <c r="B38" s="108">
        <v>0</v>
      </c>
      <c r="C38" s="108">
        <v>0</v>
      </c>
      <c r="D38" s="108">
        <v>0</v>
      </c>
      <c r="E38" s="108">
        <v>0</v>
      </c>
      <c r="F38" s="108">
        <v>0</v>
      </c>
      <c r="G38" s="108">
        <v>0</v>
      </c>
      <c r="H38" s="108">
        <v>1</v>
      </c>
      <c r="I38" s="108">
        <v>1</v>
      </c>
      <c r="J38" s="108">
        <v>0</v>
      </c>
      <c r="K38" s="108">
        <v>0</v>
      </c>
      <c r="L38" s="108">
        <v>0</v>
      </c>
      <c r="M38" s="108">
        <v>1</v>
      </c>
      <c r="N38" s="108">
        <v>0</v>
      </c>
      <c r="O38" s="108">
        <v>0</v>
      </c>
      <c r="P38" s="108">
        <v>0</v>
      </c>
      <c r="Q38" s="108">
        <v>0</v>
      </c>
      <c r="R38" s="108">
        <v>0</v>
      </c>
      <c r="S38" s="108">
        <v>0</v>
      </c>
      <c r="T38" s="108">
        <v>0</v>
      </c>
      <c r="U38" s="108">
        <v>1</v>
      </c>
      <c r="V38" s="108">
        <v>0</v>
      </c>
      <c r="W38" s="108">
        <v>1</v>
      </c>
      <c r="X38" s="108">
        <v>1</v>
      </c>
      <c r="Y38" s="108">
        <v>1</v>
      </c>
      <c r="Z38" s="108">
        <v>1</v>
      </c>
      <c r="AA38" s="108">
        <v>1</v>
      </c>
      <c r="AB38" s="108">
        <v>1</v>
      </c>
      <c r="AC38" s="108">
        <v>1</v>
      </c>
      <c r="AD38" s="108">
        <v>1</v>
      </c>
      <c r="AE38" s="108">
        <v>0</v>
      </c>
      <c r="AF38" s="108">
        <v>1</v>
      </c>
      <c r="AG38" s="108">
        <v>1</v>
      </c>
      <c r="AH38" s="108">
        <v>0</v>
      </c>
      <c r="AI38" s="108">
        <v>1</v>
      </c>
      <c r="AJ38" s="108">
        <v>1</v>
      </c>
      <c r="AK38" s="108">
        <v>0</v>
      </c>
      <c r="AL38" s="108">
        <v>0</v>
      </c>
      <c r="AM38" s="108">
        <v>0</v>
      </c>
      <c r="AN38" s="108">
        <v>0</v>
      </c>
      <c r="AO38" s="108">
        <v>0</v>
      </c>
    </row>
    <row r="39" spans="1:41" x14ac:dyDescent="0.15">
      <c r="A39" s="188" t="s">
        <v>229</v>
      </c>
      <c r="B39" s="108">
        <v>0</v>
      </c>
      <c r="C39" s="108">
        <v>0</v>
      </c>
      <c r="D39" s="108">
        <v>0</v>
      </c>
      <c r="E39" s="108">
        <v>0</v>
      </c>
      <c r="F39" s="108">
        <v>0</v>
      </c>
      <c r="G39" s="108">
        <v>0</v>
      </c>
      <c r="H39" s="108">
        <v>0</v>
      </c>
      <c r="I39" s="108">
        <v>0</v>
      </c>
      <c r="J39" s="108">
        <v>0</v>
      </c>
      <c r="K39" s="108">
        <v>0</v>
      </c>
      <c r="L39" s="108">
        <v>0</v>
      </c>
      <c r="M39" s="108">
        <v>0</v>
      </c>
      <c r="N39" s="108">
        <v>0</v>
      </c>
      <c r="O39" s="108">
        <v>1</v>
      </c>
      <c r="P39" s="108">
        <v>1</v>
      </c>
      <c r="Q39" s="108">
        <v>0</v>
      </c>
      <c r="R39" s="108">
        <v>0</v>
      </c>
      <c r="S39" s="108">
        <v>0</v>
      </c>
      <c r="T39" s="108">
        <v>1</v>
      </c>
      <c r="U39" s="108">
        <v>0</v>
      </c>
      <c r="V39" s="108">
        <v>1</v>
      </c>
      <c r="W39" s="108">
        <v>1</v>
      </c>
      <c r="X39" s="108">
        <v>0</v>
      </c>
      <c r="Y39" s="108">
        <v>1</v>
      </c>
      <c r="Z39" s="108">
        <v>0</v>
      </c>
      <c r="AA39" s="108">
        <v>1</v>
      </c>
      <c r="AB39" s="108">
        <v>0</v>
      </c>
      <c r="AC39" s="108">
        <v>1</v>
      </c>
      <c r="AD39" s="108">
        <v>1</v>
      </c>
      <c r="AE39" s="108">
        <v>1</v>
      </c>
      <c r="AF39" s="108">
        <v>1</v>
      </c>
      <c r="AG39" s="108">
        <v>1</v>
      </c>
      <c r="AH39" s="108">
        <v>1</v>
      </c>
      <c r="AI39" s="108">
        <v>1</v>
      </c>
      <c r="AJ39" s="108">
        <v>0</v>
      </c>
      <c r="AK39" s="108">
        <v>1</v>
      </c>
      <c r="AL39" s="108">
        <v>0</v>
      </c>
      <c r="AM39" s="108">
        <v>0</v>
      </c>
      <c r="AN39" s="108">
        <v>0</v>
      </c>
      <c r="AO39" s="108">
        <v>0</v>
      </c>
    </row>
    <row r="40" spans="1:41" x14ac:dyDescent="0.15">
      <c r="A40" s="188" t="s">
        <v>230</v>
      </c>
      <c r="B40" s="108">
        <v>0</v>
      </c>
      <c r="C40" s="108">
        <v>0</v>
      </c>
      <c r="D40" s="108">
        <v>0</v>
      </c>
      <c r="E40" s="108">
        <v>0</v>
      </c>
      <c r="F40" s="108">
        <v>0</v>
      </c>
      <c r="G40" s="108">
        <v>0</v>
      </c>
      <c r="H40" s="108">
        <v>0</v>
      </c>
      <c r="I40" s="108">
        <v>1</v>
      </c>
      <c r="J40" s="108">
        <v>0</v>
      </c>
      <c r="K40" s="108">
        <v>0</v>
      </c>
      <c r="L40" s="108">
        <v>0</v>
      </c>
      <c r="M40" s="108">
        <v>0</v>
      </c>
      <c r="N40" s="108">
        <v>0</v>
      </c>
      <c r="O40" s="108">
        <v>1</v>
      </c>
      <c r="P40" s="108">
        <v>1</v>
      </c>
      <c r="Q40" s="108">
        <v>1</v>
      </c>
      <c r="R40" s="108">
        <v>0</v>
      </c>
      <c r="S40" s="108">
        <v>0</v>
      </c>
      <c r="T40" s="108">
        <v>0</v>
      </c>
      <c r="U40" s="108">
        <v>0</v>
      </c>
      <c r="V40" s="108">
        <v>1</v>
      </c>
      <c r="W40" s="108">
        <v>1</v>
      </c>
      <c r="X40" s="108">
        <v>0</v>
      </c>
      <c r="Y40" s="108">
        <v>1</v>
      </c>
      <c r="Z40" s="108">
        <v>0</v>
      </c>
      <c r="AA40" s="108">
        <v>1</v>
      </c>
      <c r="AB40" s="108">
        <v>0</v>
      </c>
      <c r="AC40" s="108">
        <v>1</v>
      </c>
      <c r="AD40" s="108">
        <v>1</v>
      </c>
      <c r="AE40" s="108">
        <v>1</v>
      </c>
      <c r="AF40" s="108">
        <v>0</v>
      </c>
      <c r="AG40" s="108">
        <v>1</v>
      </c>
      <c r="AH40" s="108">
        <v>1</v>
      </c>
      <c r="AI40" s="108">
        <v>1</v>
      </c>
      <c r="AJ40" s="108">
        <v>1</v>
      </c>
      <c r="AK40" s="108">
        <v>1</v>
      </c>
      <c r="AL40" s="108">
        <v>0</v>
      </c>
      <c r="AM40" s="108">
        <v>0</v>
      </c>
      <c r="AN40" s="108">
        <v>0</v>
      </c>
      <c r="AO40" s="108">
        <v>0</v>
      </c>
    </row>
    <row r="41" spans="1:41" x14ac:dyDescent="0.15">
      <c r="A41" s="188" t="s">
        <v>231</v>
      </c>
      <c r="B41" s="108">
        <v>0</v>
      </c>
      <c r="C41" s="108">
        <v>0</v>
      </c>
      <c r="D41" s="108">
        <v>0</v>
      </c>
      <c r="E41" s="108">
        <v>0</v>
      </c>
      <c r="F41" s="108">
        <v>0</v>
      </c>
      <c r="G41" s="108">
        <v>0</v>
      </c>
      <c r="H41" s="108">
        <v>0</v>
      </c>
      <c r="I41" s="108">
        <v>0</v>
      </c>
      <c r="J41" s="108">
        <v>0</v>
      </c>
      <c r="K41" s="108">
        <v>0</v>
      </c>
      <c r="L41" s="108">
        <v>0</v>
      </c>
      <c r="M41" s="108">
        <v>0</v>
      </c>
      <c r="N41" s="108">
        <v>0</v>
      </c>
      <c r="O41" s="108">
        <v>0</v>
      </c>
      <c r="P41" s="108">
        <v>0</v>
      </c>
      <c r="Q41" s="108">
        <v>0</v>
      </c>
      <c r="R41" s="108">
        <v>0</v>
      </c>
      <c r="S41" s="108">
        <v>0</v>
      </c>
      <c r="T41" s="108">
        <v>0</v>
      </c>
      <c r="U41" s="108">
        <v>0</v>
      </c>
      <c r="V41" s="108">
        <v>0</v>
      </c>
      <c r="W41" s="108">
        <v>0</v>
      </c>
      <c r="X41" s="108">
        <v>0</v>
      </c>
      <c r="Y41" s="108">
        <v>0</v>
      </c>
      <c r="Z41" s="108">
        <v>0</v>
      </c>
      <c r="AA41" s="108">
        <v>0</v>
      </c>
      <c r="AB41" s="108">
        <v>0</v>
      </c>
      <c r="AC41" s="108">
        <v>0</v>
      </c>
      <c r="AD41" s="108">
        <v>0</v>
      </c>
      <c r="AE41" s="108">
        <v>0</v>
      </c>
      <c r="AF41" s="108">
        <v>0</v>
      </c>
      <c r="AG41" s="108">
        <v>0</v>
      </c>
      <c r="AH41" s="108">
        <v>0</v>
      </c>
      <c r="AI41" s="108">
        <v>0</v>
      </c>
      <c r="AJ41" s="108">
        <v>0</v>
      </c>
      <c r="AK41" s="108">
        <v>0</v>
      </c>
      <c r="AL41" s="108">
        <v>0</v>
      </c>
      <c r="AM41" s="108">
        <v>0</v>
      </c>
      <c r="AN41" s="108">
        <v>0</v>
      </c>
      <c r="AO41" s="108">
        <v>0</v>
      </c>
    </row>
    <row r="42" spans="1:41" x14ac:dyDescent="0.15">
      <c r="A42" s="188" t="s">
        <v>233</v>
      </c>
      <c r="B42" s="108">
        <v>0</v>
      </c>
      <c r="C42" s="108">
        <v>0</v>
      </c>
      <c r="D42" s="108">
        <v>0</v>
      </c>
      <c r="E42" s="108">
        <v>0</v>
      </c>
      <c r="F42" s="108">
        <v>0</v>
      </c>
      <c r="G42" s="108">
        <v>0</v>
      </c>
      <c r="H42" s="108">
        <v>0</v>
      </c>
      <c r="I42" s="108">
        <v>0</v>
      </c>
      <c r="J42" s="108">
        <v>0</v>
      </c>
      <c r="K42" s="108">
        <v>0</v>
      </c>
      <c r="L42" s="108">
        <v>0</v>
      </c>
      <c r="M42" s="108">
        <v>0</v>
      </c>
      <c r="N42" s="108">
        <v>0</v>
      </c>
      <c r="O42" s="108">
        <v>0</v>
      </c>
      <c r="P42" s="108">
        <v>0</v>
      </c>
      <c r="Q42" s="108">
        <v>0</v>
      </c>
      <c r="R42" s="108">
        <v>0</v>
      </c>
      <c r="S42" s="108">
        <v>0</v>
      </c>
      <c r="T42" s="108">
        <v>0</v>
      </c>
      <c r="U42" s="108">
        <v>0</v>
      </c>
      <c r="V42" s="108">
        <v>0</v>
      </c>
      <c r="W42" s="108">
        <v>0</v>
      </c>
      <c r="X42" s="108">
        <v>0</v>
      </c>
      <c r="Y42" s="108">
        <v>0</v>
      </c>
      <c r="Z42" s="108">
        <v>0</v>
      </c>
      <c r="AA42" s="108">
        <v>0</v>
      </c>
      <c r="AB42" s="108">
        <v>0</v>
      </c>
      <c r="AC42" s="108">
        <v>0</v>
      </c>
      <c r="AD42" s="108">
        <v>0</v>
      </c>
      <c r="AE42" s="108">
        <v>0</v>
      </c>
      <c r="AF42" s="108">
        <v>0</v>
      </c>
      <c r="AG42" s="108">
        <v>0</v>
      </c>
      <c r="AH42" s="108">
        <v>0</v>
      </c>
      <c r="AI42" s="108">
        <v>0</v>
      </c>
      <c r="AJ42" s="108">
        <v>0</v>
      </c>
      <c r="AK42" s="108">
        <v>0</v>
      </c>
      <c r="AL42" s="108">
        <v>0</v>
      </c>
      <c r="AM42" s="108">
        <v>0</v>
      </c>
      <c r="AN42" s="108">
        <v>0</v>
      </c>
      <c r="AO42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1" t="s">
        <v>232</v>
      </c>
    </row>
    <row r="2" spans="1:3" x14ac:dyDescent="0.15">
      <c r="A2">
        <v>1</v>
      </c>
      <c r="B2" s="190" t="s">
        <v>193</v>
      </c>
      <c r="C2">
        <v>0.8</v>
      </c>
    </row>
    <row r="3" spans="1:3" x14ac:dyDescent="0.15">
      <c r="A3">
        <v>2</v>
      </c>
      <c r="B3" s="190" t="s">
        <v>194</v>
      </c>
      <c r="C3">
        <v>0.8</v>
      </c>
    </row>
    <row r="4" spans="1:3" x14ac:dyDescent="0.15">
      <c r="A4">
        <v>3</v>
      </c>
      <c r="B4" s="190" t="s">
        <v>195</v>
      </c>
      <c r="C4">
        <v>0.8</v>
      </c>
    </row>
    <row r="5" spans="1:3" x14ac:dyDescent="0.15">
      <c r="A5">
        <v>4</v>
      </c>
      <c r="B5" s="190" t="s">
        <v>196</v>
      </c>
      <c r="C5">
        <v>0.8</v>
      </c>
    </row>
    <row r="6" spans="1:3" x14ac:dyDescent="0.15">
      <c r="A6">
        <v>5</v>
      </c>
      <c r="B6" s="190" t="s">
        <v>197</v>
      </c>
      <c r="C6">
        <v>0.8</v>
      </c>
    </row>
    <row r="7" spans="1:3" x14ac:dyDescent="0.15">
      <c r="A7">
        <v>6</v>
      </c>
      <c r="B7" s="190" t="s">
        <v>198</v>
      </c>
      <c r="C7">
        <v>0.8</v>
      </c>
    </row>
    <row r="8" spans="1:3" x14ac:dyDescent="0.15">
      <c r="A8">
        <v>7</v>
      </c>
      <c r="B8" s="190" t="s">
        <v>199</v>
      </c>
      <c r="C8">
        <v>0.8</v>
      </c>
    </row>
    <row r="9" spans="1:3" x14ac:dyDescent="0.15">
      <c r="A9">
        <v>8</v>
      </c>
      <c r="B9" s="190" t="s">
        <v>200</v>
      </c>
      <c r="C9">
        <v>0.8</v>
      </c>
    </row>
    <row r="10" spans="1:3" x14ac:dyDescent="0.15">
      <c r="A10">
        <v>9</v>
      </c>
      <c r="B10" s="190" t="s">
        <v>201</v>
      </c>
      <c r="C10">
        <v>0.8</v>
      </c>
    </row>
    <row r="11" spans="1:3" x14ac:dyDescent="0.15">
      <c r="A11">
        <v>10</v>
      </c>
      <c r="B11" s="190" t="s">
        <v>202</v>
      </c>
      <c r="C11">
        <v>0.8</v>
      </c>
    </row>
    <row r="12" spans="1:3" x14ac:dyDescent="0.15">
      <c r="A12">
        <v>11</v>
      </c>
      <c r="B12" s="190" t="s">
        <v>203</v>
      </c>
      <c r="C12">
        <v>0.8</v>
      </c>
    </row>
    <row r="13" spans="1:3" x14ac:dyDescent="0.15">
      <c r="A13">
        <v>12</v>
      </c>
      <c r="B13" s="190" t="s">
        <v>204</v>
      </c>
      <c r="C13">
        <v>0.8</v>
      </c>
    </row>
    <row r="14" spans="1:3" x14ac:dyDescent="0.15">
      <c r="A14">
        <v>13</v>
      </c>
      <c r="B14" s="190" t="s">
        <v>166</v>
      </c>
      <c r="C14">
        <v>0.8</v>
      </c>
    </row>
    <row r="15" spans="1:3" x14ac:dyDescent="0.15">
      <c r="A15">
        <v>14</v>
      </c>
      <c r="B15" s="190" t="s">
        <v>205</v>
      </c>
      <c r="C15">
        <v>0.8</v>
      </c>
    </row>
    <row r="16" spans="1:3" x14ac:dyDescent="0.15">
      <c r="A16">
        <v>15</v>
      </c>
      <c r="B16" s="190" t="s">
        <v>206</v>
      </c>
      <c r="C16">
        <v>0.8</v>
      </c>
    </row>
    <row r="17" spans="1:3" x14ac:dyDescent="0.15">
      <c r="A17">
        <v>16</v>
      </c>
      <c r="B17" s="190" t="s">
        <v>207</v>
      </c>
      <c r="C17">
        <v>0.8</v>
      </c>
    </row>
    <row r="18" spans="1:3" x14ac:dyDescent="0.15">
      <c r="A18">
        <v>17</v>
      </c>
      <c r="B18" s="190" t="s">
        <v>208</v>
      </c>
      <c r="C18">
        <v>0.8</v>
      </c>
    </row>
    <row r="19" spans="1:3" x14ac:dyDescent="0.15">
      <c r="A19">
        <v>18</v>
      </c>
      <c r="B19" s="190" t="s">
        <v>209</v>
      </c>
      <c r="C19">
        <v>0.8</v>
      </c>
    </row>
    <row r="20" spans="1:3" x14ac:dyDescent="0.15">
      <c r="A20">
        <v>19</v>
      </c>
      <c r="B20" s="190" t="s">
        <v>210</v>
      </c>
      <c r="C20">
        <v>0.8</v>
      </c>
    </row>
    <row r="21" spans="1:3" x14ac:dyDescent="0.15">
      <c r="A21">
        <v>20</v>
      </c>
      <c r="B21" s="190" t="s">
        <v>211</v>
      </c>
      <c r="C21">
        <v>0.8</v>
      </c>
    </row>
    <row r="22" spans="1:3" x14ac:dyDescent="0.15">
      <c r="A22">
        <v>21</v>
      </c>
      <c r="B22" s="190" t="s">
        <v>212</v>
      </c>
      <c r="C22">
        <v>0.8</v>
      </c>
    </row>
    <row r="23" spans="1:3" x14ac:dyDescent="0.15">
      <c r="A23">
        <v>22</v>
      </c>
      <c r="B23" s="190" t="s">
        <v>213</v>
      </c>
      <c r="C23">
        <v>0.8</v>
      </c>
    </row>
    <row r="24" spans="1:3" x14ac:dyDescent="0.15">
      <c r="A24">
        <v>23</v>
      </c>
      <c r="B24" s="190" t="s">
        <v>214</v>
      </c>
      <c r="C24">
        <v>0.8</v>
      </c>
    </row>
    <row r="25" spans="1:3" x14ac:dyDescent="0.15">
      <c r="A25">
        <v>24</v>
      </c>
      <c r="B25" s="190" t="s">
        <v>215</v>
      </c>
      <c r="C25">
        <v>0.8</v>
      </c>
    </row>
    <row r="26" spans="1:3" x14ac:dyDescent="0.15">
      <c r="A26">
        <v>25</v>
      </c>
      <c r="B26" s="190" t="s">
        <v>216</v>
      </c>
      <c r="C26">
        <v>0.8</v>
      </c>
    </row>
    <row r="27" spans="1:3" x14ac:dyDescent="0.15">
      <c r="A27">
        <v>26</v>
      </c>
      <c r="B27" s="190" t="s">
        <v>217</v>
      </c>
      <c r="C27">
        <v>0.8</v>
      </c>
    </row>
    <row r="28" spans="1:3" x14ac:dyDescent="0.15">
      <c r="A28">
        <v>27</v>
      </c>
      <c r="B28" s="190" t="s">
        <v>218</v>
      </c>
      <c r="C28">
        <v>0.8</v>
      </c>
    </row>
    <row r="29" spans="1:3" x14ac:dyDescent="0.15">
      <c r="A29">
        <v>28</v>
      </c>
      <c r="B29" s="190" t="s">
        <v>219</v>
      </c>
      <c r="C29">
        <v>0.8</v>
      </c>
    </row>
    <row r="30" spans="1:3" x14ac:dyDescent="0.15">
      <c r="A30">
        <v>29</v>
      </c>
      <c r="B30" s="190" t="s">
        <v>220</v>
      </c>
      <c r="C30">
        <v>0.8</v>
      </c>
    </row>
    <row r="31" spans="1:3" x14ac:dyDescent="0.15">
      <c r="A31">
        <v>30</v>
      </c>
      <c r="B31" s="190" t="s">
        <v>221</v>
      </c>
      <c r="C31">
        <v>0.8</v>
      </c>
    </row>
    <row r="32" spans="1:3" x14ac:dyDescent="0.15">
      <c r="A32">
        <v>31</v>
      </c>
      <c r="B32" s="190" t="s">
        <v>222</v>
      </c>
      <c r="C32">
        <v>0.8</v>
      </c>
    </row>
    <row r="33" spans="1:3" x14ac:dyDescent="0.15">
      <c r="A33">
        <v>32</v>
      </c>
      <c r="B33" s="190" t="s">
        <v>223</v>
      </c>
      <c r="C33">
        <v>0.8</v>
      </c>
    </row>
    <row r="34" spans="1:3" x14ac:dyDescent="0.15">
      <c r="A34">
        <v>33</v>
      </c>
      <c r="B34" s="190" t="s">
        <v>224</v>
      </c>
      <c r="C34">
        <v>0</v>
      </c>
    </row>
    <row r="35" spans="1:3" x14ac:dyDescent="0.15">
      <c r="A35">
        <v>34</v>
      </c>
      <c r="B35" s="190" t="s">
        <v>225</v>
      </c>
      <c r="C35">
        <v>0</v>
      </c>
    </row>
    <row r="36" spans="1:3" x14ac:dyDescent="0.15">
      <c r="A36">
        <v>35</v>
      </c>
      <c r="B36" s="190" t="s">
        <v>226</v>
      </c>
      <c r="C36">
        <v>0</v>
      </c>
    </row>
    <row r="37" spans="1:3" x14ac:dyDescent="0.15">
      <c r="A37">
        <v>36</v>
      </c>
      <c r="B37" s="190" t="s">
        <v>227</v>
      </c>
      <c r="C37">
        <v>0</v>
      </c>
    </row>
    <row r="38" spans="1:3" x14ac:dyDescent="0.15">
      <c r="A38">
        <v>37</v>
      </c>
      <c r="B38" s="190" t="s">
        <v>228</v>
      </c>
      <c r="C38">
        <v>0</v>
      </c>
    </row>
    <row r="39" spans="1:3" x14ac:dyDescent="0.15">
      <c r="A39">
        <v>38</v>
      </c>
      <c r="B39" s="190" t="s">
        <v>229</v>
      </c>
      <c r="C39">
        <v>0</v>
      </c>
    </row>
    <row r="40" spans="1:3" x14ac:dyDescent="0.15">
      <c r="A40">
        <v>39</v>
      </c>
      <c r="B40" s="190" t="s">
        <v>230</v>
      </c>
      <c r="C40">
        <v>0</v>
      </c>
    </row>
    <row r="41" spans="1:3" x14ac:dyDescent="0.15">
      <c r="A41">
        <v>40</v>
      </c>
      <c r="B41" s="190" t="s">
        <v>231</v>
      </c>
      <c r="C4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4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3" t="s">
        <v>232</v>
      </c>
    </row>
    <row r="2" spans="1:3" x14ac:dyDescent="0.15">
      <c r="A2">
        <v>1</v>
      </c>
      <c r="B2" s="192" t="s">
        <v>193</v>
      </c>
      <c r="C2">
        <v>0.8</v>
      </c>
    </row>
    <row r="3" spans="1:3" x14ac:dyDescent="0.15">
      <c r="A3">
        <v>2</v>
      </c>
      <c r="B3" s="192" t="s">
        <v>194</v>
      </c>
      <c r="C3">
        <v>0.8</v>
      </c>
    </row>
    <row r="4" spans="1:3" x14ac:dyDescent="0.15">
      <c r="A4">
        <v>3</v>
      </c>
      <c r="B4" s="192" t="s">
        <v>195</v>
      </c>
      <c r="C4">
        <v>0.8</v>
      </c>
    </row>
    <row r="5" spans="1:3" x14ac:dyDescent="0.15">
      <c r="A5">
        <v>4</v>
      </c>
      <c r="B5" s="192" t="s">
        <v>196</v>
      </c>
      <c r="C5">
        <v>0.8</v>
      </c>
    </row>
    <row r="6" spans="1:3" x14ac:dyDescent="0.15">
      <c r="A6">
        <v>5</v>
      </c>
      <c r="B6" s="192" t="s">
        <v>197</v>
      </c>
      <c r="C6">
        <v>0.8</v>
      </c>
    </row>
    <row r="7" spans="1:3" x14ac:dyDescent="0.15">
      <c r="A7">
        <v>6</v>
      </c>
      <c r="B7" s="192" t="s">
        <v>198</v>
      </c>
      <c r="C7">
        <v>0.8</v>
      </c>
    </row>
    <row r="8" spans="1:3" x14ac:dyDescent="0.15">
      <c r="A8">
        <v>7</v>
      </c>
      <c r="B8" s="192" t="s">
        <v>199</v>
      </c>
      <c r="C8">
        <v>0.8</v>
      </c>
    </row>
    <row r="9" spans="1:3" x14ac:dyDescent="0.15">
      <c r="A9">
        <v>8</v>
      </c>
      <c r="B9" s="192" t="s">
        <v>200</v>
      </c>
      <c r="C9">
        <v>0.8</v>
      </c>
    </row>
    <row r="10" spans="1:3" x14ac:dyDescent="0.15">
      <c r="A10">
        <v>9</v>
      </c>
      <c r="B10" s="192" t="s">
        <v>201</v>
      </c>
      <c r="C10">
        <v>0.8</v>
      </c>
    </row>
    <row r="11" spans="1:3" x14ac:dyDescent="0.15">
      <c r="A11">
        <v>10</v>
      </c>
      <c r="B11" s="192" t="s">
        <v>202</v>
      </c>
      <c r="C11">
        <v>0.8</v>
      </c>
    </row>
    <row r="12" spans="1:3" x14ac:dyDescent="0.15">
      <c r="A12">
        <v>11</v>
      </c>
      <c r="B12" s="192" t="s">
        <v>203</v>
      </c>
      <c r="C12">
        <v>0.8</v>
      </c>
    </row>
    <row r="13" spans="1:3" x14ac:dyDescent="0.15">
      <c r="A13">
        <v>12</v>
      </c>
      <c r="B13" s="192" t="s">
        <v>204</v>
      </c>
      <c r="C13">
        <v>0.8</v>
      </c>
    </row>
    <row r="14" spans="1:3" x14ac:dyDescent="0.15">
      <c r="A14">
        <v>13</v>
      </c>
      <c r="B14" s="192" t="s">
        <v>166</v>
      </c>
      <c r="C14">
        <v>0.8</v>
      </c>
    </row>
    <row r="15" spans="1:3" x14ac:dyDescent="0.15">
      <c r="A15">
        <v>14</v>
      </c>
      <c r="B15" s="192" t="s">
        <v>205</v>
      </c>
      <c r="C15">
        <v>0.8</v>
      </c>
    </row>
    <row r="16" spans="1:3" x14ac:dyDescent="0.15">
      <c r="A16">
        <v>15</v>
      </c>
      <c r="B16" s="192" t="s">
        <v>206</v>
      </c>
      <c r="C16">
        <v>0.8</v>
      </c>
    </row>
    <row r="17" spans="1:3" x14ac:dyDescent="0.15">
      <c r="A17">
        <v>16</v>
      </c>
      <c r="B17" s="192" t="s">
        <v>207</v>
      </c>
      <c r="C17">
        <v>0.8</v>
      </c>
    </row>
    <row r="18" spans="1:3" x14ac:dyDescent="0.15">
      <c r="A18">
        <v>17</v>
      </c>
      <c r="B18" s="192" t="s">
        <v>208</v>
      </c>
      <c r="C18">
        <v>0.8</v>
      </c>
    </row>
    <row r="19" spans="1:3" x14ac:dyDescent="0.15">
      <c r="A19">
        <v>18</v>
      </c>
      <c r="B19" s="192" t="s">
        <v>209</v>
      </c>
      <c r="C19">
        <v>0.8</v>
      </c>
    </row>
    <row r="20" spans="1:3" x14ac:dyDescent="0.15">
      <c r="A20">
        <v>19</v>
      </c>
      <c r="B20" s="192" t="s">
        <v>210</v>
      </c>
      <c r="C20">
        <v>0.8</v>
      </c>
    </row>
    <row r="21" spans="1:3" x14ac:dyDescent="0.15">
      <c r="A21">
        <v>20</v>
      </c>
      <c r="B21" s="192" t="s">
        <v>211</v>
      </c>
      <c r="C21">
        <v>0.8</v>
      </c>
    </row>
    <row r="22" spans="1:3" x14ac:dyDescent="0.15">
      <c r="A22">
        <v>21</v>
      </c>
      <c r="B22" s="192" t="s">
        <v>212</v>
      </c>
      <c r="C22">
        <v>0.8</v>
      </c>
    </row>
    <row r="23" spans="1:3" x14ac:dyDescent="0.15">
      <c r="A23">
        <v>22</v>
      </c>
      <c r="B23" s="192" t="s">
        <v>213</v>
      </c>
      <c r="C23">
        <v>0.8</v>
      </c>
    </row>
    <row r="24" spans="1:3" x14ac:dyDescent="0.15">
      <c r="A24">
        <v>23</v>
      </c>
      <c r="B24" s="192" t="s">
        <v>214</v>
      </c>
      <c r="C24">
        <v>0.8</v>
      </c>
    </row>
    <row r="25" spans="1:3" x14ac:dyDescent="0.15">
      <c r="A25">
        <v>24</v>
      </c>
      <c r="B25" s="192" t="s">
        <v>215</v>
      </c>
      <c r="C25">
        <v>0.8</v>
      </c>
    </row>
    <row r="26" spans="1:3" x14ac:dyDescent="0.15">
      <c r="A26">
        <v>25</v>
      </c>
      <c r="B26" s="192" t="s">
        <v>216</v>
      </c>
      <c r="C26">
        <v>0.8</v>
      </c>
    </row>
    <row r="27" spans="1:3" x14ac:dyDescent="0.15">
      <c r="A27">
        <v>26</v>
      </c>
      <c r="B27" s="192" t="s">
        <v>217</v>
      </c>
      <c r="C27">
        <v>0.8</v>
      </c>
    </row>
    <row r="28" spans="1:3" x14ac:dyDescent="0.15">
      <c r="A28">
        <v>27</v>
      </c>
      <c r="B28" s="192" t="s">
        <v>218</v>
      </c>
      <c r="C28">
        <v>0.8</v>
      </c>
    </row>
    <row r="29" spans="1:3" x14ac:dyDescent="0.15">
      <c r="A29">
        <v>28</v>
      </c>
      <c r="B29" s="192" t="s">
        <v>219</v>
      </c>
      <c r="C29">
        <v>0.8</v>
      </c>
    </row>
    <row r="30" spans="1:3" x14ac:dyDescent="0.15">
      <c r="A30">
        <v>29</v>
      </c>
      <c r="B30" s="192" t="s">
        <v>220</v>
      </c>
      <c r="C30">
        <v>0.8</v>
      </c>
    </row>
    <row r="31" spans="1:3" x14ac:dyDescent="0.15">
      <c r="A31">
        <v>30</v>
      </c>
      <c r="B31" s="192" t="s">
        <v>221</v>
      </c>
      <c r="C31">
        <v>0.8</v>
      </c>
    </row>
    <row r="32" spans="1:3" x14ac:dyDescent="0.15">
      <c r="A32">
        <v>31</v>
      </c>
      <c r="B32" s="192" t="s">
        <v>222</v>
      </c>
      <c r="C32">
        <v>0.8</v>
      </c>
    </row>
    <row r="33" spans="1:3" x14ac:dyDescent="0.15">
      <c r="A33">
        <v>32</v>
      </c>
      <c r="B33" s="192" t="s">
        <v>223</v>
      </c>
      <c r="C33">
        <v>0.8</v>
      </c>
    </row>
    <row r="34" spans="1:3" x14ac:dyDescent="0.15">
      <c r="A34">
        <v>33</v>
      </c>
      <c r="B34" s="192" t="s">
        <v>224</v>
      </c>
      <c r="C34">
        <v>0</v>
      </c>
    </row>
    <row r="35" spans="1:3" x14ac:dyDescent="0.15">
      <c r="A35">
        <v>34</v>
      </c>
      <c r="B35" s="192" t="s">
        <v>225</v>
      </c>
      <c r="C35">
        <v>0</v>
      </c>
    </row>
    <row r="36" spans="1:3" x14ac:dyDescent="0.15">
      <c r="A36">
        <v>35</v>
      </c>
      <c r="B36" s="192" t="s">
        <v>226</v>
      </c>
      <c r="C36">
        <v>0</v>
      </c>
    </row>
    <row r="37" spans="1:3" x14ac:dyDescent="0.15">
      <c r="A37">
        <v>36</v>
      </c>
      <c r="B37" s="192" t="s">
        <v>227</v>
      </c>
      <c r="C37">
        <v>0</v>
      </c>
    </row>
    <row r="38" spans="1:3" x14ac:dyDescent="0.15">
      <c r="A38">
        <v>37</v>
      </c>
      <c r="B38" s="192" t="s">
        <v>228</v>
      </c>
      <c r="C38">
        <v>0</v>
      </c>
    </row>
    <row r="39" spans="1:3" x14ac:dyDescent="0.15">
      <c r="A39">
        <v>38</v>
      </c>
      <c r="B39" s="192" t="s">
        <v>229</v>
      </c>
      <c r="C39">
        <v>0</v>
      </c>
    </row>
    <row r="40" spans="1:3" x14ac:dyDescent="0.15">
      <c r="A40">
        <v>39</v>
      </c>
      <c r="B40" s="192" t="s">
        <v>230</v>
      </c>
      <c r="C40">
        <v>0</v>
      </c>
    </row>
    <row r="41" spans="1:3" x14ac:dyDescent="0.15">
      <c r="A41">
        <v>40</v>
      </c>
      <c r="B41" s="192" t="s">
        <v>231</v>
      </c>
      <c r="C4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6" sqref="L6"/>
    </sheetView>
  </sheetViews>
  <sheetFormatPr baseColWidth="10" defaultColWidth="8.83203125" defaultRowHeight="15" customHeight="1" x14ac:dyDescent="0.15"/>
  <cols>
    <col min="1" max="1" width="8.83203125" style="81"/>
    <col min="2" max="2" width="41.83203125" style="81" bestFit="1" customWidth="1"/>
    <col min="3" max="3" width="9.33203125" style="81" bestFit="1" customWidth="1"/>
    <col min="4" max="4" width="13" style="81" bestFit="1" customWidth="1"/>
    <col min="5" max="6" width="9.33203125" style="81" bestFit="1" customWidth="1"/>
    <col min="7" max="7" width="9.33203125" style="97" bestFit="1" customWidth="1"/>
    <col min="8" max="8" width="9.33203125" style="81" bestFit="1" customWidth="1"/>
    <col min="9" max="9" width="11" style="81" customWidth="1"/>
    <col min="10" max="10" width="8.83203125" style="81"/>
    <col min="15" max="16384" width="8.83203125" style="8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5">
        <v>1</v>
      </c>
      <c r="B2" s="145" t="s">
        <v>193</v>
      </c>
      <c r="C2" s="8">
        <v>3.8701562881469727</v>
      </c>
      <c r="D2" s="9">
        <v>0.17299999296665192</v>
      </c>
      <c r="E2" s="9">
        <v>1.4900000095367432</v>
      </c>
      <c r="F2" s="9">
        <v>7.7699999809265137</v>
      </c>
      <c r="G2" s="9">
        <v>0.66598325967788696</v>
      </c>
      <c r="H2" s="9">
        <v>0.19176319241523743</v>
      </c>
      <c r="I2">
        <v>0.15399999916553497</v>
      </c>
      <c r="J2"/>
    </row>
    <row r="3" spans="1:10" ht="15" customHeight="1" x14ac:dyDescent="0.15">
      <c r="A3" s="146">
        <v>2</v>
      </c>
      <c r="B3" s="146" t="s">
        <v>194</v>
      </c>
      <c r="C3" s="8">
        <v>3.827545166015625</v>
      </c>
      <c r="D3" s="9">
        <v>8.0000003799796104E-3</v>
      </c>
      <c r="E3" s="9">
        <v>2.4600000381469727</v>
      </c>
      <c r="F3" s="9">
        <v>12.289999961853027</v>
      </c>
      <c r="G3" s="9">
        <v>0.76799792051315308</v>
      </c>
      <c r="H3" s="9">
        <v>0.20016273856163025</v>
      </c>
      <c r="I3">
        <v>1.3000000268220901E-2</v>
      </c>
      <c r="J3"/>
    </row>
    <row r="4" spans="1:10" ht="15" customHeight="1" x14ac:dyDescent="0.15">
      <c r="A4" s="147">
        <v>3</v>
      </c>
      <c r="B4" s="147" t="s">
        <v>195</v>
      </c>
      <c r="C4" s="8">
        <v>3.8018667697906494</v>
      </c>
      <c r="D4" s="9">
        <v>1.6000000759959221E-2</v>
      </c>
      <c r="E4" s="9">
        <v>3.369999885559082</v>
      </c>
      <c r="F4" s="9">
        <v>13.479999542236328</v>
      </c>
      <c r="G4" s="9">
        <v>0.8292725682258606</v>
      </c>
      <c r="H4" s="9">
        <v>0.25</v>
      </c>
      <c r="I4">
        <v>3.5500001162290573E-2</v>
      </c>
      <c r="J4"/>
    </row>
    <row r="5" spans="1:10" ht="15" customHeight="1" x14ac:dyDescent="0.15">
      <c r="A5" s="148">
        <v>4</v>
      </c>
      <c r="B5" s="148" t="s">
        <v>196</v>
      </c>
      <c r="C5" s="8">
        <v>3.6672272682189941</v>
      </c>
      <c r="D5" s="9">
        <v>6.0000000521540642E-3</v>
      </c>
      <c r="E5" s="9">
        <v>2.8399999141693115</v>
      </c>
      <c r="F5" s="9">
        <v>18.850000381469727</v>
      </c>
      <c r="G5" s="9">
        <v>0.93647748231887817</v>
      </c>
      <c r="H5" s="9">
        <v>0.15066312253475189</v>
      </c>
      <c r="I5">
        <v>8.8999997824430466E-3</v>
      </c>
      <c r="J5"/>
    </row>
    <row r="6" spans="1:10" ht="15" customHeight="1" x14ac:dyDescent="0.15">
      <c r="A6" s="149">
        <v>5</v>
      </c>
      <c r="B6" s="149" t="s">
        <v>197</v>
      </c>
      <c r="C6" s="8">
        <v>3.6683635711669922</v>
      </c>
      <c r="D6" s="9">
        <v>0.42800000309944153</v>
      </c>
      <c r="E6" s="9">
        <v>0.5</v>
      </c>
      <c r="F6" s="9">
        <v>5.4899997711181641</v>
      </c>
      <c r="G6" s="9">
        <v>0.7120741605758667</v>
      </c>
      <c r="H6" s="9">
        <v>9.1074682772159576E-2</v>
      </c>
      <c r="I6">
        <v>0.10499999672174454</v>
      </c>
      <c r="J6"/>
    </row>
    <row r="7" spans="1:10" ht="15" customHeight="1" x14ac:dyDescent="0.15">
      <c r="A7" s="150">
        <v>6</v>
      </c>
      <c r="B7" s="150" t="s">
        <v>198</v>
      </c>
      <c r="C7" s="8">
        <v>3.5860137939453125</v>
      </c>
      <c r="D7" s="9">
        <v>0.31400001049041748</v>
      </c>
      <c r="E7" s="9">
        <v>0.34999999403953552</v>
      </c>
      <c r="F7" s="9">
        <v>6.8400001525878906</v>
      </c>
      <c r="G7" s="9">
        <v>0.94944667816162109</v>
      </c>
      <c r="H7" s="9">
        <v>5.1169589161872864E-2</v>
      </c>
      <c r="I7">
        <v>2.199999988079071E-2</v>
      </c>
      <c r="J7"/>
    </row>
    <row r="8" spans="1:10" ht="15" customHeight="1" x14ac:dyDescent="0.15">
      <c r="A8" s="151">
        <v>7</v>
      </c>
      <c r="B8" s="151" t="s">
        <v>199</v>
      </c>
      <c r="C8" s="8">
        <v>3.554337739944458</v>
      </c>
      <c r="D8" s="9">
        <v>8.5000000894069672E-2</v>
      </c>
      <c r="E8" s="9">
        <v>0.5</v>
      </c>
      <c r="F8" s="9">
        <v>8.2200002670288086</v>
      </c>
      <c r="G8" s="9">
        <v>0.48370766639709473</v>
      </c>
      <c r="H8" s="9">
        <v>6.0827247798442841E-2</v>
      </c>
      <c r="I8">
        <v>1.3500000350177288E-2</v>
      </c>
      <c r="J8"/>
    </row>
    <row r="9" spans="1:10" ht="15" customHeight="1" x14ac:dyDescent="0.15">
      <c r="A9" s="152">
        <v>8</v>
      </c>
      <c r="B9" s="152" t="s">
        <v>200</v>
      </c>
      <c r="C9" s="8">
        <v>3.4812839031219482</v>
      </c>
      <c r="D9" s="9">
        <v>0.87900000810623169</v>
      </c>
      <c r="E9" s="9">
        <v>2</v>
      </c>
      <c r="F9" s="9">
        <v>17.430000305175781</v>
      </c>
      <c r="G9" s="9">
        <v>0.78395950794219971</v>
      </c>
      <c r="H9" s="9">
        <v>0.11474469304084778</v>
      </c>
      <c r="I9">
        <v>0.2199999988079071</v>
      </c>
      <c r="J9"/>
    </row>
    <row r="10" spans="1:10" ht="15" customHeight="1" x14ac:dyDescent="0.15">
      <c r="A10" s="153">
        <v>9</v>
      </c>
      <c r="B10" s="153" t="s">
        <v>201</v>
      </c>
      <c r="C10" s="8">
        <v>3.3830044269561768</v>
      </c>
      <c r="D10" s="9">
        <v>5.0999999046325684E-2</v>
      </c>
      <c r="E10" s="9">
        <v>2.5</v>
      </c>
      <c r="F10" s="9">
        <v>15.699999809265137</v>
      </c>
      <c r="G10" s="9">
        <v>0.90230971574783325</v>
      </c>
      <c r="H10" s="9">
        <v>0.15923567116260529</v>
      </c>
      <c r="I10">
        <v>7.0000000298023224E-2</v>
      </c>
      <c r="J10"/>
    </row>
    <row r="11" spans="1:10" ht="15" customHeight="1" x14ac:dyDescent="0.15">
      <c r="A11" s="154">
        <v>10</v>
      </c>
      <c r="B11" s="154" t="s">
        <v>202</v>
      </c>
      <c r="C11" s="8">
        <v>3.3789153099060059</v>
      </c>
      <c r="D11" s="9">
        <v>5.4000001400709152E-2</v>
      </c>
      <c r="E11" s="9">
        <v>1.6100000143051147</v>
      </c>
      <c r="F11" s="9">
        <v>15.449999809265137</v>
      </c>
      <c r="G11" s="9">
        <v>0.87761551141738892</v>
      </c>
      <c r="H11" s="9">
        <v>0.1042071208357811</v>
      </c>
      <c r="I11">
        <v>1.3000000268220901E-2</v>
      </c>
      <c r="J11"/>
    </row>
    <row r="12" spans="1:10" ht="15" customHeight="1" x14ac:dyDescent="0.15">
      <c r="A12" s="155">
        <v>11</v>
      </c>
      <c r="B12" s="155" t="s">
        <v>203</v>
      </c>
      <c r="C12" s="8">
        <v>3.3008687496185303</v>
      </c>
      <c r="D12" s="9">
        <v>8.0000003799796104E-3</v>
      </c>
      <c r="E12" s="9">
        <v>4.2600002288818359</v>
      </c>
      <c r="F12" s="9">
        <v>23.100000381469727</v>
      </c>
      <c r="G12" s="9">
        <v>0.96737831830978394</v>
      </c>
      <c r="H12" s="9">
        <v>0.18441559374332428</v>
      </c>
      <c r="I12">
        <v>1.7799999564886093E-2</v>
      </c>
      <c r="J12"/>
    </row>
    <row r="13" spans="1:10" ht="15" customHeight="1" x14ac:dyDescent="0.15">
      <c r="A13" s="156">
        <v>12</v>
      </c>
      <c r="B13" s="156" t="s">
        <v>204</v>
      </c>
      <c r="C13" s="8">
        <v>3.282435417175293</v>
      </c>
      <c r="D13" s="9">
        <v>0.18000000715255737</v>
      </c>
      <c r="E13" s="9">
        <v>0.25</v>
      </c>
      <c r="F13" s="9">
        <v>3.6700000762939453</v>
      </c>
      <c r="G13" s="9">
        <v>0.68639707565307617</v>
      </c>
      <c r="H13" s="9">
        <v>6.8119890987873077E-2</v>
      </c>
      <c r="I13">
        <v>1.7999999225139618E-2</v>
      </c>
      <c r="J13"/>
    </row>
    <row r="14" spans="1:10" ht="15" customHeight="1" x14ac:dyDescent="0.15">
      <c r="A14" s="157">
        <v>13</v>
      </c>
      <c r="B14" s="157" t="s">
        <v>166</v>
      </c>
      <c r="C14" s="8">
        <v>3.2200586795806885</v>
      </c>
      <c r="D14" s="9">
        <v>2.75</v>
      </c>
      <c r="E14" s="9">
        <v>3.0999999046325684</v>
      </c>
      <c r="F14" s="9">
        <v>12</v>
      </c>
      <c r="G14" s="9">
        <v>0.94388264417648315</v>
      </c>
      <c r="H14" s="9">
        <v>0.25833332538604736</v>
      </c>
      <c r="I14">
        <v>3.2999999821186066E-2</v>
      </c>
      <c r="J14"/>
    </row>
    <row r="15" spans="1:10" ht="15" customHeight="1" x14ac:dyDescent="0.15">
      <c r="A15" s="158">
        <v>14</v>
      </c>
      <c r="B15" s="158" t="s">
        <v>205</v>
      </c>
      <c r="C15" s="8">
        <v>3.1195740699768066</v>
      </c>
      <c r="D15" s="9">
        <v>9.7999997437000275E-2</v>
      </c>
      <c r="E15" s="9">
        <v>0.98000001907348633</v>
      </c>
      <c r="F15" s="9">
        <v>6.5300002098083496</v>
      </c>
      <c r="G15" s="9">
        <v>0.63900262117385864</v>
      </c>
      <c r="H15" s="9">
        <v>0.15007656812667847</v>
      </c>
      <c r="I15">
        <v>5.299999937415123E-2</v>
      </c>
      <c r="J15"/>
    </row>
    <row r="16" spans="1:10" ht="15" customHeight="1" x14ac:dyDescent="0.15">
      <c r="A16" s="159">
        <v>15</v>
      </c>
      <c r="B16" s="159" t="s">
        <v>206</v>
      </c>
      <c r="C16" s="8">
        <v>3.0746533870697021</v>
      </c>
      <c r="D16" s="9">
        <v>0.19599999487400055</v>
      </c>
      <c r="E16" s="9">
        <v>1.4099999666213989</v>
      </c>
      <c r="F16" s="9">
        <v>6.179999828338623</v>
      </c>
      <c r="G16" s="9">
        <v>0.49806702136993408</v>
      </c>
      <c r="H16" s="9">
        <v>0.22815534472465515</v>
      </c>
      <c r="I16">
        <v>7.5000002980232239E-2</v>
      </c>
      <c r="J16"/>
    </row>
    <row r="17" spans="1:10" ht="15" customHeight="1" x14ac:dyDescent="0.15">
      <c r="A17" s="160">
        <v>16</v>
      </c>
      <c r="B17" s="160" t="s">
        <v>207</v>
      </c>
      <c r="C17" s="8">
        <v>3.0613946914672852</v>
      </c>
      <c r="D17" s="9">
        <v>2.3000000044703484E-2</v>
      </c>
      <c r="E17" s="9">
        <v>4.4000000953674316</v>
      </c>
      <c r="F17" s="9">
        <v>24.120000839233398</v>
      </c>
      <c r="G17" s="9">
        <v>0.84068578481674194</v>
      </c>
      <c r="H17" s="9">
        <v>0.18242122232913971</v>
      </c>
      <c r="I17">
        <v>5.3100001066923141E-2</v>
      </c>
      <c r="J17"/>
    </row>
    <row r="18" spans="1:10" ht="15" customHeight="1" x14ac:dyDescent="0.15">
      <c r="A18" s="161">
        <v>17</v>
      </c>
      <c r="B18" s="161" t="s">
        <v>208</v>
      </c>
      <c r="C18" s="8">
        <v>3.0552632808685303</v>
      </c>
      <c r="D18" s="9">
        <v>0.12200000137090683</v>
      </c>
      <c r="E18" s="9">
        <v>1.2000000476837158</v>
      </c>
      <c r="F18" s="9">
        <v>11.050000190734863</v>
      </c>
      <c r="G18" s="9">
        <v>0.9414258599281311</v>
      </c>
      <c r="H18" s="9">
        <v>0.1085972860455513</v>
      </c>
      <c r="I18">
        <v>1.8400000408291817E-2</v>
      </c>
      <c r="J18"/>
    </row>
    <row r="19" spans="1:10" ht="15" customHeight="1" x14ac:dyDescent="0.15">
      <c r="A19" s="162">
        <v>18</v>
      </c>
      <c r="B19" s="162" t="s">
        <v>209</v>
      </c>
      <c r="C19" s="8">
        <v>3.0526316165924072</v>
      </c>
      <c r="D19" s="9">
        <v>4.1000001132488251E-2</v>
      </c>
      <c r="E19" s="9">
        <v>3.9900000095367432</v>
      </c>
      <c r="F19" s="9">
        <v>20.879999160766602</v>
      </c>
      <c r="G19" s="9">
        <v>0.97479945421218872</v>
      </c>
      <c r="H19" s="9">
        <v>0.19109196960926056</v>
      </c>
      <c r="I19">
        <v>6.1999998986721039E-2</v>
      </c>
      <c r="J19"/>
    </row>
    <row r="20" spans="1:10" ht="15" customHeight="1" x14ac:dyDescent="0.15">
      <c r="A20" s="163">
        <v>19</v>
      </c>
      <c r="B20" s="163" t="s">
        <v>210</v>
      </c>
      <c r="C20" s="8">
        <v>2.9578948020935059</v>
      </c>
      <c r="D20" s="9">
        <v>3.9999999105930328E-2</v>
      </c>
      <c r="E20" s="9">
        <v>1.3899999856948853</v>
      </c>
      <c r="F20" s="9">
        <v>12.579999923706055</v>
      </c>
      <c r="G20" s="9">
        <v>0.83958268165588379</v>
      </c>
      <c r="H20" s="9">
        <v>0.11049284785985947</v>
      </c>
      <c r="I20">
        <v>4.0000001899898052E-3</v>
      </c>
      <c r="J20"/>
    </row>
    <row r="21" spans="1:10" ht="15" customHeight="1" x14ac:dyDescent="0.15">
      <c r="A21" s="164">
        <v>20</v>
      </c>
      <c r="B21" s="164" t="s">
        <v>211</v>
      </c>
      <c r="C21" s="8">
        <v>2.9473683834075928</v>
      </c>
      <c r="D21" s="9">
        <v>0.25</v>
      </c>
      <c r="E21" s="9">
        <v>7.570000171661377</v>
      </c>
      <c r="F21" s="9">
        <v>40.689998626708984</v>
      </c>
      <c r="G21" s="9">
        <v>0.88328301906585693</v>
      </c>
      <c r="H21" s="9">
        <v>0.18604080379009247</v>
      </c>
      <c r="I21">
        <v>0.2720000147819519</v>
      </c>
      <c r="J21"/>
    </row>
    <row r="22" spans="1:10" ht="15" customHeight="1" x14ac:dyDescent="0.15">
      <c r="A22" s="165">
        <v>21</v>
      </c>
      <c r="B22" s="165" t="s">
        <v>212</v>
      </c>
      <c r="C22" s="8">
        <v>2.9473683834075928</v>
      </c>
      <c r="D22" s="9">
        <v>0.11999999731779099</v>
      </c>
      <c r="E22" s="9">
        <v>1</v>
      </c>
      <c r="F22" s="9">
        <v>8.4799995422363281</v>
      </c>
      <c r="G22" s="9">
        <v>0.84540808200836182</v>
      </c>
      <c r="H22" s="9">
        <v>0.1179245337843895</v>
      </c>
      <c r="I22">
        <v>2.6000000536441803E-2</v>
      </c>
      <c r="J22"/>
    </row>
    <row r="23" spans="1:10" ht="15" customHeight="1" x14ac:dyDescent="0.15">
      <c r="A23" s="166">
        <v>22</v>
      </c>
      <c r="B23" s="166" t="s">
        <v>213</v>
      </c>
      <c r="C23" s="8">
        <v>2.8792893886566162</v>
      </c>
      <c r="D23" s="9">
        <v>0.22599999606609344</v>
      </c>
      <c r="E23" s="9">
        <v>3.0899999141693115</v>
      </c>
      <c r="F23" s="9">
        <v>22.309999465942383</v>
      </c>
      <c r="G23" s="9">
        <v>0.96283805370330811</v>
      </c>
      <c r="H23" s="9">
        <v>0.13850291073322296</v>
      </c>
      <c r="I23">
        <v>0.22879999876022339</v>
      </c>
      <c r="J23"/>
    </row>
    <row r="24" spans="1:10" ht="15" customHeight="1" x14ac:dyDescent="0.15">
      <c r="A24" s="167">
        <v>23</v>
      </c>
      <c r="B24" s="167" t="s">
        <v>214</v>
      </c>
      <c r="C24" s="8">
        <v>2.8394734859466553</v>
      </c>
      <c r="D24" s="9">
        <v>0.21799999475479126</v>
      </c>
      <c r="E24" s="9">
        <v>10.300000190734863</v>
      </c>
      <c r="F24" s="9">
        <v>34.020000457763672</v>
      </c>
      <c r="G24" s="9">
        <v>0.91284722089767456</v>
      </c>
      <c r="H24" s="9">
        <v>0.30276307463645935</v>
      </c>
      <c r="I24">
        <v>1.4579999446868896</v>
      </c>
      <c r="J24"/>
    </row>
    <row r="25" spans="1:10" ht="15" customHeight="1" x14ac:dyDescent="0.15">
      <c r="A25" s="168">
        <v>24</v>
      </c>
      <c r="B25" s="168" t="s">
        <v>215</v>
      </c>
      <c r="C25" s="8">
        <v>2.736842155456543</v>
      </c>
      <c r="D25" s="9">
        <v>0.6119999885559082</v>
      </c>
      <c r="E25" s="9">
        <v>2.4500000476837158</v>
      </c>
      <c r="F25" s="9">
        <v>18.559999465942383</v>
      </c>
      <c r="G25" s="9">
        <v>0.92588633298873901</v>
      </c>
      <c r="H25" s="9">
        <v>0.13200432062149048</v>
      </c>
      <c r="I25">
        <v>9.6400000154972076E-2</v>
      </c>
      <c r="J25"/>
    </row>
    <row r="26" spans="1:10" ht="15" customHeight="1" x14ac:dyDescent="0.15">
      <c r="A26" s="169">
        <v>25</v>
      </c>
      <c r="B26" s="169" t="s">
        <v>216</v>
      </c>
      <c r="C26" s="8">
        <v>2.6368422508239746</v>
      </c>
      <c r="D26" s="9">
        <v>0.60600000619888306</v>
      </c>
      <c r="E26" s="9">
        <v>3.6500000953674316</v>
      </c>
      <c r="F26" s="9">
        <v>23.309999465942383</v>
      </c>
      <c r="G26" s="9">
        <v>0.9244917631149292</v>
      </c>
      <c r="H26" s="9">
        <v>0.15658515691757202</v>
      </c>
      <c r="I26">
        <v>0.70300000905990601</v>
      </c>
      <c r="J26"/>
    </row>
    <row r="27" spans="1:10" ht="15" customHeight="1" x14ac:dyDescent="0.15">
      <c r="A27" s="170">
        <v>26</v>
      </c>
      <c r="B27" s="170" t="s">
        <v>217</v>
      </c>
      <c r="C27" s="8">
        <v>2.6384212970733643</v>
      </c>
      <c r="D27" s="9">
        <v>1.937999963760376</v>
      </c>
      <c r="E27" s="9">
        <v>2.5</v>
      </c>
      <c r="F27" s="9">
        <v>8.5</v>
      </c>
      <c r="G27" s="9">
        <v>0.94806098937988281</v>
      </c>
      <c r="H27" s="9">
        <v>0.29411765933036804</v>
      </c>
      <c r="I27">
        <v>0.10000000149011612</v>
      </c>
      <c r="J27"/>
    </row>
    <row r="28" spans="1:10" ht="15" customHeight="1" x14ac:dyDescent="0.15">
      <c r="A28" s="171">
        <v>27</v>
      </c>
      <c r="B28" s="171" t="s">
        <v>218</v>
      </c>
      <c r="C28" s="8">
        <v>2.5263156890869141</v>
      </c>
      <c r="D28" s="9">
        <v>1.2000000104308128E-2</v>
      </c>
      <c r="E28" s="9">
        <v>3.0899999141693115</v>
      </c>
      <c r="F28" s="9">
        <v>26.340000152587891</v>
      </c>
      <c r="G28" s="9">
        <v>0.8868941068649292</v>
      </c>
      <c r="H28" s="9">
        <v>0.11731206625699997</v>
      </c>
      <c r="I28">
        <v>1.3000000268220901E-2</v>
      </c>
      <c r="J28"/>
    </row>
    <row r="29" spans="1:10" ht="15" customHeight="1" x14ac:dyDescent="0.15">
      <c r="A29" s="172">
        <v>28</v>
      </c>
      <c r="B29" s="172" t="s">
        <v>219</v>
      </c>
      <c r="C29" s="8">
        <v>2.4936840534210205</v>
      </c>
      <c r="D29" s="9">
        <v>3.9999999105930328E-2</v>
      </c>
      <c r="E29" s="9">
        <v>0.81000000238418579</v>
      </c>
      <c r="F29" s="9">
        <v>37.75</v>
      </c>
      <c r="G29" s="9">
        <v>0.5361291766166687</v>
      </c>
      <c r="H29" s="9">
        <v>2.1456953138113022E-2</v>
      </c>
      <c r="I29">
        <v>4.1000000201165676E-3</v>
      </c>
      <c r="J29"/>
    </row>
    <row r="30" spans="1:10" ht="15" customHeight="1" x14ac:dyDescent="0.15">
      <c r="A30" s="173">
        <v>29</v>
      </c>
      <c r="B30" s="173" t="s">
        <v>220</v>
      </c>
      <c r="C30" s="8">
        <v>2.3157894611358643</v>
      </c>
      <c r="D30" s="9">
        <v>0.10199999809265137</v>
      </c>
      <c r="E30" s="9">
        <v>5.2800002098083496</v>
      </c>
      <c r="F30" s="9">
        <v>26.399999618530273</v>
      </c>
      <c r="G30" s="9">
        <v>0.92015153169631958</v>
      </c>
      <c r="H30" s="9">
        <v>0.20000001788139343</v>
      </c>
      <c r="I30">
        <v>0.26600000262260437</v>
      </c>
      <c r="J30"/>
    </row>
    <row r="31" spans="1:10" ht="15" customHeight="1" x14ac:dyDescent="0.15">
      <c r="A31" s="174">
        <v>30</v>
      </c>
      <c r="B31" s="174" t="s">
        <v>221</v>
      </c>
      <c r="C31" s="8">
        <v>2.2037601470947266</v>
      </c>
      <c r="D31" s="9">
        <v>0.25699999928474426</v>
      </c>
      <c r="E31" s="9">
        <v>1.6000000238418579</v>
      </c>
      <c r="F31" s="9">
        <v>32.930000305175781</v>
      </c>
      <c r="G31" s="9">
        <v>0.89771521091461182</v>
      </c>
      <c r="H31" s="9">
        <v>4.8587914556264877E-2</v>
      </c>
      <c r="I31">
        <v>0.13189999759197235</v>
      </c>
      <c r="J31"/>
    </row>
    <row r="32" spans="1:10" ht="15" customHeight="1" x14ac:dyDescent="0.15">
      <c r="A32" s="202">
        <v>31</v>
      </c>
      <c r="B32" s="202" t="s">
        <v>222</v>
      </c>
      <c r="C32" s="8">
        <v>2.1789474487304688</v>
      </c>
      <c r="D32" s="9">
        <v>2.9999999329447746E-2</v>
      </c>
      <c r="E32" s="9">
        <v>2.6800000667572021</v>
      </c>
      <c r="F32" s="9">
        <v>53.659999847412109</v>
      </c>
      <c r="G32" s="9">
        <v>0.50233578681945801</v>
      </c>
      <c r="H32" s="9">
        <v>4.9944095313549042E-2</v>
      </c>
      <c r="I32">
        <v>9.1899996623396873E-3</v>
      </c>
      <c r="J32"/>
    </row>
    <row r="33" spans="1:10" ht="15" customHeight="1" x14ac:dyDescent="0.15">
      <c r="A33" s="203">
        <v>32</v>
      </c>
      <c r="B33" s="203" t="s">
        <v>223</v>
      </c>
      <c r="C33" s="8">
        <v>2.1263158321380615</v>
      </c>
      <c r="D33" s="9">
        <v>8.0000003799796104E-3</v>
      </c>
      <c r="E33" s="9">
        <v>1.1000000238418579</v>
      </c>
      <c r="F33" s="9">
        <v>20.360000610351562</v>
      </c>
      <c r="G33" s="9">
        <v>0.66246622800827026</v>
      </c>
      <c r="H33" s="9">
        <v>5.4027505218982697E-2</v>
      </c>
      <c r="I33">
        <v>4.0000001899898052E-3</v>
      </c>
      <c r="J33"/>
    </row>
    <row r="34" spans="1:10" ht="15" customHeight="1" x14ac:dyDescent="0.15">
      <c r="A34" s="204">
        <v>33</v>
      </c>
      <c r="B34" s="204" t="s">
        <v>224</v>
      </c>
      <c r="C34" s="8">
        <v>2.0526316165924072</v>
      </c>
      <c r="D34" s="9">
        <v>0.77999997138977051</v>
      </c>
      <c r="E34" s="9">
        <v>4.5999999046325684</v>
      </c>
      <c r="F34" s="9">
        <v>25</v>
      </c>
      <c r="G34" s="9">
        <v>0.97262811660766602</v>
      </c>
      <c r="H34" s="9">
        <v>0.18400000035762787</v>
      </c>
      <c r="I34">
        <v>0</v>
      </c>
      <c r="J34"/>
    </row>
    <row r="35" spans="1:10" ht="15" customHeight="1" x14ac:dyDescent="0.15">
      <c r="A35" s="205">
        <v>34</v>
      </c>
      <c r="B35" s="205" t="s">
        <v>225</v>
      </c>
      <c r="C35" s="8">
        <v>2.0526316165924072</v>
      </c>
      <c r="D35" s="9">
        <v>5.5590000152587891</v>
      </c>
      <c r="E35" s="9">
        <v>10</v>
      </c>
      <c r="F35" s="9">
        <v>50</v>
      </c>
      <c r="G35" s="9">
        <v>0.94884812831878662</v>
      </c>
      <c r="H35" s="9">
        <v>0.20000000298023224</v>
      </c>
      <c r="I35">
        <v>0</v>
      </c>
      <c r="J35"/>
    </row>
    <row r="36" spans="1:10" ht="15" customHeight="1" x14ac:dyDescent="0.15">
      <c r="A36" s="206">
        <v>35</v>
      </c>
      <c r="B36" s="206" t="s">
        <v>226</v>
      </c>
      <c r="C36" s="8">
        <v>2.0526316165924072</v>
      </c>
      <c r="D36" s="9">
        <v>2.0390000343322754</v>
      </c>
      <c r="E36" s="9">
        <v>30</v>
      </c>
      <c r="F36" s="9">
        <v>150</v>
      </c>
      <c r="G36" s="9">
        <v>0.9494396448135376</v>
      </c>
      <c r="H36" s="9">
        <v>0.20000000298023224</v>
      </c>
      <c r="I36">
        <v>0</v>
      </c>
      <c r="J36"/>
    </row>
    <row r="37" spans="1:10" ht="15" customHeight="1" x14ac:dyDescent="0.15">
      <c r="A37" s="207">
        <v>36</v>
      </c>
      <c r="B37" s="207" t="s">
        <v>227</v>
      </c>
      <c r="C37" s="8">
        <v>2</v>
      </c>
      <c r="D37" s="9">
        <v>3.4879999160766602</v>
      </c>
      <c r="E37" s="9">
        <v>2.5</v>
      </c>
      <c r="F37" s="9">
        <v>9.3000001907348633</v>
      </c>
      <c r="G37" s="9">
        <v>0.95149248838424683</v>
      </c>
      <c r="H37" s="9">
        <v>0.26881718635559082</v>
      </c>
      <c r="I37">
        <v>0</v>
      </c>
      <c r="J37"/>
    </row>
    <row r="38" spans="1:10" ht="15" customHeight="1" x14ac:dyDescent="0.15">
      <c r="A38" s="208">
        <v>37</v>
      </c>
      <c r="B38" s="208" t="s">
        <v>228</v>
      </c>
      <c r="C38" s="8">
        <v>1</v>
      </c>
      <c r="D38" s="9">
        <v>2.625</v>
      </c>
      <c r="E38" s="9">
        <v>365</v>
      </c>
      <c r="F38" s="10"/>
      <c r="G38" s="9">
        <v>0.32677537202835083</v>
      </c>
      <c r="H38" s="10"/>
      <c r="I38">
        <v>0</v>
      </c>
      <c r="J38"/>
    </row>
    <row r="39" spans="1:10" ht="15" customHeight="1" x14ac:dyDescent="0.15">
      <c r="A39" s="209">
        <v>38</v>
      </c>
      <c r="B39" s="209" t="s">
        <v>229</v>
      </c>
      <c r="C39" s="8">
        <v>1</v>
      </c>
      <c r="D39" s="9">
        <v>11.47700023651123</v>
      </c>
      <c r="E39" s="9">
        <v>12.5</v>
      </c>
      <c r="F39" s="10"/>
      <c r="G39" s="9">
        <v>0.95005500316619873</v>
      </c>
      <c r="H39" s="10"/>
      <c r="I39">
        <v>0</v>
      </c>
      <c r="J39"/>
    </row>
    <row r="40" spans="1:10" ht="15" customHeight="1" x14ac:dyDescent="0.15">
      <c r="A40" s="210">
        <v>39</v>
      </c>
      <c r="B40" s="210" t="s">
        <v>230</v>
      </c>
      <c r="C40" s="8">
        <v>1</v>
      </c>
      <c r="D40" s="9">
        <v>10</v>
      </c>
      <c r="E40" s="10"/>
      <c r="F40" s="10"/>
      <c r="G40" s="7">
        <v>0.22887808084487915</v>
      </c>
      <c r="H40" s="10"/>
      <c r="I40">
        <v>0</v>
      </c>
      <c r="J40"/>
    </row>
    <row r="41" spans="1:10" ht="15" customHeight="1" x14ac:dyDescent="0.15">
      <c r="A41" s="211">
        <v>40</v>
      </c>
      <c r="B41" s="211" t="s">
        <v>231</v>
      </c>
      <c r="C41" s="8">
        <v>1</v>
      </c>
      <c r="D41" s="9">
        <v>5</v>
      </c>
      <c r="E41" s="10"/>
      <c r="F41" s="10"/>
      <c r="G41" s="7">
        <v>0</v>
      </c>
      <c r="H41" s="10"/>
      <c r="I41">
        <v>0</v>
      </c>
      <c r="J41"/>
    </row>
    <row r="42" spans="1:10" ht="15" customHeight="1" x14ac:dyDescent="0.15">
      <c r="A42" s="212">
        <v>41</v>
      </c>
      <c r="B42" s="212" t="s">
        <v>232</v>
      </c>
      <c r="C42" s="8">
        <v>3.8939635753631592</v>
      </c>
      <c r="D42" s="10"/>
      <c r="E42" s="10"/>
      <c r="F42" s="10"/>
      <c r="G42" s="10"/>
      <c r="H42" s="10"/>
      <c r="I42">
        <v>4.3015899658203125</v>
      </c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1" bestFit="1" customWidth="1"/>
    <col min="2" max="4" width="9.5" style="81" bestFit="1" customWidth="1"/>
    <col min="5" max="7" width="9" style="81" bestFit="1" customWidth="1"/>
    <col min="8" max="16" width="12.6640625" style="81" bestFit="1" customWidth="1"/>
    <col min="17" max="17" width="12.33203125" style="81" bestFit="1" customWidth="1"/>
    <col min="18" max="18" width="8.83203125" style="81"/>
    <col min="19" max="21" width="9.33203125" style="81" bestFit="1" customWidth="1"/>
    <col min="22" max="23" width="8.83203125" style="81"/>
    <col min="24" max="24" width="9.33203125" style="81" bestFit="1" customWidth="1"/>
    <col min="25" max="27" width="8.83203125" style="81"/>
    <col min="28" max="58" width="9" style="81" bestFit="1" customWidth="1"/>
    <col min="59" max="59" width="12.33203125" style="81" bestFit="1" customWidth="1"/>
    <col min="60" max="60" width="9" style="81" bestFit="1" customWidth="1"/>
    <col min="61" max="61" width="11.33203125" style="81" bestFit="1" customWidth="1"/>
    <col min="62" max="77" width="9" style="81" bestFit="1" customWidth="1"/>
    <col min="78" max="78" width="12.33203125" style="81" bestFit="1" customWidth="1"/>
    <col min="79" max="79" width="9" style="81" bestFit="1" customWidth="1"/>
    <col min="80" max="80" width="12.33203125" style="81" bestFit="1" customWidth="1"/>
    <col min="81" max="107" width="9" style="81" bestFit="1" customWidth="1"/>
    <col min="108" max="108" width="11.33203125" style="81" bestFit="1" customWidth="1"/>
    <col min="109" max="124" width="9" style="81" bestFit="1" customWidth="1"/>
    <col min="125" max="125" width="10.33203125" style="81" bestFit="1" customWidth="1"/>
    <col min="126" max="129" width="9.33203125" style="81" bestFit="1" customWidth="1"/>
    <col min="130" max="130" width="9" style="81" bestFit="1" customWidth="1"/>
    <col min="131" max="134" width="9.33203125" style="81" bestFit="1" customWidth="1"/>
    <col min="135" max="165" width="9" style="81" bestFit="1" customWidth="1"/>
    <col min="166" max="166" width="12.33203125" style="81" bestFit="1" customWidth="1"/>
    <col min="167" max="170" width="9" style="81" bestFit="1" customWidth="1"/>
    <col min="171" max="176" width="8.83203125" style="81"/>
    <col min="177" max="177" width="13.83203125" style="81" bestFit="1" customWidth="1"/>
    <col min="178" max="16384" width="8.83203125" style="8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237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166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 t="s">
        <v>224</v>
      </c>
      <c r="AL1" t="s">
        <v>225</v>
      </c>
      <c r="AM1" t="s">
        <v>226</v>
      </c>
      <c r="AN1" t="s">
        <v>227</v>
      </c>
      <c r="AO1" t="s">
        <v>228</v>
      </c>
      <c r="AP1" t="s">
        <v>229</v>
      </c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1.4900000095367432</v>
      </c>
      <c r="C2">
        <v>0.49768495559692383</v>
      </c>
      <c r="D2" s="213">
        <v>0.89017343521118164</v>
      </c>
      <c r="E2" s="241">
        <v>7.7699996531009674E-2</v>
      </c>
      <c r="F2" s="22">
        <v>1.1366474442183971E-2</v>
      </c>
      <c r="G2"/>
      <c r="H2" s="22">
        <v>1.3075144961476326E-2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2.4600000381469727</v>
      </c>
      <c r="C3">
        <v>0.57072514295578003</v>
      </c>
      <c r="D3" s="214">
        <v>1.625</v>
      </c>
      <c r="E3"/>
      <c r="F3" s="239">
        <v>0.12290000170469284</v>
      </c>
      <c r="G3"/>
      <c r="H3" s="240">
        <v>0.14137499034404755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3.369999885559082</v>
      </c>
      <c r="C4">
        <v>0.57535141706466675</v>
      </c>
      <c r="D4" s="215">
        <v>2.21875</v>
      </c>
      <c r="E4"/>
      <c r="F4"/>
      <c r="G4" s="243">
        <v>0.13479998707771301</v>
      </c>
      <c r="H4"/>
      <c r="I4"/>
      <c r="J4"/>
      <c r="K4" s="252">
        <v>0.44109848141670227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2.8399999141693115</v>
      </c>
      <c r="C5">
        <v>0.1804039478302002</v>
      </c>
      <c r="D5" s="216">
        <v>1.4833332300186157</v>
      </c>
      <c r="E5"/>
      <c r="F5"/>
      <c r="G5"/>
      <c r="H5"/>
      <c r="I5"/>
      <c r="J5"/>
      <c r="K5" s="249">
        <v>1.1762626171112061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0.5</v>
      </c>
      <c r="C6">
        <v>0.14396291971206665</v>
      </c>
      <c r="D6" s="217">
        <v>0.24532710015773773</v>
      </c>
      <c r="E6" s="269">
        <v>9.4220317900180817E-2</v>
      </c>
      <c r="F6"/>
      <c r="G6"/>
      <c r="H6"/>
      <c r="I6"/>
      <c r="J6"/>
      <c r="K6" s="251">
        <v>1.648966409265995E-2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0.34999999403953552</v>
      </c>
      <c r="C7">
        <v>1.7693663015961647E-2</v>
      </c>
      <c r="D7" s="218">
        <v>7.0063687860965729E-2</v>
      </c>
      <c r="E7" s="260">
        <v>4.2809233069419861E-2</v>
      </c>
      <c r="F7" s="28">
        <v>1.2524840421974659E-2</v>
      </c>
      <c r="G7" s="66">
        <v>2.0606368780136108E-2</v>
      </c>
      <c r="H7"/>
      <c r="I7" s="262">
        <v>7.4090935289859772E-2</v>
      </c>
      <c r="J7"/>
      <c r="K7" s="245">
        <v>6.7429065704345703E-2</v>
      </c>
      <c r="L7"/>
      <c r="M7" s="241">
        <v>1.8433030694723129E-2</v>
      </c>
      <c r="N7"/>
      <c r="O7" s="16">
        <v>5.8270795270800591E-3</v>
      </c>
      <c r="P7" s="66">
        <v>2.0522085949778557E-2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0.5</v>
      </c>
      <c r="C8">
        <v>0.25814616680145264</v>
      </c>
      <c r="D8" s="219">
        <v>0.15882353484630585</v>
      </c>
      <c r="E8"/>
      <c r="F8"/>
      <c r="G8"/>
      <c r="H8"/>
      <c r="I8"/>
      <c r="J8"/>
      <c r="K8" s="250">
        <v>8.3030305802822113E-2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2</v>
      </c>
      <c r="C9">
        <v>0.43208098411560059</v>
      </c>
      <c r="D9" s="220">
        <v>0.25028440356254578</v>
      </c>
      <c r="E9" s="13">
        <v>7.6462455093860626E-2</v>
      </c>
      <c r="F9" s="12">
        <v>8.9483503252267838E-3</v>
      </c>
      <c r="G9" s="18">
        <v>2.4536974728107452E-2</v>
      </c>
      <c r="H9" s="23">
        <v>1.2866894714534283E-2</v>
      </c>
      <c r="I9" s="26">
        <v>5.2934139966964722E-2</v>
      </c>
      <c r="J9" s="142">
        <v>0.12217064946889877</v>
      </c>
      <c r="K9" s="257">
        <v>8.8320061564445496E-2</v>
      </c>
      <c r="L9" s="283">
        <v>0.69029706716537476</v>
      </c>
      <c r="M9" s="29">
        <v>9.3136116862297058E-2</v>
      </c>
      <c r="N9" s="15">
        <v>1.8982935696840286E-2</v>
      </c>
      <c r="O9" s="14">
        <v>4.1631469503045082E-3</v>
      </c>
      <c r="P9" s="12">
        <v>7.3309843428432941E-3</v>
      </c>
      <c r="Q9"/>
      <c r="R9" s="15">
        <v>2.1204810589551926E-2</v>
      </c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 s="239">
        <v>9.627997875213623E-2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2.5</v>
      </c>
      <c r="C10">
        <v>0.24422571063041687</v>
      </c>
      <c r="D10" s="221">
        <v>1.3725490570068359</v>
      </c>
      <c r="E10"/>
      <c r="F10"/>
      <c r="G10"/>
      <c r="H10"/>
      <c r="I10"/>
      <c r="J10"/>
      <c r="K10" s="261">
        <v>0.27676770091056824</v>
      </c>
      <c r="L10"/>
      <c r="M10" s="233">
        <v>0.32104566693305969</v>
      </c>
      <c r="N10" s="76">
        <v>0.16358824074268341</v>
      </c>
      <c r="O10"/>
      <c r="P10"/>
      <c r="Q10"/>
      <c r="R10" s="239">
        <v>0.12182372063398361</v>
      </c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1.6100000143051147</v>
      </c>
      <c r="C11">
        <v>0.19703902304172516</v>
      </c>
      <c r="D11" s="222">
        <v>0.24074074625968933</v>
      </c>
      <c r="E11" s="270">
        <v>0.74678325653076172</v>
      </c>
      <c r="F11"/>
      <c r="G11"/>
      <c r="H11"/>
      <c r="I11"/>
      <c r="J11"/>
      <c r="K11"/>
      <c r="L11"/>
      <c r="M11" s="73">
        <v>0.15160490572452545</v>
      </c>
      <c r="N11" s="253">
        <v>0.15449999272823334</v>
      </c>
      <c r="O11"/>
      <c r="P11" s="246">
        <v>0.11933213472366333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4.2600002288818359</v>
      </c>
      <c r="C12">
        <v>0.13896837830543518</v>
      </c>
      <c r="D12" s="216">
        <v>2.2249999046325684</v>
      </c>
      <c r="E12"/>
      <c r="F12"/>
      <c r="G12" s="67">
        <v>0.26959997415542603</v>
      </c>
      <c r="H12"/>
      <c r="I12"/>
      <c r="J12"/>
      <c r="K12" s="242">
        <v>0.88219696283340454</v>
      </c>
      <c r="L12"/>
      <c r="M12" s="238">
        <v>0.10069388151168823</v>
      </c>
      <c r="N12"/>
      <c r="O12" s="241">
        <v>0.22871287167072296</v>
      </c>
      <c r="P12" s="244">
        <v>0.41482830047607422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0.25</v>
      </c>
      <c r="C13">
        <v>7.8400731086730957E-2</v>
      </c>
      <c r="D13" s="223">
        <v>9.9999994039535522E-2</v>
      </c>
      <c r="E13"/>
      <c r="F13"/>
      <c r="G13"/>
      <c r="H13"/>
      <c r="I13"/>
      <c r="J13"/>
      <c r="K13"/>
      <c r="L13"/>
      <c r="M13"/>
      <c r="N13"/>
      <c r="O13"/>
      <c r="P13" s="258">
        <v>7.1599282324314117E-2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166</v>
      </c>
      <c r="B14">
        <v>3.0999999046325684</v>
      </c>
      <c r="C14">
        <v>0.17396380007266998</v>
      </c>
      <c r="D14" s="12">
        <v>1.2000000104308128E-2</v>
      </c>
      <c r="E14" s="25">
        <v>9.7760722041130066E-2</v>
      </c>
      <c r="F14" s="14">
        <v>3.5752726253122091E-3</v>
      </c>
      <c r="G14" s="14">
        <v>3.9214547723531723E-3</v>
      </c>
      <c r="H14"/>
      <c r="I14" s="24">
        <v>8.459838479757309E-2</v>
      </c>
      <c r="J14" s="26">
        <v>7.810036838054657E-2</v>
      </c>
      <c r="K14"/>
      <c r="L14" s="288">
        <v>1.3790252208709717</v>
      </c>
      <c r="M14" s="11">
        <v>2.9769691172987223E-3</v>
      </c>
      <c r="N14" s="15">
        <v>3.0338181182742119E-2</v>
      </c>
      <c r="O14"/>
      <c r="P14" s="12">
        <v>1.1716245673596859E-2</v>
      </c>
      <c r="Q14" s="287">
        <v>1.1999999284744263</v>
      </c>
      <c r="R14"/>
      <c r="S14" s="22">
        <v>2.2023271769285202E-2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0.98000001907348633</v>
      </c>
      <c r="C15">
        <v>0.3537774384021759</v>
      </c>
      <c r="D15" s="224">
        <v>0.54081630706787109</v>
      </c>
      <c r="E15"/>
      <c r="F15"/>
      <c r="G15" s="65">
        <v>2.2008161991834641E-2</v>
      </c>
      <c r="H15"/>
      <c r="I15"/>
      <c r="J15"/>
      <c r="K15"/>
      <c r="L15"/>
      <c r="M15"/>
      <c r="N15"/>
      <c r="O15"/>
      <c r="P15"/>
      <c r="Q15"/>
      <c r="R15" s="76">
        <v>6.3398063182830811E-2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1.4099999666213989</v>
      </c>
      <c r="C16">
        <v>0.70772546529769897</v>
      </c>
      <c r="D16" s="225">
        <v>0.38265308737754822</v>
      </c>
      <c r="E16"/>
      <c r="F16" s="22">
        <v>1.003265380859375E-2</v>
      </c>
      <c r="G16" s="25">
        <v>4.4016323983669281E-2</v>
      </c>
      <c r="H16"/>
      <c r="I16"/>
      <c r="J16"/>
      <c r="K16" s="26">
        <v>3.6008041352033615E-2</v>
      </c>
      <c r="L16"/>
      <c r="M16"/>
      <c r="N16" s="141">
        <v>4.256632924079895E-2</v>
      </c>
      <c r="O16"/>
      <c r="P16"/>
      <c r="Q16"/>
      <c r="R16" s="257">
        <v>6.3398063182830811E-2</v>
      </c>
      <c r="S16" s="263">
        <v>0.12359999120235443</v>
      </c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4.4000000953674316</v>
      </c>
      <c r="C17">
        <v>0.70098257064819336</v>
      </c>
      <c r="D17" s="226">
        <v>2.3086957931518555</v>
      </c>
      <c r="E17"/>
      <c r="F17"/>
      <c r="G17" s="65">
        <v>9.3773908913135529E-2</v>
      </c>
      <c r="H17"/>
      <c r="I17"/>
      <c r="J17" s="262">
        <v>0.93380874395370483</v>
      </c>
      <c r="K17"/>
      <c r="L17"/>
      <c r="M17"/>
      <c r="N17" s="255">
        <v>0.36273911595344543</v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1.2000000476837158</v>
      </c>
      <c r="C18">
        <v>7.0288971066474915E-2</v>
      </c>
      <c r="D18" s="220">
        <v>0.15081967413425446</v>
      </c>
      <c r="E18"/>
      <c r="F18"/>
      <c r="G18"/>
      <c r="H18"/>
      <c r="I18"/>
      <c r="J18"/>
      <c r="K18" s="239">
        <v>5.7848982512950897E-2</v>
      </c>
      <c r="L18"/>
      <c r="M18"/>
      <c r="N18" s="271">
        <v>0.3419262170791626</v>
      </c>
      <c r="O18" s="67">
        <v>7.4987836182117462E-2</v>
      </c>
      <c r="P18"/>
      <c r="Q18"/>
      <c r="R18" s="144">
        <v>0.30555784702301025</v>
      </c>
      <c r="S18" s="264">
        <v>0.19857047498226166</v>
      </c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3.9900000095367432</v>
      </c>
      <c r="C19">
        <v>0.10055017471313477</v>
      </c>
      <c r="D19" s="138">
        <v>1.5121951103210449</v>
      </c>
      <c r="E19" s="255">
        <v>0.32785606384277344</v>
      </c>
      <c r="F19" s="19">
        <v>7.1941457688808441E-2</v>
      </c>
      <c r="G19" s="17">
        <v>5.2604872733354568E-2</v>
      </c>
      <c r="H19" s="17">
        <v>5.5170729756355286E-2</v>
      </c>
      <c r="I19" s="228">
        <v>0.56742817163467407</v>
      </c>
      <c r="J19"/>
      <c r="K19" s="137">
        <v>0.51640796661376953</v>
      </c>
      <c r="L19"/>
      <c r="M19"/>
      <c r="N19"/>
      <c r="O19"/>
      <c r="P19" s="267">
        <v>0.78584569692611694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1.3899999856948853</v>
      </c>
      <c r="C20">
        <v>0.2229800671339035</v>
      </c>
      <c r="D20" s="227">
        <v>0.10000000894069672</v>
      </c>
      <c r="E20" s="265">
        <v>0.67210495471954346</v>
      </c>
      <c r="F20" s="19">
        <v>2.4580001831054688E-2</v>
      </c>
      <c r="G20" s="248">
        <v>0.16176000237464905</v>
      </c>
      <c r="H20"/>
      <c r="I20"/>
      <c r="J20"/>
      <c r="K20"/>
      <c r="L20"/>
      <c r="M20"/>
      <c r="N20" s="256">
        <v>0.20857501029968262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7.570000171661377</v>
      </c>
      <c r="C21">
        <v>0.88354754447937012</v>
      </c>
      <c r="D21" s="228">
        <v>1.0880000591278076</v>
      </c>
      <c r="E21" s="236">
        <v>0.86029434204101562</v>
      </c>
      <c r="F21" s="23">
        <v>4.326079785823822E-2</v>
      </c>
      <c r="G21" s="18">
        <v>8.6272001266479492E-2</v>
      </c>
      <c r="H21" s="15">
        <v>6.7860007286071777E-2</v>
      </c>
      <c r="I21" s="282">
        <v>1.8611644506454468</v>
      </c>
      <c r="J21" s="240">
        <v>0.42955201864242554</v>
      </c>
      <c r="K21" s="16">
        <v>0.11292121559381485</v>
      </c>
      <c r="L21" s="280">
        <v>1.8203132152557373</v>
      </c>
      <c r="M21" s="12">
        <v>3.2746661454439163E-2</v>
      </c>
      <c r="N21" s="12">
        <v>3.3371999859809875E-2</v>
      </c>
      <c r="O21" s="12">
        <v>3.659406304359436E-2</v>
      </c>
      <c r="P21" s="12">
        <v>2.5775741785764694E-2</v>
      </c>
      <c r="Q21"/>
      <c r="R21" s="12">
        <v>2.485203929245472E-2</v>
      </c>
      <c r="S21" s="17">
        <v>9.690239280462265E-2</v>
      </c>
      <c r="T21" s="22">
        <v>6.6571198403835297E-2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1</v>
      </c>
      <c r="C22">
        <v>0.15459191799163818</v>
      </c>
      <c r="D22" s="229">
        <v>0.21666666865348816</v>
      </c>
      <c r="E22" s="273">
        <v>0.4480699896812439</v>
      </c>
      <c r="F22" s="16">
        <v>1.6386667266488075E-2</v>
      </c>
      <c r="G22" s="28">
        <v>3.5946667194366455E-2</v>
      </c>
      <c r="H22"/>
      <c r="I22"/>
      <c r="J22"/>
      <c r="K22" s="66">
        <v>5.8813136070966721E-2</v>
      </c>
      <c r="L22"/>
      <c r="M22"/>
      <c r="N22" s="254">
        <v>6.9525003433227539E-2</v>
      </c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3.0899999141693115</v>
      </c>
      <c r="C23">
        <v>0.11483041197061539</v>
      </c>
      <c r="D23" s="230">
        <v>1.0123894214630127</v>
      </c>
      <c r="E23" s="240">
        <v>0.17843495309352875</v>
      </c>
      <c r="F23" s="15">
        <v>3.0453098937869072E-2</v>
      </c>
      <c r="G23" s="65">
        <v>6.6803544759750366E-2</v>
      </c>
      <c r="H23"/>
      <c r="I23" s="274">
        <v>0.4117620587348938</v>
      </c>
      <c r="J23" s="105">
        <v>0.38013452291488647</v>
      </c>
      <c r="K23" s="21">
        <v>6.2456425279378891E-2</v>
      </c>
      <c r="L23" s="229">
        <v>0.6712070107460022</v>
      </c>
      <c r="M23" s="18">
        <v>3.6224182695150375E-2</v>
      </c>
      <c r="N23" s="18">
        <v>3.691592812538147E-2</v>
      </c>
      <c r="O23" s="15">
        <v>3.2384127378463745E-2</v>
      </c>
      <c r="P23" s="15">
        <v>2.8512990102171898E-2</v>
      </c>
      <c r="Q23"/>
      <c r="R23" s="15">
        <v>2.7491195127367973E-2</v>
      </c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10.300000190734863</v>
      </c>
      <c r="C24">
        <v>0.89767366647720337</v>
      </c>
      <c r="D24" s="231">
        <v>6.6880731582641602</v>
      </c>
      <c r="E24" s="18">
        <v>0.1233220100402832</v>
      </c>
      <c r="F24" s="14">
        <v>1.80403683334589E-2</v>
      </c>
      <c r="G24" s="23">
        <v>5.9361469000577927E-2</v>
      </c>
      <c r="H24" s="23">
        <v>6.7444957792758942E-2</v>
      </c>
      <c r="I24" s="65">
        <v>0.21343629062175751</v>
      </c>
      <c r="J24" s="248">
        <v>1.1822532415390015</v>
      </c>
      <c r="K24" s="18">
        <v>0.12949681282043457</v>
      </c>
      <c r="L24" s="107">
        <v>0.69583845138549805</v>
      </c>
      <c r="M24" s="17">
        <v>0.15021403133869171</v>
      </c>
      <c r="N24"/>
      <c r="O24" s="14">
        <v>1.6786267980933189E-2</v>
      </c>
      <c r="P24" s="14">
        <v>2.9559338465332985E-2</v>
      </c>
      <c r="Q24"/>
      <c r="R24" s="14">
        <v>2.8500046581029892E-2</v>
      </c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2.4500000476837158</v>
      </c>
      <c r="C25">
        <v>0.18157848715782166</v>
      </c>
      <c r="D25" s="76">
        <v>0.15751634538173676</v>
      </c>
      <c r="E25" s="276">
        <v>0.32946324348449707</v>
      </c>
      <c r="F25" s="22">
        <v>1.9278431311249733E-2</v>
      </c>
      <c r="G25" s="19">
        <v>4.2290195822715759E-2</v>
      </c>
      <c r="H25" s="18">
        <v>2.7720591053366661E-2</v>
      </c>
      <c r="I25" s="279">
        <v>0.72226560115814209</v>
      </c>
      <c r="J25" s="106">
        <v>0.38603532314300537</v>
      </c>
      <c r="K25" s="17">
        <v>3.459596261382103E-2</v>
      </c>
      <c r="L25" s="277">
        <v>0.49572804570198059</v>
      </c>
      <c r="M25" s="18">
        <v>2.6753805577754974E-2</v>
      </c>
      <c r="N25" s="23">
        <v>1.3632353395223618E-2</v>
      </c>
      <c r="O25" s="14">
        <v>2.9897110071033239E-3</v>
      </c>
      <c r="P25"/>
      <c r="Q25"/>
      <c r="R25" s="12">
        <v>1.0151976719498634E-2</v>
      </c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3.6500000953674316</v>
      </c>
      <c r="C26">
        <v>0.27560508251190186</v>
      </c>
      <c r="D26" s="219">
        <v>1.1600660085678101</v>
      </c>
      <c r="E26" s="141">
        <v>0.11090840399265289</v>
      </c>
      <c r="F26" s="12">
        <v>1.6224421560764313E-2</v>
      </c>
      <c r="G26" s="18">
        <v>4.2708911001682281E-2</v>
      </c>
      <c r="H26" s="14">
        <v>9.3316836282610893E-3</v>
      </c>
      <c r="I26" s="106">
        <v>0.5758553147315979</v>
      </c>
      <c r="J26" s="278">
        <v>0.53162378072738647</v>
      </c>
      <c r="K26" s="16">
        <v>5.8230828493833542E-2</v>
      </c>
      <c r="L26" s="281">
        <v>0.750954270362854</v>
      </c>
      <c r="M26" s="19">
        <v>6.7546732723712921E-2</v>
      </c>
      <c r="N26" s="12">
        <v>1.376732625067234E-2</v>
      </c>
      <c r="O26" s="14">
        <v>6.0386238619685173E-3</v>
      </c>
      <c r="P26" s="14">
        <v>1.0633557103574276E-2</v>
      </c>
      <c r="Q26"/>
      <c r="R26" s="23">
        <v>2.0504983142018318E-2</v>
      </c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2.5</v>
      </c>
      <c r="C27">
        <v>0.12984752655029297</v>
      </c>
      <c r="D27" s="65">
        <v>5.1599588245153427E-2</v>
      </c>
      <c r="E27"/>
      <c r="F27" s="11">
        <v>1.014654291793704E-3</v>
      </c>
      <c r="G27"/>
      <c r="H27" s="14">
        <v>2.9179570265114307E-3</v>
      </c>
      <c r="I27" s="12">
        <v>1.2004414573311806E-2</v>
      </c>
      <c r="J27"/>
      <c r="K27"/>
      <c r="L27" s="106">
        <v>0.39136418700218201</v>
      </c>
      <c r="M27" s="14">
        <v>4.2242854833602905E-3</v>
      </c>
      <c r="N27" s="22">
        <v>2.1524768322706223E-2</v>
      </c>
      <c r="O27" s="14">
        <v>5.6647155433893204E-3</v>
      </c>
      <c r="P27" s="23">
        <v>1.6625219956040382E-2</v>
      </c>
      <c r="Q27" s="286">
        <v>1.7027863264083862</v>
      </c>
      <c r="R27" s="23">
        <v>1.6029438003897667E-2</v>
      </c>
      <c r="S27"/>
      <c r="T27" s="23">
        <v>1.4312694780528545E-2</v>
      </c>
      <c r="U27"/>
      <c r="V27"/>
      <c r="W27"/>
      <c r="X27"/>
      <c r="Y27"/>
      <c r="Z27" s="241">
        <v>0.13008409738540649</v>
      </c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3.0899999141693115</v>
      </c>
      <c r="C28">
        <v>0.34949719905853271</v>
      </c>
      <c r="D28" s="232">
        <v>1.0833333730697632</v>
      </c>
      <c r="E28" s="259">
        <v>1.1201748847961426</v>
      </c>
      <c r="F28"/>
      <c r="G28"/>
      <c r="H28"/>
      <c r="I28"/>
      <c r="J28"/>
      <c r="K28"/>
      <c r="L28"/>
      <c r="M28"/>
      <c r="N28"/>
      <c r="O28"/>
      <c r="P28" s="247">
        <v>0.53699463605880737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0.81000000238418579</v>
      </c>
      <c r="C29">
        <v>0.37573537230491638</v>
      </c>
      <c r="D29" s="233">
        <v>0.10249999910593033</v>
      </c>
      <c r="E29"/>
      <c r="F29"/>
      <c r="G29"/>
      <c r="H29"/>
      <c r="I29"/>
      <c r="J29"/>
      <c r="K29" s="229">
        <v>0.17643940448760986</v>
      </c>
      <c r="L29"/>
      <c r="M29"/>
      <c r="N29"/>
      <c r="O29"/>
      <c r="P29"/>
      <c r="Q29"/>
      <c r="R29" s="245">
        <v>0.15532524883747101</v>
      </c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5.2800002098083496</v>
      </c>
      <c r="C30">
        <v>0.42159992456436157</v>
      </c>
      <c r="D30" s="234">
        <v>2.6078431606292725</v>
      </c>
      <c r="E30" s="26">
        <v>0.13178528845310211</v>
      </c>
      <c r="F30" s="15">
        <v>4.8196077346801758E-2</v>
      </c>
      <c r="G30"/>
      <c r="H30" s="12">
        <v>2.217647060751915E-2</v>
      </c>
      <c r="I30"/>
      <c r="J30"/>
      <c r="K30"/>
      <c r="L30"/>
      <c r="M30" s="27">
        <v>0.40130707621574402</v>
      </c>
      <c r="N30" s="25">
        <v>0.16358824074268341</v>
      </c>
      <c r="O30"/>
      <c r="P30"/>
      <c r="Q30"/>
      <c r="R30" s="238">
        <v>0.12182372063398361</v>
      </c>
      <c r="S30" s="272">
        <v>0.47501173615455627</v>
      </c>
      <c r="T30" s="65">
        <v>0.10877647250890732</v>
      </c>
      <c r="U30" s="26">
        <v>0.13216666877269745</v>
      </c>
      <c r="V30"/>
      <c r="W30" s="29">
        <v>0.24666666984558105</v>
      </c>
      <c r="X30"/>
      <c r="Y30" s="27">
        <v>0.39905878901481628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1.6000000238418579</v>
      </c>
      <c r="C31">
        <v>0.16365566849708557</v>
      </c>
      <c r="D31" s="235">
        <v>0.51322954893112183</v>
      </c>
      <c r="E31" s="251">
        <v>5.2303887903690338E-2</v>
      </c>
      <c r="F31"/>
      <c r="G31" s="65">
        <v>3.3568870276212692E-2</v>
      </c>
      <c r="H31"/>
      <c r="I31"/>
      <c r="J31"/>
      <c r="K31" s="28">
        <v>5.4922770708799362E-2</v>
      </c>
      <c r="L31" s="275">
        <v>0.59024429321289062</v>
      </c>
      <c r="M31" s="268">
        <v>0.12741890549659729</v>
      </c>
      <c r="N31" s="21">
        <v>3.2463036477565765E-2</v>
      </c>
      <c r="O31" s="12">
        <v>7.119467481970787E-3</v>
      </c>
      <c r="P31" s="16">
        <v>2.507367916405201E-2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2.6800000667572021</v>
      </c>
      <c r="C32">
        <v>1.3337401151657104</v>
      </c>
      <c r="D32" s="236">
        <v>0.30633333325386047</v>
      </c>
      <c r="E32" s="266">
        <v>0.89613997936248779</v>
      </c>
      <c r="F32"/>
      <c r="G32" s="241">
        <v>0.14378666877746582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1.1000000238418579</v>
      </c>
      <c r="C33">
        <v>0.37128716707229614</v>
      </c>
      <c r="D33" s="237">
        <v>0.5</v>
      </c>
      <c r="E33"/>
      <c r="F33"/>
      <c r="G33"/>
      <c r="H33"/>
      <c r="I33"/>
      <c r="J33"/>
      <c r="K33"/>
      <c r="L33"/>
      <c r="M33"/>
      <c r="N33"/>
      <c r="O33" s="242">
        <v>0.22871287167072296</v>
      </c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4.5999999046325684</v>
      </c>
      <c r="C34">
        <v>0.12591065466403961</v>
      </c>
      <c r="D34"/>
      <c r="E34"/>
      <c r="F34"/>
      <c r="G34"/>
      <c r="H34"/>
      <c r="I34" s="23">
        <v>2.982635423541069E-2</v>
      </c>
      <c r="J34" s="18">
        <v>5.5070772767066956E-2</v>
      </c>
      <c r="K34" s="15">
        <v>4.5240879058837891E-2</v>
      </c>
      <c r="L34" s="262">
        <v>0.97238951921463013</v>
      </c>
      <c r="M34" s="18">
        <v>5.2478618919849396E-2</v>
      </c>
      <c r="N34" s="238">
        <v>0.10696154087781906</v>
      </c>
      <c r="O34" s="23">
        <v>2.3457733914256096E-2</v>
      </c>
      <c r="P34" s="15">
        <v>4.1307277977466583E-2</v>
      </c>
      <c r="Q34"/>
      <c r="R34" s="26">
        <v>0.11948096007108688</v>
      </c>
      <c r="S34"/>
      <c r="T34" s="238">
        <v>0.10668462514877319</v>
      </c>
      <c r="U34" s="13">
        <v>0.17283333837985992</v>
      </c>
      <c r="V34"/>
      <c r="W34" s="22">
        <v>3.2256409525871277E-2</v>
      </c>
      <c r="X34"/>
      <c r="Y34"/>
      <c r="Z34" s="70">
        <v>0.32320895791053772</v>
      </c>
      <c r="AA34"/>
      <c r="AB34" s="284">
        <v>1.4562462568283081</v>
      </c>
      <c r="AC34"/>
      <c r="AD34" s="257">
        <v>0.21119230985641479</v>
      </c>
      <c r="AE34"/>
      <c r="AF34" s="67">
        <v>0.29038462042808533</v>
      </c>
      <c r="AG34" s="13">
        <v>0.17261537909507751</v>
      </c>
      <c r="AH34" s="29">
        <v>0.21700027585029602</v>
      </c>
      <c r="AI34" s="15">
        <v>4.1276924312114716E-2</v>
      </c>
      <c r="AJ34" s="11">
        <v>4.1764103807508945E-3</v>
      </c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10</v>
      </c>
      <c r="C35">
        <v>0.51151871681213379</v>
      </c>
      <c r="D35"/>
      <c r="E35" s="14">
        <v>1.2090393342077732E-2</v>
      </c>
      <c r="F35" s="11">
        <v>3.5373269929550588E-4</v>
      </c>
      <c r="G35" s="11">
        <v>1.9399173324927688E-3</v>
      </c>
      <c r="H35" s="11">
        <v>1.0172693291679025E-3</v>
      </c>
      <c r="I35" s="14">
        <v>2.0925126969814301E-2</v>
      </c>
      <c r="J35" s="15">
        <v>9.6589319407939911E-2</v>
      </c>
      <c r="K35" s="12">
        <v>3.1739410012960434E-2</v>
      </c>
      <c r="L35" s="253">
        <v>0.95507234334945679</v>
      </c>
      <c r="M35" s="12">
        <v>2.9453730210661888E-2</v>
      </c>
      <c r="N35" s="12">
        <v>3.3017810434103012E-2</v>
      </c>
      <c r="O35" s="14">
        <v>1.151998620480299E-2</v>
      </c>
      <c r="P35" s="12">
        <v>4.0571637451648712E-2</v>
      </c>
      <c r="Q35" s="242">
        <v>2.077711820602417</v>
      </c>
      <c r="R35" s="12">
        <v>3.3529464155435562E-2</v>
      </c>
      <c r="S35" s="23">
        <v>5.4473824799060822E-2</v>
      </c>
      <c r="T35" s="14">
        <v>1.4969239942729473E-2</v>
      </c>
      <c r="U35" s="21">
        <v>0.20370641350746155</v>
      </c>
      <c r="V35" s="22">
        <v>7.6999463140964508E-2</v>
      </c>
      <c r="W35" s="14">
        <v>2.2629968822002411E-2</v>
      </c>
      <c r="X35" s="13">
        <v>0.36598306894302368</v>
      </c>
      <c r="Y35" s="17">
        <v>0.14644359052181244</v>
      </c>
      <c r="Z35" s="64">
        <v>0.55327516794204712</v>
      </c>
      <c r="AA35" s="17">
        <v>0.13341176509857178</v>
      </c>
      <c r="AB35" s="68">
        <v>0.51082569360733032</v>
      </c>
      <c r="AC35" s="18">
        <v>0.12705396115779877</v>
      </c>
      <c r="AD35" s="291">
        <v>1.1853210926055908</v>
      </c>
      <c r="AE35"/>
      <c r="AF35" s="23">
        <v>6.7907899618148804E-2</v>
      </c>
      <c r="AG35" s="22">
        <v>7.2660550475120544E-2</v>
      </c>
      <c r="AH35" s="15">
        <v>9.1343864798545837E-2</v>
      </c>
      <c r="AI35" s="14">
        <v>1.447922270745039E-2</v>
      </c>
      <c r="AJ35" s="11">
        <v>1.4650117373093963E-3</v>
      </c>
      <c r="AK35"/>
      <c r="AL35" s="143">
        <v>2.5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30</v>
      </c>
      <c r="C36">
        <v>1.5168106555938721</v>
      </c>
      <c r="D36"/>
      <c r="E36" s="14">
        <v>5.9332463890314102E-2</v>
      </c>
      <c r="F36" s="11">
        <v>4.82197105884552E-3</v>
      </c>
      <c r="G36" s="11">
        <v>1.0577734559774399E-2</v>
      </c>
      <c r="H36" s="11">
        <v>8.3202561363577843E-3</v>
      </c>
      <c r="I36" s="22">
        <v>0.22819574177265167</v>
      </c>
      <c r="J36" s="12">
        <v>0.10533399134874344</v>
      </c>
      <c r="K36" s="14">
        <v>6.9225862622261047E-2</v>
      </c>
      <c r="L36" s="28">
        <v>1.0415394306182861</v>
      </c>
      <c r="M36" s="12">
        <v>0.14052636921405792</v>
      </c>
      <c r="N36" s="12">
        <v>0.1350264847278595</v>
      </c>
      <c r="O36" s="11">
        <v>1.346029806882143E-2</v>
      </c>
      <c r="P36" s="12">
        <v>9.4810232520103455E-2</v>
      </c>
      <c r="Q36" s="285">
        <v>4.8553214073181152</v>
      </c>
      <c r="R36" s="14">
        <v>3.0470866709947586E-2</v>
      </c>
      <c r="S36" s="15">
        <v>0.29702794551849365</v>
      </c>
      <c r="T36" s="23">
        <v>0.1496410071849823</v>
      </c>
      <c r="U36" s="14">
        <v>3.3057872205972672E-2</v>
      </c>
      <c r="V36" s="22">
        <v>0.20992642641067505</v>
      </c>
      <c r="W36" s="12">
        <v>0.12339381873607635</v>
      </c>
      <c r="X36" s="248">
        <v>3.4922752380371094</v>
      </c>
      <c r="Y36" s="11">
        <v>2.4953406304121017E-2</v>
      </c>
      <c r="Z36" s="12">
        <v>0.12364049255847931</v>
      </c>
      <c r="AA36" s="74">
        <v>2.3642146587371826</v>
      </c>
      <c r="AB36" s="76">
        <v>1.9497556686401367</v>
      </c>
      <c r="AC36" s="290">
        <v>3.1868050098419189</v>
      </c>
      <c r="AD36" s="28">
        <v>1.050264835357666</v>
      </c>
      <c r="AE36" s="14">
        <v>7.7508583664894104E-2</v>
      </c>
      <c r="AF36" s="14">
        <v>3.7027951329946518E-2</v>
      </c>
      <c r="AG36" s="12">
        <v>0.13206472992897034</v>
      </c>
      <c r="AH36" s="18">
        <v>0.37355121970176697</v>
      </c>
      <c r="AI36" s="14">
        <v>7.8950464725494385E-2</v>
      </c>
      <c r="AJ36" s="11">
        <v>3.99411516264081E-3</v>
      </c>
      <c r="AK36" s="16">
        <v>0.47817555069923401</v>
      </c>
      <c r="AL36"/>
      <c r="AM36" s="143">
        <v>7.5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2.5</v>
      </c>
      <c r="C37">
        <v>0.12126877903938293</v>
      </c>
      <c r="D37"/>
      <c r="E37"/>
      <c r="F37" s="11">
        <v>1.1275230208411813E-3</v>
      </c>
      <c r="G37"/>
      <c r="H37" s="14">
        <v>3.2425462268292904E-3</v>
      </c>
      <c r="I37"/>
      <c r="J37"/>
      <c r="K37"/>
      <c r="L37"/>
      <c r="M37"/>
      <c r="N37"/>
      <c r="O37" s="14">
        <v>5.2457088604569435E-3</v>
      </c>
      <c r="P37" s="12">
        <v>9.2372922226786613E-3</v>
      </c>
      <c r="Q37" s="289">
        <v>1.4191515445709229</v>
      </c>
      <c r="R37" s="12">
        <v>1.0687516070902348E-2</v>
      </c>
      <c r="S37"/>
      <c r="T37"/>
      <c r="U37"/>
      <c r="V37"/>
      <c r="W37" s="14">
        <v>7.2133028879761696E-3</v>
      </c>
      <c r="X37"/>
      <c r="Y37"/>
      <c r="Z37" s="141">
        <v>7.2277233004570007E-2</v>
      </c>
      <c r="AA37" s="20">
        <v>0.10631249845027924</v>
      </c>
      <c r="AB37"/>
      <c r="AC37" s="285">
        <v>0.40498453378677368</v>
      </c>
      <c r="AD37" s="252">
        <v>0.33059346675872803</v>
      </c>
      <c r="AE37"/>
      <c r="AF37" s="12">
        <v>8.6582563817501068E-3</v>
      </c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365</v>
      </c>
      <c r="C38">
        <v>245.72698974609375</v>
      </c>
      <c r="D38"/>
      <c r="E38"/>
      <c r="F38"/>
      <c r="G38"/>
      <c r="H38"/>
      <c r="I38"/>
      <c r="J38"/>
      <c r="K38" s="11">
        <v>2.6886004488915205E-3</v>
      </c>
      <c r="L38" s="11">
        <v>5.778772383928299E-2</v>
      </c>
      <c r="M38"/>
      <c r="N38"/>
      <c r="O38"/>
      <c r="P38" s="11">
        <v>2.454832661896944E-3</v>
      </c>
      <c r="Q38"/>
      <c r="R38"/>
      <c r="S38"/>
      <c r="T38"/>
      <c r="U38"/>
      <c r="V38"/>
      <c r="W38"/>
      <c r="X38" s="14">
        <v>0.38752380013465881</v>
      </c>
      <c r="Y38"/>
      <c r="Z38" s="11">
        <v>7.6831385493278503E-2</v>
      </c>
      <c r="AA38" s="14">
        <v>0.5650559663772583</v>
      </c>
      <c r="AB38" s="11">
        <v>0.21635657548904419</v>
      </c>
      <c r="AC38" s="23">
        <v>2.0986990928649902</v>
      </c>
      <c r="AD38" s="11">
        <v>6.275428831577301E-2</v>
      </c>
      <c r="AE38" s="11">
        <v>6.0205716639757156E-2</v>
      </c>
      <c r="AF38" s="11">
        <v>2.8761902824044228E-2</v>
      </c>
      <c r="AG38" s="11">
        <v>0.10258284956216812</v>
      </c>
      <c r="AH38"/>
      <c r="AI38" s="11">
        <v>0.12265142798423767</v>
      </c>
      <c r="AJ38" s="11">
        <v>3.7229720503091812E-2</v>
      </c>
      <c r="AK38"/>
      <c r="AL38" s="141">
        <v>10.588571548461914</v>
      </c>
      <c r="AM38" s="293">
        <v>104.86285400390625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12.5</v>
      </c>
      <c r="C39">
        <v>0.62431246042251587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 s="11">
        <v>2.7067218907177448E-3</v>
      </c>
      <c r="S39" s="11">
        <v>4.2215907014906406E-3</v>
      </c>
      <c r="T39"/>
      <c r="U39"/>
      <c r="V39"/>
      <c r="W39" s="11">
        <v>4.3844208121299744E-3</v>
      </c>
      <c r="X39"/>
      <c r="Y39" s="11">
        <v>4.4332137331366539E-3</v>
      </c>
      <c r="Z39" s="12">
        <v>4.3931856751441956E-2</v>
      </c>
      <c r="AA39"/>
      <c r="AB39" s="18">
        <v>0.14845411479473114</v>
      </c>
      <c r="AC39"/>
      <c r="AD39" s="12">
        <v>4.3059159070253372E-2</v>
      </c>
      <c r="AE39"/>
      <c r="AF39" s="12">
        <v>5.6574013084173203E-2</v>
      </c>
      <c r="AG39" s="12">
        <v>4.6925149857997894E-2</v>
      </c>
      <c r="AH39" s="23">
        <v>7.3738865554332733E-2</v>
      </c>
      <c r="AI39" s="22">
        <v>8.8365770876407623E-2</v>
      </c>
      <c r="AJ39" s="11">
        <v>2.8383724857121706E-3</v>
      </c>
      <c r="AK39" s="64">
        <v>0.67962008714675903</v>
      </c>
      <c r="AL39" s="292">
        <v>9.6872005462646484</v>
      </c>
      <c r="AM39"/>
      <c r="AN39" s="74">
        <v>0.98923403024673462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/>
      <c r="C40">
        <v>0.22887808084487915</v>
      </c>
      <c r="D40"/>
      <c r="E40"/>
      <c r="F40"/>
      <c r="G40"/>
      <c r="H40"/>
      <c r="I40"/>
      <c r="J40"/>
      <c r="K40"/>
      <c r="L40" s="9">
        <v>0.15169277787208557</v>
      </c>
      <c r="M40"/>
      <c r="N40"/>
      <c r="O40"/>
      <c r="P40"/>
      <c r="Q40"/>
      <c r="R40" s="9">
        <v>6.2130097299814224E-2</v>
      </c>
      <c r="S40" s="9">
        <v>7.2676792740821838E-2</v>
      </c>
      <c r="T40" s="9">
        <v>2.7738001197576523E-2</v>
      </c>
      <c r="U40"/>
      <c r="V40"/>
      <c r="W40"/>
      <c r="X40"/>
      <c r="Y40" s="9">
        <v>6.1055995523929596E-2</v>
      </c>
      <c r="Z40" s="9">
        <v>0.25210297107696533</v>
      </c>
      <c r="AA40"/>
      <c r="AB40" s="9">
        <v>1.1358720064163208</v>
      </c>
      <c r="AC40"/>
      <c r="AD40" s="9">
        <v>5.7655496597290039</v>
      </c>
      <c r="AE40"/>
      <c r="AF40" s="9">
        <v>7.5499996542930603E-2</v>
      </c>
      <c r="AG40" s="9">
        <v>1.0771199464797974</v>
      </c>
      <c r="AH40" s="9">
        <v>6.0933675765991211</v>
      </c>
      <c r="AI40"/>
      <c r="AJ40" s="9">
        <v>1.30304004997015E-2</v>
      </c>
      <c r="AK40" s="9">
        <v>10.72499942779541</v>
      </c>
      <c r="AL40" s="9">
        <v>125.07749938964844</v>
      </c>
      <c r="AM40" s="9">
        <v>15.292500495910645</v>
      </c>
      <c r="AN40" s="9">
        <v>21.084959030151367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/>
      <c r="C41">
        <v>0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167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168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4" t="s">
        <v>193</v>
      </c>
      <c r="E5">
        <v>4</v>
      </c>
      <c r="F5">
        <v>3.14</v>
      </c>
      <c r="G5">
        <v>4</v>
      </c>
      <c r="H5" s="195" t="s">
        <v>193</v>
      </c>
      <c r="J5" s="57"/>
      <c r="K5" s="58"/>
    </row>
    <row r="6" spans="1:12" ht="14" thickBot="1" x14ac:dyDescent="0.2">
      <c r="A6" s="41" t="s">
        <v>121</v>
      </c>
      <c r="D6" s="194" t="s">
        <v>194</v>
      </c>
      <c r="E6">
        <v>5</v>
      </c>
      <c r="F6">
        <v>3.14</v>
      </c>
      <c r="G6">
        <v>5</v>
      </c>
      <c r="H6" s="195" t="s">
        <v>194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4" t="s">
        <v>195</v>
      </c>
      <c r="E7">
        <v>6</v>
      </c>
      <c r="F7">
        <v>3.14</v>
      </c>
      <c r="G7">
        <v>6</v>
      </c>
      <c r="H7" s="195" t="s">
        <v>195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4" t="s">
        <v>196</v>
      </c>
      <c r="E8">
        <v>7</v>
      </c>
      <c r="F8">
        <v>3.14</v>
      </c>
      <c r="G8">
        <v>7</v>
      </c>
      <c r="H8" s="195" t="s">
        <v>196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4" t="s">
        <v>197</v>
      </c>
      <c r="E9">
        <v>8</v>
      </c>
      <c r="F9">
        <v>3.14</v>
      </c>
      <c r="G9">
        <v>8</v>
      </c>
      <c r="H9" s="195" t="s">
        <v>197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4" t="s">
        <v>198</v>
      </c>
      <c r="E10">
        <v>9</v>
      </c>
      <c r="F10">
        <v>3.14</v>
      </c>
      <c r="G10">
        <v>9</v>
      </c>
      <c r="H10" s="195" t="s">
        <v>198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4" t="s">
        <v>199</v>
      </c>
      <c r="E11">
        <v>10</v>
      </c>
      <c r="F11">
        <v>3.14</v>
      </c>
      <c r="G11">
        <v>10</v>
      </c>
      <c r="H11" s="195" t="s">
        <v>199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4" t="s">
        <v>200</v>
      </c>
      <c r="E12">
        <v>11</v>
      </c>
      <c r="F12">
        <v>3.14</v>
      </c>
      <c r="G12">
        <v>11</v>
      </c>
      <c r="H12" s="195" t="s">
        <v>200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4" t="s">
        <v>201</v>
      </c>
      <c r="E13">
        <v>12</v>
      </c>
      <c r="F13">
        <v>3.14</v>
      </c>
      <c r="G13">
        <v>12</v>
      </c>
      <c r="H13" s="195" t="s">
        <v>201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4" t="s">
        <v>202</v>
      </c>
      <c r="E14">
        <v>13</v>
      </c>
      <c r="F14">
        <v>3.14</v>
      </c>
      <c r="G14">
        <v>13</v>
      </c>
      <c r="H14" s="195" t="s">
        <v>202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4" t="s">
        <v>203</v>
      </c>
      <c r="E15">
        <v>14</v>
      </c>
      <c r="F15">
        <v>3.14</v>
      </c>
      <c r="G15">
        <v>14</v>
      </c>
      <c r="H15" s="195" t="s">
        <v>203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4" t="s">
        <v>204</v>
      </c>
      <c r="E16">
        <v>15</v>
      </c>
      <c r="F16">
        <v>3.14</v>
      </c>
      <c r="G16">
        <v>15</v>
      </c>
      <c r="H16" s="195" t="s">
        <v>204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4" t="s">
        <v>166</v>
      </c>
      <c r="E17">
        <v>16</v>
      </c>
      <c r="F17">
        <v>3.13</v>
      </c>
      <c r="G17">
        <v>16</v>
      </c>
      <c r="H17" s="195" t="s">
        <v>166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4" t="s">
        <v>205</v>
      </c>
      <c r="E18">
        <v>17</v>
      </c>
      <c r="F18">
        <v>3.24</v>
      </c>
      <c r="G18">
        <v>17</v>
      </c>
      <c r="H18" s="195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4" t="s">
        <v>206</v>
      </c>
      <c r="E19">
        <v>18</v>
      </c>
      <c r="F19">
        <v>3.14</v>
      </c>
      <c r="G19">
        <v>18</v>
      </c>
      <c r="H19" s="195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4" t="s">
        <v>207</v>
      </c>
      <c r="E20">
        <v>19</v>
      </c>
      <c r="F20">
        <v>3.04</v>
      </c>
      <c r="G20">
        <v>19</v>
      </c>
      <c r="H20" s="195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4" t="s">
        <v>208</v>
      </c>
      <c r="E21">
        <v>20</v>
      </c>
      <c r="F21">
        <v>3.24</v>
      </c>
      <c r="G21">
        <v>20</v>
      </c>
      <c r="H21" s="195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4" t="s">
        <v>209</v>
      </c>
      <c r="E22">
        <v>21</v>
      </c>
      <c r="F22">
        <v>3.14</v>
      </c>
      <c r="G22">
        <v>21</v>
      </c>
      <c r="H22" s="195" t="s">
        <v>209</v>
      </c>
    </row>
    <row r="23" spans="1:12" x14ac:dyDescent="0.15">
      <c r="A23" s="36" t="s">
        <v>129</v>
      </c>
      <c r="B23" s="44">
        <v>4</v>
      </c>
      <c r="C23" s="38"/>
      <c r="D23" s="194" t="s">
        <v>210</v>
      </c>
      <c r="E23">
        <v>22</v>
      </c>
      <c r="F23">
        <v>3.24</v>
      </c>
      <c r="G23">
        <v>22</v>
      </c>
      <c r="H23" s="195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4" t="s">
        <v>211</v>
      </c>
      <c r="E24">
        <v>23</v>
      </c>
      <c r="F24">
        <v>3.14</v>
      </c>
      <c r="G24">
        <v>23</v>
      </c>
      <c r="H24" s="195" t="s">
        <v>211</v>
      </c>
    </row>
    <row r="25" spans="1:12" x14ac:dyDescent="0.15">
      <c r="A25" s="36" t="s">
        <v>70</v>
      </c>
      <c r="B25" s="44">
        <v>4.2</v>
      </c>
      <c r="C25" s="38"/>
      <c r="D25" s="194" t="s">
        <v>212</v>
      </c>
      <c r="E25">
        <v>24</v>
      </c>
      <c r="F25">
        <v>3.24</v>
      </c>
      <c r="G25">
        <v>24</v>
      </c>
      <c r="H25" s="195" t="s">
        <v>212</v>
      </c>
    </row>
    <row r="26" spans="1:12" x14ac:dyDescent="0.15">
      <c r="A26" s="36" t="s">
        <v>123</v>
      </c>
      <c r="B26" s="44">
        <v>4.3</v>
      </c>
      <c r="C26" s="38"/>
      <c r="D26" s="194" t="s">
        <v>213</v>
      </c>
      <c r="E26">
        <v>25</v>
      </c>
      <c r="F26">
        <v>3.14</v>
      </c>
      <c r="G26">
        <v>25</v>
      </c>
      <c r="H26" s="195" t="s">
        <v>213</v>
      </c>
    </row>
    <row r="27" spans="1:12" x14ac:dyDescent="0.15">
      <c r="A27" s="36" t="s">
        <v>125</v>
      </c>
      <c r="B27" s="44">
        <v>6.1</v>
      </c>
      <c r="D27" s="194" t="s">
        <v>214</v>
      </c>
      <c r="E27">
        <v>26</v>
      </c>
      <c r="F27">
        <v>3.14</v>
      </c>
      <c r="G27">
        <v>26</v>
      </c>
      <c r="H27" s="195" t="s">
        <v>214</v>
      </c>
    </row>
    <row r="28" spans="1:12" x14ac:dyDescent="0.15">
      <c r="A28" s="36" t="s">
        <v>124</v>
      </c>
      <c r="B28" s="44">
        <v>6.2</v>
      </c>
      <c r="D28" s="194" t="s">
        <v>215</v>
      </c>
      <c r="E28">
        <v>27</v>
      </c>
      <c r="F28">
        <v>3.14</v>
      </c>
      <c r="G28">
        <v>27</v>
      </c>
      <c r="H28" s="195" t="s">
        <v>215</v>
      </c>
    </row>
    <row r="29" spans="1:12" x14ac:dyDescent="0.15">
      <c r="A29" s="36" t="s">
        <v>44</v>
      </c>
      <c r="B29" s="44">
        <v>5</v>
      </c>
      <c r="D29" s="194" t="s">
        <v>216</v>
      </c>
      <c r="E29">
        <v>28</v>
      </c>
      <c r="F29">
        <v>3.14</v>
      </c>
      <c r="G29">
        <v>28</v>
      </c>
      <c r="H29" s="195" t="s">
        <v>216</v>
      </c>
    </row>
    <row r="30" spans="1:12" x14ac:dyDescent="0.15">
      <c r="A30" s="36" t="s">
        <v>73</v>
      </c>
      <c r="B30" s="44">
        <v>7</v>
      </c>
      <c r="D30" s="194" t="s">
        <v>217</v>
      </c>
      <c r="E30">
        <v>29</v>
      </c>
      <c r="F30">
        <v>3.21</v>
      </c>
      <c r="G30">
        <v>29</v>
      </c>
      <c r="H30" s="195" t="s">
        <v>217</v>
      </c>
    </row>
    <row r="31" spans="1:12" x14ac:dyDescent="0.15">
      <c r="A31" s="36" t="s">
        <v>170</v>
      </c>
      <c r="B31" s="44">
        <v>3.14</v>
      </c>
      <c r="D31" s="194" t="s">
        <v>218</v>
      </c>
      <c r="E31">
        <v>30</v>
      </c>
      <c r="F31">
        <v>3.14</v>
      </c>
      <c r="G31">
        <v>30</v>
      </c>
      <c r="H31" s="195" t="s">
        <v>218</v>
      </c>
    </row>
    <row r="32" spans="1:12" ht="12" customHeight="1" thickBot="1" x14ac:dyDescent="0.2">
      <c r="A32" s="42" t="s">
        <v>171</v>
      </c>
      <c r="B32" s="45">
        <v>9</v>
      </c>
      <c r="D32" s="194" t="s">
        <v>219</v>
      </c>
      <c r="E32">
        <v>31</v>
      </c>
      <c r="F32">
        <v>3.24</v>
      </c>
      <c r="G32">
        <v>31</v>
      </c>
      <c r="H32" s="195" t="s">
        <v>219</v>
      </c>
    </row>
    <row r="33" spans="4:8" customFormat="1" ht="12" customHeight="1" x14ac:dyDescent="0.15">
      <c r="D33" s="194" t="s">
        <v>220</v>
      </c>
      <c r="E33">
        <v>32</v>
      </c>
      <c r="F33">
        <v>3.02</v>
      </c>
      <c r="G33">
        <v>32</v>
      </c>
      <c r="H33" s="195" t="s">
        <v>220</v>
      </c>
    </row>
    <row r="34" spans="4:8" customFormat="1" ht="12" customHeight="1" x14ac:dyDescent="0.15">
      <c r="D34" s="194" t="s">
        <v>221</v>
      </c>
      <c r="E34">
        <v>33</v>
      </c>
      <c r="F34">
        <v>3.14</v>
      </c>
      <c r="G34">
        <v>33</v>
      </c>
      <c r="H34" s="195" t="s">
        <v>221</v>
      </c>
    </row>
    <row r="35" spans="4:8" customFormat="1" x14ac:dyDescent="0.15">
      <c r="D35" s="194" t="s">
        <v>222</v>
      </c>
      <c r="E35">
        <v>34</v>
      </c>
      <c r="F35">
        <v>3.14</v>
      </c>
      <c r="G35">
        <v>34</v>
      </c>
      <c r="H35" s="195" t="s">
        <v>222</v>
      </c>
    </row>
    <row r="36" spans="4:8" customFormat="1" x14ac:dyDescent="0.15">
      <c r="D36" s="194" t="s">
        <v>223</v>
      </c>
      <c r="E36">
        <v>35</v>
      </c>
      <c r="F36">
        <v>3.14</v>
      </c>
      <c r="G36">
        <v>35</v>
      </c>
      <c r="H36" s="195" t="s">
        <v>223</v>
      </c>
    </row>
    <row r="37" spans="4:8" customFormat="1" ht="12" customHeight="1" x14ac:dyDescent="0.15">
      <c r="D37" s="194" t="s">
        <v>224</v>
      </c>
      <c r="E37">
        <v>36</v>
      </c>
      <c r="F37">
        <v>3.21</v>
      </c>
      <c r="G37">
        <v>36</v>
      </c>
      <c r="H37" s="195" t="s">
        <v>224</v>
      </c>
    </row>
    <row r="38" spans="4:8" customFormat="1" x14ac:dyDescent="0.15">
      <c r="D38" s="194" t="s">
        <v>225</v>
      </c>
      <c r="E38">
        <v>37</v>
      </c>
      <c r="F38">
        <v>3.21</v>
      </c>
      <c r="G38">
        <v>37</v>
      </c>
      <c r="H38" s="195" t="s">
        <v>225</v>
      </c>
    </row>
    <row r="39" spans="4:8" customFormat="1" x14ac:dyDescent="0.15">
      <c r="D39" s="194" t="s">
        <v>226</v>
      </c>
      <c r="E39">
        <v>38</v>
      </c>
      <c r="F39">
        <v>3.11</v>
      </c>
      <c r="G39">
        <v>38</v>
      </c>
      <c r="H39" s="195" t="s">
        <v>226</v>
      </c>
    </row>
    <row r="40" spans="4:8" customFormat="1" x14ac:dyDescent="0.15">
      <c r="D40" s="194" t="s">
        <v>227</v>
      </c>
      <c r="E40">
        <v>39</v>
      </c>
      <c r="F40">
        <v>3.01</v>
      </c>
      <c r="G40">
        <v>39</v>
      </c>
      <c r="H40" s="195" t="s">
        <v>227</v>
      </c>
    </row>
    <row r="41" spans="4:8" customFormat="1" x14ac:dyDescent="0.15">
      <c r="D41" s="194" t="s">
        <v>228</v>
      </c>
      <c r="E41">
        <v>40</v>
      </c>
      <c r="F41">
        <v>2.1</v>
      </c>
      <c r="G41">
        <v>40</v>
      </c>
      <c r="H41" s="195" t="s">
        <v>228</v>
      </c>
    </row>
    <row r="42" spans="4:8" customFormat="1" x14ac:dyDescent="0.15">
      <c r="D42" s="194" t="s">
        <v>229</v>
      </c>
      <c r="E42">
        <v>41</v>
      </c>
      <c r="F42">
        <v>2.2000000000000002</v>
      </c>
      <c r="G42">
        <v>41</v>
      </c>
      <c r="H42" s="195" t="s">
        <v>229</v>
      </c>
    </row>
    <row r="43" spans="4:8" customFormat="1" x14ac:dyDescent="0.15">
      <c r="D43" s="194" t="s">
        <v>230</v>
      </c>
      <c r="E43">
        <v>42</v>
      </c>
      <c r="F43">
        <v>4.0999999999999996</v>
      </c>
      <c r="G43">
        <v>42</v>
      </c>
      <c r="H43" s="195" t="s">
        <v>230</v>
      </c>
    </row>
    <row r="44" spans="4:8" customFormat="1" x14ac:dyDescent="0.15">
      <c r="D44" s="194" t="s">
        <v>231</v>
      </c>
      <c r="E44">
        <v>43</v>
      </c>
      <c r="F44">
        <v>4.3</v>
      </c>
      <c r="G44">
        <v>43</v>
      </c>
      <c r="H44" s="195" t="s">
        <v>231</v>
      </c>
    </row>
    <row r="45" spans="4:8" customFormat="1" x14ac:dyDescent="0.15">
      <c r="D45" s="194" t="s">
        <v>232</v>
      </c>
      <c r="E45">
        <v>44</v>
      </c>
      <c r="F45">
        <v>5</v>
      </c>
      <c r="G45">
        <v>44</v>
      </c>
      <c r="H45" s="195" t="s">
        <v>232</v>
      </c>
    </row>
    <row r="46" spans="4:8" customFormat="1" x14ac:dyDescent="0.15">
      <c r="D46" s="194" t="s">
        <v>138</v>
      </c>
      <c r="E46">
        <v>45</v>
      </c>
      <c r="F46">
        <v>6.1</v>
      </c>
      <c r="G46">
        <v>45</v>
      </c>
      <c r="H46" s="195" t="s">
        <v>138</v>
      </c>
    </row>
    <row r="47" spans="4:8" customFormat="1" x14ac:dyDescent="0.15">
      <c r="D47" s="194" t="s">
        <v>45</v>
      </c>
      <c r="E47">
        <v>46</v>
      </c>
      <c r="F47">
        <v>6.2</v>
      </c>
      <c r="G47">
        <v>46</v>
      </c>
      <c r="H47" s="195" t="s">
        <v>45</v>
      </c>
    </row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2.83203125" style="82" bestFit="1" customWidth="1"/>
    <col min="2" max="3" width="12.83203125" style="81" customWidth="1"/>
    <col min="4" max="4" width="7.83203125" style="81" customWidth="1"/>
    <col min="5" max="5" width="12.83203125" style="81" customWidth="1"/>
    <col min="6" max="6" width="21.6640625" style="81" bestFit="1" customWidth="1"/>
    <col min="7" max="9" width="2.33203125" style="81" customWidth="1"/>
    <col min="10" max="10" width="2.33203125" style="81" bestFit="1" customWidth="1"/>
    <col min="11" max="15" width="2.33203125" style="81" customWidth="1"/>
    <col min="16" max="16" width="2.33203125" style="71" customWidth="1"/>
    <col min="17" max="17" width="2.33203125" style="81" customWidth="1"/>
    <col min="18" max="18" width="2.33203125" style="72" customWidth="1"/>
    <col min="19" max="16384" width="11.5" style="81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3" t="s">
        <v>48</v>
      </c>
      <c r="L1" s="72"/>
      <c r="M1" s="83" t="s">
        <v>119</v>
      </c>
      <c r="N1" s="72"/>
      <c r="O1" s="83" t="s">
        <v>49</v>
      </c>
      <c r="P1" s="75"/>
      <c r="Q1" s="83" t="s">
        <v>50</v>
      </c>
      <c r="R1" s="69" t="s">
        <v>154</v>
      </c>
    </row>
    <row r="2" spans="1:23" ht="15" customHeight="1" x14ac:dyDescent="0.15">
      <c r="A2" s="83" t="s">
        <v>51</v>
      </c>
      <c r="B2" s="84">
        <v>0.5</v>
      </c>
      <c r="C2" s="82" t="s">
        <v>52</v>
      </c>
      <c r="D2" s="85"/>
      <c r="F2" s="1"/>
      <c r="G2" s="86"/>
      <c r="H2" s="86"/>
      <c r="I2" s="86" t="s">
        <v>133</v>
      </c>
      <c r="J2" s="86" t="s">
        <v>133</v>
      </c>
      <c r="K2" s="86" t="s">
        <v>52</v>
      </c>
      <c r="L2" s="86" t="s">
        <v>53</v>
      </c>
      <c r="M2" s="86" t="s">
        <v>52</v>
      </c>
      <c r="N2" s="86" t="s">
        <v>53</v>
      </c>
      <c r="O2" s="86" t="s">
        <v>52</v>
      </c>
      <c r="P2" s="87" t="s">
        <v>53</v>
      </c>
      <c r="Q2" s="86"/>
      <c r="R2" s="88" t="s">
        <v>155</v>
      </c>
    </row>
    <row r="3" spans="1:23" ht="15" customHeight="1" thickBot="1" x14ac:dyDescent="0.2">
      <c r="A3" s="83" t="s">
        <v>54</v>
      </c>
      <c r="B3" s="89">
        <v>0.5</v>
      </c>
      <c r="C3" s="82" t="s">
        <v>53</v>
      </c>
      <c r="D3" s="8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6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6">
        <v>0</v>
      </c>
      <c r="R4" s="109">
        <v>0</v>
      </c>
    </row>
    <row r="5" spans="1:23" ht="15" customHeight="1" x14ac:dyDescent="0.15">
      <c r="A5" s="83" t="s">
        <v>55</v>
      </c>
      <c r="B5" s="90">
        <v>0.5</v>
      </c>
      <c r="C5" s="82" t="s">
        <v>52</v>
      </c>
      <c r="D5" s="8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6">
        <v>0</v>
      </c>
      <c r="R5" s="109">
        <v>0</v>
      </c>
    </row>
    <row r="6" spans="1:23" ht="15" customHeight="1" thickBot="1" x14ac:dyDescent="0.2">
      <c r="A6" s="83"/>
      <c r="B6" s="91">
        <v>0.5</v>
      </c>
      <c r="C6" s="82" t="s">
        <v>53</v>
      </c>
      <c r="D6" s="85"/>
      <c r="F6" s="196" t="s">
        <v>193</v>
      </c>
      <c r="G6" s="81">
        <v>0</v>
      </c>
      <c r="H6" s="81">
        <v>0</v>
      </c>
      <c r="I6" s="81">
        <v>0</v>
      </c>
      <c r="J6" s="81">
        <v>0</v>
      </c>
      <c r="K6" s="81">
        <v>1</v>
      </c>
      <c r="L6" s="81">
        <v>0</v>
      </c>
      <c r="M6" s="81">
        <v>1</v>
      </c>
      <c r="N6" s="81">
        <v>0</v>
      </c>
      <c r="O6" s="81">
        <v>1</v>
      </c>
      <c r="P6" s="71">
        <v>0</v>
      </c>
      <c r="Q6" s="81">
        <v>0</v>
      </c>
      <c r="R6" s="72">
        <v>1</v>
      </c>
      <c r="S6"/>
      <c r="T6"/>
    </row>
    <row r="7" spans="1:23" ht="15" customHeight="1" thickBot="1" x14ac:dyDescent="0.2">
      <c r="F7" s="196" t="s">
        <v>194</v>
      </c>
      <c r="G7" s="81">
        <v>0</v>
      </c>
      <c r="H7" s="81">
        <v>0</v>
      </c>
      <c r="I7" s="81">
        <v>0</v>
      </c>
      <c r="J7" s="81">
        <v>0</v>
      </c>
      <c r="K7" s="81">
        <v>1</v>
      </c>
      <c r="L7" s="81">
        <v>0</v>
      </c>
      <c r="M7" s="81">
        <v>1</v>
      </c>
      <c r="N7" s="81">
        <v>0</v>
      </c>
      <c r="O7" s="81">
        <v>1</v>
      </c>
      <c r="P7" s="71">
        <v>0</v>
      </c>
      <c r="Q7" s="81">
        <v>0</v>
      </c>
      <c r="R7" s="72">
        <v>1</v>
      </c>
      <c r="S7"/>
      <c r="T7"/>
    </row>
    <row r="8" spans="1:23" ht="15" customHeight="1" x14ac:dyDescent="0.15">
      <c r="A8" s="83" t="s">
        <v>56</v>
      </c>
      <c r="B8" s="90">
        <v>0.86976749463841951</v>
      </c>
      <c r="C8" s="197" t="s">
        <v>228</v>
      </c>
      <c r="D8" s="85" t="s">
        <v>160</v>
      </c>
      <c r="F8" s="196" t="s">
        <v>195</v>
      </c>
      <c r="G8" s="81">
        <v>0</v>
      </c>
      <c r="H8" s="81">
        <v>0</v>
      </c>
      <c r="I8" s="81">
        <v>0</v>
      </c>
      <c r="J8" s="81">
        <v>0</v>
      </c>
      <c r="K8" s="81">
        <v>1</v>
      </c>
      <c r="L8" s="81">
        <v>0</v>
      </c>
      <c r="M8" s="81">
        <v>1</v>
      </c>
      <c r="N8" s="81">
        <v>0</v>
      </c>
      <c r="O8" s="81">
        <v>1</v>
      </c>
      <c r="P8" s="71">
        <v>0</v>
      </c>
      <c r="Q8" s="81">
        <v>0</v>
      </c>
      <c r="R8" s="72">
        <v>1</v>
      </c>
      <c r="S8"/>
      <c r="T8"/>
      <c r="W8"/>
    </row>
    <row r="9" spans="1:23" ht="15" customHeight="1" x14ac:dyDescent="0.15">
      <c r="A9" s="123" t="s">
        <v>169</v>
      </c>
      <c r="B9" s="92">
        <v>0.13023250536158043</v>
      </c>
      <c r="C9" s="197" t="s">
        <v>229</v>
      </c>
      <c r="D9" s="85" t="s">
        <v>160</v>
      </c>
      <c r="F9" s="196" t="s">
        <v>196</v>
      </c>
      <c r="G9" s="81">
        <v>0</v>
      </c>
      <c r="H9" s="81">
        <v>0</v>
      </c>
      <c r="I9" s="81">
        <v>0</v>
      </c>
      <c r="J9" s="81">
        <v>0</v>
      </c>
      <c r="K9" s="81">
        <v>1</v>
      </c>
      <c r="L9" s="81">
        <v>0</v>
      </c>
      <c r="M9" s="81">
        <v>1</v>
      </c>
      <c r="N9" s="81">
        <v>0</v>
      </c>
      <c r="O9" s="81">
        <v>1</v>
      </c>
      <c r="P9" s="71">
        <v>0</v>
      </c>
      <c r="Q9" s="81">
        <v>0</v>
      </c>
      <c r="R9" s="72">
        <v>1</v>
      </c>
      <c r="S9"/>
      <c r="T9"/>
      <c r="W9"/>
    </row>
    <row r="10" spans="1:23" ht="15" customHeight="1" x14ac:dyDescent="0.15">
      <c r="B10" s="92"/>
      <c r="C10" s="80"/>
      <c r="D10" s="85" t="s">
        <v>160</v>
      </c>
      <c r="F10" s="196" t="s">
        <v>197</v>
      </c>
      <c r="G10" s="81">
        <v>0</v>
      </c>
      <c r="H10" s="81">
        <v>0</v>
      </c>
      <c r="I10" s="81">
        <v>0</v>
      </c>
      <c r="J10" s="81">
        <v>0</v>
      </c>
      <c r="K10" s="81">
        <v>1</v>
      </c>
      <c r="L10" s="81">
        <v>0</v>
      </c>
      <c r="M10" s="81">
        <v>1</v>
      </c>
      <c r="N10" s="81">
        <v>0</v>
      </c>
      <c r="O10" s="81">
        <v>1</v>
      </c>
      <c r="P10" s="71">
        <v>0</v>
      </c>
      <c r="Q10" s="81">
        <v>0</v>
      </c>
      <c r="R10" s="72">
        <v>1</v>
      </c>
      <c r="S10"/>
      <c r="T10"/>
      <c r="W10"/>
    </row>
    <row r="11" spans="1:23" ht="15" customHeight="1" x14ac:dyDescent="0.15">
      <c r="A11" s="83"/>
      <c r="B11" s="92"/>
      <c r="C11" s="95"/>
      <c r="D11" s="85" t="s">
        <v>160</v>
      </c>
      <c r="F11" s="196" t="s">
        <v>198</v>
      </c>
      <c r="G11" s="81">
        <v>0</v>
      </c>
      <c r="H11" s="81">
        <v>0</v>
      </c>
      <c r="I11" s="81">
        <v>0</v>
      </c>
      <c r="J11" s="81">
        <v>0</v>
      </c>
      <c r="K11" s="81">
        <v>1</v>
      </c>
      <c r="L11" s="81">
        <v>0</v>
      </c>
      <c r="M11" s="81">
        <v>1</v>
      </c>
      <c r="N11" s="81">
        <v>0</v>
      </c>
      <c r="O11" s="81">
        <v>1</v>
      </c>
      <c r="P11" s="71">
        <v>0</v>
      </c>
      <c r="Q11" s="81">
        <v>0</v>
      </c>
      <c r="R11" s="72">
        <v>1</v>
      </c>
      <c r="S11"/>
      <c r="T11"/>
      <c r="W11"/>
    </row>
    <row r="12" spans="1:23" ht="15" customHeight="1" x14ac:dyDescent="0.15">
      <c r="B12" s="92"/>
      <c r="C12" s="96"/>
      <c r="D12" s="85" t="s">
        <v>160</v>
      </c>
      <c r="F12" s="196" t="s">
        <v>199</v>
      </c>
      <c r="G12" s="81">
        <v>0</v>
      </c>
      <c r="H12" s="81">
        <v>0</v>
      </c>
      <c r="I12" s="81">
        <v>0</v>
      </c>
      <c r="J12" s="81">
        <v>0</v>
      </c>
      <c r="K12" s="81">
        <v>1</v>
      </c>
      <c r="L12" s="81">
        <v>0</v>
      </c>
      <c r="M12" s="81">
        <v>1</v>
      </c>
      <c r="N12" s="81">
        <v>0</v>
      </c>
      <c r="O12" s="81">
        <v>1</v>
      </c>
      <c r="P12" s="71">
        <v>0</v>
      </c>
      <c r="Q12" s="81">
        <v>0</v>
      </c>
      <c r="R12" s="72">
        <v>1</v>
      </c>
      <c r="S12"/>
      <c r="T12"/>
      <c r="W12"/>
    </row>
    <row r="13" spans="1:23" ht="15" customHeight="1" x14ac:dyDescent="0.15">
      <c r="B13" s="92"/>
      <c r="C13" s="96"/>
      <c r="D13" s="85" t="s">
        <v>160</v>
      </c>
      <c r="F13" s="196" t="s">
        <v>200</v>
      </c>
      <c r="G13" s="81">
        <v>0</v>
      </c>
      <c r="H13" s="81">
        <v>0</v>
      </c>
      <c r="I13" s="81">
        <v>0</v>
      </c>
      <c r="J13" s="81">
        <v>0</v>
      </c>
      <c r="K13" s="81">
        <v>1</v>
      </c>
      <c r="L13" s="81">
        <v>0</v>
      </c>
      <c r="M13" s="81">
        <v>1</v>
      </c>
      <c r="N13" s="81">
        <v>0</v>
      </c>
      <c r="O13" s="81">
        <v>1</v>
      </c>
      <c r="P13" s="71">
        <v>0</v>
      </c>
      <c r="Q13" s="81">
        <v>0</v>
      </c>
      <c r="R13" s="72">
        <v>1</v>
      </c>
      <c r="S13"/>
      <c r="T13"/>
      <c r="W13"/>
    </row>
    <row r="14" spans="1:23" ht="15" customHeight="1" x14ac:dyDescent="0.15">
      <c r="B14" s="92"/>
      <c r="C14" s="80"/>
      <c r="D14" s="85" t="s">
        <v>160</v>
      </c>
      <c r="F14" s="196" t="s">
        <v>201</v>
      </c>
      <c r="G14" s="81">
        <v>0</v>
      </c>
      <c r="H14" s="81">
        <v>0</v>
      </c>
      <c r="I14" s="81">
        <v>0</v>
      </c>
      <c r="J14" s="81">
        <v>0</v>
      </c>
      <c r="K14" s="81">
        <v>1</v>
      </c>
      <c r="L14" s="81">
        <v>0</v>
      </c>
      <c r="M14" s="81">
        <v>1</v>
      </c>
      <c r="N14" s="81">
        <v>0</v>
      </c>
      <c r="O14" s="81">
        <v>1</v>
      </c>
      <c r="P14" s="71">
        <v>0</v>
      </c>
      <c r="Q14" s="81">
        <v>0</v>
      </c>
      <c r="R14" s="72">
        <v>1</v>
      </c>
      <c r="S14"/>
      <c r="T14"/>
      <c r="W14"/>
    </row>
    <row r="15" spans="1:23" ht="15" customHeight="1" x14ac:dyDescent="0.15">
      <c r="B15" s="92"/>
      <c r="C15" s="80"/>
      <c r="D15" s="85" t="s">
        <v>160</v>
      </c>
      <c r="F15" s="196" t="s">
        <v>202</v>
      </c>
      <c r="G15" s="81">
        <v>0</v>
      </c>
      <c r="H15" s="81">
        <v>0</v>
      </c>
      <c r="I15" s="81">
        <v>0</v>
      </c>
      <c r="J15" s="81">
        <v>0</v>
      </c>
      <c r="K15" s="81">
        <v>1</v>
      </c>
      <c r="L15" s="81">
        <v>0</v>
      </c>
      <c r="M15" s="81">
        <v>1</v>
      </c>
      <c r="N15" s="81">
        <v>0</v>
      </c>
      <c r="O15" s="81">
        <v>1</v>
      </c>
      <c r="P15" s="71">
        <v>0</v>
      </c>
      <c r="Q15" s="81">
        <v>0</v>
      </c>
      <c r="R15" s="72">
        <v>1</v>
      </c>
      <c r="S15"/>
      <c r="T15"/>
      <c r="W15"/>
    </row>
    <row r="16" spans="1:23" ht="15" customHeight="1" x14ac:dyDescent="0.15">
      <c r="B16" s="92"/>
      <c r="C16" s="80"/>
      <c r="D16" s="85" t="s">
        <v>160</v>
      </c>
      <c r="F16" s="196" t="s">
        <v>203</v>
      </c>
      <c r="G16" s="81">
        <v>0</v>
      </c>
      <c r="H16" s="81">
        <v>0</v>
      </c>
      <c r="I16" s="81">
        <v>0</v>
      </c>
      <c r="J16" s="81">
        <v>0</v>
      </c>
      <c r="K16" s="81">
        <v>1</v>
      </c>
      <c r="L16" s="81">
        <v>0</v>
      </c>
      <c r="M16" s="81">
        <v>1</v>
      </c>
      <c r="N16" s="81">
        <v>0</v>
      </c>
      <c r="O16" s="81">
        <v>1</v>
      </c>
      <c r="P16" s="71">
        <v>0</v>
      </c>
      <c r="Q16" s="81">
        <v>0</v>
      </c>
      <c r="R16" s="72">
        <v>1</v>
      </c>
      <c r="S16"/>
      <c r="T16"/>
    </row>
    <row r="17" spans="1:20" ht="15" customHeight="1" thickBot="1" x14ac:dyDescent="0.2">
      <c r="B17" s="91"/>
      <c r="C17" s="80"/>
      <c r="D17" s="85" t="s">
        <v>160</v>
      </c>
      <c r="F17" s="196" t="s">
        <v>204</v>
      </c>
      <c r="G17" s="81">
        <v>0</v>
      </c>
      <c r="H17" s="81">
        <v>0</v>
      </c>
      <c r="I17" s="81">
        <v>0</v>
      </c>
      <c r="J17" s="81">
        <v>0</v>
      </c>
      <c r="K17" s="81">
        <v>1</v>
      </c>
      <c r="L17" s="81">
        <v>0</v>
      </c>
      <c r="M17" s="81">
        <v>1</v>
      </c>
      <c r="N17" s="81">
        <v>0</v>
      </c>
      <c r="O17" s="81">
        <v>1</v>
      </c>
      <c r="P17" s="71">
        <v>0</v>
      </c>
      <c r="Q17" s="81">
        <v>0</v>
      </c>
      <c r="R17" s="72">
        <v>1</v>
      </c>
      <c r="S17"/>
      <c r="T17"/>
    </row>
    <row r="18" spans="1:20" ht="15" customHeight="1" thickBot="1" x14ac:dyDescent="0.2">
      <c r="B18" s="93"/>
      <c r="F18" s="196" t="s">
        <v>166</v>
      </c>
      <c r="G18" s="81">
        <v>0</v>
      </c>
      <c r="H18" s="81">
        <v>0</v>
      </c>
      <c r="I18" s="81">
        <v>0</v>
      </c>
      <c r="J18" s="81">
        <v>0</v>
      </c>
      <c r="K18" s="81">
        <v>1</v>
      </c>
      <c r="L18" s="81">
        <v>0</v>
      </c>
      <c r="M18" s="81">
        <v>1</v>
      </c>
      <c r="N18" s="81">
        <v>0</v>
      </c>
      <c r="O18" s="81">
        <v>1</v>
      </c>
      <c r="P18" s="71">
        <v>0</v>
      </c>
      <c r="Q18" s="81">
        <v>0</v>
      </c>
      <c r="R18" s="72">
        <v>1</v>
      </c>
      <c r="S18"/>
      <c r="T18"/>
    </row>
    <row r="19" spans="1:20" ht="15" customHeight="1" x14ac:dyDescent="0.15">
      <c r="A19" s="83" t="s">
        <v>57</v>
      </c>
      <c r="B19" s="90">
        <v>0.86976749463841951</v>
      </c>
      <c r="C19" s="198" t="s">
        <v>228</v>
      </c>
      <c r="D19" s="85" t="s">
        <v>160</v>
      </c>
      <c r="F19" s="196" t="s">
        <v>205</v>
      </c>
      <c r="G19" s="81">
        <v>0</v>
      </c>
      <c r="H19" s="81">
        <v>0</v>
      </c>
      <c r="I19" s="81">
        <v>0</v>
      </c>
      <c r="J19" s="81">
        <v>0</v>
      </c>
      <c r="K19" s="81">
        <v>1</v>
      </c>
      <c r="L19" s="81">
        <v>0</v>
      </c>
      <c r="M19" s="81">
        <v>1</v>
      </c>
      <c r="N19" s="81">
        <v>0</v>
      </c>
      <c r="O19" s="81">
        <v>1</v>
      </c>
      <c r="P19" s="71">
        <v>0</v>
      </c>
      <c r="Q19" s="81">
        <v>0</v>
      </c>
      <c r="R19" s="72">
        <v>1</v>
      </c>
      <c r="S19"/>
      <c r="T19"/>
    </row>
    <row r="20" spans="1:20" ht="15" customHeight="1" x14ac:dyDescent="0.15">
      <c r="A20" s="123" t="s">
        <v>169</v>
      </c>
      <c r="B20" s="92">
        <v>0.13023250536158043</v>
      </c>
      <c r="C20" s="198" t="s">
        <v>229</v>
      </c>
      <c r="D20" s="85" t="s">
        <v>160</v>
      </c>
      <c r="F20" s="196" t="s">
        <v>206</v>
      </c>
      <c r="G20" s="81">
        <v>0</v>
      </c>
      <c r="H20" s="81">
        <v>0</v>
      </c>
      <c r="I20" s="81">
        <v>0</v>
      </c>
      <c r="J20" s="81">
        <v>0</v>
      </c>
      <c r="K20" s="81">
        <v>1</v>
      </c>
      <c r="L20" s="81">
        <v>0</v>
      </c>
      <c r="M20" s="81">
        <v>1</v>
      </c>
      <c r="N20" s="81">
        <v>0</v>
      </c>
      <c r="O20" s="81">
        <v>1</v>
      </c>
      <c r="P20" s="71">
        <v>0</v>
      </c>
      <c r="Q20" s="81">
        <v>0</v>
      </c>
      <c r="R20" s="72">
        <v>1</v>
      </c>
      <c r="S20"/>
      <c r="T20"/>
    </row>
    <row r="21" spans="1:20" ht="15" customHeight="1" x14ac:dyDescent="0.15">
      <c r="B21" s="92"/>
      <c r="C21" s="80"/>
      <c r="D21" s="85" t="s">
        <v>160</v>
      </c>
      <c r="F21" s="196" t="s">
        <v>207</v>
      </c>
      <c r="G21" s="81">
        <v>0</v>
      </c>
      <c r="H21" s="81">
        <v>0</v>
      </c>
      <c r="I21" s="81">
        <v>0</v>
      </c>
      <c r="J21" s="81">
        <v>0</v>
      </c>
      <c r="K21" s="81">
        <v>1</v>
      </c>
      <c r="L21" s="81">
        <v>0</v>
      </c>
      <c r="M21" s="81">
        <v>1</v>
      </c>
      <c r="N21" s="81">
        <v>0</v>
      </c>
      <c r="O21" s="81">
        <v>1</v>
      </c>
      <c r="P21" s="71">
        <v>0</v>
      </c>
      <c r="Q21" s="81">
        <v>0</v>
      </c>
      <c r="R21" s="72">
        <v>1</v>
      </c>
      <c r="S21"/>
      <c r="T21"/>
    </row>
    <row r="22" spans="1:20" ht="15" customHeight="1" x14ac:dyDescent="0.15">
      <c r="A22" s="81"/>
      <c r="B22" s="92"/>
      <c r="C22" s="95"/>
      <c r="D22" s="85" t="s">
        <v>160</v>
      </c>
      <c r="F22" s="196" t="s">
        <v>208</v>
      </c>
      <c r="G22" s="81">
        <v>0</v>
      </c>
      <c r="H22" s="81">
        <v>0</v>
      </c>
      <c r="I22" s="81">
        <v>0</v>
      </c>
      <c r="J22" s="81">
        <v>0</v>
      </c>
      <c r="K22" s="81">
        <v>1</v>
      </c>
      <c r="L22" s="81">
        <v>0</v>
      </c>
      <c r="M22" s="81">
        <v>1</v>
      </c>
      <c r="N22" s="81">
        <v>0</v>
      </c>
      <c r="O22" s="81">
        <v>1</v>
      </c>
      <c r="P22" s="71">
        <v>0</v>
      </c>
      <c r="Q22" s="81">
        <v>0</v>
      </c>
      <c r="R22" s="72">
        <v>1</v>
      </c>
      <c r="S22"/>
      <c r="T22"/>
    </row>
    <row r="23" spans="1:20" ht="15" customHeight="1" x14ac:dyDescent="0.15">
      <c r="A23" s="81"/>
      <c r="B23" s="92"/>
      <c r="C23" s="96"/>
      <c r="D23" s="85" t="s">
        <v>160</v>
      </c>
      <c r="F23" s="196" t="s">
        <v>209</v>
      </c>
      <c r="G23" s="81">
        <v>0</v>
      </c>
      <c r="H23" s="81">
        <v>0</v>
      </c>
      <c r="I23" s="81">
        <v>0</v>
      </c>
      <c r="J23" s="81">
        <v>0</v>
      </c>
      <c r="K23" s="81">
        <v>1</v>
      </c>
      <c r="L23" s="81">
        <v>0</v>
      </c>
      <c r="M23" s="81">
        <v>1</v>
      </c>
      <c r="N23" s="81">
        <v>0</v>
      </c>
      <c r="O23" s="81">
        <v>1</v>
      </c>
      <c r="P23" s="71">
        <v>0</v>
      </c>
      <c r="Q23" s="81">
        <v>0</v>
      </c>
      <c r="R23" s="72">
        <v>1</v>
      </c>
      <c r="S23"/>
      <c r="T23"/>
    </row>
    <row r="24" spans="1:20" ht="15" customHeight="1" x14ac:dyDescent="0.15">
      <c r="A24" s="81"/>
      <c r="B24" s="92"/>
      <c r="C24" s="96"/>
      <c r="D24" s="85" t="s">
        <v>160</v>
      </c>
      <c r="F24" s="196" t="s">
        <v>210</v>
      </c>
      <c r="G24" s="81">
        <v>0</v>
      </c>
      <c r="H24" s="81">
        <v>0</v>
      </c>
      <c r="I24" s="81">
        <v>0</v>
      </c>
      <c r="J24" s="81">
        <v>0</v>
      </c>
      <c r="K24" s="81">
        <v>1</v>
      </c>
      <c r="L24" s="81">
        <v>0</v>
      </c>
      <c r="M24" s="81">
        <v>1</v>
      </c>
      <c r="N24" s="81">
        <v>0</v>
      </c>
      <c r="O24" s="81">
        <v>1</v>
      </c>
      <c r="P24" s="71">
        <v>0</v>
      </c>
      <c r="Q24" s="81">
        <v>0</v>
      </c>
      <c r="R24" s="72">
        <v>1</v>
      </c>
      <c r="S24"/>
      <c r="T24"/>
    </row>
    <row r="25" spans="1:20" ht="15" customHeight="1" x14ac:dyDescent="0.15">
      <c r="A25" s="81"/>
      <c r="B25" s="92"/>
      <c r="C25" s="80"/>
      <c r="D25" s="85" t="s">
        <v>160</v>
      </c>
      <c r="F25" s="196" t="s">
        <v>211</v>
      </c>
      <c r="G25" s="81">
        <v>0</v>
      </c>
      <c r="H25" s="81">
        <v>0</v>
      </c>
      <c r="I25" s="81">
        <v>0</v>
      </c>
      <c r="J25" s="81">
        <v>0</v>
      </c>
      <c r="K25" s="81">
        <v>1</v>
      </c>
      <c r="L25" s="81">
        <v>0</v>
      </c>
      <c r="M25" s="81">
        <v>1</v>
      </c>
      <c r="N25" s="81">
        <v>0</v>
      </c>
      <c r="O25" s="81">
        <v>1</v>
      </c>
      <c r="P25" s="71">
        <v>0</v>
      </c>
      <c r="Q25" s="81">
        <v>0</v>
      </c>
      <c r="R25" s="72">
        <v>1</v>
      </c>
      <c r="S25"/>
      <c r="T25"/>
    </row>
    <row r="26" spans="1:20" ht="15" customHeight="1" x14ac:dyDescent="0.15">
      <c r="B26" s="92"/>
      <c r="C26" s="80"/>
      <c r="D26" s="85" t="s">
        <v>160</v>
      </c>
      <c r="F26" s="196" t="s">
        <v>212</v>
      </c>
      <c r="G26" s="81">
        <v>0</v>
      </c>
      <c r="H26" s="81">
        <v>0</v>
      </c>
      <c r="I26" s="81">
        <v>0</v>
      </c>
      <c r="J26" s="81">
        <v>0</v>
      </c>
      <c r="K26" s="81">
        <v>1</v>
      </c>
      <c r="L26" s="81">
        <v>0</v>
      </c>
      <c r="M26" s="81">
        <v>1</v>
      </c>
      <c r="N26" s="81">
        <v>0</v>
      </c>
      <c r="O26" s="81">
        <v>1</v>
      </c>
      <c r="P26" s="71">
        <v>0</v>
      </c>
      <c r="Q26" s="81">
        <v>0</v>
      </c>
      <c r="R26" s="72">
        <v>1</v>
      </c>
      <c r="S26"/>
      <c r="T26"/>
    </row>
    <row r="27" spans="1:20" ht="15" customHeight="1" x14ac:dyDescent="0.15">
      <c r="B27" s="92"/>
      <c r="C27" s="80"/>
      <c r="D27" s="85" t="s">
        <v>160</v>
      </c>
      <c r="F27" s="196" t="s">
        <v>213</v>
      </c>
      <c r="G27" s="81">
        <v>0</v>
      </c>
      <c r="H27" s="81">
        <v>0</v>
      </c>
      <c r="I27" s="81">
        <v>0</v>
      </c>
      <c r="J27" s="81">
        <v>0</v>
      </c>
      <c r="K27" s="81">
        <v>1</v>
      </c>
      <c r="L27" s="81">
        <v>0</v>
      </c>
      <c r="M27" s="81">
        <v>1</v>
      </c>
      <c r="N27" s="81">
        <v>0</v>
      </c>
      <c r="O27" s="81">
        <v>1</v>
      </c>
      <c r="P27" s="71">
        <v>0</v>
      </c>
      <c r="Q27" s="81">
        <v>0</v>
      </c>
      <c r="R27" s="72">
        <v>1</v>
      </c>
      <c r="S27"/>
      <c r="T27"/>
    </row>
    <row r="28" spans="1:20" ht="15" customHeight="1" thickBot="1" x14ac:dyDescent="0.2">
      <c r="B28" s="91"/>
      <c r="C28" s="80"/>
      <c r="D28" s="85" t="s">
        <v>160</v>
      </c>
      <c r="F28" s="196" t="s">
        <v>214</v>
      </c>
      <c r="G28" s="81">
        <v>0</v>
      </c>
      <c r="H28" s="81">
        <v>0</v>
      </c>
      <c r="I28" s="81">
        <v>0</v>
      </c>
      <c r="J28" s="81">
        <v>0</v>
      </c>
      <c r="K28" s="81">
        <v>1</v>
      </c>
      <c r="L28" s="81">
        <v>0</v>
      </c>
      <c r="M28" s="81">
        <v>1</v>
      </c>
      <c r="N28" s="81">
        <v>0</v>
      </c>
      <c r="O28" s="81">
        <v>1</v>
      </c>
      <c r="P28" s="71">
        <v>0</v>
      </c>
      <c r="Q28" s="81">
        <v>0</v>
      </c>
      <c r="R28" s="72">
        <v>1</v>
      </c>
      <c r="S28"/>
      <c r="T28"/>
    </row>
    <row r="29" spans="1:20" ht="15" customHeight="1" x14ac:dyDescent="0.15">
      <c r="F29" s="196" t="s">
        <v>215</v>
      </c>
      <c r="G29" s="81">
        <v>0</v>
      </c>
      <c r="H29" s="81">
        <v>0</v>
      </c>
      <c r="I29" s="81">
        <v>0</v>
      </c>
      <c r="J29" s="81">
        <v>0</v>
      </c>
      <c r="K29" s="81">
        <v>1</v>
      </c>
      <c r="L29" s="81">
        <v>0</v>
      </c>
      <c r="M29" s="81">
        <v>1</v>
      </c>
      <c r="N29" s="81">
        <v>0</v>
      </c>
      <c r="O29" s="81">
        <v>1</v>
      </c>
      <c r="P29" s="71">
        <v>0</v>
      </c>
      <c r="Q29" s="81">
        <v>0</v>
      </c>
      <c r="R29" s="72">
        <v>1</v>
      </c>
      <c r="S29"/>
      <c r="T29"/>
    </row>
    <row r="30" spans="1:20" ht="15" customHeight="1" x14ac:dyDescent="0.15">
      <c r="F30" s="196" t="s">
        <v>216</v>
      </c>
      <c r="G30" s="81">
        <v>0</v>
      </c>
      <c r="H30" s="81">
        <v>0</v>
      </c>
      <c r="I30" s="81">
        <v>0</v>
      </c>
      <c r="J30" s="81">
        <v>0</v>
      </c>
      <c r="K30" s="81">
        <v>1</v>
      </c>
      <c r="L30" s="81">
        <v>0</v>
      </c>
      <c r="M30" s="81">
        <v>1</v>
      </c>
      <c r="N30" s="81">
        <v>0</v>
      </c>
      <c r="O30" s="81">
        <v>1</v>
      </c>
      <c r="P30" s="71">
        <v>0</v>
      </c>
      <c r="Q30" s="81">
        <v>0</v>
      </c>
      <c r="R30" s="72">
        <v>1</v>
      </c>
      <c r="S30"/>
      <c r="T30"/>
    </row>
    <row r="31" spans="1:20" ht="15" customHeight="1" x14ac:dyDescent="0.15">
      <c r="A31" s="124"/>
      <c r="B31" s="134" t="s">
        <v>17</v>
      </c>
      <c r="C31" s="134" t="s">
        <v>1</v>
      </c>
      <c r="D31" s="134" t="s">
        <v>161</v>
      </c>
      <c r="E31" s="135" t="s">
        <v>163</v>
      </c>
      <c r="F31" s="196" t="s">
        <v>217</v>
      </c>
      <c r="G31" s="81">
        <v>0</v>
      </c>
      <c r="H31" s="81">
        <v>0</v>
      </c>
      <c r="I31" s="81">
        <v>0</v>
      </c>
      <c r="J31" s="81">
        <v>0</v>
      </c>
      <c r="K31" s="81">
        <v>1</v>
      </c>
      <c r="L31" s="81">
        <v>0</v>
      </c>
      <c r="M31" s="81">
        <v>1</v>
      </c>
      <c r="N31" s="81">
        <v>0</v>
      </c>
      <c r="O31" s="81">
        <v>1</v>
      </c>
      <c r="P31" s="71">
        <v>0</v>
      </c>
      <c r="Q31" s="81">
        <v>0</v>
      </c>
      <c r="R31" s="72">
        <v>1</v>
      </c>
      <c r="S31"/>
      <c r="T31"/>
    </row>
    <row r="32" spans="1:20" ht="15" customHeight="1" x14ac:dyDescent="0.15">
      <c r="A32" s="199" t="s">
        <v>228</v>
      </c>
      <c r="B32" s="93">
        <v>2.625</v>
      </c>
      <c r="C32" s="93">
        <v>365</v>
      </c>
      <c r="D32" s="93">
        <v>958.125</v>
      </c>
      <c r="E32" s="125">
        <v>0.86976749463841951</v>
      </c>
      <c r="F32" s="196" t="s">
        <v>218</v>
      </c>
      <c r="G32" s="81">
        <v>0</v>
      </c>
      <c r="H32" s="81">
        <v>0</v>
      </c>
      <c r="I32" s="81">
        <v>0</v>
      </c>
      <c r="J32" s="81">
        <v>0</v>
      </c>
      <c r="K32" s="81">
        <v>1</v>
      </c>
      <c r="L32" s="81">
        <v>0</v>
      </c>
      <c r="M32" s="81">
        <v>1</v>
      </c>
      <c r="N32" s="81">
        <v>0</v>
      </c>
      <c r="O32" s="81">
        <v>1</v>
      </c>
      <c r="P32" s="71">
        <v>0</v>
      </c>
      <c r="Q32" s="81">
        <v>0</v>
      </c>
      <c r="R32" s="72">
        <v>1</v>
      </c>
      <c r="S32"/>
      <c r="T32"/>
    </row>
    <row r="33" spans="1:20" ht="15" customHeight="1" x14ac:dyDescent="0.15">
      <c r="A33" s="199" t="s">
        <v>229</v>
      </c>
      <c r="B33" s="93">
        <v>11.477</v>
      </c>
      <c r="C33" s="93">
        <v>12.5</v>
      </c>
      <c r="D33" s="93">
        <v>143.46250000000001</v>
      </c>
      <c r="E33" s="125">
        <v>0.13023250536158043</v>
      </c>
      <c r="F33" s="196" t="s">
        <v>219</v>
      </c>
      <c r="G33" s="81">
        <v>0</v>
      </c>
      <c r="H33" s="81">
        <v>0</v>
      </c>
      <c r="I33" s="81">
        <v>0</v>
      </c>
      <c r="J33" s="81">
        <v>0</v>
      </c>
      <c r="K33" s="81">
        <v>1</v>
      </c>
      <c r="L33" s="81">
        <v>0</v>
      </c>
      <c r="M33" s="81">
        <v>1</v>
      </c>
      <c r="N33" s="81">
        <v>0</v>
      </c>
      <c r="O33" s="81">
        <v>1</v>
      </c>
      <c r="P33" s="71">
        <v>0</v>
      </c>
      <c r="Q33" s="81">
        <v>0</v>
      </c>
      <c r="R33" s="72">
        <v>1</v>
      </c>
      <c r="S33"/>
      <c r="T33"/>
    </row>
    <row r="34" spans="1:20" ht="15" customHeight="1" x14ac:dyDescent="0.15">
      <c r="A34" s="126"/>
      <c r="B34" s="93"/>
      <c r="C34" s="93"/>
      <c r="D34" s="93"/>
      <c r="E34" s="125"/>
      <c r="F34" s="196" t="s">
        <v>220</v>
      </c>
      <c r="G34" s="81">
        <v>0</v>
      </c>
      <c r="H34" s="81">
        <v>0</v>
      </c>
      <c r="I34" s="81">
        <v>0</v>
      </c>
      <c r="J34" s="81">
        <v>0</v>
      </c>
      <c r="K34" s="81">
        <v>1</v>
      </c>
      <c r="L34" s="81">
        <v>0</v>
      </c>
      <c r="M34" s="81">
        <v>1</v>
      </c>
      <c r="N34" s="81">
        <v>0</v>
      </c>
      <c r="O34" s="81">
        <v>1</v>
      </c>
      <c r="P34" s="71">
        <v>0</v>
      </c>
      <c r="Q34" s="81">
        <v>0</v>
      </c>
      <c r="R34" s="72">
        <v>1</v>
      </c>
      <c r="S34"/>
      <c r="T34"/>
    </row>
    <row r="35" spans="1:20" ht="15" customHeight="1" x14ac:dyDescent="0.15">
      <c r="A35" s="127"/>
      <c r="B35" s="93"/>
      <c r="C35" s="93"/>
      <c r="D35" s="93"/>
      <c r="E35" s="125"/>
      <c r="F35" s="196" t="s">
        <v>221</v>
      </c>
      <c r="G35" s="81">
        <v>0</v>
      </c>
      <c r="H35" s="81">
        <v>0</v>
      </c>
      <c r="I35" s="81">
        <v>0</v>
      </c>
      <c r="J35" s="81">
        <v>0</v>
      </c>
      <c r="K35" s="81">
        <v>1</v>
      </c>
      <c r="L35" s="81">
        <v>0</v>
      </c>
      <c r="M35" s="81">
        <v>1</v>
      </c>
      <c r="N35" s="81">
        <v>0</v>
      </c>
      <c r="O35" s="81">
        <v>1</v>
      </c>
      <c r="P35" s="71">
        <v>0</v>
      </c>
      <c r="Q35" s="81">
        <v>0</v>
      </c>
      <c r="R35" s="72">
        <v>1</v>
      </c>
      <c r="S35"/>
      <c r="T35"/>
    </row>
    <row r="36" spans="1:20" ht="15" customHeight="1" x14ac:dyDescent="0.15">
      <c r="A36" s="128"/>
      <c r="B36" s="93"/>
      <c r="C36" s="93"/>
      <c r="D36" s="93"/>
      <c r="E36" s="125"/>
      <c r="F36" s="196" t="s">
        <v>222</v>
      </c>
      <c r="G36" s="81">
        <v>0</v>
      </c>
      <c r="H36" s="81">
        <v>0</v>
      </c>
      <c r="I36" s="81">
        <v>0</v>
      </c>
      <c r="J36" s="81">
        <v>0</v>
      </c>
      <c r="K36" s="81">
        <v>1</v>
      </c>
      <c r="L36" s="81">
        <v>0</v>
      </c>
      <c r="M36" s="81">
        <v>1</v>
      </c>
      <c r="N36" s="81">
        <v>0</v>
      </c>
      <c r="O36" s="81">
        <v>1</v>
      </c>
      <c r="P36" s="71">
        <v>0</v>
      </c>
      <c r="Q36" s="81">
        <v>0</v>
      </c>
      <c r="R36" s="72">
        <v>1</v>
      </c>
      <c r="S36"/>
      <c r="T36"/>
    </row>
    <row r="37" spans="1:20" ht="15" customHeight="1" x14ac:dyDescent="0.15">
      <c r="A37" s="128"/>
      <c r="B37" s="93"/>
      <c r="C37" s="93"/>
      <c r="D37" s="93"/>
      <c r="E37" s="125"/>
      <c r="F37" s="196" t="s">
        <v>223</v>
      </c>
      <c r="G37" s="81">
        <v>0</v>
      </c>
      <c r="H37" s="81">
        <v>0</v>
      </c>
      <c r="I37" s="81">
        <v>0</v>
      </c>
      <c r="J37" s="81">
        <v>0</v>
      </c>
      <c r="K37" s="81">
        <v>1</v>
      </c>
      <c r="L37" s="81">
        <v>0</v>
      </c>
      <c r="M37" s="81">
        <v>1</v>
      </c>
      <c r="N37" s="81">
        <v>0</v>
      </c>
      <c r="O37" s="81">
        <v>1</v>
      </c>
      <c r="P37" s="71">
        <v>0</v>
      </c>
      <c r="Q37" s="81">
        <v>0</v>
      </c>
      <c r="R37" s="72">
        <v>1</v>
      </c>
      <c r="S37"/>
      <c r="T37"/>
    </row>
    <row r="38" spans="1:20" ht="15" customHeight="1" x14ac:dyDescent="0.15">
      <c r="A38" s="129"/>
      <c r="B38" s="93"/>
      <c r="C38" s="93"/>
      <c r="D38" s="93"/>
      <c r="E38" s="125"/>
      <c r="F38" s="196" t="s">
        <v>224</v>
      </c>
      <c r="G38" s="81">
        <v>0</v>
      </c>
      <c r="H38" s="81">
        <v>0</v>
      </c>
      <c r="I38" s="81">
        <v>0</v>
      </c>
      <c r="J38" s="81">
        <v>0</v>
      </c>
      <c r="K38" s="81">
        <v>1</v>
      </c>
      <c r="L38" s="81">
        <v>0</v>
      </c>
      <c r="M38" s="81">
        <v>1</v>
      </c>
      <c r="N38" s="81">
        <v>0</v>
      </c>
      <c r="O38" s="81">
        <v>1</v>
      </c>
      <c r="P38" s="71">
        <v>0</v>
      </c>
      <c r="Q38" s="81">
        <v>0</v>
      </c>
      <c r="R38" s="72">
        <v>1</v>
      </c>
      <c r="S38"/>
      <c r="T38"/>
    </row>
    <row r="39" spans="1:20" ht="15" customHeight="1" x14ac:dyDescent="0.15">
      <c r="A39" s="129"/>
      <c r="B39" s="93"/>
      <c r="C39" s="93"/>
      <c r="D39" s="93"/>
      <c r="E39" s="125"/>
      <c r="F39" s="196" t="s">
        <v>225</v>
      </c>
      <c r="G39" s="81">
        <v>0</v>
      </c>
      <c r="H39" s="81">
        <v>0</v>
      </c>
      <c r="I39" s="81">
        <v>0</v>
      </c>
      <c r="J39" s="81">
        <v>0</v>
      </c>
      <c r="K39" s="81">
        <v>1</v>
      </c>
      <c r="L39" s="81">
        <v>0</v>
      </c>
      <c r="M39" s="81">
        <v>1</v>
      </c>
      <c r="N39" s="81">
        <v>0</v>
      </c>
      <c r="O39" s="81">
        <v>1</v>
      </c>
      <c r="P39" s="71">
        <v>0</v>
      </c>
      <c r="Q39" s="81">
        <v>0</v>
      </c>
      <c r="R39" s="72">
        <v>1</v>
      </c>
      <c r="S39"/>
      <c r="T39"/>
    </row>
    <row r="40" spans="1:20" ht="15" customHeight="1" x14ac:dyDescent="0.15">
      <c r="A40" s="129"/>
      <c r="B40" s="93"/>
      <c r="C40" s="93"/>
      <c r="D40" s="93"/>
      <c r="E40" s="125"/>
      <c r="F40" s="196" t="s">
        <v>226</v>
      </c>
      <c r="G40" s="81">
        <v>0</v>
      </c>
      <c r="H40" s="81">
        <v>0</v>
      </c>
      <c r="I40" s="81">
        <v>0</v>
      </c>
      <c r="J40" s="81">
        <v>0</v>
      </c>
      <c r="K40" s="81">
        <v>1</v>
      </c>
      <c r="L40" s="81">
        <v>0</v>
      </c>
      <c r="M40" s="81">
        <v>1</v>
      </c>
      <c r="N40" s="81">
        <v>0</v>
      </c>
      <c r="O40" s="81">
        <v>1</v>
      </c>
      <c r="P40" s="71">
        <v>0</v>
      </c>
      <c r="Q40" s="81">
        <v>0</v>
      </c>
      <c r="R40" s="72">
        <v>1</v>
      </c>
      <c r="S40"/>
      <c r="T40"/>
    </row>
    <row r="41" spans="1:20" ht="15" customHeight="1" thickBot="1" x14ac:dyDescent="0.2">
      <c r="A41" s="129"/>
      <c r="B41" s="93"/>
      <c r="C41" s="93"/>
      <c r="D41" s="94"/>
      <c r="E41" s="130"/>
      <c r="F41" s="196" t="s">
        <v>227</v>
      </c>
      <c r="G41" s="81">
        <v>0</v>
      </c>
      <c r="H41" s="81">
        <v>0</v>
      </c>
      <c r="I41" s="81">
        <v>0</v>
      </c>
      <c r="J41" s="81">
        <v>0</v>
      </c>
      <c r="K41" s="81">
        <v>1</v>
      </c>
      <c r="L41" s="81">
        <v>0</v>
      </c>
      <c r="M41" s="81">
        <v>1</v>
      </c>
      <c r="N41" s="81">
        <v>0</v>
      </c>
      <c r="O41" s="81">
        <v>1</v>
      </c>
      <c r="P41" s="71">
        <v>0</v>
      </c>
      <c r="Q41" s="81">
        <v>0</v>
      </c>
      <c r="R41" s="72">
        <v>1</v>
      </c>
      <c r="S41"/>
      <c r="T41"/>
    </row>
    <row r="42" spans="1:20" ht="15" customHeight="1" x14ac:dyDescent="0.15">
      <c r="A42" s="131"/>
      <c r="B42" s="132"/>
      <c r="C42" s="132" t="s">
        <v>162</v>
      </c>
      <c r="D42" s="132">
        <f>SUM(D32:D41)</f>
        <v>1101.5875000000001</v>
      </c>
      <c r="E42" s="133">
        <f>SUM(E32:E41)</f>
        <v>1</v>
      </c>
      <c r="F42" s="196" t="s">
        <v>228</v>
      </c>
      <c r="G42" s="81">
        <v>0</v>
      </c>
      <c r="H42" s="81">
        <v>0</v>
      </c>
      <c r="I42" s="81">
        <v>0</v>
      </c>
      <c r="J42" s="81">
        <v>0</v>
      </c>
      <c r="K42" s="81">
        <v>0</v>
      </c>
      <c r="L42" s="81">
        <v>0</v>
      </c>
      <c r="M42" s="81">
        <v>1</v>
      </c>
      <c r="N42" s="81">
        <v>0</v>
      </c>
      <c r="O42" s="81">
        <v>0</v>
      </c>
      <c r="P42" s="71">
        <v>0</v>
      </c>
      <c r="Q42" s="81">
        <v>0</v>
      </c>
      <c r="R42" s="72">
        <v>1</v>
      </c>
      <c r="S42"/>
      <c r="T42"/>
    </row>
    <row r="43" spans="1:20" ht="15" customHeight="1" x14ac:dyDescent="0.15">
      <c r="A43" s="81"/>
      <c r="F43" s="196" t="s">
        <v>229</v>
      </c>
      <c r="G43" s="81">
        <v>0</v>
      </c>
      <c r="H43" s="81">
        <v>0</v>
      </c>
      <c r="I43" s="81">
        <v>0</v>
      </c>
      <c r="J43" s="81">
        <v>0</v>
      </c>
      <c r="K43" s="81">
        <v>0</v>
      </c>
      <c r="L43" s="81">
        <v>0</v>
      </c>
      <c r="M43" s="81">
        <v>1</v>
      </c>
      <c r="N43" s="81">
        <v>0</v>
      </c>
      <c r="O43" s="81">
        <v>0</v>
      </c>
      <c r="P43" s="71">
        <v>0</v>
      </c>
      <c r="Q43" s="81">
        <v>0</v>
      </c>
      <c r="R43" s="72">
        <v>1</v>
      </c>
      <c r="S43"/>
      <c r="T43"/>
    </row>
    <row r="44" spans="1:20" ht="15" customHeight="1" x14ac:dyDescent="0.15">
      <c r="A44" s="81"/>
      <c r="F44" s="196" t="s">
        <v>230</v>
      </c>
      <c r="G44" s="81">
        <v>0</v>
      </c>
      <c r="H44" s="81">
        <v>0</v>
      </c>
      <c r="I44" s="81">
        <v>0</v>
      </c>
      <c r="J44" s="81">
        <v>0</v>
      </c>
      <c r="K44" s="81">
        <v>0</v>
      </c>
      <c r="L44" s="81">
        <v>1</v>
      </c>
      <c r="M44" s="81">
        <v>0</v>
      </c>
      <c r="N44" s="81">
        <v>1</v>
      </c>
      <c r="O44" s="81">
        <v>0</v>
      </c>
      <c r="P44" s="71">
        <v>1</v>
      </c>
      <c r="Q44" s="81">
        <v>0</v>
      </c>
      <c r="R44" s="72">
        <v>1</v>
      </c>
    </row>
    <row r="45" spans="1:20" ht="15" customHeight="1" x14ac:dyDescent="0.15">
      <c r="A45" s="81"/>
      <c r="F45" s="196" t="s">
        <v>231</v>
      </c>
      <c r="G45" s="81">
        <v>0</v>
      </c>
      <c r="H45" s="81">
        <v>0</v>
      </c>
      <c r="I45" s="81">
        <v>0</v>
      </c>
      <c r="J45" s="81">
        <v>0</v>
      </c>
      <c r="K45" s="81">
        <v>0</v>
      </c>
      <c r="L45" s="81">
        <v>1</v>
      </c>
      <c r="M45" s="81">
        <v>0</v>
      </c>
      <c r="N45" s="81">
        <v>1</v>
      </c>
      <c r="O45" s="81">
        <v>0</v>
      </c>
      <c r="P45" s="71">
        <v>1</v>
      </c>
      <c r="Q45" s="81">
        <v>0</v>
      </c>
      <c r="R45" s="72">
        <v>1</v>
      </c>
    </row>
    <row r="46" spans="1:20" ht="15" customHeight="1" x14ac:dyDescent="0.15">
      <c r="A46" s="81"/>
      <c r="F46" s="196" t="s">
        <v>232</v>
      </c>
      <c r="G46" s="81">
        <v>0</v>
      </c>
      <c r="H46" s="81">
        <v>0</v>
      </c>
      <c r="I46" s="81">
        <v>0</v>
      </c>
      <c r="J46" s="81">
        <v>0</v>
      </c>
      <c r="K46" s="81">
        <v>0</v>
      </c>
      <c r="L46" s="81">
        <v>1</v>
      </c>
      <c r="M46" s="81">
        <v>0</v>
      </c>
      <c r="N46" s="81">
        <v>0</v>
      </c>
      <c r="O46" s="81">
        <v>0</v>
      </c>
      <c r="P46" s="71">
        <v>0</v>
      </c>
      <c r="Q46" s="81">
        <v>0</v>
      </c>
      <c r="R46" s="72">
        <v>1</v>
      </c>
    </row>
    <row r="47" spans="1:20" ht="15" customHeight="1" x14ac:dyDescent="0.15">
      <c r="A47" s="81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1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W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9" customWidth="1"/>
    <col min="3" max="5" width="7.83203125" style="109" customWidth="1"/>
    <col min="6" max="8" width="8.83203125" style="6"/>
    <col min="9" max="9" width="11" style="6" customWidth="1"/>
    <col min="10" max="10" width="13" style="6" customWidth="1"/>
    <col min="11" max="11" width="15.5" style="6" customWidth="1"/>
    <col min="12" max="12" width="10.83203125" style="6" customWidth="1"/>
    <col min="13" max="13" width="15" style="6" customWidth="1"/>
    <col min="14" max="14" width="11.5" style="6" customWidth="1"/>
    <col min="15" max="15" width="9.5" style="6" customWidth="1"/>
    <col min="16" max="16" width="14" style="6" customWidth="1"/>
    <col min="17" max="17" width="13.6640625" style="6" customWidth="1"/>
    <col min="18" max="18" width="11.83203125" style="6" customWidth="1"/>
    <col min="19" max="19" width="11" style="6" customWidth="1"/>
    <col min="20" max="20" width="12" style="6" customWidth="1"/>
    <col min="21" max="21" width="11.6640625" style="6" customWidth="1"/>
    <col min="22" max="22" width="10.83203125" style="6" customWidth="1"/>
    <col min="23" max="23" width="9.1640625" style="6" customWidth="1"/>
    <col min="24" max="24" width="10.1640625" style="6" customWidth="1"/>
    <col min="25" max="25" width="5.6640625" style="6" customWidth="1"/>
    <col min="26" max="26" width="14.33203125" style="6" customWidth="1"/>
    <col min="27" max="27" width="10.5" style="6" customWidth="1"/>
    <col min="28" max="28" width="9.5" style="6" customWidth="1"/>
    <col min="29" max="29" width="6.5" style="6" customWidth="1"/>
    <col min="30" max="30" width="12.83203125" style="6" customWidth="1"/>
    <col min="31" max="31" width="8.33203125" style="6" customWidth="1"/>
    <col min="32" max="32" width="10.5" style="6" customWidth="1"/>
    <col min="33" max="33" width="7.83203125" style="6" customWidth="1"/>
    <col min="34" max="34" width="5.83203125" style="6" customWidth="1"/>
    <col min="35" max="35" width="11" style="6" customWidth="1"/>
    <col min="36" max="36" width="8.6640625" style="6" customWidth="1"/>
    <col min="37" max="37" width="7.83203125" style="6" customWidth="1"/>
    <col min="38" max="38" width="11.33203125" style="6" customWidth="1"/>
    <col min="39" max="39" width="9.1640625" customWidth="1"/>
    <col min="40" max="41" width="8.1640625" customWidth="1"/>
    <col min="42" max="42" width="10.83203125" customWidth="1"/>
    <col min="43" max="43" width="11.33203125" customWidth="1"/>
    <col min="44" max="44" width="8.6640625" customWidth="1"/>
    <col min="45" max="45" width="12.83203125" customWidth="1"/>
    <col min="46" max="46" width="12.5" customWidth="1"/>
    <col min="47" max="47" width="7.6640625" customWidth="1"/>
    <col min="48" max="48" width="21.6640625" customWidth="1"/>
    <col min="49" max="49" width="6.5" customWidth="1"/>
    <col min="81" max="81" width="22.1640625" bestFit="1" customWidth="1"/>
  </cols>
  <sheetData>
    <row r="1" spans="1:49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1" t="s">
        <v>193</v>
      </c>
      <c r="J1" s="201" t="s">
        <v>194</v>
      </c>
      <c r="K1" s="201" t="s">
        <v>195</v>
      </c>
      <c r="L1" s="201" t="s">
        <v>196</v>
      </c>
      <c r="M1" s="201" t="s">
        <v>197</v>
      </c>
      <c r="N1" s="201" t="s">
        <v>198</v>
      </c>
      <c r="O1" s="201" t="s">
        <v>199</v>
      </c>
      <c r="P1" s="201" t="s">
        <v>200</v>
      </c>
      <c r="Q1" s="201" t="s">
        <v>201</v>
      </c>
      <c r="R1" s="201" t="s">
        <v>202</v>
      </c>
      <c r="S1" s="201" t="s">
        <v>203</v>
      </c>
      <c r="T1" s="201" t="s">
        <v>204</v>
      </c>
      <c r="U1" s="201" t="s">
        <v>166</v>
      </c>
      <c r="V1" s="201" t="s">
        <v>205</v>
      </c>
      <c r="W1" s="201" t="s">
        <v>206</v>
      </c>
      <c r="X1" s="201" t="s">
        <v>207</v>
      </c>
      <c r="Y1" s="201" t="s">
        <v>208</v>
      </c>
      <c r="Z1" s="201" t="s">
        <v>209</v>
      </c>
      <c r="AA1" s="201" t="s">
        <v>210</v>
      </c>
      <c r="AB1" s="201" t="s">
        <v>211</v>
      </c>
      <c r="AC1" s="201" t="s">
        <v>212</v>
      </c>
      <c r="AD1" s="201" t="s">
        <v>213</v>
      </c>
      <c r="AE1" s="201" t="s">
        <v>214</v>
      </c>
      <c r="AF1" s="201" t="s">
        <v>215</v>
      </c>
      <c r="AG1" s="201" t="s">
        <v>216</v>
      </c>
      <c r="AH1" s="201" t="s">
        <v>217</v>
      </c>
      <c r="AI1" s="201" t="s">
        <v>218</v>
      </c>
      <c r="AJ1" s="201" t="s">
        <v>219</v>
      </c>
      <c r="AK1" s="201" t="s">
        <v>220</v>
      </c>
      <c r="AL1" s="201" t="s">
        <v>221</v>
      </c>
      <c r="AM1" s="201" t="s">
        <v>222</v>
      </c>
      <c r="AN1" s="201" t="s">
        <v>223</v>
      </c>
      <c r="AO1" s="201" t="s">
        <v>224</v>
      </c>
      <c r="AP1" s="201" t="s">
        <v>225</v>
      </c>
      <c r="AQ1" s="201" t="s">
        <v>226</v>
      </c>
      <c r="AR1" s="201" t="s">
        <v>227</v>
      </c>
      <c r="AS1" s="201" t="s">
        <v>228</v>
      </c>
      <c r="AT1" s="201" t="s">
        <v>229</v>
      </c>
      <c r="AU1" s="201" t="s">
        <v>230</v>
      </c>
      <c r="AV1" s="201" t="s">
        <v>231</v>
      </c>
      <c r="AW1" s="201" t="s">
        <v>232</v>
      </c>
    </row>
    <row r="2" spans="1:49" x14ac:dyDescent="0.15">
      <c r="A2" t="s">
        <v>38</v>
      </c>
      <c r="B2" s="109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9" x14ac:dyDescent="0.15">
      <c r="A3" t="s">
        <v>40</v>
      </c>
      <c r="B3" s="109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9" x14ac:dyDescent="0.15">
      <c r="A4" t="s">
        <v>41</v>
      </c>
      <c r="B4" s="109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9" x14ac:dyDescent="0.15">
      <c r="A5" s="200" t="s">
        <v>193</v>
      </c>
      <c r="B5" s="109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9" x14ac:dyDescent="0.15">
      <c r="A6" s="200" t="s">
        <v>194</v>
      </c>
      <c r="B6" s="109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9" x14ac:dyDescent="0.15">
      <c r="A7" s="200" t="s">
        <v>195</v>
      </c>
      <c r="B7" s="109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9" x14ac:dyDescent="0.15">
      <c r="A8" s="200" t="s">
        <v>196</v>
      </c>
      <c r="B8" s="109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9" x14ac:dyDescent="0.15">
      <c r="A9" s="200" t="s">
        <v>197</v>
      </c>
      <c r="B9" s="109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9" x14ac:dyDescent="0.15">
      <c r="A10" s="200" t="s">
        <v>198</v>
      </c>
      <c r="B10" s="109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9" x14ac:dyDescent="0.15">
      <c r="A11" s="200" t="s">
        <v>199</v>
      </c>
      <c r="B11" s="109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9" x14ac:dyDescent="0.15">
      <c r="A12" s="200" t="s">
        <v>200</v>
      </c>
      <c r="B12" s="109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9" x14ac:dyDescent="0.15">
      <c r="A13" s="200" t="s">
        <v>201</v>
      </c>
      <c r="B13" s="109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9" x14ac:dyDescent="0.15">
      <c r="A14" s="200" t="s">
        <v>202</v>
      </c>
      <c r="B14" s="109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9" x14ac:dyDescent="0.15">
      <c r="A15" s="200" t="s">
        <v>203</v>
      </c>
      <c r="B15" s="109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9" x14ac:dyDescent="0.15">
      <c r="A16" s="200" t="s">
        <v>204</v>
      </c>
      <c r="B16" s="109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0" t="s">
        <v>166</v>
      </c>
      <c r="B17" s="109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0" t="s">
        <v>205</v>
      </c>
      <c r="B18" s="109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0" t="s">
        <v>206</v>
      </c>
      <c r="B19" s="109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0" t="s">
        <v>207</v>
      </c>
      <c r="B20" s="109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0" t="s">
        <v>208</v>
      </c>
      <c r="B21" s="109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0" t="s">
        <v>209</v>
      </c>
      <c r="B22" s="109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0" t="s">
        <v>210</v>
      </c>
      <c r="B23" s="109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0" t="s">
        <v>211</v>
      </c>
      <c r="B24" s="109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0" t="s">
        <v>212</v>
      </c>
      <c r="B25" s="109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0" t="s">
        <v>213</v>
      </c>
      <c r="B26" s="109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0" t="s">
        <v>214</v>
      </c>
      <c r="B27" s="109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0" t="s">
        <v>215</v>
      </c>
      <c r="B28" s="109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0" t="s">
        <v>216</v>
      </c>
      <c r="B29" s="109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0" t="s">
        <v>217</v>
      </c>
      <c r="B30" s="109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0" t="s">
        <v>218</v>
      </c>
      <c r="B31" s="109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0" t="s">
        <v>219</v>
      </c>
      <c r="B32" s="109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0" t="s">
        <v>220</v>
      </c>
      <c r="B33" s="109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0" t="s">
        <v>221</v>
      </c>
      <c r="B34" s="109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0" t="s">
        <v>222</v>
      </c>
      <c r="B35" s="109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0" t="s">
        <v>223</v>
      </c>
      <c r="B36" s="109">
        <v>0</v>
      </c>
      <c r="C36"/>
      <c r="D36"/>
    </row>
    <row r="37" spans="1:38" ht="15" customHeight="1" x14ac:dyDescent="0.15">
      <c r="A37" s="200" t="s">
        <v>224</v>
      </c>
      <c r="B37" s="109">
        <v>0</v>
      </c>
      <c r="C37"/>
      <c r="D37"/>
    </row>
    <row r="38" spans="1:38" ht="15" customHeight="1" x14ac:dyDescent="0.15">
      <c r="A38" s="200" t="s">
        <v>225</v>
      </c>
      <c r="B38" s="109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0" t="s">
        <v>226</v>
      </c>
      <c r="B39" s="109">
        <v>0</v>
      </c>
      <c r="C39"/>
      <c r="D39"/>
    </row>
    <row r="40" spans="1:38" ht="15" customHeight="1" x14ac:dyDescent="0.15">
      <c r="A40" s="200" t="s">
        <v>227</v>
      </c>
      <c r="B40" s="109">
        <v>0</v>
      </c>
      <c r="C40"/>
      <c r="D40"/>
    </row>
    <row r="41" spans="1:38" ht="15" customHeight="1" x14ac:dyDescent="0.15">
      <c r="A41" s="200" t="s">
        <v>228</v>
      </c>
      <c r="B41" s="109">
        <v>0</v>
      </c>
      <c r="C41"/>
      <c r="D41"/>
    </row>
    <row r="42" spans="1:38" ht="15" customHeight="1" x14ac:dyDescent="0.15">
      <c r="A42" s="200" t="s">
        <v>229</v>
      </c>
      <c r="B42" s="109">
        <v>0</v>
      </c>
    </row>
    <row r="43" spans="1:38" ht="15" customHeight="1" x14ac:dyDescent="0.15">
      <c r="A43" s="200" t="s">
        <v>230</v>
      </c>
      <c r="B43" s="109">
        <v>0</v>
      </c>
    </row>
    <row r="44" spans="1:38" ht="15" customHeight="1" x14ac:dyDescent="0.15">
      <c r="A44" s="200" t="s">
        <v>231</v>
      </c>
      <c r="B44" s="109">
        <v>0</v>
      </c>
    </row>
    <row r="45" spans="1:38" ht="15" customHeight="1" x14ac:dyDescent="0.15">
      <c r="A45" s="200" t="s">
        <v>232</v>
      </c>
      <c r="B45" s="109">
        <v>0</v>
      </c>
    </row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2022-10-23T22:07:08Z</dcterms:modified>
</cp:coreProperties>
</file>