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3213A2BD-FDBE-C94E-A988-E15D3467D8E5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Main!$C$2:$N$44</definedName>
    <definedName name="matDetritus">Detritus!$C$2:$E$44</definedName>
    <definedName name="matDiet">Diets!$B$2:$AO$44</definedName>
    <definedName name="matDiscards">Discards!$C$2:$C$43</definedName>
    <definedName name="matFishery">Fishing!$C$2:$C$43</definedName>
    <definedName name="matFishing">Fishing!#REF!</definedName>
    <definedName name="matMort">Mortalities!$A$1:$AT$43</definedName>
    <definedName name="matOut">MainOutputs!$A$2:$I$44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<sst xmlns="http://schemas.openxmlformats.org/spreadsheetml/2006/main" count="1193" uniqueCount="240">
  <si>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</si>
  <si>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</si>
  <si>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</si>
  <si>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</si>
  <si>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</si>
  <si>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</si>
  <si>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</si>
  <si>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</si>
  <si>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</si>
  <si>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</si>
  <si>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</si>
  <si>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</si>
  <si>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</si>
  <si>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</si>
  <si>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</si>
  <si>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</si>
  <si>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</si>
  <si>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</si>
  <si>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</si>
  <si>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</si>
  <si>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</si>
  <si>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</si>
  <si>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</si>
  <si>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</si>
  <si>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</si>
  <si>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</si>
  <si>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</si>
  <si>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</si>
  <si>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</si>
  <si>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</si>
  <si>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</si>
  <si>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</si>
  <si>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</si>
  <si>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</si>
  <si>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</si>
  <si>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</si>
  <si>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</si>
  <si>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</si>
  <si>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</si>
  <si>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</si>
  <si>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</si>
  <si>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</si>
  <si>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</si>
  <si>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</si>
  <si>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</si>
  <si>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</si>
  <si>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</si>
  <si>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</si>
  <si>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</si>
  <si>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</si>
  <si>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</si>
  <si>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</si>
  <si>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</si>
  <si>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</si>
  <si>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</si>
  <si>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</si>
  <si>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</si>
  <si>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</si>
  <si>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</si>
  <si>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</si>
  <si>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</si>
  <si>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</si>
  <si>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</si>
  <si>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</si>
  <si>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</si>
  <si>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</si>
  <si>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</si>
  <si>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</si>
  <si>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</si>
  <si>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</si>
  <si>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</si>
  <si>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</si>
  <si>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</si>
  <si>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</si>
  <si>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</si>
  <si>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</si>
  <si>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</si>
  <si>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</si>
  <si>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</si>
  <si>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</si>
  <si>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</si>
  <si>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</si>
  <si>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</si>
  <si>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</si>
  <si>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</si>
  <si>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</si>
  <si>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</si>
  <si>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</si>
  <si>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</si>
  <si>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</si>
  <si>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</si>
  <si>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</si>
  <si>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</si>
  <si>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</si>
  <si>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</si>
  <si>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</si>
  <si>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</si>
  <si>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</si>
  <si>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</si>
  <si>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</si>
  <si>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</si>
  <si>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</si>
  <si>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</si>
  <si>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</si>
  <si>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</si>
  <si>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</si>
  <si>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</si>
  <si>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</si>
  <si>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</si>
  <si>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</si>
  <si>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</si>
  <si>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</si>
  <si>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</si>
  <si>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</si>
  <si>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</si>
  <si>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</si>
  <si>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</si>
  <si>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</si>
  <si>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</si>
  <si>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</si>
  <si>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</si>
  <si>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</si>
  <si>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</si>
  <si>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</si>
  <si>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</si>
  <si>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</si>
  <si>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</si>
  <si>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</si>
  <si>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</si>
  <si>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</si>
  <si>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</si>
  <si>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</si>
  <si>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</si>
  <si>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</si>
  <si>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</si>
  <si>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</si>
  <si>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</si>
  <si>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</si>
  <si>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</si>
  <si>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</si>
  <si>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</si>
  <si>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</si>
  <si>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</si>
  <si>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</si>
  <si>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</si>
  <si>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</si>
  <si>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</si>
  <si>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</si>
  <si>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</si>
  <si>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</si>
  <si>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</si>
  <si>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</si>
  <si>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</si>
  <si>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</si>
  <si>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</si>
  <si>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</si>
  <si>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</si>
  <si>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</si>
  <si>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</si>
  <si>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</si>
  <si>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</si>
  <si>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</si>
  <si>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</si>
  <si>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</si>
  <si>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</si>
  <si>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</si>
  <si>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</si>
  <si>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</si>
  <si>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</si>
  <si>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</si>
  <si>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</si>
  <si>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</si>
  <si>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</si>
  <si>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</si>
  <si>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</si>
  <si>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</si>
  <si>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</si>
  <si>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</si>
  <si>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</si>
  <si>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</si>
  <si>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</si>
  <si>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</si>
  <si>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</si>
  <si>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</si>
  <si>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</si>
  <si>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Port Cros</t>
  </si>
  <si>
    <t>France</t>
  </si>
  <si>
    <t>BOX(6.3532 42.9816,6.4274 43.0252)</t>
  </si>
  <si>
    <t>continental shelf</t>
  </si>
  <si>
    <t>WetWeight</t>
  </si>
  <si>
    <t>; 10/12/2009 14:29:40; 10/12/2009 17:19:56; 10/12/2009 18:04:24; 05/10/2010 00:34:48</t>
  </si>
  <si>
    <t>Valls A.,Gascuel D.,Guénette S.,Francour P.(2012). Modeling trophic interactions to assess the effects of a marine protected area: case study in the NW Mediterranean Sea Marine Ecology Progress Series. pp 201-201</t>
  </si>
  <si>
    <t>Dusky grouper - medium</t>
  </si>
  <si>
    <t>Rays</t>
  </si>
  <si>
    <t>Dusky grouper - large</t>
  </si>
  <si>
    <t>Amberjack and dentex +</t>
  </si>
  <si>
    <t>Large-scaled scorpionfish +</t>
  </si>
  <si>
    <t>Scorpionfishes and combers +</t>
  </si>
  <si>
    <t>Dusky grouper - small</t>
  </si>
  <si>
    <t>Seabirds</t>
  </si>
  <si>
    <t>Cephalopods</t>
  </si>
  <si>
    <t>Stripped red mulet +</t>
  </si>
  <si>
    <t>Pagellus</t>
  </si>
  <si>
    <t>Blennies +</t>
  </si>
  <si>
    <t>Pipefishes +</t>
  </si>
  <si>
    <t>Gobies</t>
  </si>
  <si>
    <t>Horse mackerels and sand smelts +</t>
  </si>
  <si>
    <t>Diplodus +</t>
  </si>
  <si>
    <t>Wrasses</t>
  </si>
  <si>
    <t>Crabs</t>
  </si>
  <si>
    <t>Decapods</t>
  </si>
  <si>
    <t>Sea stars</t>
  </si>
  <si>
    <t>Large zooplankton</t>
  </si>
  <si>
    <t>Bivalves</t>
  </si>
  <si>
    <t>Gastropods</t>
  </si>
  <si>
    <t>Suspensivores</t>
  </si>
  <si>
    <t>Brittle stars +</t>
  </si>
  <si>
    <t>Sea worms</t>
  </si>
  <si>
    <t>Mullets</t>
  </si>
  <si>
    <t>Gorgonians</t>
  </si>
  <si>
    <t>Small crustaceans</t>
  </si>
  <si>
    <t>Small zooplankton</t>
  </si>
  <si>
    <t>Sea urchins</t>
  </si>
  <si>
    <t>Amphipods</t>
  </si>
  <si>
    <t>Sea cucumbers</t>
  </si>
  <si>
    <t>Salema - adults</t>
  </si>
  <si>
    <t>Foraminifera</t>
  </si>
  <si>
    <t>Salema - juveniles</t>
  </si>
  <si>
    <t>Posidonia</t>
  </si>
  <si>
    <t>Shallow seaweeds</t>
  </si>
  <si>
    <t>Deep seaweeds</t>
  </si>
  <si>
    <t>Phytoplankton</t>
  </si>
  <si>
    <t>Detritus</t>
  </si>
  <si>
    <t>detritus_TerminalBenthic</t>
  </si>
  <si>
    <t>Petite pêche</t>
  </si>
  <si>
    <t>Import</t>
  </si>
  <si>
    <t>export</t>
  </si>
  <si>
    <t>sum</t>
  </si>
  <si>
    <t>TOTAL</t>
  </si>
  <si>
    <t>F Petite pêche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</si>
</sst>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FF8E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FF34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FF3C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FFC5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F1FF0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8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 applyAlignment="1">
      <alignment horizontal="center"/>
    </xf>
    <xf numFmtId="0" fontId="0" fillId="38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9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6" xfId="0" applyFont="1" applyBorder="1"/>
    <xf numFmtId="0" fontId="0" fillId="0" borderId="18" xfId="0" applyFont="1" applyBorder="1"/>
    <xf numFmtId="0" fontId="10" fillId="0" borderId="19" xfId="0" applyFont="1" applyFill="1" applyBorder="1" applyAlignment="1">
      <alignment horizontal="right" wrapText="1"/>
    </xf>
    <xf numFmtId="0" fontId="0" fillId="0" borderId="17" xfId="0" applyFont="1" applyFill="1" applyBorder="1" applyAlignment="1">
      <alignment horizontal="right"/>
    </xf>
    <xf numFmtId="0" fontId="0" fillId="0" borderId="20" xfId="0" applyFont="1" applyBorder="1"/>
    <xf numFmtId="0" fontId="0" fillId="0" borderId="21" xfId="0" applyFont="1" applyBorder="1"/>
    <xf numFmtId="0" fontId="0" fillId="0" borderId="1" xfId="0" applyFont="1" applyBorder="1"/>
    <xf numFmtId="0" fontId="0" fillId="0" borderId="22" xfId="0" applyFont="1" applyBorder="1"/>
    <xf numFmtId="0" fontId="1" fillId="0" borderId="24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49" fontId="0" fillId="0" borderId="25" xfId="0" applyNumberFormat="1" applyBorder="1"/>
    <xf numFmtId="49" fontId="0" fillId="0" borderId="26" xfId="0" applyNumberFormat="1" applyBorder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81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64" t="s">
        <v>171</v>
      </c>
      <c r="C53" s="103">
        <v>497</v>
      </c>
      <c r="D53" s="103"/>
    </row>
    <row r="54" spans="2:4" x14ac:dyDescent="0.15">
      <c r="B54" s="164" t="s">
        <v>172</v>
      </c>
      <c r="C54" s="164" t="s">
        <v>185</v>
      </c>
      <c r="D54" s="103"/>
    </row>
    <row r="55" spans="2:4" x14ac:dyDescent="0.15">
      <c r="B55" s="164" t="s">
        <v>173</v>
      </c>
      <c r="C55" s="164" t="s">
        <v>186</v>
      </c>
      <c r="D55" s="103"/>
    </row>
    <row r="56" spans="2:4" x14ac:dyDescent="0.15">
      <c r="B56" s="164" t="s">
        <v>174</v>
      </c>
      <c r="C56" s="103">
        <v>13</v>
      </c>
      <c r="D56" s="103"/>
    </row>
    <row r="57" spans="2:4" x14ac:dyDescent="0.15">
      <c r="B57" s="164" t="s">
        <v>175</v>
      </c>
      <c r="C57" s="164" t="s">
        <v>187</v>
      </c>
      <c r="D57" s="103"/>
    </row>
    <row r="58" spans="2:4" x14ac:dyDescent="0.15">
      <c r="B58" s="164" t="s">
        <v>176</v>
      </c>
      <c r="C58" s="164" t="s">
        <v>188</v>
      </c>
      <c r="D58" s="103"/>
    </row>
    <row r="59" spans="2:4" x14ac:dyDescent="0.15">
      <c r="B59" s="164" t="s">
        <v>177</v>
      </c>
      <c r="C59" s="164" t="s">
        <v>189</v>
      </c>
      <c r="D59" s="103"/>
    </row>
    <row r="60" spans="2:4" x14ac:dyDescent="0.15">
      <c r="B60" s="164" t="s">
        <v>178</v>
      </c>
      <c r="C60" s="164" t="s">
        <v>190</v>
      </c>
      <c r="D60" s="103"/>
    </row>
    <row r="61" spans="2:4" x14ac:dyDescent="0.15">
      <c r="B61" s="164" t="s">
        <v>179</v>
      </c>
      <c r="C61" s="103">
        <v>41</v>
      </c>
      <c r="D61" s="103"/>
    </row>
    <row r="62" spans="2:4" x14ac:dyDescent="0.15">
      <c r="B62" s="164" t="s">
        <v>180</v>
      </c>
      <c r="C62" s="103">
        <v>1</v>
      </c>
      <c r="D62" s="103"/>
    </row>
    <row r="63" spans="2:4" x14ac:dyDescent="0.15">
      <c r="B63" s="164" t="s">
        <v>181</v>
      </c>
      <c r="C63" s="103">
        <v>1998</v>
      </c>
      <c r="D63" s="103"/>
    </row>
    <row r="64" spans="2:4" x14ac:dyDescent="0.15">
      <c r="B64" s="164" t="s">
        <v>182</v>
      </c>
      <c r="C64" s="103">
        <v>10</v>
      </c>
      <c r="D64" s="103"/>
    </row>
    <row r="65" spans="2:4" x14ac:dyDescent="0.15">
      <c r="B65" s="164" t="s">
        <v>183</v>
      </c>
      <c r="C65" s="164" t="s">
        <v>191</v>
      </c>
      <c r="D65" s="103"/>
    </row>
    <row r="66" spans="2:4" x14ac:dyDescent="0.15">
      <c r="B66" s="164" t="s">
        <v>184</v>
      </c>
      <c r="D66" s="103"/>
    </row>
    <row r="67" spans="2:4" x14ac:dyDescent="0.15">
      <c r="B67" s="103"/>
      <c r="C67" s="103"/>
      <c r="D67" s="103"/>
    </row>
    <row r="68" spans="2:4" x14ac:dyDescent="0.15">
      <c r="B68" s="103"/>
      <c r="C68" s="103"/>
      <c r="D68" s="10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9" sqref="P9"/>
    </sheetView>
  </sheetViews>
  <sheetFormatPr baseColWidth="10" defaultColWidth="8.83203125" defaultRowHeight="15" customHeight="1" x14ac:dyDescent="0.15"/>
  <cols>
    <col min="1" max="1" width="22.5" style="79" customWidth="1"/>
    <col min="2" max="3" width="3.33203125" style="79" customWidth="1"/>
    <col min="4" max="4" width="14.33203125" style="79" customWidth="1"/>
    <col min="5" max="5" width="31.33203125" style="79" bestFit="1" customWidth="1"/>
    <col min="6" max="6" width="2.33203125" style="79" bestFit="1" customWidth="1"/>
    <col min="7" max="7" width="12.83203125" style="79" bestFit="1" customWidth="1"/>
    <col min="8" max="8" width="7.83203125" style="79" customWidth="1"/>
    <col min="9" max="9" width="10.83203125" style="79" customWidth="1"/>
    <col min="10" max="11" width="11.83203125" style="79" customWidth="1"/>
    <col min="12" max="12" width="2.33203125" style="79" customWidth="1"/>
    <col min="13" max="13" width="3.83203125" style="79" customWidth="1"/>
    <col min="14" max="14" width="2.33203125" style="79" customWidth="1"/>
    <col min="16" max="25" width="8.83203125" style="79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9"/>
  </cols>
  <sheetData>
    <row r="1" spans="1:46" s="95" customFormat="1" ht="15" customHeight="1" x14ac:dyDescent="0.15">
      <c r="A1" s="75" t="s">
        <v>18</v>
      </c>
      <c r="C1" s="76" t="s">
        <v>8</v>
      </c>
      <c r="D1" s="75" t="s">
        <v>23</v>
      </c>
      <c r="E1" s="75" t="s">
        <v>0</v>
      </c>
      <c r="F1" s="75" t="s">
        <v>7</v>
      </c>
      <c r="G1" s="77" t="s">
        <v>13</v>
      </c>
      <c r="H1" s="75" t="s">
        <v>1</v>
      </c>
      <c r="I1" s="75" t="s">
        <v>2</v>
      </c>
      <c r="J1" s="75" t="s">
        <v>14</v>
      </c>
      <c r="K1" s="75" t="s">
        <v>3</v>
      </c>
      <c r="L1" s="75" t="s">
        <v>4</v>
      </c>
      <c r="M1" s="75" t="s">
        <v>5</v>
      </c>
      <c r="N1" s="75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5">
        <v>1</v>
      </c>
      <c r="D2"/>
      <c r="E2" s="165" t="s">
        <v>192</v>
      </c>
      <c r="F2" s="79">
        <v>0</v>
      </c>
      <c r="G2" s="79">
        <v>0.42669722399999999</v>
      </c>
      <c r="H2" s="79">
        <v>0.44029000000000001</v>
      </c>
      <c r="I2" s="6">
        <v>1.5571256899999999</v>
      </c>
      <c r="J2" s="6">
        <v>0.72148639999999997</v>
      </c>
      <c r="K2" s="6">
        <v>0.28275817600000003</v>
      </c>
      <c r="L2" s="6">
        <v>0</v>
      </c>
      <c r="M2" s="79">
        <v>0.2</v>
      </c>
      <c r="N2" s="79">
        <v>0</v>
      </c>
    </row>
    <row r="3" spans="1:46" ht="15" customHeight="1" x14ac:dyDescent="0.15">
      <c r="A3" s="1" t="s">
        <v>9</v>
      </c>
      <c r="B3" s="4">
        <v>40</v>
      </c>
      <c r="C3" s="79">
        <v>2</v>
      </c>
      <c r="D3"/>
      <c r="E3" s="165" t="s">
        <v>193</v>
      </c>
      <c r="F3" s="79">
        <v>0</v>
      </c>
      <c r="G3" s="79">
        <v>3.2663315499999998E-2</v>
      </c>
      <c r="H3" s="79">
        <v>0.19900000000000001</v>
      </c>
      <c r="I3" s="79">
        <v>1.99</v>
      </c>
      <c r="J3" s="79">
        <v>0.4</v>
      </c>
      <c r="K3" s="79">
        <v>0.1</v>
      </c>
      <c r="L3" s="79">
        <v>0</v>
      </c>
      <c r="M3" s="79">
        <v>0.2</v>
      </c>
      <c r="N3" s="79">
        <v>0</v>
      </c>
    </row>
    <row r="4" spans="1:46" ht="15" customHeight="1" x14ac:dyDescent="0.15">
      <c r="A4" s="1" t="s">
        <v>10</v>
      </c>
      <c r="B4" s="4">
        <v>2</v>
      </c>
      <c r="C4" s="79">
        <v>3</v>
      </c>
      <c r="D4"/>
      <c r="E4" s="165" t="s">
        <v>194</v>
      </c>
      <c r="F4" s="79">
        <v>0</v>
      </c>
      <c r="G4" s="79">
        <v>4.3209986699999998</v>
      </c>
      <c r="H4" s="79">
        <v>0.1</v>
      </c>
      <c r="I4" s="79">
        <v>0.66700040000000005</v>
      </c>
      <c r="J4" s="79">
        <v>0</v>
      </c>
      <c r="K4" s="79">
        <v>0.149924949</v>
      </c>
      <c r="L4" s="79">
        <v>0</v>
      </c>
      <c r="M4" s="79">
        <v>0.2</v>
      </c>
      <c r="N4" s="79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9">
        <v>4</v>
      </c>
      <c r="D5"/>
      <c r="E5" s="165" t="s">
        <v>195</v>
      </c>
      <c r="F5" s="79">
        <v>0</v>
      </c>
      <c r="G5" s="79">
        <v>5.55</v>
      </c>
      <c r="H5" s="79">
        <v>0.24399999999999999</v>
      </c>
      <c r="I5" s="79">
        <v>2.44</v>
      </c>
      <c r="J5" s="79">
        <v>0.10820531799999999</v>
      </c>
      <c r="K5" s="79">
        <v>0.1</v>
      </c>
      <c r="L5" s="79">
        <v>0</v>
      </c>
      <c r="M5" s="79">
        <v>0.2</v>
      </c>
      <c r="N5" s="79">
        <v>0</v>
      </c>
      <c r="P5" s="70"/>
      <c r="Q5" s="70"/>
      <c r="R5" s="70"/>
    </row>
    <row r="6" spans="1:46" ht="15" customHeight="1" thickBot="1" x14ac:dyDescent="0.2">
      <c r="B6" s="1"/>
      <c r="C6" s="79">
        <v>5</v>
      </c>
      <c r="D6"/>
      <c r="E6" s="165" t="s">
        <v>196</v>
      </c>
      <c r="F6" s="79">
        <v>0</v>
      </c>
      <c r="G6" s="79">
        <v>0.49099999999999999</v>
      </c>
      <c r="H6" s="79">
        <v>0.51700000000000002</v>
      </c>
      <c r="I6" s="79">
        <v>4.4820000000000002</v>
      </c>
      <c r="J6" s="79">
        <v>0.66633695400000004</v>
      </c>
      <c r="K6" s="79">
        <v>0.1153503</v>
      </c>
      <c r="L6" s="79">
        <v>0</v>
      </c>
      <c r="M6" s="79">
        <v>0.2</v>
      </c>
      <c r="N6" s="79">
        <v>0</v>
      </c>
      <c r="P6" s="70"/>
      <c r="Q6" s="70"/>
      <c r="R6" s="70"/>
      <c r="W6" s="34" t="s">
        <v>31</v>
      </c>
      <c r="X6" s="50">
        <f>MAX(MainOutputs!G:G)</f>
        <v>0.97999995946884155</v>
      </c>
    </row>
    <row r="7" spans="1:46" ht="15" customHeight="1" x14ac:dyDescent="0.15">
      <c r="A7" s="2" t="s">
        <v>27</v>
      </c>
      <c r="B7" s="79">
        <f ca="1">COUNTIF(OFFSET(cornerDiets,1,1,NumLiving+NumDead+1,NumLiving+NumDead),"&gt;0")+NumLiving+NumDead+1</f>
        <v>363</v>
      </c>
      <c r="C7" s="79">
        <v>6</v>
      </c>
      <c r="D7"/>
      <c r="E7" s="165" t="s">
        <v>197</v>
      </c>
      <c r="F7" s="79">
        <v>0</v>
      </c>
      <c r="G7" s="79">
        <v>4.2930000000000001</v>
      </c>
      <c r="H7" s="79">
        <v>0.59899999999999998</v>
      </c>
      <c r="I7" s="79">
        <v>3.9933329999999998</v>
      </c>
      <c r="J7" s="79">
        <v>0.28977292799999999</v>
      </c>
      <c r="K7" s="79">
        <v>0.15</v>
      </c>
      <c r="L7" s="79">
        <v>0</v>
      </c>
      <c r="M7" s="79">
        <v>0.2</v>
      </c>
      <c r="N7" s="79">
        <v>0</v>
      </c>
      <c r="P7" s="70"/>
      <c r="Q7" s="70"/>
      <c r="R7" s="70"/>
    </row>
    <row r="8" spans="1:46" ht="15" customHeight="1" x14ac:dyDescent="0.15">
      <c r="A8" s="2" t="s">
        <v>28</v>
      </c>
      <c r="B8" s="79">
        <f ca="1">COUNTIF(OFFSET(cornerFishing,1,2,NumLiving+NumDead,NumGears),"&gt;0")+NumDead*COUNTIF(OFFSET(cornerDiscards,1,2,NumLiving+NumDead,NumGears),"&gt;0")+NumLiving+NumDead+1</f>
        <v>59</v>
      </c>
      <c r="C8" s="79">
        <v>7</v>
      </c>
      <c r="D8"/>
      <c r="E8" s="165" t="s">
        <v>198</v>
      </c>
      <c r="F8" s="79">
        <v>0</v>
      </c>
      <c r="G8" s="79">
        <v>0.246088058</v>
      </c>
      <c r="H8" s="79">
        <v>1.5302899999999999</v>
      </c>
      <c r="I8" s="79">
        <v>4.3962636000000002</v>
      </c>
      <c r="J8" s="79">
        <v>0.3957502</v>
      </c>
      <c r="K8" s="79">
        <v>0.34808877100000002</v>
      </c>
      <c r="L8" s="79">
        <v>0</v>
      </c>
      <c r="M8" s="79">
        <v>0.2</v>
      </c>
      <c r="N8" s="79">
        <v>0</v>
      </c>
      <c r="P8" s="70"/>
      <c r="Q8" s="70"/>
      <c r="R8" s="70"/>
    </row>
    <row r="9" spans="1:46" ht="15" customHeight="1" x14ac:dyDescent="0.15">
      <c r="B9" s="1"/>
      <c r="C9" s="79">
        <v>8</v>
      </c>
      <c r="D9"/>
      <c r="E9" s="165" t="s">
        <v>199</v>
      </c>
      <c r="F9" s="79">
        <v>0</v>
      </c>
      <c r="G9" s="79">
        <v>0.28999999999999998</v>
      </c>
      <c r="H9" s="79">
        <v>0.4</v>
      </c>
      <c r="I9" s="79">
        <v>73.2</v>
      </c>
      <c r="J9" s="79">
        <v>0</v>
      </c>
      <c r="K9" s="79">
        <v>5.4644810000000002E-3</v>
      </c>
      <c r="L9" s="79">
        <v>0</v>
      </c>
      <c r="M9" s="79">
        <v>0.2</v>
      </c>
      <c r="N9" s="79">
        <v>0</v>
      </c>
      <c r="P9" s="70"/>
      <c r="Q9" s="70"/>
      <c r="R9" s="70"/>
    </row>
    <row r="10" spans="1:46" ht="15" customHeight="1" x14ac:dyDescent="0.15">
      <c r="B10" s="1"/>
      <c r="C10" s="79">
        <v>9</v>
      </c>
      <c r="D10"/>
      <c r="E10" s="165" t="s">
        <v>200</v>
      </c>
      <c r="F10" s="79">
        <v>0</v>
      </c>
      <c r="G10" s="79">
        <v>3</v>
      </c>
      <c r="H10" s="79">
        <v>2.34</v>
      </c>
      <c r="I10" s="79">
        <v>7.7999989999999997</v>
      </c>
      <c r="J10" s="79">
        <v>0.94782359999999999</v>
      </c>
      <c r="K10" s="79">
        <v>0.3</v>
      </c>
      <c r="L10" s="79">
        <v>0</v>
      </c>
      <c r="M10" s="79">
        <v>0.2</v>
      </c>
      <c r="N10" s="79">
        <v>0</v>
      </c>
    </row>
    <row r="11" spans="1:46" ht="15" customHeight="1" x14ac:dyDescent="0.15">
      <c r="C11" s="79">
        <v>10</v>
      </c>
      <c r="D11"/>
      <c r="E11" s="165" t="s">
        <v>201</v>
      </c>
      <c r="F11" s="79">
        <v>0</v>
      </c>
      <c r="G11" s="79">
        <v>0.23499999999999999</v>
      </c>
      <c r="H11" s="79">
        <v>0.83899999999999997</v>
      </c>
      <c r="I11" s="79">
        <v>5.6470000000000002</v>
      </c>
      <c r="J11" s="79">
        <v>0.96205289999999999</v>
      </c>
      <c r="K11" s="79">
        <v>0.14857447100000001</v>
      </c>
      <c r="L11" s="79">
        <v>0</v>
      </c>
      <c r="M11" s="79">
        <v>0.2</v>
      </c>
      <c r="N11" s="79">
        <v>0</v>
      </c>
    </row>
    <row r="12" spans="1:46" ht="15" customHeight="1" x14ac:dyDescent="0.15">
      <c r="C12" s="79">
        <v>11</v>
      </c>
      <c r="D12"/>
      <c r="E12" s="165" t="s">
        <v>202</v>
      </c>
      <c r="F12" s="79">
        <v>0</v>
      </c>
      <c r="G12" s="79">
        <v>0.65405959999999996</v>
      </c>
      <c r="H12" s="79">
        <v>0.41499999999999998</v>
      </c>
      <c r="I12" s="79">
        <v>4.14999962</v>
      </c>
      <c r="J12" s="79">
        <v>0.98</v>
      </c>
      <c r="K12" s="79">
        <v>0.1</v>
      </c>
      <c r="L12" s="79">
        <v>0</v>
      </c>
      <c r="M12" s="79">
        <v>0.2</v>
      </c>
      <c r="N12" s="79">
        <v>0</v>
      </c>
    </row>
    <row r="13" spans="1:46" ht="15" customHeight="1" x14ac:dyDescent="0.15">
      <c r="C13" s="79">
        <v>12</v>
      </c>
      <c r="D13"/>
      <c r="E13" s="165" t="s">
        <v>203</v>
      </c>
      <c r="F13" s="79">
        <v>0</v>
      </c>
      <c r="G13" s="79">
        <v>0.14899999999999999</v>
      </c>
      <c r="H13" s="79">
        <v>0.59399999999999997</v>
      </c>
      <c r="I13" s="79">
        <v>5.9399995800000003</v>
      </c>
      <c r="J13" s="79">
        <v>0.97807085500000002</v>
      </c>
      <c r="K13" s="79">
        <v>0.1</v>
      </c>
      <c r="L13" s="79">
        <v>0</v>
      </c>
      <c r="M13" s="79">
        <v>0.2</v>
      </c>
      <c r="N13" s="79">
        <v>0</v>
      </c>
    </row>
    <row r="14" spans="1:46" ht="15" customHeight="1" x14ac:dyDescent="0.15">
      <c r="C14" s="79">
        <v>13</v>
      </c>
      <c r="D14"/>
      <c r="E14" s="165" t="s">
        <v>204</v>
      </c>
      <c r="F14" s="79">
        <v>0</v>
      </c>
      <c r="G14" s="79">
        <v>2.1000000000000001E-2</v>
      </c>
      <c r="H14" s="79">
        <v>1.377</v>
      </c>
      <c r="I14" s="79">
        <v>9.923</v>
      </c>
      <c r="J14" s="79">
        <v>0.82885609999999998</v>
      </c>
      <c r="K14" s="79">
        <v>0.13876850900000001</v>
      </c>
      <c r="L14" s="79">
        <v>0</v>
      </c>
      <c r="M14" s="79">
        <v>0.2</v>
      </c>
      <c r="N14" s="79">
        <v>0</v>
      </c>
    </row>
    <row r="15" spans="1:46" ht="15" customHeight="1" x14ac:dyDescent="0.15">
      <c r="C15" s="79">
        <v>14</v>
      </c>
      <c r="D15"/>
      <c r="E15" s="165" t="s">
        <v>205</v>
      </c>
      <c r="F15" s="79">
        <v>0</v>
      </c>
      <c r="G15" s="79">
        <v>0.42599999999999999</v>
      </c>
      <c r="H15" s="79">
        <v>1.119</v>
      </c>
      <c r="I15" s="79">
        <v>5.5949999999999998</v>
      </c>
      <c r="J15" s="79">
        <v>0.78377140000000001</v>
      </c>
      <c r="K15" s="79">
        <v>0.2</v>
      </c>
      <c r="L15" s="79">
        <v>0</v>
      </c>
      <c r="M15" s="79">
        <v>0.2</v>
      </c>
      <c r="N15" s="79">
        <v>0</v>
      </c>
    </row>
    <row r="16" spans="1:46" ht="15" customHeight="1" x14ac:dyDescent="0.15">
      <c r="C16" s="79">
        <v>15</v>
      </c>
      <c r="D16"/>
      <c r="E16" s="165" t="s">
        <v>206</v>
      </c>
      <c r="F16" s="79">
        <v>0</v>
      </c>
      <c r="G16" s="79">
        <v>20</v>
      </c>
      <c r="H16" s="79">
        <v>0.55600000000000005</v>
      </c>
      <c r="I16" s="79">
        <v>5.56</v>
      </c>
      <c r="J16" s="79">
        <v>0.917117238</v>
      </c>
      <c r="K16" s="79">
        <v>0.1</v>
      </c>
      <c r="L16" s="79">
        <v>0</v>
      </c>
      <c r="M16" s="79">
        <v>0.2</v>
      </c>
      <c r="N16" s="79">
        <v>0</v>
      </c>
    </row>
    <row r="17" spans="1:22" ht="15" customHeight="1" x14ac:dyDescent="0.15">
      <c r="C17" s="79">
        <v>16</v>
      </c>
      <c r="D17"/>
      <c r="E17" s="165" t="s">
        <v>207</v>
      </c>
      <c r="F17" s="79">
        <v>0</v>
      </c>
      <c r="G17" s="79">
        <v>3.6280000000000001</v>
      </c>
      <c r="H17" s="79">
        <v>0.503</v>
      </c>
      <c r="I17" s="79">
        <v>5.03</v>
      </c>
      <c r="J17" s="79">
        <v>0.66035085900000001</v>
      </c>
      <c r="K17" s="79">
        <v>0.1</v>
      </c>
      <c r="L17" s="79">
        <v>0</v>
      </c>
      <c r="M17" s="79">
        <v>0.2</v>
      </c>
      <c r="N17" s="79">
        <v>0</v>
      </c>
      <c r="V17" s="1" t="s">
        <v>30</v>
      </c>
    </row>
    <row r="18" spans="1:22" ht="15" customHeight="1" x14ac:dyDescent="0.15">
      <c r="C18" s="79">
        <v>17</v>
      </c>
      <c r="D18"/>
      <c r="E18" s="165" t="s">
        <v>208</v>
      </c>
      <c r="F18" s="79">
        <v>0</v>
      </c>
      <c r="G18" s="79">
        <v>5.0389999999999997</v>
      </c>
      <c r="H18" s="79">
        <v>0.52700000000000002</v>
      </c>
      <c r="I18" s="79">
        <v>5.27</v>
      </c>
      <c r="J18" s="79">
        <v>0.95113205899999997</v>
      </c>
      <c r="K18" s="79">
        <v>0.1</v>
      </c>
      <c r="L18" s="79">
        <v>0</v>
      </c>
      <c r="M18" s="79">
        <v>0.2</v>
      </c>
      <c r="N18" s="79">
        <v>0</v>
      </c>
      <c r="V18" s="1"/>
    </row>
    <row r="19" spans="1:22" ht="15" customHeight="1" x14ac:dyDescent="0.15">
      <c r="C19" s="79">
        <v>18</v>
      </c>
      <c r="D19"/>
      <c r="E19" s="165" t="s">
        <v>209</v>
      </c>
      <c r="F19" s="79">
        <v>0</v>
      </c>
      <c r="G19" s="79">
        <v>3.6080000000000001</v>
      </c>
      <c r="H19" s="79">
        <v>1.61</v>
      </c>
      <c r="I19" s="79">
        <v>14</v>
      </c>
      <c r="J19" s="79">
        <v>0.75461345899999999</v>
      </c>
      <c r="K19" s="79">
        <v>0.115</v>
      </c>
      <c r="L19" s="79">
        <v>0</v>
      </c>
      <c r="M19" s="79">
        <v>0.2</v>
      </c>
      <c r="N19" s="79">
        <v>0</v>
      </c>
    </row>
    <row r="20" spans="1:22" ht="15" customHeight="1" thickBot="1" x14ac:dyDescent="0.2">
      <c r="C20" s="79">
        <v>19</v>
      </c>
      <c r="D20"/>
      <c r="E20" s="165" t="s">
        <v>210</v>
      </c>
      <c r="F20" s="79">
        <v>0</v>
      </c>
      <c r="G20" s="79">
        <v>13.3649559</v>
      </c>
      <c r="H20" s="79">
        <v>2.2999999999999998</v>
      </c>
      <c r="I20" s="79">
        <v>23</v>
      </c>
      <c r="J20" s="79">
        <v>0.95</v>
      </c>
      <c r="K20" s="79">
        <v>0.1</v>
      </c>
      <c r="L20" s="79">
        <v>0</v>
      </c>
      <c r="M20" s="79">
        <v>0.2</v>
      </c>
      <c r="N20" s="79">
        <v>0</v>
      </c>
    </row>
    <row r="21" spans="1:22" ht="15" customHeight="1" thickBot="1" x14ac:dyDescent="0.2">
      <c r="A21" s="45" t="s">
        <v>137</v>
      </c>
      <c r="B21" s="96"/>
      <c r="C21" s="79">
        <v>20</v>
      </c>
      <c r="D21"/>
      <c r="E21" s="165" t="s">
        <v>211</v>
      </c>
      <c r="F21" s="79">
        <v>0</v>
      </c>
      <c r="G21" s="79">
        <v>0.7</v>
      </c>
      <c r="H21" s="79">
        <v>0.25</v>
      </c>
      <c r="I21" s="79">
        <v>1.6666666299999999</v>
      </c>
      <c r="J21" s="79">
        <v>0.183520973</v>
      </c>
      <c r="K21" s="79">
        <v>0.15</v>
      </c>
      <c r="L21" s="79">
        <v>0</v>
      </c>
      <c r="M21" s="79">
        <v>0.2</v>
      </c>
      <c r="N21" s="79">
        <v>0</v>
      </c>
    </row>
    <row r="22" spans="1:22" ht="15" customHeight="1" x14ac:dyDescent="0.15">
      <c r="A22" s="97" t="s">
        <v>58</v>
      </c>
      <c r="B22" s="98">
        <v>0</v>
      </c>
      <c r="C22" s="79">
        <v>21</v>
      </c>
      <c r="D22"/>
      <c r="E22" s="165" t="s">
        <v>212</v>
      </c>
      <c r="F22" s="79">
        <v>0</v>
      </c>
      <c r="G22" s="79">
        <v>2.1818454300000001</v>
      </c>
      <c r="H22" s="79">
        <v>25</v>
      </c>
      <c r="I22" s="79">
        <v>125</v>
      </c>
      <c r="J22" s="79">
        <v>0.95</v>
      </c>
      <c r="K22" s="79">
        <v>0.2</v>
      </c>
      <c r="L22" s="79">
        <v>0</v>
      </c>
      <c r="M22" s="79">
        <v>0.2</v>
      </c>
      <c r="N22" s="79">
        <v>0</v>
      </c>
    </row>
    <row r="23" spans="1:22" ht="15" customHeight="1" x14ac:dyDescent="0.15">
      <c r="A23" s="97" t="s">
        <v>59</v>
      </c>
      <c r="B23" s="98">
        <v>1</v>
      </c>
      <c r="C23" s="79">
        <v>22</v>
      </c>
      <c r="D23"/>
      <c r="E23" s="165" t="s">
        <v>213</v>
      </c>
      <c r="F23" s="79">
        <v>0</v>
      </c>
      <c r="G23" s="79">
        <v>2.79</v>
      </c>
      <c r="H23" s="79">
        <v>2.46</v>
      </c>
      <c r="I23" s="79">
        <v>15.867000000000001</v>
      </c>
      <c r="J23" s="79">
        <v>0.93894080000000002</v>
      </c>
      <c r="K23" s="79">
        <v>0.155038759</v>
      </c>
      <c r="L23" s="79">
        <v>0</v>
      </c>
      <c r="M23" s="79">
        <v>0.2</v>
      </c>
      <c r="N23" s="79">
        <v>0</v>
      </c>
    </row>
    <row r="24" spans="1:22" ht="15" customHeight="1" x14ac:dyDescent="0.15">
      <c r="A24" s="97" t="s">
        <v>60</v>
      </c>
      <c r="B24" s="98">
        <v>2</v>
      </c>
      <c r="C24" s="79">
        <v>23</v>
      </c>
      <c r="D24"/>
      <c r="E24" s="165" t="s">
        <v>214</v>
      </c>
      <c r="F24" s="79">
        <v>0</v>
      </c>
      <c r="G24" s="79">
        <v>17.885871900000001</v>
      </c>
      <c r="H24" s="79">
        <v>1.913</v>
      </c>
      <c r="I24" s="79">
        <v>10.71</v>
      </c>
      <c r="J24" s="79">
        <v>0.9</v>
      </c>
      <c r="K24" s="79">
        <v>0.17861811799999999</v>
      </c>
      <c r="L24" s="79">
        <v>0</v>
      </c>
      <c r="M24" s="79">
        <v>0.2</v>
      </c>
      <c r="N24" s="79">
        <v>0</v>
      </c>
    </row>
    <row r="25" spans="1:22" ht="15" customHeight="1" thickBot="1" x14ac:dyDescent="0.2">
      <c r="A25" s="99" t="s">
        <v>44</v>
      </c>
      <c r="B25" s="100">
        <v>3</v>
      </c>
      <c r="C25" s="79">
        <v>24</v>
      </c>
      <c r="D25"/>
      <c r="E25" s="165" t="s">
        <v>215</v>
      </c>
      <c r="F25" s="79">
        <v>0</v>
      </c>
      <c r="G25" s="79">
        <v>24.825538600000002</v>
      </c>
      <c r="H25" s="79">
        <v>1.6950000000000001</v>
      </c>
      <c r="I25" s="79">
        <v>14.007</v>
      </c>
      <c r="J25" s="79">
        <v>0.9</v>
      </c>
      <c r="K25" s="79">
        <v>0.121010929</v>
      </c>
      <c r="L25" s="79">
        <v>0</v>
      </c>
      <c r="M25" s="79">
        <v>0.2</v>
      </c>
      <c r="N25" s="79">
        <v>0</v>
      </c>
    </row>
    <row r="26" spans="1:22" ht="15" customHeight="1" x14ac:dyDescent="0.15">
      <c r="A26" s="101" t="s">
        <v>140</v>
      </c>
      <c r="C26" s="79">
        <v>25</v>
      </c>
      <c r="D26"/>
      <c r="E26" s="165" t="s">
        <v>216</v>
      </c>
      <c r="F26" s="79">
        <v>0</v>
      </c>
      <c r="G26" s="79">
        <v>0.69322896000000001</v>
      </c>
      <c r="H26" s="79">
        <v>0.49</v>
      </c>
      <c r="I26" s="79">
        <v>3.24</v>
      </c>
      <c r="J26" s="79">
        <v>0.9</v>
      </c>
      <c r="K26" s="79">
        <v>0.15123456699999999</v>
      </c>
      <c r="L26" s="79">
        <v>0</v>
      </c>
      <c r="M26" s="79">
        <v>0.2</v>
      </c>
      <c r="N26" s="79">
        <v>0</v>
      </c>
    </row>
    <row r="27" spans="1:22" ht="15" customHeight="1" x14ac:dyDescent="0.15">
      <c r="C27" s="79">
        <v>26</v>
      </c>
      <c r="D27"/>
      <c r="E27" s="165" t="s">
        <v>217</v>
      </c>
      <c r="F27" s="79">
        <v>0</v>
      </c>
      <c r="G27" s="79">
        <v>27.590833700000001</v>
      </c>
      <c r="H27" s="79">
        <v>1.82</v>
      </c>
      <c r="I27" s="79">
        <v>11.53</v>
      </c>
      <c r="J27" s="79">
        <v>0.95</v>
      </c>
      <c r="K27" s="79">
        <v>0.15784909999999999</v>
      </c>
      <c r="L27" s="79">
        <v>0</v>
      </c>
      <c r="M27" s="79">
        <v>0.2</v>
      </c>
      <c r="N27" s="79">
        <v>0</v>
      </c>
    </row>
    <row r="28" spans="1:22" ht="15" customHeight="1" x14ac:dyDescent="0.15">
      <c r="C28" s="79">
        <v>27</v>
      </c>
      <c r="D28"/>
      <c r="E28" s="165" t="s">
        <v>218</v>
      </c>
      <c r="F28" s="79">
        <v>0</v>
      </c>
      <c r="G28" s="79">
        <v>4.5019999999999998</v>
      </c>
      <c r="H28" s="79">
        <v>0.45300000000000001</v>
      </c>
      <c r="I28" s="79">
        <v>4.53</v>
      </c>
      <c r="J28" s="79">
        <v>0.59493399999999996</v>
      </c>
      <c r="K28" s="79">
        <v>0.1</v>
      </c>
      <c r="L28" s="79">
        <v>0</v>
      </c>
      <c r="M28" s="79">
        <v>0.2</v>
      </c>
      <c r="N28" s="79">
        <v>0</v>
      </c>
    </row>
    <row r="29" spans="1:22" customFormat="1" ht="15" customHeight="1" x14ac:dyDescent="0.15">
      <c r="C29" s="79">
        <v>28</v>
      </c>
      <c r="E29" s="165" t="s">
        <v>219</v>
      </c>
      <c r="F29" s="79">
        <v>0</v>
      </c>
      <c r="G29" s="79">
        <v>40.555999999999997</v>
      </c>
      <c r="H29" s="79">
        <v>0.08</v>
      </c>
      <c r="I29" s="79">
        <v>0.53333330000000001</v>
      </c>
      <c r="J29" s="79">
        <v>0</v>
      </c>
      <c r="K29" s="79">
        <v>0.15</v>
      </c>
      <c r="L29" s="79">
        <v>0</v>
      </c>
      <c r="M29" s="79">
        <v>0.2</v>
      </c>
      <c r="N29" s="79">
        <v>0</v>
      </c>
    </row>
    <row r="30" spans="1:22" customFormat="1" ht="15" customHeight="1" x14ac:dyDescent="0.15">
      <c r="C30" s="79">
        <v>29</v>
      </c>
      <c r="E30" s="165" t="s">
        <v>220</v>
      </c>
      <c r="F30" s="79">
        <v>0</v>
      </c>
      <c r="G30" s="79">
        <v>31.05</v>
      </c>
      <c r="H30" s="79">
        <v>4</v>
      </c>
      <c r="I30" s="79">
        <v>33.4</v>
      </c>
      <c r="J30" s="79">
        <v>0.92529976400000002</v>
      </c>
      <c r="K30" s="79">
        <v>0.119760476</v>
      </c>
      <c r="L30" s="79">
        <v>0</v>
      </c>
      <c r="M30" s="79">
        <v>0.2</v>
      </c>
      <c r="N30" s="79">
        <v>0</v>
      </c>
    </row>
    <row r="31" spans="1:22" customFormat="1" ht="15" customHeight="1" x14ac:dyDescent="0.15">
      <c r="C31" s="79">
        <v>30</v>
      </c>
      <c r="E31" s="165" t="s">
        <v>221</v>
      </c>
      <c r="F31" s="79">
        <v>0</v>
      </c>
      <c r="G31" s="79">
        <v>9.628679</v>
      </c>
      <c r="H31" s="79">
        <v>50</v>
      </c>
      <c r="I31" s="79">
        <v>170</v>
      </c>
      <c r="J31" s="79">
        <v>0.95</v>
      </c>
      <c r="K31" s="79">
        <v>0.29411765899999998</v>
      </c>
      <c r="L31" s="79">
        <v>0</v>
      </c>
      <c r="M31" s="79">
        <v>0.4</v>
      </c>
      <c r="N31" s="79">
        <v>0</v>
      </c>
    </row>
    <row r="32" spans="1:22" customFormat="1" ht="15" customHeight="1" x14ac:dyDescent="0.15">
      <c r="C32" s="79">
        <v>31</v>
      </c>
      <c r="E32" s="165" t="s">
        <v>222</v>
      </c>
      <c r="F32" s="79">
        <v>0</v>
      </c>
      <c r="G32" s="79">
        <v>38.195</v>
      </c>
      <c r="H32" s="79">
        <v>0.19</v>
      </c>
      <c r="I32" s="79">
        <v>1.2666666499999999</v>
      </c>
      <c r="J32" s="79">
        <v>0.651392639</v>
      </c>
      <c r="K32" s="79">
        <v>0.15</v>
      </c>
      <c r="L32" s="79">
        <v>0</v>
      </c>
      <c r="M32" s="79">
        <v>0.2</v>
      </c>
      <c r="N32" s="79">
        <v>0</v>
      </c>
    </row>
    <row r="33" spans="3:14" customFormat="1" ht="15" customHeight="1" x14ac:dyDescent="0.15">
      <c r="C33" s="79">
        <v>32</v>
      </c>
      <c r="E33" s="165" t="s">
        <v>223</v>
      </c>
      <c r="F33" s="79">
        <v>0</v>
      </c>
      <c r="G33" s="79">
        <v>21.789010999999999</v>
      </c>
      <c r="H33" s="79">
        <v>4</v>
      </c>
      <c r="I33" s="79">
        <v>20</v>
      </c>
      <c r="J33" s="79">
        <v>0.95</v>
      </c>
      <c r="K33" s="79">
        <v>0.2</v>
      </c>
      <c r="L33" s="79">
        <v>0</v>
      </c>
      <c r="M33" s="79">
        <v>0.2</v>
      </c>
      <c r="N33" s="79">
        <v>0</v>
      </c>
    </row>
    <row r="34" spans="3:14" customFormat="1" ht="15" customHeight="1" x14ac:dyDescent="0.15">
      <c r="C34" s="79">
        <v>33</v>
      </c>
      <c r="E34" s="165" t="s">
        <v>224</v>
      </c>
      <c r="F34" s="79">
        <v>0</v>
      </c>
      <c r="G34" s="79">
        <v>76.254999999999995</v>
      </c>
      <c r="H34" s="79">
        <v>0.25</v>
      </c>
      <c r="I34" s="79">
        <v>1.6666666299999999</v>
      </c>
      <c r="J34" s="79">
        <v>0.23150319999999999</v>
      </c>
      <c r="K34" s="79">
        <v>0.15</v>
      </c>
      <c r="L34" s="79">
        <v>0</v>
      </c>
      <c r="M34" s="79">
        <v>0.2</v>
      </c>
      <c r="N34" s="79">
        <v>0</v>
      </c>
    </row>
    <row r="35" spans="3:14" customFormat="1" ht="15" customHeight="1" x14ac:dyDescent="0.15">
      <c r="C35" s="79">
        <v>34</v>
      </c>
      <c r="E35" s="165" t="s">
        <v>225</v>
      </c>
      <c r="F35" s="79">
        <v>0</v>
      </c>
      <c r="G35" s="79">
        <v>5.3999980000000001</v>
      </c>
      <c r="H35" s="79">
        <v>0.25420999999999999</v>
      </c>
      <c r="I35" s="79">
        <v>2.54000139</v>
      </c>
      <c r="J35" s="79">
        <v>0.126134887</v>
      </c>
      <c r="K35" s="79">
        <v>0.100082621</v>
      </c>
      <c r="L35" s="79">
        <v>0</v>
      </c>
      <c r="M35" s="79">
        <v>0.2</v>
      </c>
      <c r="N35" s="79">
        <v>0</v>
      </c>
    </row>
    <row r="36" spans="3:14" customFormat="1" ht="15" customHeight="1" x14ac:dyDescent="0.15">
      <c r="C36" s="79">
        <v>35</v>
      </c>
      <c r="E36" s="165" t="s">
        <v>226</v>
      </c>
      <c r="F36" s="79">
        <v>0</v>
      </c>
      <c r="G36" s="79">
        <v>4.7960267099999996</v>
      </c>
      <c r="H36" s="79">
        <v>80</v>
      </c>
      <c r="I36" s="79">
        <v>266.66665599999999</v>
      </c>
      <c r="J36" s="79">
        <v>0.95</v>
      </c>
      <c r="K36" s="79">
        <v>0.3</v>
      </c>
      <c r="L36" s="79">
        <v>0</v>
      </c>
      <c r="M36" s="79">
        <v>0.2</v>
      </c>
      <c r="N36" s="79">
        <v>0</v>
      </c>
    </row>
    <row r="37" spans="3:14" customFormat="1" ht="15" customHeight="1" x14ac:dyDescent="0.15">
      <c r="C37" s="79">
        <v>36</v>
      </c>
      <c r="E37" s="165" t="s">
        <v>227</v>
      </c>
      <c r="F37" s="79">
        <v>0</v>
      </c>
      <c r="G37" s="79">
        <v>4.1015119999999996</v>
      </c>
      <c r="H37" s="79">
        <v>0.81420999999999999</v>
      </c>
      <c r="I37" s="79">
        <v>5.2438399999999996</v>
      </c>
      <c r="J37" s="79">
        <v>0.42498590000000003</v>
      </c>
      <c r="K37" s="79">
        <v>0.15526980000000001</v>
      </c>
      <c r="L37" s="79">
        <v>0</v>
      </c>
      <c r="M37" s="79">
        <v>0.2</v>
      </c>
      <c r="N37" s="79">
        <v>0</v>
      </c>
    </row>
    <row r="38" spans="3:14" customFormat="1" ht="15" customHeight="1" x14ac:dyDescent="0.15">
      <c r="C38" s="79">
        <v>37</v>
      </c>
      <c r="E38" s="165" t="s">
        <v>228</v>
      </c>
      <c r="F38" s="79">
        <v>1</v>
      </c>
      <c r="G38" s="79">
        <v>8550</v>
      </c>
      <c r="H38" s="79">
        <v>0.3</v>
      </c>
      <c r="I38" s="79">
        <v>0</v>
      </c>
      <c r="J38" s="79">
        <v>0.3033978</v>
      </c>
      <c r="K38" s="79">
        <v>0</v>
      </c>
      <c r="L38" s="79">
        <v>0</v>
      </c>
      <c r="M38" s="79">
        <v>0</v>
      </c>
      <c r="N38" s="79">
        <v>0</v>
      </c>
    </row>
    <row r="39" spans="3:14" customFormat="1" ht="15" customHeight="1" x14ac:dyDescent="0.15">
      <c r="C39" s="79">
        <v>38</v>
      </c>
      <c r="E39" s="165" t="s">
        <v>229</v>
      </c>
      <c r="F39" s="79">
        <v>1</v>
      </c>
      <c r="G39" s="79">
        <v>140.959</v>
      </c>
      <c r="H39" s="79">
        <v>4.43</v>
      </c>
      <c r="I39" s="79">
        <v>0</v>
      </c>
      <c r="J39" s="79">
        <v>0.533475637</v>
      </c>
      <c r="K39" s="79">
        <v>0</v>
      </c>
      <c r="L39" s="79">
        <v>0</v>
      </c>
      <c r="M39" s="79">
        <v>0</v>
      </c>
      <c r="N39" s="79">
        <v>0</v>
      </c>
    </row>
    <row r="40" spans="3:14" customFormat="1" ht="15" customHeight="1" x14ac:dyDescent="0.15">
      <c r="C40" s="79">
        <v>39</v>
      </c>
      <c r="E40" s="165" t="s">
        <v>230</v>
      </c>
      <c r="F40" s="79">
        <v>1</v>
      </c>
      <c r="G40" s="79">
        <v>40.950000000000003</v>
      </c>
      <c r="H40" s="79">
        <v>1.573</v>
      </c>
      <c r="I40" s="79">
        <v>0</v>
      </c>
      <c r="J40" s="79">
        <v>0.55856943100000001</v>
      </c>
      <c r="K40" s="79">
        <v>0</v>
      </c>
      <c r="L40" s="79">
        <v>0</v>
      </c>
      <c r="M40" s="79">
        <v>0</v>
      </c>
      <c r="N40" s="79">
        <v>0</v>
      </c>
    </row>
    <row r="41" spans="3:14" customFormat="1" ht="15" customHeight="1" x14ac:dyDescent="0.15">
      <c r="C41" s="79">
        <v>40</v>
      </c>
      <c r="E41" s="165" t="s">
        <v>231</v>
      </c>
      <c r="F41" s="79">
        <v>1</v>
      </c>
      <c r="G41" s="79">
        <v>20</v>
      </c>
      <c r="H41" s="79">
        <v>112.65</v>
      </c>
      <c r="I41" s="79">
        <v>0</v>
      </c>
      <c r="J41" s="79">
        <v>0.67657786600000003</v>
      </c>
      <c r="K41" s="79">
        <v>0</v>
      </c>
      <c r="L41" s="79">
        <v>0</v>
      </c>
      <c r="M41" s="79">
        <v>0</v>
      </c>
      <c r="N41" s="79">
        <v>0</v>
      </c>
    </row>
    <row r="42" spans="3:14" customFormat="1" ht="15" customHeight="1" x14ac:dyDescent="0.15">
      <c r="C42" s="79">
        <v>41</v>
      </c>
      <c r="E42" s="165" t="s">
        <v>232</v>
      </c>
      <c r="F42" s="79">
        <v>2</v>
      </c>
      <c r="G42" s="79">
        <v>86.353999999999999</v>
      </c>
      <c r="H42" s="79">
        <v>0</v>
      </c>
      <c r="I42" s="79">
        <v>0</v>
      </c>
      <c r="J42" s="79">
        <v>0</v>
      </c>
      <c r="K42" s="79">
        <v>0</v>
      </c>
      <c r="L42" s="79">
        <v>0</v>
      </c>
      <c r="M42" s="79">
        <v>0</v>
      </c>
      <c r="N42" s="79">
        <v>0</v>
      </c>
    </row>
    <row r="43" spans="3:14" customFormat="1" ht="15" customHeight="1" x14ac:dyDescent="0.15">
      <c r="C43" s="79">
        <v>42</v>
      </c>
      <c r="E43" s="165" t="s">
        <v>233</v>
      </c>
      <c r="F43" s="79">
        <v>2</v>
      </c>
      <c r="G43" s="79">
        <v>5</v>
      </c>
      <c r="H43" s="79">
        <v>0</v>
      </c>
      <c r="I43" s="79">
        <v>0</v>
      </c>
      <c r="J43" s="79">
        <v>0</v>
      </c>
      <c r="K43" s="79">
        <v>0</v>
      </c>
      <c r="L43" s="79">
        <v>0</v>
      </c>
      <c r="M43" s="79">
        <v>0</v>
      </c>
      <c r="N43" s="79">
        <v>0</v>
      </c>
    </row>
    <row r="44" spans="3:14" customFormat="1" ht="15" customHeight="1" x14ac:dyDescent="0.15">
      <c r="C44" s="79">
        <v>43</v>
      </c>
      <c r="E44" s="165" t="s">
        <v>234</v>
      </c>
      <c r="F44" s="79">
        <v>3</v>
      </c>
      <c r="G44" s="79">
        <v>0</v>
      </c>
      <c r="H44" s="79">
        <v>0</v>
      </c>
      <c r="I44" s="79">
        <v>0</v>
      </c>
      <c r="J44" s="79">
        <v>0</v>
      </c>
      <c r="K44" s="79">
        <v>0</v>
      </c>
      <c r="L44" s="79">
        <v>0</v>
      </c>
      <c r="M44" s="79">
        <v>0</v>
      </c>
      <c r="N44" s="79">
        <v>0</v>
      </c>
    </row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Q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1.33203125" style="131" bestFit="1" customWidth="1"/>
    <col min="2" max="2" width="5.83203125" style="131" bestFit="1" customWidth="1"/>
    <col min="3" max="3" width="13.83203125" style="131" bestFit="1" customWidth="1"/>
    <col min="4" max="5" width="14.83203125" style="131" bestFit="1" customWidth="1"/>
    <col min="6" max="14" width="5.83203125" style="131" bestFit="1" customWidth="1"/>
    <col min="15" max="16" width="14.83203125" style="131" bestFit="1" customWidth="1"/>
    <col min="17" max="19" width="5.83203125" style="131" bestFit="1" customWidth="1"/>
    <col min="20" max="20" width="15.83203125" style="131" bestFit="1" customWidth="1"/>
    <col min="21" max="21" width="5.83203125" style="131" bestFit="1" customWidth="1"/>
    <col min="22" max="22" width="13.83203125" style="131" bestFit="1" customWidth="1"/>
    <col min="23" max="29" width="5.83203125" style="131" bestFit="1" customWidth="1"/>
    <col min="30" max="30" width="5.83203125" style="131" customWidth="1"/>
    <col min="31" max="31" width="4.83203125" style="131" customWidth="1"/>
    <col min="32" max="33" width="5.83203125" style="131" customWidth="1"/>
    <col min="34" max="35" width="4.83203125" style="131" customWidth="1"/>
    <col min="36" max="36" width="3.83203125" style="131" customWidth="1"/>
    <col min="37" max="37" width="5.83203125" style="131" customWidth="1"/>
    <col min="38" max="43" width="2.33203125" style="131" customWidth="1"/>
    <col min="44" max="16384" width="8.83203125" style="131"/>
  </cols>
  <sheetData>
    <row r="1" spans="1:43" x14ac:dyDescent="0.15">
      <c r="A1" s="130" t="s">
        <v>19</v>
      </c>
      <c r="B1" s="167" t="s">
        <v>192</v>
      </c>
      <c r="C1" s="167" t="s">
        <v>193</v>
      </c>
      <c r="D1" s="167" t="s">
        <v>194</v>
      </c>
      <c r="E1" s="167" t="s">
        <v>195</v>
      </c>
      <c r="F1" s="167" t="s">
        <v>196</v>
      </c>
      <c r="G1" s="167" t="s">
        <v>197</v>
      </c>
      <c r="H1" s="167" t="s">
        <v>198</v>
      </c>
      <c r="I1" s="167" t="s">
        <v>199</v>
      </c>
      <c r="J1" s="167" t="s">
        <v>200</v>
      </c>
      <c r="K1" s="167" t="s">
        <v>201</v>
      </c>
      <c r="L1" s="167" t="s">
        <v>202</v>
      </c>
      <c r="M1" s="167" t="s">
        <v>203</v>
      </c>
      <c r="N1" s="167" t="s">
        <v>204</v>
      </c>
      <c r="O1" s="167" t="s">
        <v>205</v>
      </c>
      <c r="P1" s="167" t="s">
        <v>206</v>
      </c>
      <c r="Q1" s="167" t="s">
        <v>207</v>
      </c>
      <c r="R1" s="167" t="s">
        <v>208</v>
      </c>
      <c r="S1" s="167" t="s">
        <v>209</v>
      </c>
      <c r="T1" s="167" t="s">
        <v>210</v>
      </c>
      <c r="U1" s="167" t="s">
        <v>211</v>
      </c>
      <c r="V1" s="167" t="s">
        <v>212</v>
      </c>
      <c r="W1" s="167" t="s">
        <v>213</v>
      </c>
      <c r="X1" s="167" t="s">
        <v>214</v>
      </c>
      <c r="Y1" s="167" t="s">
        <v>215</v>
      </c>
      <c r="Z1" s="167" t="s">
        <v>216</v>
      </c>
      <c r="AA1" s="167" t="s">
        <v>217</v>
      </c>
      <c r="AB1" s="167" t="s">
        <v>218</v>
      </c>
      <c r="AC1" s="167" t="s">
        <v>219</v>
      </c>
      <c r="AD1" s="167" t="s">
        <v>220</v>
      </c>
      <c r="AE1" s="167" t="s">
        <v>221</v>
      </c>
      <c r="AF1" s="167" t="s">
        <v>222</v>
      </c>
      <c r="AG1" s="167" t="s">
        <v>223</v>
      </c>
      <c r="AH1" s="167" t="s">
        <v>224</v>
      </c>
      <c r="AI1" s="167" t="s">
        <v>225</v>
      </c>
      <c r="AJ1" s="167" t="s">
        <v>226</v>
      </c>
      <c r="AK1" s="167" t="s">
        <v>227</v>
      </c>
      <c r="AL1" s="167" t="s">
        <v>228</v>
      </c>
      <c r="AM1" s="167" t="s">
        <v>229</v>
      </c>
      <c r="AN1" s="167" t="s">
        <v>230</v>
      </c>
      <c r="AO1" s="167" t="s">
        <v>231</v>
      </c>
      <c r="AP1" s="167" t="s">
        <v>232</v>
      </c>
      <c r="AQ1" s="167" t="s">
        <v>233</v>
      </c>
    </row>
    <row r="2" spans="1:43" customFormat="1" x14ac:dyDescent="0.15">
      <c r="A2" s="166" t="s">
        <v>192</v>
      </c>
      <c r="B2" s="131">
        <v>0</v>
      </c>
      <c r="C2" s="131">
        <v>0</v>
      </c>
      <c r="D2" s="131">
        <v>0</v>
      </c>
      <c r="E2" s="131">
        <v>9.9999996988000273E-3</v>
      </c>
      <c r="F2" s="131">
        <v>0</v>
      </c>
      <c r="G2" s="131">
        <v>0</v>
      </c>
      <c r="H2" s="131">
        <v>0</v>
      </c>
      <c r="I2" s="131">
        <v>0</v>
      </c>
      <c r="J2" s="131">
        <v>0</v>
      </c>
      <c r="K2" s="131">
        <v>0</v>
      </c>
      <c r="L2" s="131">
        <v>0</v>
      </c>
      <c r="M2" s="131">
        <v>0</v>
      </c>
      <c r="N2" s="131">
        <v>0</v>
      </c>
      <c r="O2" s="131">
        <v>0</v>
      </c>
      <c r="P2" s="131">
        <v>0</v>
      </c>
      <c r="Q2" s="131">
        <v>0</v>
      </c>
      <c r="R2" s="131">
        <v>0</v>
      </c>
      <c r="S2" s="131">
        <v>0</v>
      </c>
      <c r="T2" s="131">
        <v>0</v>
      </c>
      <c r="U2" s="131">
        <v>0</v>
      </c>
      <c r="V2" s="131">
        <v>0</v>
      </c>
      <c r="W2" s="131">
        <v>0</v>
      </c>
      <c r="X2" s="131">
        <v>0</v>
      </c>
      <c r="Y2" s="131">
        <v>0</v>
      </c>
      <c r="Z2" s="131">
        <v>0</v>
      </c>
      <c r="AA2" s="131">
        <v>0</v>
      </c>
      <c r="AB2" s="131">
        <v>0</v>
      </c>
      <c r="AC2" s="131">
        <v>0</v>
      </c>
      <c r="AD2" s="131">
        <v>0</v>
      </c>
      <c r="AE2" s="131">
        <v>0</v>
      </c>
      <c r="AF2" s="131">
        <v>0</v>
      </c>
      <c r="AG2" s="131">
        <v>0</v>
      </c>
      <c r="AH2" s="131">
        <v>0</v>
      </c>
      <c r="AI2" s="131">
        <v>0</v>
      </c>
      <c r="AJ2" s="131">
        <v>0</v>
      </c>
      <c r="AK2" s="131">
        <v>0</v>
      </c>
      <c r="AL2" s="131">
        <v>0</v>
      </c>
      <c r="AM2" s="131">
        <v>0</v>
      </c>
      <c r="AN2" s="131">
        <v>0</v>
      </c>
      <c r="AO2" s="131">
        <v>0</v>
      </c>
      <c r="AP2" s="131">
        <v>0</v>
      </c>
      <c r="AQ2" s="131">
        <v>0</v>
      </c>
    </row>
    <row r="3" spans="1:43" customFormat="1" x14ac:dyDescent="0.15">
      <c r="A3" s="166" t="s">
        <v>193</v>
      </c>
      <c r="B3" s="131">
        <v>0</v>
      </c>
      <c r="C3" s="131">
        <v>0</v>
      </c>
      <c r="D3" s="131">
        <v>0</v>
      </c>
      <c r="E3" s="131">
        <v>0</v>
      </c>
      <c r="F3" s="131">
        <v>0</v>
      </c>
      <c r="G3" s="131">
        <v>0</v>
      </c>
      <c r="H3" s="131">
        <v>0</v>
      </c>
      <c r="I3" s="131">
        <v>0</v>
      </c>
      <c r="J3" s="131">
        <v>0</v>
      </c>
      <c r="K3" s="131">
        <v>0</v>
      </c>
      <c r="L3" s="131">
        <v>0</v>
      </c>
      <c r="M3" s="131">
        <v>0</v>
      </c>
      <c r="N3" s="131">
        <v>0</v>
      </c>
      <c r="O3" s="131">
        <v>0</v>
      </c>
      <c r="P3" s="131">
        <v>0</v>
      </c>
      <c r="Q3" s="131">
        <v>0</v>
      </c>
      <c r="R3" s="131">
        <v>0</v>
      </c>
      <c r="S3" s="131">
        <v>0</v>
      </c>
      <c r="T3" s="131">
        <v>0</v>
      </c>
      <c r="U3" s="131">
        <v>0</v>
      </c>
      <c r="V3" s="131">
        <v>0</v>
      </c>
      <c r="W3" s="131">
        <v>0</v>
      </c>
      <c r="X3" s="131">
        <v>0</v>
      </c>
      <c r="Y3" s="131">
        <v>0</v>
      </c>
      <c r="Z3" s="131">
        <v>0</v>
      </c>
      <c r="AA3" s="131">
        <v>0</v>
      </c>
      <c r="AB3" s="131">
        <v>0</v>
      </c>
      <c r="AC3" s="131">
        <v>0</v>
      </c>
      <c r="AD3" s="131">
        <v>0</v>
      </c>
      <c r="AE3" s="131">
        <v>0</v>
      </c>
      <c r="AF3" s="131">
        <v>0</v>
      </c>
      <c r="AG3" s="131">
        <v>0</v>
      </c>
      <c r="AH3" s="131">
        <v>0</v>
      </c>
      <c r="AI3" s="131">
        <v>0</v>
      </c>
      <c r="AJ3" s="131">
        <v>0</v>
      </c>
      <c r="AK3" s="131">
        <v>0</v>
      </c>
      <c r="AL3" s="131">
        <v>0</v>
      </c>
      <c r="AM3" s="131">
        <v>0</v>
      </c>
      <c r="AN3" s="131">
        <v>0</v>
      </c>
      <c r="AO3" s="131">
        <v>0</v>
      </c>
      <c r="AP3" s="131">
        <v>0</v>
      </c>
      <c r="AQ3" s="131">
        <v>0</v>
      </c>
    </row>
    <row r="4" spans="1:43" customFormat="1" x14ac:dyDescent="0.15">
      <c r="A4" s="166" t="s">
        <v>194</v>
      </c>
      <c r="B4" s="131">
        <v>0</v>
      </c>
      <c r="C4" s="131">
        <v>0</v>
      </c>
      <c r="D4" s="131">
        <v>0</v>
      </c>
      <c r="E4" s="131">
        <v>0</v>
      </c>
      <c r="F4" s="131">
        <v>0</v>
      </c>
      <c r="G4" s="131">
        <v>0</v>
      </c>
      <c r="H4" s="131">
        <v>0</v>
      </c>
      <c r="I4" s="131">
        <v>0</v>
      </c>
      <c r="J4" s="131">
        <v>0</v>
      </c>
      <c r="K4" s="131">
        <v>0</v>
      </c>
      <c r="L4" s="131">
        <v>0</v>
      </c>
      <c r="M4" s="131">
        <v>0</v>
      </c>
      <c r="N4" s="131">
        <v>0</v>
      </c>
      <c r="O4" s="131">
        <v>0</v>
      </c>
      <c r="P4" s="131">
        <v>0</v>
      </c>
      <c r="Q4" s="131">
        <v>0</v>
      </c>
      <c r="R4" s="131">
        <v>0</v>
      </c>
      <c r="S4" s="131">
        <v>0</v>
      </c>
      <c r="T4" s="131">
        <v>0</v>
      </c>
      <c r="U4" s="131">
        <v>0</v>
      </c>
      <c r="V4" s="131">
        <v>0</v>
      </c>
      <c r="W4" s="131">
        <v>0</v>
      </c>
      <c r="X4" s="131">
        <v>0</v>
      </c>
      <c r="Y4" s="131">
        <v>0</v>
      </c>
      <c r="Z4" s="131">
        <v>0</v>
      </c>
      <c r="AA4" s="131">
        <v>0</v>
      </c>
      <c r="AB4" s="131">
        <v>0</v>
      </c>
      <c r="AC4" s="131">
        <v>0</v>
      </c>
      <c r="AD4" s="131">
        <v>0</v>
      </c>
      <c r="AE4" s="131">
        <v>0</v>
      </c>
      <c r="AF4" s="131">
        <v>0</v>
      </c>
      <c r="AG4" s="131">
        <v>0</v>
      </c>
      <c r="AH4" s="131">
        <v>0</v>
      </c>
      <c r="AI4" s="131">
        <v>0</v>
      </c>
      <c r="AJ4" s="131">
        <v>0</v>
      </c>
      <c r="AK4" s="131">
        <v>0</v>
      </c>
      <c r="AL4" s="131">
        <v>0</v>
      </c>
      <c r="AM4" s="131">
        <v>0</v>
      </c>
      <c r="AN4" s="131">
        <v>0</v>
      </c>
      <c r="AO4" s="131">
        <v>0</v>
      </c>
      <c r="AP4" s="131">
        <v>0</v>
      </c>
      <c r="AQ4" s="131">
        <v>0</v>
      </c>
    </row>
    <row r="5" spans="1:43" customFormat="1" x14ac:dyDescent="0.15">
      <c r="A5" s="166" t="s">
        <v>195</v>
      </c>
      <c r="B5" s="131">
        <v>4.1000000000000002E-2</v>
      </c>
      <c r="C5" s="131">
        <v>0</v>
      </c>
      <c r="D5" s="131">
        <v>2.1999999670679969E-2</v>
      </c>
      <c r="E5" s="131">
        <v>2.0000001297599867E-3</v>
      </c>
      <c r="F5" s="131">
        <v>0</v>
      </c>
      <c r="G5" s="131">
        <v>0</v>
      </c>
      <c r="H5" s="131">
        <v>0</v>
      </c>
      <c r="I5" s="131">
        <v>0</v>
      </c>
      <c r="J5" s="131">
        <v>0</v>
      </c>
      <c r="K5" s="131">
        <v>0</v>
      </c>
      <c r="L5" s="131">
        <v>0</v>
      </c>
      <c r="M5" s="131">
        <v>0</v>
      </c>
      <c r="N5" s="131">
        <v>0</v>
      </c>
      <c r="O5" s="131">
        <v>0</v>
      </c>
      <c r="P5" s="131">
        <v>0</v>
      </c>
      <c r="Q5" s="131">
        <v>0</v>
      </c>
      <c r="R5" s="131">
        <v>0</v>
      </c>
      <c r="S5" s="131">
        <v>0</v>
      </c>
      <c r="T5" s="131">
        <v>0</v>
      </c>
      <c r="U5" s="131">
        <v>0</v>
      </c>
      <c r="V5" s="131">
        <v>0</v>
      </c>
      <c r="W5" s="131">
        <v>0</v>
      </c>
      <c r="X5" s="131">
        <v>0</v>
      </c>
      <c r="Y5" s="131">
        <v>0</v>
      </c>
      <c r="Z5" s="131">
        <v>0</v>
      </c>
      <c r="AA5" s="131">
        <v>0</v>
      </c>
      <c r="AB5" s="131">
        <v>0</v>
      </c>
      <c r="AC5" s="131">
        <v>0</v>
      </c>
      <c r="AD5" s="131">
        <v>0</v>
      </c>
      <c r="AE5" s="131">
        <v>0</v>
      </c>
      <c r="AF5" s="131">
        <v>0</v>
      </c>
      <c r="AG5" s="131">
        <v>0</v>
      </c>
      <c r="AH5" s="131">
        <v>0</v>
      </c>
      <c r="AI5" s="131">
        <v>0</v>
      </c>
      <c r="AJ5" s="131">
        <v>0</v>
      </c>
      <c r="AK5" s="131">
        <v>0</v>
      </c>
      <c r="AL5" s="131">
        <v>0</v>
      </c>
      <c r="AM5" s="131">
        <v>0</v>
      </c>
      <c r="AN5" s="131">
        <v>0</v>
      </c>
      <c r="AO5" s="131">
        <v>0</v>
      </c>
      <c r="AP5" s="131">
        <v>0</v>
      </c>
      <c r="AQ5" s="131">
        <v>0</v>
      </c>
    </row>
    <row r="6" spans="1:43" customFormat="1" x14ac:dyDescent="0.15">
      <c r="A6" s="166" t="s">
        <v>196</v>
      </c>
      <c r="B6" s="131">
        <v>4.1000000000000002E-2</v>
      </c>
      <c r="C6" s="131">
        <v>0</v>
      </c>
      <c r="D6" s="131">
        <v>2.1999999670679969E-2</v>
      </c>
      <c r="E6" s="131">
        <v>0</v>
      </c>
      <c r="F6" s="131">
        <v>0</v>
      </c>
      <c r="G6" s="131">
        <v>0</v>
      </c>
      <c r="H6" s="131">
        <v>0</v>
      </c>
      <c r="I6" s="131">
        <v>0</v>
      </c>
      <c r="J6" s="131">
        <v>0</v>
      </c>
      <c r="K6" s="131">
        <v>0</v>
      </c>
      <c r="L6" s="131">
        <v>0</v>
      </c>
      <c r="M6" s="131">
        <v>0</v>
      </c>
      <c r="N6" s="131">
        <v>0</v>
      </c>
      <c r="O6" s="131">
        <v>0</v>
      </c>
      <c r="P6" s="131">
        <v>0</v>
      </c>
      <c r="Q6" s="131">
        <v>0</v>
      </c>
      <c r="R6" s="131">
        <v>0</v>
      </c>
      <c r="S6" s="131">
        <v>0</v>
      </c>
      <c r="T6" s="131">
        <v>0</v>
      </c>
      <c r="U6" s="131">
        <v>0</v>
      </c>
      <c r="V6" s="131">
        <v>0</v>
      </c>
      <c r="W6" s="131">
        <v>0</v>
      </c>
      <c r="X6" s="131">
        <v>0</v>
      </c>
      <c r="Y6" s="131">
        <v>0</v>
      </c>
      <c r="Z6" s="131">
        <v>0</v>
      </c>
      <c r="AA6" s="131">
        <v>0</v>
      </c>
      <c r="AB6" s="131">
        <v>0</v>
      </c>
      <c r="AC6" s="131">
        <v>0</v>
      </c>
      <c r="AD6" s="131">
        <v>0</v>
      </c>
      <c r="AE6" s="131">
        <v>0</v>
      </c>
      <c r="AF6" s="131">
        <v>0</v>
      </c>
      <c r="AG6" s="131">
        <v>0</v>
      </c>
      <c r="AH6" s="131">
        <v>0</v>
      </c>
      <c r="AI6" s="131">
        <v>0</v>
      </c>
      <c r="AJ6" s="131">
        <v>0</v>
      </c>
      <c r="AK6" s="131">
        <v>0</v>
      </c>
      <c r="AL6" s="131">
        <v>0</v>
      </c>
      <c r="AM6" s="131">
        <v>0</v>
      </c>
      <c r="AN6" s="131">
        <v>0</v>
      </c>
      <c r="AO6" s="131">
        <v>0</v>
      </c>
      <c r="AP6" s="131">
        <v>0</v>
      </c>
      <c r="AQ6" s="131">
        <v>0</v>
      </c>
    </row>
    <row r="7" spans="1:43" customFormat="1" x14ac:dyDescent="0.15">
      <c r="A7" s="166" t="s">
        <v>197</v>
      </c>
      <c r="B7" s="131">
        <v>4.1000000000000002E-2</v>
      </c>
      <c r="C7" s="131">
        <v>0</v>
      </c>
      <c r="D7" s="131">
        <v>2.9999997878199829E-2</v>
      </c>
      <c r="E7" s="131">
        <v>3.5000000395799952E-2</v>
      </c>
      <c r="F7" s="131">
        <v>0</v>
      </c>
      <c r="G7" s="131">
        <v>0</v>
      </c>
      <c r="H7" s="131">
        <v>0.11700000000000001</v>
      </c>
      <c r="I7" s="131">
        <v>0</v>
      </c>
      <c r="J7" s="131">
        <v>0</v>
      </c>
      <c r="K7" s="131">
        <v>0</v>
      </c>
      <c r="L7" s="131">
        <v>0</v>
      </c>
      <c r="M7" s="131">
        <v>0</v>
      </c>
      <c r="N7" s="131">
        <v>0</v>
      </c>
      <c r="O7" s="131">
        <v>0</v>
      </c>
      <c r="P7" s="131">
        <v>0</v>
      </c>
      <c r="Q7" s="131">
        <v>0</v>
      </c>
      <c r="R7" s="131">
        <v>0</v>
      </c>
      <c r="S7" s="131">
        <v>0</v>
      </c>
      <c r="T7" s="131">
        <v>0</v>
      </c>
      <c r="U7" s="131">
        <v>0</v>
      </c>
      <c r="V7" s="131">
        <v>0</v>
      </c>
      <c r="W7" s="131">
        <v>0</v>
      </c>
      <c r="X7" s="131">
        <v>0</v>
      </c>
      <c r="Y7" s="131">
        <v>0</v>
      </c>
      <c r="Z7" s="131">
        <v>0</v>
      </c>
      <c r="AA7" s="131">
        <v>0</v>
      </c>
      <c r="AB7" s="131">
        <v>0</v>
      </c>
      <c r="AC7" s="131">
        <v>0</v>
      </c>
      <c r="AD7" s="131">
        <v>0</v>
      </c>
      <c r="AE7" s="131">
        <v>0</v>
      </c>
      <c r="AF7" s="131">
        <v>0</v>
      </c>
      <c r="AG7" s="131">
        <v>0</v>
      </c>
      <c r="AH7" s="131">
        <v>0</v>
      </c>
      <c r="AI7" s="131">
        <v>0</v>
      </c>
      <c r="AJ7" s="131">
        <v>0</v>
      </c>
      <c r="AK7" s="131">
        <v>0</v>
      </c>
      <c r="AL7" s="131">
        <v>0</v>
      </c>
      <c r="AM7" s="131">
        <v>0</v>
      </c>
      <c r="AN7" s="131">
        <v>0</v>
      </c>
      <c r="AO7" s="131">
        <v>0</v>
      </c>
      <c r="AP7" s="131">
        <v>0</v>
      </c>
      <c r="AQ7" s="131">
        <v>0</v>
      </c>
    </row>
    <row r="8" spans="1:43" customFormat="1" x14ac:dyDescent="0.15">
      <c r="A8" s="166" t="s">
        <v>198</v>
      </c>
      <c r="B8" s="131">
        <v>0</v>
      </c>
      <c r="C8" s="131">
        <v>0</v>
      </c>
      <c r="D8" s="131">
        <v>0</v>
      </c>
      <c r="E8" s="131">
        <v>1.0999999798680016E-2</v>
      </c>
      <c r="F8" s="131">
        <v>0</v>
      </c>
      <c r="G8" s="131">
        <v>0</v>
      </c>
      <c r="H8" s="131">
        <v>0</v>
      </c>
      <c r="I8" s="131">
        <v>0</v>
      </c>
      <c r="J8" s="131">
        <v>0</v>
      </c>
      <c r="K8" s="131">
        <v>0</v>
      </c>
      <c r="L8" s="131">
        <v>0</v>
      </c>
      <c r="M8" s="131">
        <v>0</v>
      </c>
      <c r="N8" s="131">
        <v>0</v>
      </c>
      <c r="O8" s="131">
        <v>0</v>
      </c>
      <c r="P8" s="131">
        <v>0</v>
      </c>
      <c r="Q8" s="131">
        <v>0</v>
      </c>
      <c r="R8" s="131">
        <v>0</v>
      </c>
      <c r="S8" s="131">
        <v>0</v>
      </c>
      <c r="T8" s="131">
        <v>0</v>
      </c>
      <c r="U8" s="131">
        <v>0</v>
      </c>
      <c r="V8" s="131">
        <v>0</v>
      </c>
      <c r="W8" s="131">
        <v>0</v>
      </c>
      <c r="X8" s="131">
        <v>0</v>
      </c>
      <c r="Y8" s="131">
        <v>0</v>
      </c>
      <c r="Z8" s="131">
        <v>0</v>
      </c>
      <c r="AA8" s="131">
        <v>0</v>
      </c>
      <c r="AB8" s="131">
        <v>0</v>
      </c>
      <c r="AC8" s="131">
        <v>0</v>
      </c>
      <c r="AD8" s="131">
        <v>0</v>
      </c>
      <c r="AE8" s="131">
        <v>0</v>
      </c>
      <c r="AF8" s="131">
        <v>0</v>
      </c>
      <c r="AG8" s="131">
        <v>0</v>
      </c>
      <c r="AH8" s="131">
        <v>0</v>
      </c>
      <c r="AI8" s="131">
        <v>0</v>
      </c>
      <c r="AJ8" s="131">
        <v>0</v>
      </c>
      <c r="AK8" s="131">
        <v>0</v>
      </c>
      <c r="AL8" s="131">
        <v>0</v>
      </c>
      <c r="AM8" s="131">
        <v>0</v>
      </c>
      <c r="AN8" s="131">
        <v>0</v>
      </c>
      <c r="AO8" s="131">
        <v>0</v>
      </c>
      <c r="AP8" s="131">
        <v>0</v>
      </c>
      <c r="AQ8" s="131">
        <v>0</v>
      </c>
    </row>
    <row r="9" spans="1:43" customFormat="1" x14ac:dyDescent="0.15">
      <c r="A9" s="166" t="s">
        <v>199</v>
      </c>
      <c r="B9" s="131">
        <v>0</v>
      </c>
      <c r="C9" s="131">
        <v>0</v>
      </c>
      <c r="D9" s="131">
        <v>0</v>
      </c>
      <c r="E9" s="131">
        <v>0</v>
      </c>
      <c r="F9" s="131">
        <v>0</v>
      </c>
      <c r="G9" s="131">
        <v>0</v>
      </c>
      <c r="H9" s="131">
        <v>0</v>
      </c>
      <c r="I9" s="131">
        <v>0</v>
      </c>
      <c r="J9" s="131">
        <v>0</v>
      </c>
      <c r="K9" s="131">
        <v>0</v>
      </c>
      <c r="L9" s="131">
        <v>0</v>
      </c>
      <c r="M9" s="131">
        <v>0</v>
      </c>
      <c r="N9" s="131">
        <v>0</v>
      </c>
      <c r="O9" s="131">
        <v>0</v>
      </c>
      <c r="P9" s="131">
        <v>0</v>
      </c>
      <c r="Q9" s="131">
        <v>0</v>
      </c>
      <c r="R9" s="131">
        <v>0</v>
      </c>
      <c r="S9" s="131">
        <v>0</v>
      </c>
      <c r="T9" s="131">
        <v>0</v>
      </c>
      <c r="U9" s="131">
        <v>0</v>
      </c>
      <c r="V9" s="131">
        <v>0</v>
      </c>
      <c r="W9" s="131">
        <v>0</v>
      </c>
      <c r="X9" s="131">
        <v>0</v>
      </c>
      <c r="Y9" s="131">
        <v>0</v>
      </c>
      <c r="Z9" s="131">
        <v>0</v>
      </c>
      <c r="AA9" s="131">
        <v>0</v>
      </c>
      <c r="AB9" s="131">
        <v>0</v>
      </c>
      <c r="AC9" s="131">
        <v>0</v>
      </c>
      <c r="AD9" s="131">
        <v>0</v>
      </c>
      <c r="AE9" s="131">
        <v>0</v>
      </c>
      <c r="AF9" s="131">
        <v>0</v>
      </c>
      <c r="AG9" s="131">
        <v>0</v>
      </c>
      <c r="AH9" s="131">
        <v>0</v>
      </c>
      <c r="AI9" s="131">
        <v>0</v>
      </c>
      <c r="AJ9" s="131">
        <v>0</v>
      </c>
      <c r="AK9" s="131">
        <v>0</v>
      </c>
      <c r="AL9" s="131">
        <v>0</v>
      </c>
      <c r="AM9" s="131">
        <v>0</v>
      </c>
      <c r="AN9" s="131">
        <v>0</v>
      </c>
      <c r="AO9" s="131">
        <v>0</v>
      </c>
      <c r="AP9" s="131">
        <v>0</v>
      </c>
      <c r="AQ9" s="131">
        <v>0</v>
      </c>
    </row>
    <row r="10" spans="1:43" customFormat="1" x14ac:dyDescent="0.15">
      <c r="A10" s="166" t="s">
        <v>200</v>
      </c>
      <c r="B10" s="131">
        <v>0.32300000000000001</v>
      </c>
      <c r="C10" s="131">
        <v>1.1000000027699998E-2</v>
      </c>
      <c r="D10" s="131">
        <v>0.63700001337378087</v>
      </c>
      <c r="E10" s="131">
        <v>0.11999999998559997</v>
      </c>
      <c r="F10" s="131">
        <v>5.0000000000000001E-3</v>
      </c>
      <c r="G10" s="131">
        <v>0</v>
      </c>
      <c r="H10" s="131">
        <v>0</v>
      </c>
      <c r="I10" s="131">
        <v>4.0000000000000001E-3</v>
      </c>
      <c r="J10" s="131">
        <v>9.9999999999999985E-3</v>
      </c>
      <c r="K10" s="131">
        <v>0.23799999999999999</v>
      </c>
      <c r="L10" s="131">
        <v>0.22</v>
      </c>
      <c r="M10" s="131">
        <v>0</v>
      </c>
      <c r="N10" s="131">
        <v>0</v>
      </c>
      <c r="O10" s="131">
        <v>0</v>
      </c>
      <c r="P10" s="131">
        <v>8.2872333318585178E-3</v>
      </c>
      <c r="Q10" s="131">
        <v>0</v>
      </c>
      <c r="R10" s="131">
        <v>0.03</v>
      </c>
      <c r="S10" s="131">
        <v>0</v>
      </c>
      <c r="T10" s="131">
        <v>0</v>
      </c>
      <c r="U10" s="131">
        <v>0</v>
      </c>
      <c r="V10" s="131">
        <v>0</v>
      </c>
      <c r="W10" s="131">
        <v>0</v>
      </c>
      <c r="X10" s="131">
        <v>0</v>
      </c>
      <c r="Y10" s="131">
        <v>0</v>
      </c>
      <c r="Z10" s="131">
        <v>0</v>
      </c>
      <c r="AA10" s="131">
        <v>0</v>
      </c>
      <c r="AB10" s="131">
        <v>0</v>
      </c>
      <c r="AC10" s="131">
        <v>0</v>
      </c>
      <c r="AD10" s="131">
        <v>0</v>
      </c>
      <c r="AE10" s="131">
        <v>0</v>
      </c>
      <c r="AF10" s="131">
        <v>0</v>
      </c>
      <c r="AG10" s="131">
        <v>0</v>
      </c>
      <c r="AH10" s="131">
        <v>0</v>
      </c>
      <c r="AI10" s="131">
        <v>0</v>
      </c>
      <c r="AJ10" s="131">
        <v>0</v>
      </c>
      <c r="AK10" s="131">
        <v>0</v>
      </c>
      <c r="AL10" s="131">
        <v>0</v>
      </c>
      <c r="AM10" s="131">
        <v>0</v>
      </c>
      <c r="AN10" s="131">
        <v>0</v>
      </c>
      <c r="AO10" s="131">
        <v>0</v>
      </c>
      <c r="AP10" s="131">
        <v>0</v>
      </c>
      <c r="AQ10" s="131">
        <v>0</v>
      </c>
    </row>
    <row r="11" spans="1:43" customFormat="1" x14ac:dyDescent="0.15">
      <c r="A11" s="166" t="s">
        <v>201</v>
      </c>
      <c r="B11" s="131">
        <v>3.1E-2</v>
      </c>
      <c r="C11" s="131">
        <v>0.28999999800300019</v>
      </c>
      <c r="D11" s="131">
        <v>8.9999996834599742E-3</v>
      </c>
      <c r="E11" s="131">
        <v>4.0000002595199733E-3</v>
      </c>
      <c r="F11" s="131">
        <v>0</v>
      </c>
      <c r="G11" s="131">
        <v>0</v>
      </c>
      <c r="H11" s="131">
        <v>3.6999999999999998E-2</v>
      </c>
      <c r="I11" s="131">
        <v>0</v>
      </c>
      <c r="J11" s="131">
        <v>0</v>
      </c>
      <c r="K11" s="131">
        <v>0</v>
      </c>
      <c r="L11" s="131">
        <v>0</v>
      </c>
      <c r="M11" s="131">
        <v>0</v>
      </c>
      <c r="N11" s="131">
        <v>0</v>
      </c>
      <c r="O11" s="131">
        <v>0</v>
      </c>
      <c r="P11" s="131">
        <v>0</v>
      </c>
      <c r="Q11" s="131">
        <v>0</v>
      </c>
      <c r="R11" s="131">
        <v>0</v>
      </c>
      <c r="S11" s="131">
        <v>0</v>
      </c>
      <c r="T11" s="131">
        <v>0</v>
      </c>
      <c r="U11" s="131">
        <v>0</v>
      </c>
      <c r="V11" s="131">
        <v>0</v>
      </c>
      <c r="W11" s="131">
        <v>0</v>
      </c>
      <c r="X11" s="131">
        <v>0</v>
      </c>
      <c r="Y11" s="131">
        <v>0</v>
      </c>
      <c r="Z11" s="131">
        <v>0</v>
      </c>
      <c r="AA11" s="131">
        <v>0</v>
      </c>
      <c r="AB11" s="131">
        <v>0</v>
      </c>
      <c r="AC11" s="131">
        <v>0</v>
      </c>
      <c r="AD11" s="131">
        <v>0</v>
      </c>
      <c r="AE11" s="131">
        <v>0</v>
      </c>
      <c r="AF11" s="131">
        <v>0</v>
      </c>
      <c r="AG11" s="131">
        <v>0</v>
      </c>
      <c r="AH11" s="131">
        <v>0</v>
      </c>
      <c r="AI11" s="131">
        <v>0</v>
      </c>
      <c r="AJ11" s="131">
        <v>0</v>
      </c>
      <c r="AK11" s="131">
        <v>0</v>
      </c>
      <c r="AL11" s="131">
        <v>0</v>
      </c>
      <c r="AM11" s="131">
        <v>0</v>
      </c>
      <c r="AN11" s="131">
        <v>0</v>
      </c>
      <c r="AO11" s="131">
        <v>0</v>
      </c>
      <c r="AP11" s="131">
        <v>0</v>
      </c>
      <c r="AQ11" s="131">
        <v>0</v>
      </c>
    </row>
    <row r="12" spans="1:43" customFormat="1" x14ac:dyDescent="0.15">
      <c r="A12" s="166" t="s">
        <v>202</v>
      </c>
      <c r="B12" s="131">
        <v>0</v>
      </c>
      <c r="C12" s="131">
        <v>0.28999999800300019</v>
      </c>
      <c r="D12" s="131">
        <v>0</v>
      </c>
      <c r="E12" s="131">
        <v>1.7999999297840064E-2</v>
      </c>
      <c r="F12" s="131">
        <v>0</v>
      </c>
      <c r="G12" s="131">
        <v>0</v>
      </c>
      <c r="H12" s="131">
        <v>0</v>
      </c>
      <c r="I12" s="131">
        <v>0</v>
      </c>
      <c r="J12" s="131">
        <v>0</v>
      </c>
      <c r="K12" s="131">
        <v>0</v>
      </c>
      <c r="L12" s="131">
        <v>0</v>
      </c>
      <c r="M12" s="131">
        <v>0</v>
      </c>
      <c r="N12" s="131">
        <v>0</v>
      </c>
      <c r="O12" s="131">
        <v>0</v>
      </c>
      <c r="P12" s="131">
        <v>0</v>
      </c>
      <c r="Q12" s="131">
        <v>0</v>
      </c>
      <c r="R12" s="131">
        <v>0</v>
      </c>
      <c r="S12" s="131">
        <v>0</v>
      </c>
      <c r="T12" s="131">
        <v>0</v>
      </c>
      <c r="U12" s="131">
        <v>0</v>
      </c>
      <c r="V12" s="131">
        <v>0</v>
      </c>
      <c r="W12" s="131">
        <v>0</v>
      </c>
      <c r="X12" s="131">
        <v>0</v>
      </c>
      <c r="Y12" s="131">
        <v>0</v>
      </c>
      <c r="Z12" s="131">
        <v>0</v>
      </c>
      <c r="AA12" s="131">
        <v>0</v>
      </c>
      <c r="AB12" s="131">
        <v>0</v>
      </c>
      <c r="AC12" s="131">
        <v>0</v>
      </c>
      <c r="AD12" s="131">
        <v>0</v>
      </c>
      <c r="AE12" s="131">
        <v>0</v>
      </c>
      <c r="AF12" s="131">
        <v>0</v>
      </c>
      <c r="AG12" s="131">
        <v>0</v>
      </c>
      <c r="AH12" s="131">
        <v>0</v>
      </c>
      <c r="AI12" s="131">
        <v>0</v>
      </c>
      <c r="AJ12" s="131">
        <v>0</v>
      </c>
      <c r="AK12" s="131">
        <v>0</v>
      </c>
      <c r="AL12" s="131">
        <v>0</v>
      </c>
      <c r="AM12" s="131">
        <v>0</v>
      </c>
      <c r="AN12" s="131">
        <v>0</v>
      </c>
      <c r="AO12" s="131">
        <v>0</v>
      </c>
      <c r="AP12" s="131">
        <v>0</v>
      </c>
      <c r="AQ12" s="131">
        <v>0</v>
      </c>
    </row>
    <row r="13" spans="1:43" customFormat="1" x14ac:dyDescent="0.15">
      <c r="A13" s="166" t="s">
        <v>203</v>
      </c>
      <c r="B13" s="131">
        <v>3.1E-2</v>
      </c>
      <c r="C13" s="131">
        <v>0</v>
      </c>
      <c r="D13" s="131">
        <v>8.9999996834599742E-3</v>
      </c>
      <c r="E13" s="131">
        <v>0</v>
      </c>
      <c r="F13" s="131">
        <v>0</v>
      </c>
      <c r="G13" s="131">
        <v>0</v>
      </c>
      <c r="H13" s="131">
        <v>3.6999999999999998E-2</v>
      </c>
      <c r="I13" s="131">
        <v>0</v>
      </c>
      <c r="J13" s="131">
        <v>0</v>
      </c>
      <c r="K13" s="131">
        <v>0</v>
      </c>
      <c r="L13" s="131">
        <v>0</v>
      </c>
      <c r="M13" s="131">
        <v>0</v>
      </c>
      <c r="N13" s="131">
        <v>0</v>
      </c>
      <c r="O13" s="131">
        <v>0</v>
      </c>
      <c r="P13" s="131">
        <v>0</v>
      </c>
      <c r="Q13" s="131">
        <v>0</v>
      </c>
      <c r="R13" s="131">
        <v>0</v>
      </c>
      <c r="S13" s="131">
        <v>0</v>
      </c>
      <c r="T13" s="131">
        <v>0</v>
      </c>
      <c r="U13" s="131">
        <v>0</v>
      </c>
      <c r="V13" s="131">
        <v>0</v>
      </c>
      <c r="W13" s="131">
        <v>0</v>
      </c>
      <c r="X13" s="131">
        <v>0</v>
      </c>
      <c r="Y13" s="131">
        <v>0</v>
      </c>
      <c r="Z13" s="131">
        <v>0</v>
      </c>
      <c r="AA13" s="131">
        <v>0</v>
      </c>
      <c r="AB13" s="131">
        <v>0</v>
      </c>
      <c r="AC13" s="131">
        <v>0</v>
      </c>
      <c r="AD13" s="131">
        <v>0</v>
      </c>
      <c r="AE13" s="131">
        <v>0</v>
      </c>
      <c r="AF13" s="131">
        <v>0</v>
      </c>
      <c r="AG13" s="131">
        <v>0</v>
      </c>
      <c r="AH13" s="131">
        <v>0</v>
      </c>
      <c r="AI13" s="131">
        <v>0</v>
      </c>
      <c r="AJ13" s="131">
        <v>0</v>
      </c>
      <c r="AK13" s="131">
        <v>0</v>
      </c>
      <c r="AL13" s="131">
        <v>0</v>
      </c>
      <c r="AM13" s="131">
        <v>0</v>
      </c>
      <c r="AN13" s="131">
        <v>0</v>
      </c>
      <c r="AO13" s="131">
        <v>0</v>
      </c>
      <c r="AP13" s="131">
        <v>0</v>
      </c>
      <c r="AQ13" s="131">
        <v>0</v>
      </c>
    </row>
    <row r="14" spans="1:43" customFormat="1" x14ac:dyDescent="0.15">
      <c r="A14" s="166" t="s">
        <v>204</v>
      </c>
      <c r="B14" s="131">
        <v>1.6E-2</v>
      </c>
      <c r="C14" s="131">
        <v>0</v>
      </c>
      <c r="D14" s="131">
        <v>2.0000000118800005E-3</v>
      </c>
      <c r="E14" s="131">
        <v>0</v>
      </c>
      <c r="F14" s="131">
        <v>0</v>
      </c>
      <c r="G14" s="131">
        <v>0</v>
      </c>
      <c r="H14" s="131">
        <v>7.0000000000000001E-3</v>
      </c>
      <c r="I14" s="131">
        <v>0</v>
      </c>
      <c r="J14" s="131">
        <v>0</v>
      </c>
      <c r="K14" s="131">
        <v>0</v>
      </c>
      <c r="L14" s="131">
        <v>0</v>
      </c>
      <c r="M14" s="131">
        <v>0</v>
      </c>
      <c r="N14" s="131">
        <v>0</v>
      </c>
      <c r="O14" s="131">
        <v>0</v>
      </c>
      <c r="P14" s="131">
        <v>0</v>
      </c>
      <c r="Q14" s="131">
        <v>0</v>
      </c>
      <c r="R14" s="131">
        <v>0</v>
      </c>
      <c r="S14" s="131">
        <v>0</v>
      </c>
      <c r="T14" s="131">
        <v>0</v>
      </c>
      <c r="U14" s="131">
        <v>0</v>
      </c>
      <c r="V14" s="131">
        <v>0</v>
      </c>
      <c r="W14" s="131">
        <v>0</v>
      </c>
      <c r="X14" s="131">
        <v>0</v>
      </c>
      <c r="Y14" s="131">
        <v>0</v>
      </c>
      <c r="Z14" s="131">
        <v>0</v>
      </c>
      <c r="AA14" s="131">
        <v>0</v>
      </c>
      <c r="AB14" s="131">
        <v>0</v>
      </c>
      <c r="AC14" s="131">
        <v>0</v>
      </c>
      <c r="AD14" s="131">
        <v>0</v>
      </c>
      <c r="AE14" s="131">
        <v>0</v>
      </c>
      <c r="AF14" s="131">
        <v>0</v>
      </c>
      <c r="AG14" s="131">
        <v>0</v>
      </c>
      <c r="AH14" s="131">
        <v>0</v>
      </c>
      <c r="AI14" s="131">
        <v>0</v>
      </c>
      <c r="AJ14" s="131">
        <v>0</v>
      </c>
      <c r="AK14" s="131">
        <v>0</v>
      </c>
      <c r="AL14" s="131">
        <v>0</v>
      </c>
      <c r="AM14" s="131">
        <v>0</v>
      </c>
      <c r="AN14" s="131">
        <v>0</v>
      </c>
      <c r="AO14" s="131">
        <v>0</v>
      </c>
      <c r="AP14" s="131">
        <v>0</v>
      </c>
      <c r="AQ14" s="131">
        <v>0</v>
      </c>
    </row>
    <row r="15" spans="1:43" customFormat="1" x14ac:dyDescent="0.15">
      <c r="A15" s="166" t="s">
        <v>205</v>
      </c>
      <c r="B15" s="131">
        <v>3.1E-2</v>
      </c>
      <c r="C15" s="131">
        <v>0</v>
      </c>
      <c r="D15" s="131">
        <v>1.7000000390980024E-2</v>
      </c>
      <c r="E15" s="131">
        <v>1.7000001097959884E-2</v>
      </c>
      <c r="F15" s="131">
        <v>0</v>
      </c>
      <c r="G15" s="131">
        <v>0</v>
      </c>
      <c r="H15" s="131">
        <v>6.7000000000000004E-2</v>
      </c>
      <c r="I15" s="131">
        <v>0</v>
      </c>
      <c r="J15" s="131">
        <v>0</v>
      </c>
      <c r="K15" s="131">
        <v>1E-3</v>
      </c>
      <c r="L15" s="131">
        <v>0</v>
      </c>
      <c r="M15" s="131">
        <v>0</v>
      </c>
      <c r="N15" s="131">
        <v>0</v>
      </c>
      <c r="O15" s="131">
        <v>0</v>
      </c>
      <c r="P15" s="131">
        <v>0</v>
      </c>
      <c r="Q15" s="131">
        <v>0</v>
      </c>
      <c r="R15" s="131">
        <v>0</v>
      </c>
      <c r="S15" s="131">
        <v>0</v>
      </c>
      <c r="T15" s="131">
        <v>0</v>
      </c>
      <c r="U15" s="131">
        <v>0</v>
      </c>
      <c r="V15" s="131">
        <v>0</v>
      </c>
      <c r="W15" s="131">
        <v>0</v>
      </c>
      <c r="X15" s="131">
        <v>0</v>
      </c>
      <c r="Y15" s="131">
        <v>0</v>
      </c>
      <c r="Z15" s="131">
        <v>0</v>
      </c>
      <c r="AA15" s="131">
        <v>0</v>
      </c>
      <c r="AB15" s="131">
        <v>0</v>
      </c>
      <c r="AC15" s="131">
        <v>0</v>
      </c>
      <c r="AD15" s="131">
        <v>0</v>
      </c>
      <c r="AE15" s="131">
        <v>0</v>
      </c>
      <c r="AF15" s="131">
        <v>0</v>
      </c>
      <c r="AG15" s="131">
        <v>0</v>
      </c>
      <c r="AH15" s="131">
        <v>0</v>
      </c>
      <c r="AI15" s="131">
        <v>0</v>
      </c>
      <c r="AJ15" s="131">
        <v>0</v>
      </c>
      <c r="AK15" s="131">
        <v>0</v>
      </c>
      <c r="AL15" s="131">
        <v>0</v>
      </c>
      <c r="AM15" s="131">
        <v>0</v>
      </c>
      <c r="AN15" s="131">
        <v>0</v>
      </c>
      <c r="AO15" s="131">
        <v>0</v>
      </c>
      <c r="AP15" s="131">
        <v>0</v>
      </c>
      <c r="AQ15" s="131">
        <v>0</v>
      </c>
    </row>
    <row r="16" spans="1:43" customFormat="1" x14ac:dyDescent="0.15">
      <c r="A16" s="166" t="s">
        <v>206</v>
      </c>
      <c r="B16" s="131">
        <v>3.4000000000000002E-2</v>
      </c>
      <c r="C16" s="131">
        <v>0</v>
      </c>
      <c r="D16" s="131">
        <v>2.1999999670679969E-2</v>
      </c>
      <c r="E16" s="131">
        <v>0.24600001237047869</v>
      </c>
      <c r="F16" s="131">
        <v>0.67800000000000005</v>
      </c>
      <c r="G16" s="131">
        <v>0.22699999999999995</v>
      </c>
      <c r="H16" s="131">
        <v>0.121</v>
      </c>
      <c r="I16" s="131">
        <v>4.0000000000000001E-3</v>
      </c>
      <c r="J16" s="131">
        <v>4.9999999999999989E-2</v>
      </c>
      <c r="K16" s="131">
        <v>0</v>
      </c>
      <c r="L16" s="131">
        <v>0</v>
      </c>
      <c r="M16" s="131">
        <v>0</v>
      </c>
      <c r="N16" s="131">
        <v>0</v>
      </c>
      <c r="O16" s="131">
        <v>0</v>
      </c>
      <c r="P16" s="131">
        <v>0</v>
      </c>
      <c r="Q16" s="131">
        <v>0</v>
      </c>
      <c r="R16" s="131">
        <v>0</v>
      </c>
      <c r="S16" s="131">
        <v>0</v>
      </c>
      <c r="T16" s="131">
        <v>0</v>
      </c>
      <c r="U16" s="131">
        <v>0</v>
      </c>
      <c r="V16" s="131">
        <v>0</v>
      </c>
      <c r="W16" s="131">
        <v>0</v>
      </c>
      <c r="X16" s="131">
        <v>0</v>
      </c>
      <c r="Y16" s="131">
        <v>0</v>
      </c>
      <c r="Z16" s="131">
        <v>0</v>
      </c>
      <c r="AA16" s="131">
        <v>0</v>
      </c>
      <c r="AB16" s="131">
        <v>0</v>
      </c>
      <c r="AC16" s="131">
        <v>0</v>
      </c>
      <c r="AD16" s="131">
        <v>0</v>
      </c>
      <c r="AE16" s="131">
        <v>0</v>
      </c>
      <c r="AF16" s="131">
        <v>0</v>
      </c>
      <c r="AG16" s="131">
        <v>0</v>
      </c>
      <c r="AH16" s="131">
        <v>0</v>
      </c>
      <c r="AI16" s="131">
        <v>0</v>
      </c>
      <c r="AJ16" s="131">
        <v>0</v>
      </c>
      <c r="AK16" s="131">
        <v>0</v>
      </c>
      <c r="AL16" s="131">
        <v>0</v>
      </c>
      <c r="AM16" s="131">
        <v>0</v>
      </c>
      <c r="AN16" s="131">
        <v>0</v>
      </c>
      <c r="AO16" s="131">
        <v>0</v>
      </c>
      <c r="AP16" s="131">
        <v>0</v>
      </c>
      <c r="AQ16" s="131">
        <v>0</v>
      </c>
    </row>
    <row r="17" spans="1:43" customFormat="1" x14ac:dyDescent="0.15">
      <c r="A17" s="166" t="s">
        <v>207</v>
      </c>
      <c r="B17" s="131">
        <v>3.1E-2</v>
      </c>
      <c r="C17" s="131">
        <v>0</v>
      </c>
      <c r="D17" s="131">
        <v>3.2000000230080011E-2</v>
      </c>
      <c r="E17" s="131">
        <v>3.5000000395799952E-2</v>
      </c>
      <c r="F17" s="131">
        <v>0</v>
      </c>
      <c r="G17" s="131">
        <v>0</v>
      </c>
      <c r="H17" s="131">
        <v>0.112</v>
      </c>
      <c r="I17" s="131">
        <v>0</v>
      </c>
      <c r="J17" s="131">
        <v>1.9999999999999997E-2</v>
      </c>
      <c r="K17" s="131">
        <v>0</v>
      </c>
      <c r="L17" s="131">
        <v>0</v>
      </c>
      <c r="M17" s="131">
        <v>0</v>
      </c>
      <c r="N17" s="131">
        <v>0</v>
      </c>
      <c r="O17" s="131">
        <v>0</v>
      </c>
      <c r="P17" s="131">
        <v>0</v>
      </c>
      <c r="Q17" s="131">
        <v>0</v>
      </c>
      <c r="R17" s="131">
        <v>0</v>
      </c>
      <c r="S17" s="131">
        <v>0</v>
      </c>
      <c r="T17" s="131">
        <v>0</v>
      </c>
      <c r="U17" s="131">
        <v>0</v>
      </c>
      <c r="V17" s="131">
        <v>0</v>
      </c>
      <c r="W17" s="131">
        <v>0</v>
      </c>
      <c r="X17" s="131">
        <v>0</v>
      </c>
      <c r="Y17" s="131">
        <v>0</v>
      </c>
      <c r="Z17" s="131">
        <v>0</v>
      </c>
      <c r="AA17" s="131">
        <v>0</v>
      </c>
      <c r="AB17" s="131">
        <v>0</v>
      </c>
      <c r="AC17" s="131">
        <v>0</v>
      </c>
      <c r="AD17" s="131">
        <v>0</v>
      </c>
      <c r="AE17" s="131">
        <v>0</v>
      </c>
      <c r="AF17" s="131">
        <v>0</v>
      </c>
      <c r="AG17" s="131">
        <v>0</v>
      </c>
      <c r="AH17" s="131">
        <v>0</v>
      </c>
      <c r="AI17" s="131">
        <v>0</v>
      </c>
      <c r="AJ17" s="131">
        <v>0</v>
      </c>
      <c r="AK17" s="131">
        <v>0</v>
      </c>
      <c r="AL17" s="131">
        <v>0</v>
      </c>
      <c r="AM17" s="131">
        <v>0</v>
      </c>
      <c r="AN17" s="131">
        <v>0</v>
      </c>
      <c r="AO17" s="131">
        <v>0</v>
      </c>
      <c r="AP17" s="131">
        <v>0</v>
      </c>
      <c r="AQ17" s="131">
        <v>0</v>
      </c>
    </row>
    <row r="18" spans="1:43" customFormat="1" x14ac:dyDescent="0.15">
      <c r="A18" s="166" t="s">
        <v>208</v>
      </c>
      <c r="B18" s="131">
        <v>3.1E-2</v>
      </c>
      <c r="C18" s="131">
        <v>0</v>
      </c>
      <c r="D18" s="131">
        <v>1.7000000390980024E-2</v>
      </c>
      <c r="E18" s="131">
        <v>0.17299999067924091</v>
      </c>
      <c r="F18" s="131">
        <v>0</v>
      </c>
      <c r="G18" s="131">
        <v>0</v>
      </c>
      <c r="H18" s="131">
        <v>8.6999999999999994E-2</v>
      </c>
      <c r="I18" s="131">
        <v>0</v>
      </c>
      <c r="J18" s="131">
        <v>0</v>
      </c>
      <c r="K18" s="131">
        <v>0</v>
      </c>
      <c r="L18" s="131">
        <v>0</v>
      </c>
      <c r="M18" s="131">
        <v>0</v>
      </c>
      <c r="N18" s="131">
        <v>0</v>
      </c>
      <c r="O18" s="131">
        <v>0</v>
      </c>
      <c r="P18" s="131">
        <v>0</v>
      </c>
      <c r="Q18" s="131">
        <v>0</v>
      </c>
      <c r="R18" s="131">
        <v>0</v>
      </c>
      <c r="S18" s="131">
        <v>0</v>
      </c>
      <c r="T18" s="131">
        <v>0</v>
      </c>
      <c r="U18" s="131">
        <v>0</v>
      </c>
      <c r="V18" s="131">
        <v>0</v>
      </c>
      <c r="W18" s="131">
        <v>0</v>
      </c>
      <c r="X18" s="131">
        <v>0</v>
      </c>
      <c r="Y18" s="131">
        <v>0</v>
      </c>
      <c r="Z18" s="131">
        <v>0</v>
      </c>
      <c r="AA18" s="131">
        <v>0</v>
      </c>
      <c r="AB18" s="131">
        <v>0</v>
      </c>
      <c r="AC18" s="131">
        <v>0</v>
      </c>
      <c r="AD18" s="131">
        <v>0</v>
      </c>
      <c r="AE18" s="131">
        <v>0</v>
      </c>
      <c r="AF18" s="131">
        <v>0</v>
      </c>
      <c r="AG18" s="131">
        <v>0</v>
      </c>
      <c r="AH18" s="131">
        <v>0</v>
      </c>
      <c r="AI18" s="131">
        <v>0</v>
      </c>
      <c r="AJ18" s="131">
        <v>0</v>
      </c>
      <c r="AK18" s="131">
        <v>0</v>
      </c>
      <c r="AL18" s="131">
        <v>0</v>
      </c>
      <c r="AM18" s="131">
        <v>0</v>
      </c>
      <c r="AN18" s="131">
        <v>0</v>
      </c>
      <c r="AO18" s="131">
        <v>0</v>
      </c>
      <c r="AP18" s="131">
        <v>0</v>
      </c>
      <c r="AQ18" s="131">
        <v>0</v>
      </c>
    </row>
    <row r="19" spans="1:43" customFormat="1" x14ac:dyDescent="0.15">
      <c r="A19" s="166" t="s">
        <v>209</v>
      </c>
      <c r="B19" s="131">
        <v>0.314</v>
      </c>
      <c r="C19" s="131">
        <v>2.4000000196799987E-2</v>
      </c>
      <c r="D19" s="131">
        <v>5.299999592481968E-2</v>
      </c>
      <c r="E19" s="131">
        <v>1.7000001097959884E-2</v>
      </c>
      <c r="F19" s="131">
        <v>6.0999999999999999E-2</v>
      </c>
      <c r="G19" s="131">
        <v>3.7999999999999992E-2</v>
      </c>
      <c r="H19" s="131">
        <v>0.24199999999999999</v>
      </c>
      <c r="I19" s="131">
        <v>0</v>
      </c>
      <c r="J19" s="131">
        <v>4.9999999999999989E-2</v>
      </c>
      <c r="K19" s="131">
        <v>6.0000000000000001E-3</v>
      </c>
      <c r="L19" s="131">
        <v>7.0999999999999994E-2</v>
      </c>
      <c r="M19" s="131">
        <v>0.46899999999999986</v>
      </c>
      <c r="N19" s="131">
        <v>0</v>
      </c>
      <c r="O19" s="131">
        <v>3.7000000980259913E-2</v>
      </c>
      <c r="P19" s="131">
        <v>0</v>
      </c>
      <c r="Q19" s="131">
        <v>0</v>
      </c>
      <c r="R19" s="131">
        <v>1.2999999999999999E-2</v>
      </c>
      <c r="S19" s="131">
        <v>0.01</v>
      </c>
      <c r="T19" s="131">
        <v>0</v>
      </c>
      <c r="U19" s="131">
        <v>0</v>
      </c>
      <c r="V19" s="131">
        <v>0</v>
      </c>
      <c r="W19" s="131">
        <v>0</v>
      </c>
      <c r="X19" s="131">
        <v>0</v>
      </c>
      <c r="Y19" s="131">
        <v>0</v>
      </c>
      <c r="Z19" s="131">
        <v>0</v>
      </c>
      <c r="AA19" s="131">
        <v>0</v>
      </c>
      <c r="AB19" s="131">
        <v>0</v>
      </c>
      <c r="AC19" s="131">
        <v>0</v>
      </c>
      <c r="AD19" s="131">
        <v>0</v>
      </c>
      <c r="AE19" s="131">
        <v>0</v>
      </c>
      <c r="AF19" s="131">
        <v>0</v>
      </c>
      <c r="AG19" s="131">
        <v>0</v>
      </c>
      <c r="AH19" s="131">
        <v>0</v>
      </c>
      <c r="AI19" s="131">
        <v>0</v>
      </c>
      <c r="AJ19" s="131">
        <v>0</v>
      </c>
      <c r="AK19" s="131">
        <v>0</v>
      </c>
      <c r="AL19" s="131">
        <v>0</v>
      </c>
      <c r="AM19" s="131">
        <v>0</v>
      </c>
      <c r="AN19" s="131">
        <v>0</v>
      </c>
      <c r="AO19" s="131">
        <v>0</v>
      </c>
      <c r="AP19" s="131">
        <v>0</v>
      </c>
      <c r="AQ19" s="131">
        <v>0</v>
      </c>
    </row>
    <row r="20" spans="1:43" customFormat="1" x14ac:dyDescent="0.15">
      <c r="A20" s="166" t="s">
        <v>210</v>
      </c>
      <c r="B20" s="131">
        <v>0.02</v>
      </c>
      <c r="C20" s="131">
        <v>0.15600000562919955</v>
      </c>
      <c r="D20" s="131">
        <v>4.999999709699976E-2</v>
      </c>
      <c r="E20" s="131">
        <v>6.4999998592200112E-2</v>
      </c>
      <c r="F20" s="131">
        <v>0.17</v>
      </c>
      <c r="G20" s="131">
        <v>0.5079999999999999</v>
      </c>
      <c r="H20" s="131">
        <v>2.1000000000000001E-2</v>
      </c>
      <c r="I20" s="131">
        <v>0</v>
      </c>
      <c r="J20" s="131">
        <v>0.15199999999999997</v>
      </c>
      <c r="K20" s="131">
        <v>0.216</v>
      </c>
      <c r="L20" s="131">
        <v>0.14199999999999999</v>
      </c>
      <c r="M20" s="131">
        <v>9.7999999999999976E-2</v>
      </c>
      <c r="N20" s="131">
        <v>0.52300000000000002</v>
      </c>
      <c r="O20" s="131">
        <v>0.21600000220367976</v>
      </c>
      <c r="P20" s="131">
        <v>3.1172159786585229E-2</v>
      </c>
      <c r="Q20" s="131">
        <v>8.9999999999999993E-3</v>
      </c>
      <c r="R20" s="131">
        <v>0.13200000000000001</v>
      </c>
      <c r="S20" s="131">
        <v>7.0999999999999994E-2</v>
      </c>
      <c r="T20" s="131">
        <v>6.0000006257799601E-3</v>
      </c>
      <c r="U20" s="131">
        <v>0</v>
      </c>
      <c r="V20" s="131">
        <v>0</v>
      </c>
      <c r="W20" s="131">
        <v>0</v>
      </c>
      <c r="X20" s="131">
        <v>8.0000000000000002E-3</v>
      </c>
      <c r="Y20" s="131">
        <v>0</v>
      </c>
      <c r="Z20" s="131">
        <v>0</v>
      </c>
      <c r="AA20" s="131">
        <v>0</v>
      </c>
      <c r="AB20" s="131">
        <v>0</v>
      </c>
      <c r="AC20" s="131">
        <v>0</v>
      </c>
      <c r="AD20" s="131">
        <v>0</v>
      </c>
      <c r="AE20" s="131">
        <v>0</v>
      </c>
      <c r="AF20" s="131">
        <v>0</v>
      </c>
      <c r="AG20" s="131">
        <v>0</v>
      </c>
      <c r="AH20" s="131">
        <v>0</v>
      </c>
      <c r="AI20" s="131">
        <v>0</v>
      </c>
      <c r="AJ20" s="131">
        <v>0</v>
      </c>
      <c r="AK20" s="131">
        <v>0</v>
      </c>
      <c r="AL20" s="131">
        <v>0</v>
      </c>
      <c r="AM20" s="131">
        <v>0</v>
      </c>
      <c r="AN20" s="131">
        <v>0</v>
      </c>
      <c r="AO20" s="131">
        <v>0</v>
      </c>
      <c r="AP20" s="131">
        <v>0</v>
      </c>
      <c r="AQ20" s="131">
        <v>0</v>
      </c>
    </row>
    <row r="21" spans="1:43" customFormat="1" x14ac:dyDescent="0.15">
      <c r="A21" s="166" t="s">
        <v>211</v>
      </c>
      <c r="B21" s="131">
        <v>0</v>
      </c>
      <c r="C21" s="131">
        <v>0</v>
      </c>
      <c r="D21" s="131">
        <v>0</v>
      </c>
      <c r="E21" s="131">
        <v>0</v>
      </c>
      <c r="F21" s="131">
        <v>1E-3</v>
      </c>
      <c r="G21" s="131">
        <v>0</v>
      </c>
      <c r="H21" s="131">
        <v>0</v>
      </c>
      <c r="I21" s="131">
        <v>0</v>
      </c>
      <c r="J21" s="131">
        <v>0</v>
      </c>
      <c r="K21" s="131">
        <v>0</v>
      </c>
      <c r="L21" s="131">
        <v>0</v>
      </c>
      <c r="M21" s="131">
        <v>0</v>
      </c>
      <c r="N21" s="131">
        <v>0</v>
      </c>
      <c r="O21" s="131">
        <v>0</v>
      </c>
      <c r="P21" s="131">
        <v>0</v>
      </c>
      <c r="Q21" s="131">
        <v>1E-3</v>
      </c>
      <c r="R21" s="131">
        <v>0</v>
      </c>
      <c r="S21" s="131">
        <v>0</v>
      </c>
      <c r="T21" s="131">
        <v>0</v>
      </c>
      <c r="U21" s="131">
        <v>0.01</v>
      </c>
      <c r="V21" s="131">
        <v>0</v>
      </c>
      <c r="W21" s="131">
        <v>0</v>
      </c>
      <c r="X21" s="131">
        <v>0</v>
      </c>
      <c r="Y21" s="131">
        <v>0</v>
      </c>
      <c r="Z21" s="131">
        <v>0</v>
      </c>
      <c r="AA21" s="131">
        <v>0</v>
      </c>
      <c r="AB21" s="131">
        <v>0</v>
      </c>
      <c r="AC21" s="131">
        <v>0</v>
      </c>
      <c r="AD21" s="131">
        <v>0</v>
      </c>
      <c r="AE21" s="131">
        <v>0</v>
      </c>
      <c r="AF21" s="131">
        <v>0</v>
      </c>
      <c r="AG21" s="131">
        <v>0</v>
      </c>
      <c r="AH21" s="131">
        <v>0</v>
      </c>
      <c r="AI21" s="131">
        <v>0</v>
      </c>
      <c r="AJ21" s="131">
        <v>0</v>
      </c>
      <c r="AK21" s="131">
        <v>0</v>
      </c>
      <c r="AL21" s="131">
        <v>0</v>
      </c>
      <c r="AM21" s="131">
        <v>0</v>
      </c>
      <c r="AN21" s="131">
        <v>0</v>
      </c>
      <c r="AO21" s="131">
        <v>0</v>
      </c>
      <c r="AP21" s="131">
        <v>0</v>
      </c>
      <c r="AQ21" s="131">
        <v>0</v>
      </c>
    </row>
    <row r="22" spans="1:43" customFormat="1" x14ac:dyDescent="0.15">
      <c r="A22" s="166" t="s">
        <v>212</v>
      </c>
      <c r="B22" s="131">
        <v>0</v>
      </c>
      <c r="C22" s="131">
        <v>0</v>
      </c>
      <c r="D22" s="131">
        <v>0</v>
      </c>
      <c r="E22" s="131">
        <v>1.9999999397600055E-2</v>
      </c>
      <c r="F22" s="131">
        <v>2.1999999999999999E-2</v>
      </c>
      <c r="G22" s="131">
        <v>6.699999999999999E-2</v>
      </c>
      <c r="H22" s="131">
        <v>0</v>
      </c>
      <c r="I22" s="131">
        <v>0.04</v>
      </c>
      <c r="J22" s="131">
        <v>0.23999999999999994</v>
      </c>
      <c r="K22" s="131">
        <v>6.0999999999999999E-2</v>
      </c>
      <c r="L22" s="131">
        <v>0</v>
      </c>
      <c r="M22" s="131">
        <v>0</v>
      </c>
      <c r="N22" s="131">
        <v>0.128</v>
      </c>
      <c r="O22" s="131">
        <v>5.9999997178800245E-2</v>
      </c>
      <c r="P22" s="131">
        <v>0.21510715683908163</v>
      </c>
      <c r="Q22" s="131">
        <v>2E-3</v>
      </c>
      <c r="R22" s="131">
        <v>2E-3</v>
      </c>
      <c r="S22" s="131">
        <v>1.4999999999999999E-2</v>
      </c>
      <c r="T22" s="131">
        <v>1.5000000564449964E-2</v>
      </c>
      <c r="U22" s="131">
        <v>0</v>
      </c>
      <c r="V22" s="131">
        <v>1.1000000414899982E-2</v>
      </c>
      <c r="W22" s="131">
        <v>0</v>
      </c>
      <c r="X22" s="131">
        <v>0</v>
      </c>
      <c r="Y22" s="131">
        <v>1.0999999999999999E-2</v>
      </c>
      <c r="Z22" s="131">
        <v>0</v>
      </c>
      <c r="AA22" s="131">
        <v>2.0000000000000004E-2</v>
      </c>
      <c r="AB22" s="131">
        <v>0</v>
      </c>
      <c r="AC22" s="131">
        <v>0.05</v>
      </c>
      <c r="AD22" s="131">
        <v>0</v>
      </c>
      <c r="AE22" s="131">
        <v>0</v>
      </c>
      <c r="AF22" s="131">
        <v>0</v>
      </c>
      <c r="AG22" s="131">
        <v>0</v>
      </c>
      <c r="AH22" s="131">
        <v>0</v>
      </c>
      <c r="AI22" s="131">
        <v>0</v>
      </c>
      <c r="AJ22" s="131">
        <v>0</v>
      </c>
      <c r="AK22" s="131">
        <v>0</v>
      </c>
      <c r="AL22" s="131">
        <v>0</v>
      </c>
      <c r="AM22" s="131">
        <v>0</v>
      </c>
      <c r="AN22" s="131">
        <v>0</v>
      </c>
      <c r="AO22" s="131">
        <v>0</v>
      </c>
      <c r="AP22" s="131">
        <v>0</v>
      </c>
      <c r="AQ22" s="131">
        <v>0</v>
      </c>
    </row>
    <row r="23" spans="1:43" customFormat="1" x14ac:dyDescent="0.15">
      <c r="A23" s="166" t="s">
        <v>213</v>
      </c>
      <c r="B23" s="131">
        <v>0</v>
      </c>
      <c r="C23" s="131">
        <v>0</v>
      </c>
      <c r="D23" s="131">
        <v>0</v>
      </c>
      <c r="E23" s="131">
        <v>9.9999996988000273E-3</v>
      </c>
      <c r="F23" s="131">
        <v>8.0000000000000002E-3</v>
      </c>
      <c r="G23" s="131">
        <v>0</v>
      </c>
      <c r="H23" s="131">
        <v>0</v>
      </c>
      <c r="I23" s="131">
        <v>0</v>
      </c>
      <c r="J23" s="131">
        <v>3.1999999999999994E-2</v>
      </c>
      <c r="K23" s="131">
        <v>0</v>
      </c>
      <c r="L23" s="131">
        <v>0</v>
      </c>
      <c r="M23" s="131">
        <v>0</v>
      </c>
      <c r="N23" s="131">
        <v>0</v>
      </c>
      <c r="O23" s="131">
        <v>2.8999998476420132E-2</v>
      </c>
      <c r="P23" s="131">
        <v>0</v>
      </c>
      <c r="Q23" s="131">
        <v>0.16800000000000001</v>
      </c>
      <c r="R23" s="131">
        <v>6.7000000000000004E-2</v>
      </c>
      <c r="S23" s="131">
        <v>4.0000000000000001E-3</v>
      </c>
      <c r="T23" s="131">
        <v>9.9999993763000392E-4</v>
      </c>
      <c r="U23" s="131">
        <v>0.1</v>
      </c>
      <c r="V23" s="131">
        <v>0</v>
      </c>
      <c r="W23" s="131">
        <v>0</v>
      </c>
      <c r="X23" s="131">
        <v>0</v>
      </c>
      <c r="Y23" s="131">
        <v>0</v>
      </c>
      <c r="Z23" s="131">
        <v>1E-3</v>
      </c>
      <c r="AA23" s="131">
        <v>0</v>
      </c>
      <c r="AB23" s="131">
        <v>0</v>
      </c>
      <c r="AC23" s="131">
        <v>0</v>
      </c>
      <c r="AD23" s="131">
        <v>0</v>
      </c>
      <c r="AE23" s="131">
        <v>0</v>
      </c>
      <c r="AF23" s="131">
        <v>0</v>
      </c>
      <c r="AG23" s="131">
        <v>0</v>
      </c>
      <c r="AH23" s="131">
        <v>0</v>
      </c>
      <c r="AI23" s="131">
        <v>0</v>
      </c>
      <c r="AJ23" s="131">
        <v>0</v>
      </c>
      <c r="AK23" s="131">
        <v>0</v>
      </c>
      <c r="AL23" s="131">
        <v>0</v>
      </c>
      <c r="AM23" s="131">
        <v>0</v>
      </c>
      <c r="AN23" s="131">
        <v>0</v>
      </c>
      <c r="AO23" s="131">
        <v>0</v>
      </c>
      <c r="AP23" s="131">
        <v>0</v>
      </c>
      <c r="AQ23" s="131">
        <v>0</v>
      </c>
    </row>
    <row r="24" spans="1:43" customFormat="1" x14ac:dyDescent="0.15">
      <c r="A24" s="166" t="s">
        <v>214</v>
      </c>
      <c r="B24" s="131">
        <v>0</v>
      </c>
      <c r="C24" s="131">
        <v>0</v>
      </c>
      <c r="D24" s="131">
        <v>0</v>
      </c>
      <c r="E24" s="131">
        <v>1.4999999998199997E-2</v>
      </c>
      <c r="F24" s="131">
        <v>5.0000000000000001E-3</v>
      </c>
      <c r="G24" s="131">
        <v>0</v>
      </c>
      <c r="H24" s="131">
        <v>0</v>
      </c>
      <c r="I24" s="131">
        <v>0</v>
      </c>
      <c r="J24" s="131">
        <v>0.24599999999999994</v>
      </c>
      <c r="K24" s="131">
        <v>0</v>
      </c>
      <c r="L24" s="131">
        <v>0</v>
      </c>
      <c r="M24" s="131">
        <v>1.9999999999999996E-3</v>
      </c>
      <c r="N24" s="131">
        <v>0</v>
      </c>
      <c r="O24" s="131">
        <v>6.8000004082639634E-2</v>
      </c>
      <c r="P24" s="131">
        <v>0</v>
      </c>
      <c r="Q24" s="131">
        <v>5.0000000000000001E-3</v>
      </c>
      <c r="R24" s="131">
        <v>0.20699999999999999</v>
      </c>
      <c r="S24" s="131">
        <v>6.6000000000000003E-2</v>
      </c>
      <c r="T24" s="131">
        <v>4.5999997130980179E-2</v>
      </c>
      <c r="U24" s="131">
        <v>0.22</v>
      </c>
      <c r="V24" s="131">
        <v>0</v>
      </c>
      <c r="W24" s="131">
        <v>0</v>
      </c>
      <c r="X24" s="131">
        <v>7.0000000000000001E-3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</row>
    <row r="25" spans="1:43" customFormat="1" x14ac:dyDescent="0.15">
      <c r="A25" s="166" t="s">
        <v>215</v>
      </c>
      <c r="B25" s="131">
        <v>0</v>
      </c>
      <c r="C25" s="131">
        <v>0</v>
      </c>
      <c r="D25" s="131">
        <v>0</v>
      </c>
      <c r="E25" s="131">
        <v>0</v>
      </c>
      <c r="F25" s="131">
        <v>0</v>
      </c>
      <c r="G25" s="131">
        <v>0</v>
      </c>
      <c r="H25" s="131">
        <v>0</v>
      </c>
      <c r="I25" s="131">
        <v>0</v>
      </c>
      <c r="J25" s="131">
        <v>0</v>
      </c>
      <c r="K25" s="131">
        <v>0</v>
      </c>
      <c r="L25" s="131">
        <v>2.1000000000000001E-2</v>
      </c>
      <c r="M25" s="131">
        <v>0.16499999999999998</v>
      </c>
      <c r="N25" s="131">
        <v>0</v>
      </c>
      <c r="O25" s="131">
        <v>1.0000000729799936E-3</v>
      </c>
      <c r="P25" s="131">
        <v>0</v>
      </c>
      <c r="Q25" s="131">
        <v>0.21099999999999999</v>
      </c>
      <c r="R25" s="131">
        <v>5.0000000000000001E-3</v>
      </c>
      <c r="S25" s="131">
        <v>0.03</v>
      </c>
      <c r="T25" s="131">
        <v>0</v>
      </c>
      <c r="U25" s="131">
        <v>0.12</v>
      </c>
      <c r="V25" s="131">
        <v>0</v>
      </c>
      <c r="W25" s="131">
        <v>0</v>
      </c>
      <c r="X25" s="131">
        <v>0.05</v>
      </c>
      <c r="Y25" s="131">
        <v>0</v>
      </c>
      <c r="Z25" s="131">
        <v>3.2000000000000001E-2</v>
      </c>
      <c r="AA25" s="131">
        <v>2.5000000000000005E-2</v>
      </c>
      <c r="AB25" s="131">
        <v>0</v>
      </c>
      <c r="AC25" s="131">
        <v>0</v>
      </c>
      <c r="AD25" s="131">
        <v>0</v>
      </c>
      <c r="AE25" s="131">
        <v>0</v>
      </c>
      <c r="AF25" s="131">
        <v>0.11799999999999999</v>
      </c>
      <c r="AG25" s="131">
        <v>0.02</v>
      </c>
      <c r="AH25" s="131">
        <v>0</v>
      </c>
      <c r="AI25" s="131">
        <v>0</v>
      </c>
      <c r="AJ25" s="131">
        <v>0</v>
      </c>
      <c r="AK25" s="131">
        <v>0</v>
      </c>
      <c r="AL25" s="131">
        <v>0</v>
      </c>
      <c r="AM25" s="131">
        <v>0</v>
      </c>
      <c r="AN25" s="131">
        <v>0</v>
      </c>
      <c r="AO25" s="131">
        <v>0</v>
      </c>
      <c r="AP25" s="131">
        <v>0</v>
      </c>
      <c r="AQ25" s="131">
        <v>0</v>
      </c>
    </row>
    <row r="26" spans="1:43" customFormat="1" x14ac:dyDescent="0.15">
      <c r="A26" s="166" t="s">
        <v>216</v>
      </c>
      <c r="B26" s="131">
        <v>0</v>
      </c>
      <c r="C26" s="131">
        <v>0</v>
      </c>
      <c r="D26" s="131">
        <v>0</v>
      </c>
      <c r="E26" s="131">
        <v>0</v>
      </c>
      <c r="F26" s="131">
        <v>1E-3</v>
      </c>
      <c r="G26" s="131">
        <v>0</v>
      </c>
      <c r="H26" s="131">
        <v>0</v>
      </c>
      <c r="I26" s="131">
        <v>0</v>
      </c>
      <c r="J26" s="131">
        <v>0</v>
      </c>
      <c r="K26" s="131">
        <v>0</v>
      </c>
      <c r="L26" s="131">
        <v>5.3999999999999999E-2</v>
      </c>
      <c r="M26" s="131">
        <v>0</v>
      </c>
      <c r="N26" s="131">
        <v>1E-3</v>
      </c>
      <c r="O26" s="131">
        <v>2.9999999989399999E-3</v>
      </c>
      <c r="P26" s="131">
        <v>0</v>
      </c>
      <c r="Q26" s="131">
        <v>3.0000000000000001E-3</v>
      </c>
      <c r="R26" s="131">
        <v>3.0000000000000001E-3</v>
      </c>
      <c r="S26" s="131">
        <v>0</v>
      </c>
      <c r="T26" s="131">
        <v>0</v>
      </c>
      <c r="U26" s="131">
        <v>1.2999999999999999E-2</v>
      </c>
      <c r="V26" s="131">
        <v>0</v>
      </c>
      <c r="W26" s="131">
        <v>0</v>
      </c>
      <c r="X26" s="131">
        <v>0</v>
      </c>
      <c r="Y26" s="131">
        <v>0</v>
      </c>
      <c r="Z26" s="131">
        <v>0</v>
      </c>
      <c r="AA26" s="131">
        <v>0</v>
      </c>
      <c r="AB26" s="131">
        <v>0</v>
      </c>
      <c r="AC26" s="131">
        <v>0</v>
      </c>
      <c r="AD26" s="131">
        <v>0</v>
      </c>
      <c r="AE26" s="131">
        <v>0</v>
      </c>
      <c r="AF26" s="131">
        <v>0</v>
      </c>
      <c r="AG26" s="131">
        <v>0</v>
      </c>
      <c r="AH26" s="131">
        <v>0</v>
      </c>
      <c r="AI26" s="131">
        <v>0</v>
      </c>
      <c r="AJ26" s="131">
        <v>0</v>
      </c>
      <c r="AK26" s="131">
        <v>0</v>
      </c>
      <c r="AL26" s="131">
        <v>0</v>
      </c>
      <c r="AM26" s="131">
        <v>0</v>
      </c>
      <c r="AN26" s="131">
        <v>0</v>
      </c>
      <c r="AO26" s="131">
        <v>0</v>
      </c>
      <c r="AP26" s="131">
        <v>0</v>
      </c>
      <c r="AQ26" s="131">
        <v>0</v>
      </c>
    </row>
    <row r="27" spans="1:43" customFormat="1" x14ac:dyDescent="0.15">
      <c r="A27" s="166" t="s">
        <v>217</v>
      </c>
      <c r="B27" s="131">
        <v>0</v>
      </c>
      <c r="C27" s="131">
        <v>1.9999999814000014E-2</v>
      </c>
      <c r="D27" s="131">
        <v>0</v>
      </c>
      <c r="E27" s="131">
        <v>3.0000000096399981E-2</v>
      </c>
      <c r="F27" s="131">
        <v>3.0000000000000001E-3</v>
      </c>
      <c r="G27" s="131">
        <v>5.4999999999999986E-2</v>
      </c>
      <c r="H27" s="131">
        <v>0</v>
      </c>
      <c r="I27" s="131">
        <v>0</v>
      </c>
      <c r="J27" s="131">
        <v>6.9999999999999993E-2</v>
      </c>
      <c r="K27" s="131">
        <v>1.4E-2</v>
      </c>
      <c r="L27" s="131">
        <v>0.45200000000000001</v>
      </c>
      <c r="M27" s="131">
        <v>6.1999999999999986E-2</v>
      </c>
      <c r="N27" s="131">
        <v>1.7999999999999999E-2</v>
      </c>
      <c r="O27" s="131">
        <v>0.18999999646620028</v>
      </c>
      <c r="P27" s="131">
        <v>3.1172159786585229E-2</v>
      </c>
      <c r="Q27" s="131">
        <v>0.26200000000000001</v>
      </c>
      <c r="R27" s="131">
        <v>0.09</v>
      </c>
      <c r="S27" s="131">
        <v>1.2E-2</v>
      </c>
      <c r="T27" s="131">
        <v>2.2000000327859977E-2</v>
      </c>
      <c r="U27" s="131">
        <v>0.05</v>
      </c>
      <c r="V27" s="131">
        <v>0</v>
      </c>
      <c r="W27" s="131">
        <v>0</v>
      </c>
      <c r="X27" s="131">
        <v>0.104</v>
      </c>
      <c r="Y27" s="131">
        <v>0</v>
      </c>
      <c r="Z27" s="131">
        <v>1E-3</v>
      </c>
      <c r="AA27" s="131">
        <v>1.5000000000000001E-2</v>
      </c>
      <c r="AB27" s="131">
        <v>0</v>
      </c>
      <c r="AC27" s="131">
        <v>0</v>
      </c>
      <c r="AD27" s="131">
        <v>0</v>
      </c>
      <c r="AE27" s="131">
        <v>0</v>
      </c>
      <c r="AF27" s="131">
        <v>4.0000000000000001E-3</v>
      </c>
      <c r="AG27" s="131">
        <v>0</v>
      </c>
      <c r="AH27" s="131">
        <v>0</v>
      </c>
      <c r="AI27" s="131">
        <v>0</v>
      </c>
      <c r="AJ27" s="131">
        <v>0</v>
      </c>
      <c r="AK27" s="131">
        <v>0</v>
      </c>
      <c r="AL27" s="131">
        <v>0</v>
      </c>
      <c r="AM27" s="131">
        <v>0</v>
      </c>
      <c r="AN27" s="131">
        <v>0</v>
      </c>
      <c r="AO27" s="131">
        <v>0</v>
      </c>
      <c r="AP27" s="131">
        <v>0</v>
      </c>
      <c r="AQ27" s="131">
        <v>0</v>
      </c>
    </row>
    <row r="28" spans="1:43" customFormat="1" x14ac:dyDescent="0.15">
      <c r="A28" s="166" t="s">
        <v>218</v>
      </c>
      <c r="B28" s="131">
        <v>0</v>
      </c>
      <c r="C28" s="131">
        <v>0</v>
      </c>
      <c r="D28" s="131">
        <v>0</v>
      </c>
      <c r="E28" s="131">
        <v>2.0000001297599867E-3</v>
      </c>
      <c r="F28" s="131">
        <v>0</v>
      </c>
      <c r="G28" s="131">
        <v>0</v>
      </c>
      <c r="H28" s="131">
        <v>1.4999999999999999E-2</v>
      </c>
      <c r="I28" s="131">
        <v>0</v>
      </c>
      <c r="J28" s="131">
        <v>4.9999999999999989E-2</v>
      </c>
      <c r="K28" s="131">
        <v>0</v>
      </c>
      <c r="L28" s="131">
        <v>0</v>
      </c>
      <c r="M28" s="131">
        <v>0</v>
      </c>
      <c r="N28" s="131">
        <v>0</v>
      </c>
      <c r="O28" s="131">
        <v>0</v>
      </c>
      <c r="P28" s="131">
        <v>0</v>
      </c>
      <c r="Q28" s="131">
        <v>0</v>
      </c>
      <c r="R28" s="131">
        <v>0</v>
      </c>
      <c r="S28" s="131">
        <v>0</v>
      </c>
      <c r="T28" s="131">
        <v>0</v>
      </c>
      <c r="U28" s="131">
        <v>0</v>
      </c>
      <c r="V28" s="131">
        <v>0</v>
      </c>
      <c r="W28" s="131">
        <v>0</v>
      </c>
      <c r="X28" s="131">
        <v>0</v>
      </c>
      <c r="Y28" s="131">
        <v>0</v>
      </c>
      <c r="Z28" s="131">
        <v>0</v>
      </c>
      <c r="AA28" s="131">
        <v>0</v>
      </c>
      <c r="AB28" s="131">
        <v>0</v>
      </c>
      <c r="AC28" s="131">
        <v>0</v>
      </c>
      <c r="AD28" s="131">
        <v>0</v>
      </c>
      <c r="AE28" s="131">
        <v>0</v>
      </c>
      <c r="AF28" s="131">
        <v>0</v>
      </c>
      <c r="AG28" s="131">
        <v>0</v>
      </c>
      <c r="AH28" s="131">
        <v>0</v>
      </c>
      <c r="AI28" s="131">
        <v>0</v>
      </c>
      <c r="AJ28" s="131">
        <v>0</v>
      </c>
      <c r="AK28" s="131">
        <v>0</v>
      </c>
      <c r="AL28" s="131">
        <v>0</v>
      </c>
      <c r="AM28" s="131">
        <v>0</v>
      </c>
      <c r="AN28" s="131">
        <v>0</v>
      </c>
      <c r="AO28" s="131">
        <v>0</v>
      </c>
      <c r="AP28" s="131">
        <v>0</v>
      </c>
      <c r="AQ28" s="131">
        <v>0</v>
      </c>
    </row>
    <row r="29" spans="1:43" customFormat="1" x14ac:dyDescent="0.15">
      <c r="A29" s="166" t="s">
        <v>219</v>
      </c>
      <c r="B29" s="131">
        <v>0</v>
      </c>
      <c r="C29" s="131">
        <v>0</v>
      </c>
      <c r="D29" s="131">
        <v>0</v>
      </c>
      <c r="E29" s="131">
        <v>0</v>
      </c>
      <c r="F29" s="131">
        <v>0</v>
      </c>
      <c r="G29" s="131">
        <v>0</v>
      </c>
      <c r="H29" s="131">
        <v>0</v>
      </c>
      <c r="I29" s="131">
        <v>0</v>
      </c>
      <c r="J29" s="131">
        <v>0</v>
      </c>
      <c r="K29" s="131">
        <v>0</v>
      </c>
      <c r="L29" s="131">
        <v>0</v>
      </c>
      <c r="M29" s="131">
        <v>0</v>
      </c>
      <c r="N29" s="131">
        <v>0</v>
      </c>
      <c r="O29" s="131">
        <v>0</v>
      </c>
      <c r="P29" s="131">
        <v>0</v>
      </c>
      <c r="Q29" s="131">
        <v>0</v>
      </c>
      <c r="R29" s="131">
        <v>0</v>
      </c>
      <c r="S29" s="131">
        <v>0</v>
      </c>
      <c r="T29" s="131">
        <v>0</v>
      </c>
      <c r="U29" s="131">
        <v>0</v>
      </c>
      <c r="V29" s="131">
        <v>0</v>
      </c>
      <c r="W29" s="131">
        <v>0</v>
      </c>
      <c r="X29" s="131">
        <v>0</v>
      </c>
      <c r="Y29" s="131">
        <v>0</v>
      </c>
      <c r="Z29" s="131">
        <v>0</v>
      </c>
      <c r="AA29" s="131">
        <v>0</v>
      </c>
      <c r="AB29" s="131">
        <v>0</v>
      </c>
      <c r="AC29" s="131">
        <v>0</v>
      </c>
      <c r="AD29" s="131">
        <v>0</v>
      </c>
      <c r="AE29" s="131">
        <v>0</v>
      </c>
      <c r="AF29" s="131">
        <v>0</v>
      </c>
      <c r="AG29" s="131">
        <v>0</v>
      </c>
      <c r="AH29" s="131">
        <v>0</v>
      </c>
      <c r="AI29" s="131">
        <v>0</v>
      </c>
      <c r="AJ29" s="131">
        <v>0</v>
      </c>
      <c r="AK29" s="131">
        <v>0</v>
      </c>
      <c r="AL29" s="131">
        <v>0</v>
      </c>
      <c r="AM29" s="131">
        <v>0</v>
      </c>
      <c r="AN29" s="131">
        <v>0</v>
      </c>
      <c r="AO29" s="131">
        <v>0</v>
      </c>
      <c r="AP29" s="131">
        <v>0</v>
      </c>
      <c r="AQ29" s="131">
        <v>0</v>
      </c>
    </row>
    <row r="30" spans="1:43" customFormat="1" x14ac:dyDescent="0.15">
      <c r="A30" s="166" t="s">
        <v>220</v>
      </c>
      <c r="B30" s="131">
        <v>0</v>
      </c>
      <c r="C30" s="131">
        <v>1.1000000027699998E-2</v>
      </c>
      <c r="D30" s="131">
        <v>0</v>
      </c>
      <c r="E30" s="131">
        <v>6.4999998592200112E-2</v>
      </c>
      <c r="F30" s="131">
        <v>2E-3</v>
      </c>
      <c r="G30" s="131">
        <v>1.8999999999999996E-2</v>
      </c>
      <c r="H30" s="131">
        <v>0</v>
      </c>
      <c r="I30" s="131">
        <v>2E-3</v>
      </c>
      <c r="J30" s="131">
        <v>0</v>
      </c>
      <c r="K30" s="131">
        <v>0.04</v>
      </c>
      <c r="L30" s="131">
        <v>3.3000000000000002E-2</v>
      </c>
      <c r="M30" s="131">
        <v>3.1999999999999994E-2</v>
      </c>
      <c r="N30" s="131">
        <v>6.0000000000000001E-3</v>
      </c>
      <c r="O30" s="131">
        <v>6.1999997304760232E-2</v>
      </c>
      <c r="P30" s="131">
        <v>0.11005482442929758</v>
      </c>
      <c r="Q30" s="131">
        <v>3.1E-2</v>
      </c>
      <c r="R30" s="131">
        <v>3.4000000000000002E-2</v>
      </c>
      <c r="S30" s="131">
        <v>7.2999999999999995E-2</v>
      </c>
      <c r="T30" s="131">
        <v>0.24800001053223933</v>
      </c>
      <c r="U30" s="131">
        <v>0</v>
      </c>
      <c r="V30" s="131">
        <v>0</v>
      </c>
      <c r="W30" s="131">
        <v>0</v>
      </c>
      <c r="X30" s="131">
        <v>5.0000000000000001E-3</v>
      </c>
      <c r="Y30" s="131">
        <v>0</v>
      </c>
      <c r="Z30" s="131">
        <v>0</v>
      </c>
      <c r="AA30" s="131">
        <v>5.9000000000000004E-2</v>
      </c>
      <c r="AB30" s="131">
        <v>0</v>
      </c>
      <c r="AC30" s="131">
        <v>0</v>
      </c>
      <c r="AD30" s="131">
        <v>0</v>
      </c>
      <c r="AE30" s="131">
        <v>0</v>
      </c>
      <c r="AF30" s="131">
        <v>0</v>
      </c>
      <c r="AG30" s="131">
        <v>0</v>
      </c>
      <c r="AH30" s="131">
        <v>0</v>
      </c>
      <c r="AI30" s="131">
        <v>0</v>
      </c>
      <c r="AJ30" s="131">
        <v>0</v>
      </c>
      <c r="AK30" s="131">
        <v>0</v>
      </c>
      <c r="AL30" s="131">
        <v>0</v>
      </c>
      <c r="AM30" s="131">
        <v>0</v>
      </c>
      <c r="AN30" s="131">
        <v>0</v>
      </c>
      <c r="AO30" s="131">
        <v>0</v>
      </c>
      <c r="AP30" s="131">
        <v>0</v>
      </c>
      <c r="AQ30" s="131">
        <v>0</v>
      </c>
    </row>
    <row r="31" spans="1:43" customFormat="1" x14ac:dyDescent="0.15">
      <c r="A31" s="166" t="s">
        <v>221</v>
      </c>
      <c r="B31" s="131">
        <v>0</v>
      </c>
      <c r="C31" s="131">
        <v>0</v>
      </c>
      <c r="D31" s="131">
        <v>0</v>
      </c>
      <c r="E31" s="131">
        <v>3.9999998795200109E-2</v>
      </c>
      <c r="F31" s="131">
        <v>0</v>
      </c>
      <c r="G31" s="131">
        <v>0</v>
      </c>
      <c r="H31" s="131">
        <v>0</v>
      </c>
      <c r="I31" s="131">
        <v>0</v>
      </c>
      <c r="J31" s="131">
        <v>2.9999999999999992E-2</v>
      </c>
      <c r="K31" s="131">
        <v>0</v>
      </c>
      <c r="L31" s="131">
        <v>0</v>
      </c>
      <c r="M31" s="131">
        <v>8.9999999999999976E-3</v>
      </c>
      <c r="N31" s="131">
        <v>0.113</v>
      </c>
      <c r="O31" s="131">
        <v>0.20000000059599993</v>
      </c>
      <c r="P31" s="131">
        <v>1.1404448290008669E-2</v>
      </c>
      <c r="Q31" s="131">
        <v>0</v>
      </c>
      <c r="R31" s="131">
        <v>3.3000000000000002E-2</v>
      </c>
      <c r="S31" s="131">
        <v>6.3E-2</v>
      </c>
      <c r="T31" s="131">
        <v>0.10300000857588947</v>
      </c>
      <c r="U31" s="131">
        <v>0</v>
      </c>
      <c r="V31" s="131">
        <v>0.92299999729570015</v>
      </c>
      <c r="W31" s="131">
        <v>0</v>
      </c>
      <c r="X31" s="131">
        <v>0</v>
      </c>
      <c r="Y31" s="131">
        <v>8.5000000000000006E-2</v>
      </c>
      <c r="Z31" s="131">
        <v>0</v>
      </c>
      <c r="AA31" s="131">
        <v>5.4000000000000006E-2</v>
      </c>
      <c r="AB31" s="131">
        <v>0.24399999999999999</v>
      </c>
      <c r="AC31" s="131">
        <v>0.05</v>
      </c>
      <c r="AD31" s="131">
        <v>6.8000000000000005E-2</v>
      </c>
      <c r="AE31" s="131">
        <v>0</v>
      </c>
      <c r="AF31" s="131">
        <v>0</v>
      </c>
      <c r="AG31" s="131">
        <v>0.1</v>
      </c>
      <c r="AH31" s="131">
        <v>0</v>
      </c>
      <c r="AI31" s="131">
        <v>0</v>
      </c>
      <c r="AJ31" s="131">
        <v>0</v>
      </c>
      <c r="AK31" s="131">
        <v>0</v>
      </c>
      <c r="AL31" s="131">
        <v>0</v>
      </c>
      <c r="AM31" s="131">
        <v>0</v>
      </c>
      <c r="AN31" s="131">
        <v>0</v>
      </c>
      <c r="AO31" s="131">
        <v>0</v>
      </c>
      <c r="AP31" s="131">
        <v>0</v>
      </c>
      <c r="AQ31" s="131">
        <v>0</v>
      </c>
    </row>
    <row r="32" spans="1:43" customFormat="1" x14ac:dyDescent="0.15">
      <c r="A32" s="166" t="s">
        <v>222</v>
      </c>
      <c r="B32" s="131">
        <v>0</v>
      </c>
      <c r="C32" s="131">
        <v>0</v>
      </c>
      <c r="D32" s="131">
        <v>0</v>
      </c>
      <c r="E32" s="131">
        <v>0</v>
      </c>
      <c r="F32" s="131">
        <v>1.2E-2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3.9999999999999994E-2</v>
      </c>
      <c r="N32" s="131">
        <v>0</v>
      </c>
      <c r="O32" s="131">
        <v>1.3000000068739992E-2</v>
      </c>
      <c r="P32" s="131">
        <v>0</v>
      </c>
      <c r="Q32" s="131">
        <v>0.12</v>
      </c>
      <c r="R32" s="131">
        <v>6.4000000000000001E-2</v>
      </c>
      <c r="S32" s="131">
        <v>2E-3</v>
      </c>
      <c r="T32" s="131">
        <v>2.000000205259987E-3</v>
      </c>
      <c r="U32" s="131">
        <v>2.5000000000000001E-2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</row>
    <row r="33" spans="1:43" customFormat="1" x14ac:dyDescent="0.15">
      <c r="A33" s="166" t="s">
        <v>223</v>
      </c>
      <c r="B33" s="131">
        <v>0</v>
      </c>
      <c r="C33" s="131">
        <v>0</v>
      </c>
      <c r="D33" s="131">
        <v>0</v>
      </c>
      <c r="E33" s="131">
        <v>1.4999999998199997E-2</v>
      </c>
      <c r="F33" s="131">
        <v>7.0000000000000001E-3</v>
      </c>
      <c r="G33" s="131">
        <v>5.9999999999999984E-2</v>
      </c>
      <c r="H33" s="131">
        <v>0</v>
      </c>
      <c r="I33" s="131">
        <v>0</v>
      </c>
      <c r="J33" s="131">
        <v>0</v>
      </c>
      <c r="K33" s="131">
        <v>0.376</v>
      </c>
      <c r="L33" s="131">
        <v>6.0000000000000001E-3</v>
      </c>
      <c r="M33" s="131">
        <v>3.9999999999999992E-3</v>
      </c>
      <c r="N33" s="131">
        <v>9.6000000000000002E-2</v>
      </c>
      <c r="O33" s="131">
        <v>8.9000002255219798E-2</v>
      </c>
      <c r="P33" s="131">
        <v>0.21161588264121903</v>
      </c>
      <c r="Q33" s="131">
        <v>2.4E-2</v>
      </c>
      <c r="R33" s="131">
        <v>1.7000000000000001E-2</v>
      </c>
      <c r="S33" s="131">
        <v>0.13100000000000001</v>
      </c>
      <c r="T33" s="131">
        <v>0.11100000907692943</v>
      </c>
      <c r="U33" s="131">
        <v>0</v>
      </c>
      <c r="V33" s="131">
        <v>0</v>
      </c>
      <c r="W33" s="131">
        <v>0</v>
      </c>
      <c r="X33" s="131">
        <v>2E-3</v>
      </c>
      <c r="Y33" s="131">
        <v>0</v>
      </c>
      <c r="Z33" s="131">
        <v>0</v>
      </c>
      <c r="AA33" s="131">
        <v>4.8000000000000008E-2</v>
      </c>
      <c r="AB33" s="131">
        <v>0</v>
      </c>
      <c r="AC33" s="131">
        <v>0</v>
      </c>
      <c r="AD33" s="131">
        <v>0</v>
      </c>
      <c r="AE33" s="131">
        <v>0</v>
      </c>
      <c r="AF33" s="131">
        <v>0</v>
      </c>
      <c r="AG33" s="131">
        <v>0</v>
      </c>
      <c r="AH33" s="131">
        <v>0</v>
      </c>
      <c r="AI33" s="131">
        <v>0</v>
      </c>
      <c r="AJ33" s="131">
        <v>0</v>
      </c>
      <c r="AK33" s="131">
        <v>0</v>
      </c>
      <c r="AL33" s="131">
        <v>0</v>
      </c>
      <c r="AM33" s="131">
        <v>0</v>
      </c>
      <c r="AN33" s="131">
        <v>0</v>
      </c>
      <c r="AO33" s="131">
        <v>0</v>
      </c>
      <c r="AP33" s="131">
        <v>0</v>
      </c>
      <c r="AQ33" s="131">
        <v>0</v>
      </c>
    </row>
    <row r="34" spans="1:43" customFormat="1" x14ac:dyDescent="0.15">
      <c r="A34" s="166" t="s">
        <v>224</v>
      </c>
      <c r="B34" s="131">
        <v>0</v>
      </c>
      <c r="C34" s="131">
        <v>0</v>
      </c>
      <c r="D34" s="131">
        <v>0</v>
      </c>
      <c r="E34" s="131">
        <v>1.9999999397600055E-2</v>
      </c>
      <c r="F34" s="131">
        <v>0</v>
      </c>
      <c r="G34" s="131">
        <v>0</v>
      </c>
      <c r="H34" s="131">
        <v>0</v>
      </c>
      <c r="I34" s="131">
        <v>0</v>
      </c>
      <c r="J34" s="131">
        <v>0</v>
      </c>
      <c r="K34" s="131">
        <v>0</v>
      </c>
      <c r="L34" s="131">
        <v>0</v>
      </c>
      <c r="M34" s="131">
        <v>0</v>
      </c>
      <c r="N34" s="131">
        <v>0</v>
      </c>
      <c r="O34" s="131">
        <v>0</v>
      </c>
      <c r="P34" s="131">
        <v>0</v>
      </c>
      <c r="Q34" s="131">
        <v>0.04</v>
      </c>
      <c r="R34" s="131">
        <v>0</v>
      </c>
      <c r="S34" s="131">
        <v>3.0000000000000001E-3</v>
      </c>
      <c r="T34" s="131">
        <v>5.0000000381499972E-3</v>
      </c>
      <c r="U34" s="131">
        <v>0</v>
      </c>
      <c r="V34" s="131">
        <v>0</v>
      </c>
      <c r="W34" s="131">
        <v>0</v>
      </c>
      <c r="X34" s="131">
        <v>8.9999999999999993E-3</v>
      </c>
      <c r="Y34" s="131">
        <v>0</v>
      </c>
      <c r="Z34" s="131">
        <v>0</v>
      </c>
      <c r="AA34" s="131">
        <v>0</v>
      </c>
      <c r="AB34" s="131">
        <v>0</v>
      </c>
      <c r="AC34" s="131">
        <v>0</v>
      </c>
      <c r="AD34" s="131">
        <v>0</v>
      </c>
      <c r="AE34" s="131">
        <v>0</v>
      </c>
      <c r="AF34" s="131">
        <v>0</v>
      </c>
      <c r="AG34" s="131">
        <v>0</v>
      </c>
      <c r="AH34" s="131">
        <v>0</v>
      </c>
      <c r="AI34" s="131">
        <v>0</v>
      </c>
      <c r="AJ34" s="131">
        <v>0</v>
      </c>
      <c r="AK34" s="131">
        <v>0</v>
      </c>
      <c r="AL34" s="131">
        <v>0</v>
      </c>
      <c r="AM34" s="131">
        <v>0</v>
      </c>
      <c r="AN34" s="131">
        <v>0</v>
      </c>
      <c r="AO34" s="131">
        <v>0</v>
      </c>
      <c r="AP34" s="131">
        <v>0</v>
      </c>
      <c r="AQ34" s="131">
        <v>0</v>
      </c>
    </row>
    <row r="35" spans="1:43" customFormat="1" x14ac:dyDescent="0.15">
      <c r="A35" s="166" t="s">
        <v>225</v>
      </c>
      <c r="B35" s="131">
        <v>0.01</v>
      </c>
      <c r="C35" s="131">
        <v>0</v>
      </c>
      <c r="D35" s="131">
        <v>4.999999709699976E-2</v>
      </c>
      <c r="E35" s="131">
        <v>0</v>
      </c>
      <c r="F35" s="131">
        <v>0</v>
      </c>
      <c r="G35" s="131">
        <v>0</v>
      </c>
      <c r="H35" s="131">
        <v>0</v>
      </c>
      <c r="I35" s="131">
        <v>0</v>
      </c>
      <c r="J35" s="131">
        <v>0</v>
      </c>
      <c r="K35" s="131">
        <v>0</v>
      </c>
      <c r="L35" s="131">
        <v>0</v>
      </c>
      <c r="M35" s="131">
        <v>0</v>
      </c>
      <c r="N35" s="131">
        <v>0</v>
      </c>
      <c r="O35" s="131">
        <v>0</v>
      </c>
      <c r="P35" s="131">
        <v>0</v>
      </c>
      <c r="Q35" s="131">
        <v>0</v>
      </c>
      <c r="R35" s="131">
        <v>0</v>
      </c>
      <c r="S35" s="131">
        <v>0</v>
      </c>
      <c r="T35" s="131">
        <v>0</v>
      </c>
      <c r="U35" s="131">
        <v>0</v>
      </c>
      <c r="V35" s="131">
        <v>0</v>
      </c>
      <c r="W35" s="131">
        <v>0</v>
      </c>
      <c r="X35" s="131">
        <v>0</v>
      </c>
      <c r="Y35" s="131">
        <v>0</v>
      </c>
      <c r="Z35" s="131">
        <v>0</v>
      </c>
      <c r="AA35" s="131">
        <v>0</v>
      </c>
      <c r="AB35" s="131">
        <v>0</v>
      </c>
      <c r="AC35" s="131">
        <v>0</v>
      </c>
      <c r="AD35" s="131">
        <v>0</v>
      </c>
      <c r="AE35" s="131">
        <v>0</v>
      </c>
      <c r="AF35" s="131">
        <v>0</v>
      </c>
      <c r="AG35" s="131">
        <v>0</v>
      </c>
      <c r="AH35" s="131">
        <v>0</v>
      </c>
      <c r="AI35" s="131">
        <v>0</v>
      </c>
      <c r="AJ35" s="131">
        <v>0</v>
      </c>
      <c r="AK35" s="131">
        <v>0</v>
      </c>
      <c r="AL35" s="131">
        <v>0</v>
      </c>
      <c r="AM35" s="131">
        <v>0</v>
      </c>
      <c r="AN35" s="131">
        <v>0</v>
      </c>
      <c r="AO35" s="131">
        <v>0</v>
      </c>
      <c r="AP35" s="131">
        <v>0</v>
      </c>
      <c r="AQ35" s="131">
        <v>0</v>
      </c>
    </row>
    <row r="36" spans="1:43" customFormat="1" x14ac:dyDescent="0.15">
      <c r="A36" s="166" t="s">
        <v>226</v>
      </c>
      <c r="B36" s="131">
        <v>0</v>
      </c>
      <c r="C36" s="131">
        <v>0</v>
      </c>
      <c r="D36" s="131">
        <v>0</v>
      </c>
      <c r="E36" s="131">
        <v>0</v>
      </c>
      <c r="F36" s="131">
        <v>0</v>
      </c>
      <c r="G36" s="131">
        <v>0</v>
      </c>
      <c r="H36" s="131">
        <v>0</v>
      </c>
      <c r="I36" s="131">
        <v>0</v>
      </c>
      <c r="J36" s="131">
        <v>0</v>
      </c>
      <c r="K36" s="131">
        <v>0</v>
      </c>
      <c r="L36" s="131">
        <v>1E-3</v>
      </c>
      <c r="M36" s="131">
        <v>0</v>
      </c>
      <c r="N36" s="131">
        <v>0</v>
      </c>
      <c r="O36" s="131">
        <v>0</v>
      </c>
      <c r="P36" s="131">
        <v>0</v>
      </c>
      <c r="Q36" s="131">
        <v>0</v>
      </c>
      <c r="R36" s="131">
        <v>2E-3</v>
      </c>
      <c r="S36" s="131">
        <v>3.0000000000000001E-3</v>
      </c>
      <c r="T36" s="131">
        <v>3.000000302889981E-3</v>
      </c>
      <c r="U36" s="131">
        <v>0.05</v>
      </c>
      <c r="V36" s="131">
        <v>0</v>
      </c>
      <c r="W36" s="131">
        <v>0.104</v>
      </c>
      <c r="X36" s="131">
        <v>0</v>
      </c>
      <c r="Y36" s="131">
        <v>0.16400000000000001</v>
      </c>
      <c r="Z36" s="131">
        <v>4.0000000000000001E-3</v>
      </c>
      <c r="AA36" s="131">
        <v>5.000000000000001E-2</v>
      </c>
      <c r="AB36" s="131">
        <v>0</v>
      </c>
      <c r="AC36" s="131">
        <v>7.4999999999999997E-2</v>
      </c>
      <c r="AD36" s="131">
        <v>6.8000000000000005E-2</v>
      </c>
      <c r="AE36" s="131">
        <v>0.1</v>
      </c>
      <c r="AF36" s="131">
        <v>0</v>
      </c>
      <c r="AG36" s="131">
        <v>0.1</v>
      </c>
      <c r="AH36" s="131">
        <v>0.05</v>
      </c>
      <c r="AI36" s="131">
        <v>0</v>
      </c>
      <c r="AJ36" s="131">
        <v>0</v>
      </c>
      <c r="AK36" s="131">
        <v>0</v>
      </c>
      <c r="AL36" s="131">
        <v>0</v>
      </c>
      <c r="AM36" s="131">
        <v>0</v>
      </c>
      <c r="AN36" s="131">
        <v>0</v>
      </c>
      <c r="AO36" s="131">
        <v>0</v>
      </c>
      <c r="AP36" s="131">
        <v>0</v>
      </c>
      <c r="AQ36" s="131">
        <v>0</v>
      </c>
    </row>
    <row r="37" spans="1:43" customFormat="1" x14ac:dyDescent="0.15">
      <c r="A37" s="166" t="s">
        <v>227</v>
      </c>
      <c r="B37" s="131">
        <v>5.0000000000000001E-3</v>
      </c>
      <c r="C37" s="131">
        <v>0</v>
      </c>
      <c r="D37" s="131">
        <v>2.7999999226319933E-2</v>
      </c>
      <c r="E37" s="131">
        <v>0</v>
      </c>
      <c r="F37" s="131">
        <v>0</v>
      </c>
      <c r="G37" s="131">
        <v>0</v>
      </c>
      <c r="H37" s="131">
        <v>0.13700000000000001</v>
      </c>
      <c r="I37" s="131">
        <v>0</v>
      </c>
      <c r="J37" s="131">
        <v>4.9999999999999989E-2</v>
      </c>
      <c r="K37" s="131">
        <v>0</v>
      </c>
      <c r="L37" s="131">
        <v>0</v>
      </c>
      <c r="M37" s="131">
        <v>0</v>
      </c>
      <c r="N37" s="131">
        <v>0</v>
      </c>
      <c r="O37" s="131">
        <v>0</v>
      </c>
      <c r="P37" s="131">
        <v>0</v>
      </c>
      <c r="Q37" s="131">
        <v>0</v>
      </c>
      <c r="R37" s="131">
        <v>0</v>
      </c>
      <c r="S37" s="131">
        <v>0</v>
      </c>
      <c r="T37" s="131">
        <v>0</v>
      </c>
      <c r="U37" s="131">
        <v>0</v>
      </c>
      <c r="V37" s="131">
        <v>0</v>
      </c>
      <c r="W37" s="131">
        <v>0</v>
      </c>
      <c r="X37" s="131">
        <v>0</v>
      </c>
      <c r="Y37" s="131">
        <v>0</v>
      </c>
      <c r="Z37" s="131">
        <v>0</v>
      </c>
      <c r="AA37" s="131">
        <v>0</v>
      </c>
      <c r="AB37" s="131">
        <v>0</v>
      </c>
      <c r="AC37" s="131">
        <v>0</v>
      </c>
      <c r="AD37" s="131">
        <v>0</v>
      </c>
      <c r="AE37" s="131">
        <v>0</v>
      </c>
      <c r="AF37" s="131">
        <v>0</v>
      </c>
      <c r="AG37" s="131">
        <v>0</v>
      </c>
      <c r="AH37" s="131">
        <v>0</v>
      </c>
      <c r="AI37" s="131">
        <v>0</v>
      </c>
      <c r="AJ37" s="131">
        <v>0</v>
      </c>
      <c r="AK37" s="131">
        <v>0</v>
      </c>
      <c r="AL37" s="131">
        <v>0</v>
      </c>
      <c r="AM37" s="131">
        <v>0</v>
      </c>
      <c r="AN37" s="131">
        <v>0</v>
      </c>
      <c r="AO37" s="131">
        <v>0</v>
      </c>
      <c r="AP37" s="131">
        <v>0</v>
      </c>
      <c r="AQ37" s="131">
        <v>0</v>
      </c>
    </row>
    <row r="38" spans="1:43" customFormat="1" x14ac:dyDescent="0.15">
      <c r="A38" s="166" t="s">
        <v>228</v>
      </c>
      <c r="B38" s="131">
        <v>0</v>
      </c>
      <c r="C38" s="131">
        <v>0</v>
      </c>
      <c r="D38" s="131">
        <v>0</v>
      </c>
      <c r="E38" s="131">
        <v>0</v>
      </c>
      <c r="F38" s="131">
        <v>0</v>
      </c>
      <c r="G38" s="131">
        <v>0</v>
      </c>
      <c r="H38" s="131">
        <v>0</v>
      </c>
      <c r="I38" s="131">
        <v>0</v>
      </c>
      <c r="J38" s="131">
        <v>0</v>
      </c>
      <c r="K38" s="131">
        <v>0</v>
      </c>
      <c r="L38" s="131">
        <v>0</v>
      </c>
      <c r="M38" s="131">
        <v>0</v>
      </c>
      <c r="N38" s="131">
        <v>0</v>
      </c>
      <c r="O38" s="131">
        <v>0</v>
      </c>
      <c r="P38" s="131">
        <v>0</v>
      </c>
      <c r="Q38" s="131">
        <v>5.0000000000000001E-3</v>
      </c>
      <c r="R38" s="131">
        <v>0</v>
      </c>
      <c r="S38" s="131">
        <v>0.25</v>
      </c>
      <c r="T38" s="131">
        <v>7.999999501040031E-2</v>
      </c>
      <c r="U38" s="131">
        <v>0</v>
      </c>
      <c r="V38" s="131">
        <v>0</v>
      </c>
      <c r="W38" s="131">
        <v>0</v>
      </c>
      <c r="X38" s="131">
        <v>0.245</v>
      </c>
      <c r="Y38" s="131">
        <v>0</v>
      </c>
      <c r="Z38" s="131">
        <v>0</v>
      </c>
      <c r="AA38" s="131">
        <v>6.1000000000000006E-2</v>
      </c>
      <c r="AB38" s="131">
        <v>0</v>
      </c>
      <c r="AC38" s="131">
        <v>0</v>
      </c>
      <c r="AD38" s="131">
        <v>0.502</v>
      </c>
      <c r="AE38" s="131">
        <v>0</v>
      </c>
      <c r="AF38" s="131">
        <v>0.41899999999999998</v>
      </c>
      <c r="AG38" s="131">
        <v>0.27500000000000002</v>
      </c>
      <c r="AH38" s="131">
        <v>0</v>
      </c>
      <c r="AI38" s="131">
        <v>0.95</v>
      </c>
      <c r="AJ38" s="131">
        <v>0</v>
      </c>
      <c r="AK38" s="131">
        <v>3.7999999999999999E-2</v>
      </c>
      <c r="AL38" s="131">
        <v>0</v>
      </c>
      <c r="AM38" s="131">
        <v>0</v>
      </c>
      <c r="AN38" s="131">
        <v>0</v>
      </c>
      <c r="AO38" s="131">
        <v>0</v>
      </c>
      <c r="AP38" s="131">
        <v>0</v>
      </c>
      <c r="AQ38" s="131">
        <v>0</v>
      </c>
    </row>
    <row r="39" spans="1:43" x14ac:dyDescent="0.15">
      <c r="A39" s="166" t="s">
        <v>229</v>
      </c>
      <c r="B39" s="131">
        <v>0</v>
      </c>
      <c r="C39" s="131">
        <v>0</v>
      </c>
      <c r="D39" s="131">
        <v>0</v>
      </c>
      <c r="E39" s="131">
        <v>0</v>
      </c>
      <c r="F39" s="131">
        <v>1E-3</v>
      </c>
      <c r="G39" s="131">
        <v>0</v>
      </c>
      <c r="H39" s="131">
        <v>0</v>
      </c>
      <c r="I39" s="131">
        <v>0</v>
      </c>
      <c r="J39" s="131">
        <v>0</v>
      </c>
      <c r="K39" s="131">
        <v>0</v>
      </c>
      <c r="L39" s="131">
        <v>0</v>
      </c>
      <c r="M39" s="131">
        <v>4.299999999999999E-2</v>
      </c>
      <c r="N39" s="131">
        <v>0</v>
      </c>
      <c r="O39" s="131">
        <v>2.4000000011519997E-2</v>
      </c>
      <c r="P39" s="131">
        <v>0</v>
      </c>
      <c r="Q39" s="131">
        <v>0.11899999999999999</v>
      </c>
      <c r="R39" s="131">
        <v>1E-3</v>
      </c>
      <c r="S39" s="131">
        <v>0.1</v>
      </c>
      <c r="T39" s="131">
        <v>6.8999995696470265E-2</v>
      </c>
      <c r="U39" s="131">
        <v>6.9000000000000006E-2</v>
      </c>
      <c r="V39" s="131">
        <v>0</v>
      </c>
      <c r="W39" s="131">
        <v>0</v>
      </c>
      <c r="X39" s="131">
        <v>0.2</v>
      </c>
      <c r="Y39" s="131">
        <v>0</v>
      </c>
      <c r="Z39" s="131">
        <v>6.9000000000000006E-2</v>
      </c>
      <c r="AA39" s="131">
        <v>0.10000000000000002</v>
      </c>
      <c r="AB39" s="131">
        <v>0.122</v>
      </c>
      <c r="AC39" s="131">
        <v>0</v>
      </c>
      <c r="AD39" s="131">
        <v>0.16200000000000001</v>
      </c>
      <c r="AE39" s="131">
        <v>0</v>
      </c>
      <c r="AF39" s="131">
        <v>0.439</v>
      </c>
      <c r="AG39" s="131">
        <v>0.05</v>
      </c>
      <c r="AH39" s="131">
        <v>0</v>
      </c>
      <c r="AI39" s="131">
        <v>0</v>
      </c>
      <c r="AJ39" s="131">
        <v>0</v>
      </c>
      <c r="AK39" s="131">
        <v>0.96199999999999997</v>
      </c>
      <c r="AL39" s="131">
        <v>0</v>
      </c>
      <c r="AM39" s="131">
        <v>0</v>
      </c>
      <c r="AN39" s="131">
        <v>0</v>
      </c>
      <c r="AO39" s="131">
        <v>0</v>
      </c>
      <c r="AP39" s="131">
        <v>0</v>
      </c>
      <c r="AQ39" s="131">
        <v>0</v>
      </c>
    </row>
    <row r="40" spans="1:43" x14ac:dyDescent="0.15">
      <c r="A40" s="166" t="s">
        <v>230</v>
      </c>
      <c r="B40" s="131">
        <v>0</v>
      </c>
      <c r="C40" s="131">
        <v>0</v>
      </c>
      <c r="D40" s="131">
        <v>0</v>
      </c>
      <c r="E40" s="131">
        <v>0</v>
      </c>
      <c r="F40" s="131">
        <v>0</v>
      </c>
      <c r="G40" s="131">
        <v>0</v>
      </c>
      <c r="H40" s="131">
        <v>0</v>
      </c>
      <c r="I40" s="131">
        <v>0</v>
      </c>
      <c r="J40" s="131">
        <v>0</v>
      </c>
      <c r="K40" s="131">
        <v>0</v>
      </c>
      <c r="L40" s="131">
        <v>0</v>
      </c>
      <c r="M40" s="131">
        <v>0</v>
      </c>
      <c r="N40" s="131">
        <v>0</v>
      </c>
      <c r="O40" s="131">
        <v>0</v>
      </c>
      <c r="P40" s="131">
        <v>0</v>
      </c>
      <c r="Q40" s="131">
        <v>0</v>
      </c>
      <c r="R40" s="131">
        <v>0</v>
      </c>
      <c r="S40" s="131">
        <v>0.05</v>
      </c>
      <c r="T40" s="131">
        <v>0</v>
      </c>
      <c r="U40" s="131">
        <v>0</v>
      </c>
      <c r="V40" s="131">
        <v>0</v>
      </c>
      <c r="W40" s="131">
        <v>0</v>
      </c>
      <c r="X40" s="131">
        <v>5.5E-2</v>
      </c>
      <c r="Y40" s="131">
        <v>0</v>
      </c>
      <c r="Z40" s="131">
        <v>0</v>
      </c>
      <c r="AA40" s="131">
        <v>0</v>
      </c>
      <c r="AB40" s="131">
        <v>0</v>
      </c>
      <c r="AC40" s="131">
        <v>0</v>
      </c>
      <c r="AD40" s="131">
        <v>0.01</v>
      </c>
      <c r="AE40" s="131">
        <v>0</v>
      </c>
      <c r="AF40" s="131">
        <v>0.02</v>
      </c>
      <c r="AG40" s="131">
        <v>2.5000000000000001E-2</v>
      </c>
      <c r="AH40" s="131">
        <v>0</v>
      </c>
      <c r="AI40" s="131">
        <v>0.05</v>
      </c>
      <c r="AJ40" s="131">
        <v>0</v>
      </c>
      <c r="AK40" s="131">
        <v>0</v>
      </c>
      <c r="AL40" s="131">
        <v>0</v>
      </c>
      <c r="AM40" s="131">
        <v>0</v>
      </c>
      <c r="AN40" s="131">
        <v>0</v>
      </c>
      <c r="AO40" s="131">
        <v>0</v>
      </c>
      <c r="AP40" s="131">
        <v>0</v>
      </c>
      <c r="AQ40" s="131">
        <v>0</v>
      </c>
    </row>
    <row r="41" spans="1:43" x14ac:dyDescent="0.15">
      <c r="A41" s="166" t="s">
        <v>231</v>
      </c>
      <c r="B41" s="131">
        <v>0</v>
      </c>
      <c r="C41" s="131">
        <v>0</v>
      </c>
      <c r="D41" s="131">
        <v>0</v>
      </c>
      <c r="E41" s="131">
        <v>0</v>
      </c>
      <c r="F41" s="131">
        <v>0</v>
      </c>
      <c r="G41" s="131">
        <v>0</v>
      </c>
      <c r="H41" s="131">
        <v>0</v>
      </c>
      <c r="I41" s="131">
        <v>0</v>
      </c>
      <c r="J41" s="131">
        <v>0</v>
      </c>
      <c r="K41" s="131">
        <v>0</v>
      </c>
      <c r="L41" s="131">
        <v>0</v>
      </c>
      <c r="M41" s="131">
        <v>0</v>
      </c>
      <c r="N41" s="131">
        <v>0</v>
      </c>
      <c r="O41" s="131">
        <v>0</v>
      </c>
      <c r="P41" s="131">
        <v>0</v>
      </c>
      <c r="Q41" s="131">
        <v>0</v>
      </c>
      <c r="R41" s="131">
        <v>0</v>
      </c>
      <c r="S41" s="131">
        <v>0</v>
      </c>
      <c r="T41" s="131">
        <v>0</v>
      </c>
      <c r="U41" s="131">
        <v>0</v>
      </c>
      <c r="V41" s="131">
        <v>4.6000001771399929E-2</v>
      </c>
      <c r="W41" s="131">
        <v>0.42899999999999999</v>
      </c>
      <c r="X41" s="131">
        <v>0</v>
      </c>
      <c r="Y41" s="131">
        <v>0.42899999999999999</v>
      </c>
      <c r="Z41" s="131">
        <v>0</v>
      </c>
      <c r="AA41" s="131">
        <v>7.5000000000000011E-2</v>
      </c>
      <c r="AB41" s="131">
        <v>0</v>
      </c>
      <c r="AC41" s="131">
        <v>0</v>
      </c>
      <c r="AD41" s="131">
        <v>0</v>
      </c>
      <c r="AE41" s="131">
        <v>0.65</v>
      </c>
      <c r="AF41" s="131">
        <v>0</v>
      </c>
      <c r="AG41" s="131">
        <v>0</v>
      </c>
      <c r="AH41" s="131">
        <v>0</v>
      </c>
      <c r="AI41" s="131">
        <v>0</v>
      </c>
      <c r="AJ41" s="131">
        <v>0.2</v>
      </c>
      <c r="AK41" s="131">
        <v>0</v>
      </c>
      <c r="AL41" s="131">
        <v>0</v>
      </c>
      <c r="AM41" s="131">
        <v>0</v>
      </c>
      <c r="AN41" s="131">
        <v>0</v>
      </c>
      <c r="AO41" s="131">
        <v>0</v>
      </c>
      <c r="AP41" s="131">
        <v>0</v>
      </c>
      <c r="AQ41" s="131">
        <v>0</v>
      </c>
    </row>
    <row r="42" spans="1:43" x14ac:dyDescent="0.15">
      <c r="A42" s="166" t="s">
        <v>232</v>
      </c>
      <c r="B42" s="131">
        <v>0</v>
      </c>
      <c r="C42" s="131">
        <v>0</v>
      </c>
      <c r="D42" s="131">
        <v>0</v>
      </c>
      <c r="E42" s="131">
        <v>0</v>
      </c>
      <c r="F42" s="131">
        <v>2.4E-2</v>
      </c>
      <c r="G42" s="131">
        <v>2.5999999999999992E-2</v>
      </c>
      <c r="H42" s="131">
        <v>0</v>
      </c>
      <c r="I42" s="131">
        <v>0</v>
      </c>
      <c r="J42" s="131">
        <v>0</v>
      </c>
      <c r="K42" s="131">
        <v>4.8000000000000001E-2</v>
      </c>
      <c r="L42" s="131">
        <v>0</v>
      </c>
      <c r="M42" s="131">
        <v>7.5999999999999984E-2</v>
      </c>
      <c r="N42" s="131">
        <v>0.115</v>
      </c>
      <c r="O42" s="131">
        <v>8.0000003038399724E-3</v>
      </c>
      <c r="P42" s="131">
        <v>1.0378048683276208E-3</v>
      </c>
      <c r="Q42" s="131">
        <v>0</v>
      </c>
      <c r="R42" s="131">
        <v>0.3</v>
      </c>
      <c r="S42" s="131">
        <v>0.11700000000000001</v>
      </c>
      <c r="T42" s="131">
        <v>0.2889999819750711</v>
      </c>
      <c r="U42" s="131">
        <v>0.34300000000000003</v>
      </c>
      <c r="V42" s="131">
        <v>2.0000000517999977E-2</v>
      </c>
      <c r="W42" s="131">
        <v>0.46700000000000003</v>
      </c>
      <c r="X42" s="131">
        <v>0.315</v>
      </c>
      <c r="Y42" s="131">
        <v>0.311</v>
      </c>
      <c r="Z42" s="131">
        <v>0.89300000000000002</v>
      </c>
      <c r="AA42" s="131">
        <v>0.49300000000000005</v>
      </c>
      <c r="AB42" s="131">
        <v>0.63400000000000001</v>
      </c>
      <c r="AC42" s="131">
        <v>0.82499999999999996</v>
      </c>
      <c r="AD42" s="131">
        <v>0.19</v>
      </c>
      <c r="AE42" s="131">
        <v>0.25</v>
      </c>
      <c r="AF42" s="131">
        <v>0</v>
      </c>
      <c r="AG42" s="131">
        <v>0.43</v>
      </c>
      <c r="AH42" s="131">
        <v>0.95</v>
      </c>
      <c r="AI42" s="131">
        <v>0</v>
      </c>
      <c r="AJ42" s="131">
        <v>0.8</v>
      </c>
      <c r="AK42" s="131">
        <v>0</v>
      </c>
      <c r="AL42" s="131">
        <v>0</v>
      </c>
      <c r="AM42" s="131">
        <v>0</v>
      </c>
      <c r="AN42" s="131">
        <v>0</v>
      </c>
      <c r="AO42" s="131">
        <v>0</v>
      </c>
      <c r="AP42" s="131">
        <v>0</v>
      </c>
      <c r="AQ42" s="131">
        <v>0</v>
      </c>
    </row>
    <row r="43" spans="1:43" x14ac:dyDescent="0.15">
      <c r="A43" s="166" t="s">
        <v>233</v>
      </c>
      <c r="B43" s="131">
        <v>0</v>
      </c>
      <c r="C43" s="131">
        <v>0</v>
      </c>
      <c r="D43" s="131">
        <v>0</v>
      </c>
      <c r="E43" s="131">
        <v>0</v>
      </c>
      <c r="F43" s="131">
        <v>0</v>
      </c>
      <c r="G43" s="131">
        <v>0</v>
      </c>
      <c r="H43" s="131">
        <v>0</v>
      </c>
      <c r="I43" s="131">
        <v>0</v>
      </c>
      <c r="J43" s="131">
        <v>0</v>
      </c>
      <c r="K43" s="131">
        <v>0</v>
      </c>
      <c r="L43" s="131">
        <v>0</v>
      </c>
      <c r="M43" s="131">
        <v>0</v>
      </c>
      <c r="N43" s="131">
        <v>0</v>
      </c>
      <c r="O43" s="131">
        <v>0</v>
      </c>
      <c r="P43" s="131">
        <v>0</v>
      </c>
      <c r="Q43" s="131">
        <v>0</v>
      </c>
      <c r="R43" s="131">
        <v>0</v>
      </c>
      <c r="S43" s="131">
        <v>0</v>
      </c>
      <c r="T43" s="131">
        <v>0</v>
      </c>
      <c r="U43" s="131">
        <v>0</v>
      </c>
      <c r="V43" s="131">
        <v>0</v>
      </c>
      <c r="W43" s="131">
        <v>0</v>
      </c>
      <c r="X43" s="131">
        <v>0</v>
      </c>
      <c r="Y43" s="131">
        <v>0</v>
      </c>
      <c r="Z43" s="131">
        <v>0</v>
      </c>
      <c r="AA43" s="131">
        <v>0</v>
      </c>
      <c r="AB43" s="131">
        <v>0</v>
      </c>
      <c r="AC43" s="131">
        <v>0</v>
      </c>
      <c r="AD43" s="131">
        <v>0</v>
      </c>
      <c r="AE43" s="131">
        <v>0</v>
      </c>
      <c r="AF43" s="131">
        <v>0</v>
      </c>
      <c r="AG43" s="131">
        <v>0</v>
      </c>
      <c r="AH43" s="131">
        <v>0</v>
      </c>
      <c r="AI43" s="131">
        <v>0</v>
      </c>
      <c r="AJ43" s="131">
        <v>0</v>
      </c>
      <c r="AK43" s="131">
        <v>0</v>
      </c>
      <c r="AL43" s="131">
        <v>0</v>
      </c>
      <c r="AM43" s="131">
        <v>0</v>
      </c>
      <c r="AN43" s="131">
        <v>0</v>
      </c>
      <c r="AO43" s="131">
        <v>0</v>
      </c>
      <c r="AP43" s="131">
        <v>0</v>
      </c>
      <c r="AQ43" s="131">
        <v>0</v>
      </c>
    </row>
    <row r="44" spans="1:43" x14ac:dyDescent="0.15">
      <c r="A44" s="166" t="s">
        <v>235</v>
      </c>
      <c r="B44" s="131">
        <v>0</v>
      </c>
      <c r="C44" s="131">
        <v>0.19799999829860015</v>
      </c>
      <c r="D44" s="131">
        <v>0</v>
      </c>
      <c r="E44" s="131">
        <v>3.0000000096399981E-2</v>
      </c>
      <c r="F44" s="131">
        <v>0</v>
      </c>
      <c r="G44" s="131">
        <v>0</v>
      </c>
      <c r="H44" s="131">
        <v>0</v>
      </c>
      <c r="I44" s="131">
        <v>0.95</v>
      </c>
      <c r="J44" s="131">
        <v>0</v>
      </c>
      <c r="K44" s="131">
        <v>0</v>
      </c>
      <c r="L44" s="131">
        <v>0</v>
      </c>
      <c r="M44" s="131">
        <v>0</v>
      </c>
      <c r="N44" s="131">
        <v>0</v>
      </c>
      <c r="O44" s="131">
        <v>0</v>
      </c>
      <c r="P44" s="131">
        <v>0.38014833002703663</v>
      </c>
      <c r="Q44" s="131">
        <v>0</v>
      </c>
      <c r="R44" s="131">
        <v>0</v>
      </c>
      <c r="S44" s="131">
        <v>0</v>
      </c>
      <c r="T44" s="131">
        <v>0</v>
      </c>
      <c r="U44" s="131">
        <v>0</v>
      </c>
      <c r="V44" s="131">
        <v>0</v>
      </c>
      <c r="W44" s="131">
        <v>0</v>
      </c>
      <c r="X44" s="131">
        <v>0</v>
      </c>
      <c r="Y44" s="131">
        <v>0</v>
      </c>
      <c r="Z44" s="131">
        <v>0</v>
      </c>
      <c r="AA44" s="131">
        <v>0</v>
      </c>
      <c r="AB44" s="131">
        <v>0</v>
      </c>
      <c r="AC44" s="131">
        <v>0</v>
      </c>
      <c r="AD44" s="131">
        <v>0</v>
      </c>
      <c r="AE44" s="131">
        <v>0</v>
      </c>
      <c r="AF44" s="131">
        <v>0</v>
      </c>
      <c r="AG44" s="131">
        <v>0</v>
      </c>
      <c r="AH44" s="131">
        <v>0</v>
      </c>
      <c r="AI44" s="131">
        <v>0</v>
      </c>
      <c r="AJ44" s="131">
        <v>0</v>
      </c>
      <c r="AK44" s="131">
        <v>0</v>
      </c>
      <c r="AL44" s="131">
        <v>0</v>
      </c>
      <c r="AM44" s="131">
        <v>0</v>
      </c>
      <c r="AN44" s="131">
        <v>0</v>
      </c>
      <c r="AO44" s="131">
        <v>0</v>
      </c>
      <c r="AP44" s="131">
        <v>0</v>
      </c>
      <c r="AQ44" s="131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1.33203125" customWidth="1"/>
    <col min="3" max="4" width="2.33203125" style="105" customWidth="1"/>
    <col min="5" max="6" width="2.33203125" style="104" bestFit="1" customWidth="1"/>
    <col min="7" max="8" width="8.83203125" style="105"/>
  </cols>
  <sheetData>
    <row r="1" spans="1:8" ht="70" x14ac:dyDescent="0.15">
      <c r="A1" s="5" t="s">
        <v>20</v>
      </c>
      <c r="B1" s="1" t="s">
        <v>0</v>
      </c>
      <c r="C1" s="169" t="s">
        <v>232</v>
      </c>
      <c r="D1" s="169" t="s">
        <v>233</v>
      </c>
      <c r="E1" s="169" t="s">
        <v>236</v>
      </c>
      <c r="F1" s="169" t="s">
        <v>237</v>
      </c>
      <c r="G1"/>
      <c r="H1"/>
    </row>
    <row r="2" spans="1:8" x14ac:dyDescent="0.15">
      <c r="A2">
        <v>1</v>
      </c>
      <c r="B2" s="168" t="s">
        <v>192</v>
      </c>
      <c r="C2" s="105">
        <v>1</v>
      </c>
      <c r="D2" s="105">
        <v>0</v>
      </c>
      <c r="E2" s="104">
        <v>0</v>
      </c>
      <c r="F2" s="104">
        <v>1</v>
      </c>
      <c r="G2"/>
      <c r="H2"/>
    </row>
    <row r="3" spans="1:8" x14ac:dyDescent="0.15">
      <c r="A3">
        <v>2</v>
      </c>
      <c r="B3" s="168" t="s">
        <v>193</v>
      </c>
      <c r="C3" s="105">
        <v>1</v>
      </c>
      <c r="D3" s="105">
        <v>0</v>
      </c>
      <c r="E3" s="104">
        <v>0</v>
      </c>
      <c r="F3" s="104">
        <v>1</v>
      </c>
      <c r="G3"/>
      <c r="H3"/>
    </row>
    <row r="4" spans="1:8" x14ac:dyDescent="0.15">
      <c r="A4">
        <v>3</v>
      </c>
      <c r="B4" s="168" t="s">
        <v>194</v>
      </c>
      <c r="C4" s="105">
        <v>1</v>
      </c>
      <c r="D4" s="105">
        <v>0</v>
      </c>
      <c r="E4" s="104">
        <v>0</v>
      </c>
      <c r="F4" s="104">
        <v>1</v>
      </c>
      <c r="G4"/>
      <c r="H4"/>
    </row>
    <row r="5" spans="1:8" x14ac:dyDescent="0.15">
      <c r="A5">
        <v>4</v>
      </c>
      <c r="B5" s="168" t="s">
        <v>195</v>
      </c>
      <c r="C5" s="105">
        <v>1</v>
      </c>
      <c r="D5" s="105">
        <v>0</v>
      </c>
      <c r="E5" s="104">
        <v>0</v>
      </c>
      <c r="F5" s="104">
        <v>1</v>
      </c>
      <c r="G5"/>
      <c r="H5"/>
    </row>
    <row r="6" spans="1:8" x14ac:dyDescent="0.15">
      <c r="A6">
        <v>5</v>
      </c>
      <c r="B6" s="168" t="s">
        <v>196</v>
      </c>
      <c r="C6" s="105">
        <v>1</v>
      </c>
      <c r="D6" s="105">
        <v>0</v>
      </c>
      <c r="E6" s="104">
        <v>0</v>
      </c>
      <c r="F6" s="104">
        <v>1</v>
      </c>
      <c r="G6"/>
      <c r="H6"/>
    </row>
    <row r="7" spans="1:8" x14ac:dyDescent="0.15">
      <c r="A7">
        <v>6</v>
      </c>
      <c r="B7" s="168" t="s">
        <v>197</v>
      </c>
      <c r="C7" s="105">
        <v>1</v>
      </c>
      <c r="D7" s="105">
        <v>0</v>
      </c>
      <c r="E7" s="104">
        <v>0</v>
      </c>
      <c r="F7" s="104">
        <v>1</v>
      </c>
      <c r="G7"/>
      <c r="H7"/>
    </row>
    <row r="8" spans="1:8" x14ac:dyDescent="0.15">
      <c r="A8">
        <v>7</v>
      </c>
      <c r="B8" s="168" t="s">
        <v>198</v>
      </c>
      <c r="C8" s="105">
        <v>1</v>
      </c>
      <c r="D8" s="105">
        <v>0</v>
      </c>
      <c r="E8" s="104">
        <v>0</v>
      </c>
      <c r="F8" s="104">
        <v>1</v>
      </c>
      <c r="G8"/>
      <c r="H8"/>
    </row>
    <row r="9" spans="1:8" x14ac:dyDescent="0.15">
      <c r="A9">
        <v>8</v>
      </c>
      <c r="B9" s="168" t="s">
        <v>199</v>
      </c>
      <c r="C9" s="105">
        <v>1</v>
      </c>
      <c r="D9" s="105">
        <v>0</v>
      </c>
      <c r="E9" s="104">
        <v>0</v>
      </c>
      <c r="F9" s="104">
        <v>1</v>
      </c>
      <c r="G9"/>
      <c r="H9"/>
    </row>
    <row r="10" spans="1:8" x14ac:dyDescent="0.15">
      <c r="A10">
        <v>9</v>
      </c>
      <c r="B10" s="168" t="s">
        <v>200</v>
      </c>
      <c r="C10" s="105">
        <v>1</v>
      </c>
      <c r="D10" s="105">
        <v>0</v>
      </c>
      <c r="E10" s="104">
        <v>0</v>
      </c>
      <c r="F10" s="104">
        <v>1</v>
      </c>
      <c r="G10"/>
      <c r="H10"/>
    </row>
    <row r="11" spans="1:8" x14ac:dyDescent="0.15">
      <c r="A11">
        <v>10</v>
      </c>
      <c r="B11" s="168" t="s">
        <v>201</v>
      </c>
      <c r="C11" s="105">
        <v>1</v>
      </c>
      <c r="D11" s="105">
        <v>0</v>
      </c>
      <c r="E11" s="104">
        <v>0</v>
      </c>
      <c r="F11" s="104">
        <v>1</v>
      </c>
      <c r="G11"/>
      <c r="H11"/>
    </row>
    <row r="12" spans="1:8" x14ac:dyDescent="0.15">
      <c r="A12">
        <v>11</v>
      </c>
      <c r="B12" s="168" t="s">
        <v>202</v>
      </c>
      <c r="C12" s="105">
        <v>1</v>
      </c>
      <c r="D12" s="105">
        <v>0</v>
      </c>
      <c r="E12" s="104">
        <v>0</v>
      </c>
      <c r="F12" s="104">
        <v>1</v>
      </c>
      <c r="G12"/>
      <c r="H12"/>
    </row>
    <row r="13" spans="1:8" x14ac:dyDescent="0.15">
      <c r="A13">
        <v>12</v>
      </c>
      <c r="B13" s="168" t="s">
        <v>203</v>
      </c>
      <c r="C13" s="105">
        <v>1</v>
      </c>
      <c r="D13" s="105">
        <v>0</v>
      </c>
      <c r="E13" s="104">
        <v>0</v>
      </c>
      <c r="F13" s="104">
        <v>1</v>
      </c>
      <c r="G13"/>
      <c r="H13"/>
    </row>
    <row r="14" spans="1:8" x14ac:dyDescent="0.15">
      <c r="A14">
        <v>13</v>
      </c>
      <c r="B14" s="168" t="s">
        <v>204</v>
      </c>
      <c r="C14" s="105">
        <v>1</v>
      </c>
      <c r="D14" s="105">
        <v>0</v>
      </c>
      <c r="E14" s="104">
        <v>0</v>
      </c>
      <c r="F14" s="104">
        <v>1</v>
      </c>
      <c r="G14"/>
      <c r="H14"/>
    </row>
    <row r="15" spans="1:8" x14ac:dyDescent="0.15">
      <c r="A15">
        <v>14</v>
      </c>
      <c r="B15" s="168" t="s">
        <v>205</v>
      </c>
      <c r="C15" s="105">
        <v>1</v>
      </c>
      <c r="D15" s="105">
        <v>0</v>
      </c>
      <c r="E15" s="104">
        <v>0</v>
      </c>
      <c r="F15" s="104">
        <v>1</v>
      </c>
      <c r="G15"/>
      <c r="H15"/>
    </row>
    <row r="16" spans="1:8" x14ac:dyDescent="0.15">
      <c r="A16">
        <v>15</v>
      </c>
      <c r="B16" s="168" t="s">
        <v>206</v>
      </c>
      <c r="C16" s="105">
        <v>1</v>
      </c>
      <c r="D16" s="105">
        <v>0</v>
      </c>
      <c r="E16" s="104">
        <v>0</v>
      </c>
      <c r="F16" s="104">
        <v>1</v>
      </c>
      <c r="G16"/>
      <c r="H16"/>
    </row>
    <row r="17" spans="1:8" ht="15" customHeight="1" x14ac:dyDescent="0.15">
      <c r="A17">
        <v>16</v>
      </c>
      <c r="B17" s="168" t="s">
        <v>207</v>
      </c>
      <c r="C17" s="105">
        <v>1</v>
      </c>
      <c r="D17" s="105">
        <v>0</v>
      </c>
      <c r="E17" s="104">
        <v>0</v>
      </c>
      <c r="F17" s="104">
        <v>1</v>
      </c>
      <c r="G17"/>
      <c r="H17"/>
    </row>
    <row r="18" spans="1:8" ht="15" customHeight="1" x14ac:dyDescent="0.15">
      <c r="A18">
        <v>17</v>
      </c>
      <c r="B18" s="168" t="s">
        <v>208</v>
      </c>
      <c r="C18" s="105">
        <v>1</v>
      </c>
      <c r="D18" s="105">
        <v>0</v>
      </c>
      <c r="E18" s="104">
        <v>0</v>
      </c>
      <c r="F18" s="104">
        <v>1</v>
      </c>
      <c r="G18"/>
      <c r="H18"/>
    </row>
    <row r="19" spans="1:8" ht="15" customHeight="1" x14ac:dyDescent="0.15">
      <c r="A19">
        <v>18</v>
      </c>
      <c r="B19" s="168" t="s">
        <v>209</v>
      </c>
      <c r="C19" s="105">
        <v>1</v>
      </c>
      <c r="D19" s="105">
        <v>0</v>
      </c>
      <c r="E19" s="104">
        <v>0</v>
      </c>
      <c r="F19" s="104">
        <v>1</v>
      </c>
      <c r="G19"/>
      <c r="H19"/>
    </row>
    <row r="20" spans="1:8" ht="15" customHeight="1" x14ac:dyDescent="0.15">
      <c r="A20">
        <v>19</v>
      </c>
      <c r="B20" s="168" t="s">
        <v>210</v>
      </c>
      <c r="C20" s="105">
        <v>1</v>
      </c>
      <c r="D20" s="105">
        <v>0</v>
      </c>
      <c r="E20" s="104">
        <v>0</v>
      </c>
      <c r="F20" s="104">
        <v>1</v>
      </c>
      <c r="G20"/>
      <c r="H20"/>
    </row>
    <row r="21" spans="1:8" ht="15" customHeight="1" x14ac:dyDescent="0.15">
      <c r="A21">
        <v>20</v>
      </c>
      <c r="B21" s="168" t="s">
        <v>211</v>
      </c>
      <c r="C21" s="105">
        <v>1</v>
      </c>
      <c r="D21" s="105">
        <v>0</v>
      </c>
      <c r="E21" s="104">
        <v>0</v>
      </c>
      <c r="F21" s="104">
        <v>1</v>
      </c>
      <c r="G21"/>
      <c r="H21"/>
    </row>
    <row r="22" spans="1:8" ht="15" customHeight="1" x14ac:dyDescent="0.15">
      <c r="A22">
        <v>21</v>
      </c>
      <c r="B22" s="168" t="s">
        <v>212</v>
      </c>
      <c r="C22" s="105">
        <v>1</v>
      </c>
      <c r="D22" s="105">
        <v>0</v>
      </c>
      <c r="E22" s="104">
        <v>0</v>
      </c>
      <c r="F22" s="104">
        <v>1</v>
      </c>
      <c r="G22"/>
      <c r="H22"/>
    </row>
    <row r="23" spans="1:8" ht="15" customHeight="1" x14ac:dyDescent="0.15">
      <c r="A23">
        <v>22</v>
      </c>
      <c r="B23" s="168" t="s">
        <v>213</v>
      </c>
      <c r="C23" s="105">
        <v>1</v>
      </c>
      <c r="D23" s="105">
        <v>0</v>
      </c>
      <c r="E23" s="104">
        <v>0</v>
      </c>
      <c r="F23" s="104">
        <v>1</v>
      </c>
      <c r="G23"/>
      <c r="H23"/>
    </row>
    <row r="24" spans="1:8" ht="15" customHeight="1" x14ac:dyDescent="0.15">
      <c r="A24">
        <v>23</v>
      </c>
      <c r="B24" s="168" t="s">
        <v>214</v>
      </c>
      <c r="C24" s="105">
        <v>1</v>
      </c>
      <c r="D24" s="105">
        <v>0</v>
      </c>
      <c r="E24" s="104">
        <v>0</v>
      </c>
      <c r="F24" s="104">
        <v>1</v>
      </c>
      <c r="G24"/>
      <c r="H24"/>
    </row>
    <row r="25" spans="1:8" ht="15" customHeight="1" x14ac:dyDescent="0.15">
      <c r="A25">
        <v>24</v>
      </c>
      <c r="B25" s="168" t="s">
        <v>215</v>
      </c>
      <c r="C25" s="105">
        <v>1</v>
      </c>
      <c r="D25" s="105">
        <v>0</v>
      </c>
      <c r="E25" s="104">
        <v>0</v>
      </c>
      <c r="F25" s="104">
        <v>1</v>
      </c>
      <c r="G25"/>
      <c r="H25"/>
    </row>
    <row r="26" spans="1:8" ht="15" customHeight="1" x14ac:dyDescent="0.15">
      <c r="A26">
        <v>25</v>
      </c>
      <c r="B26" s="168" t="s">
        <v>216</v>
      </c>
      <c r="C26" s="105">
        <v>1</v>
      </c>
      <c r="D26" s="105">
        <v>0</v>
      </c>
      <c r="E26" s="104">
        <v>0</v>
      </c>
      <c r="F26" s="104">
        <v>1</v>
      </c>
      <c r="G26"/>
      <c r="H26"/>
    </row>
    <row r="27" spans="1:8" ht="15" customHeight="1" x14ac:dyDescent="0.15">
      <c r="A27">
        <v>26</v>
      </c>
      <c r="B27" s="168" t="s">
        <v>217</v>
      </c>
      <c r="C27" s="105">
        <v>1</v>
      </c>
      <c r="D27" s="105">
        <v>0</v>
      </c>
      <c r="E27" s="104">
        <v>0</v>
      </c>
      <c r="F27" s="104">
        <v>1</v>
      </c>
      <c r="G27"/>
      <c r="H27"/>
    </row>
    <row r="28" spans="1:8" ht="15" customHeight="1" x14ac:dyDescent="0.15">
      <c r="A28">
        <v>27</v>
      </c>
      <c r="B28" s="168" t="s">
        <v>218</v>
      </c>
      <c r="C28" s="105">
        <v>1</v>
      </c>
      <c r="D28" s="105">
        <v>0</v>
      </c>
      <c r="E28" s="104">
        <v>0</v>
      </c>
      <c r="F28" s="104">
        <v>1</v>
      </c>
      <c r="G28"/>
      <c r="H28"/>
    </row>
    <row r="29" spans="1:8" ht="15" customHeight="1" x14ac:dyDescent="0.15">
      <c r="A29">
        <v>28</v>
      </c>
      <c r="B29" s="168" t="s">
        <v>219</v>
      </c>
      <c r="C29" s="105">
        <v>1</v>
      </c>
      <c r="D29" s="105">
        <v>0</v>
      </c>
      <c r="E29" s="104">
        <v>0</v>
      </c>
      <c r="F29" s="104">
        <v>1</v>
      </c>
      <c r="G29"/>
      <c r="H29"/>
    </row>
    <row r="30" spans="1:8" ht="15" customHeight="1" x14ac:dyDescent="0.15">
      <c r="A30">
        <v>29</v>
      </c>
      <c r="B30" s="168" t="s">
        <v>220</v>
      </c>
      <c r="C30" s="105">
        <v>1</v>
      </c>
      <c r="D30" s="105">
        <v>0</v>
      </c>
      <c r="E30" s="104">
        <v>0</v>
      </c>
      <c r="F30" s="104">
        <v>1</v>
      </c>
      <c r="G30"/>
      <c r="H30"/>
    </row>
    <row r="31" spans="1:8" ht="15" customHeight="1" x14ac:dyDescent="0.15">
      <c r="A31">
        <v>30</v>
      </c>
      <c r="B31" s="168" t="s">
        <v>221</v>
      </c>
      <c r="C31" s="105">
        <v>1</v>
      </c>
      <c r="D31" s="105">
        <v>0</v>
      </c>
      <c r="E31" s="104">
        <v>0</v>
      </c>
      <c r="F31" s="104">
        <v>1</v>
      </c>
      <c r="G31"/>
      <c r="H31"/>
    </row>
    <row r="32" spans="1:8" ht="15" customHeight="1" x14ac:dyDescent="0.15">
      <c r="A32">
        <v>31</v>
      </c>
      <c r="B32" s="168" t="s">
        <v>222</v>
      </c>
      <c r="C32" s="105">
        <v>1</v>
      </c>
      <c r="D32" s="105">
        <v>0</v>
      </c>
      <c r="E32" s="104">
        <v>0</v>
      </c>
      <c r="F32" s="104">
        <v>1</v>
      </c>
    </row>
    <row r="33" spans="1:8" ht="15" customHeight="1" x14ac:dyDescent="0.15">
      <c r="A33">
        <v>32</v>
      </c>
      <c r="B33" s="168" t="s">
        <v>223</v>
      </c>
      <c r="C33" s="105">
        <v>1</v>
      </c>
      <c r="D33" s="105">
        <v>0</v>
      </c>
      <c r="E33" s="104">
        <v>0</v>
      </c>
      <c r="F33" s="104">
        <v>1</v>
      </c>
    </row>
    <row r="34" spans="1:8" ht="15" customHeight="1" x14ac:dyDescent="0.15">
      <c r="A34">
        <v>33</v>
      </c>
      <c r="B34" s="168" t="s">
        <v>224</v>
      </c>
      <c r="C34" s="105">
        <v>1</v>
      </c>
      <c r="D34" s="105">
        <v>0</v>
      </c>
      <c r="E34" s="104">
        <v>0</v>
      </c>
      <c r="F34" s="104">
        <v>1</v>
      </c>
    </row>
    <row r="35" spans="1:8" ht="15" customHeight="1" x14ac:dyDescent="0.15">
      <c r="A35">
        <v>34</v>
      </c>
      <c r="B35" s="168" t="s">
        <v>225</v>
      </c>
      <c r="C35" s="105">
        <v>1</v>
      </c>
      <c r="D35" s="105">
        <v>0</v>
      </c>
      <c r="E35" s="104">
        <v>0</v>
      </c>
      <c r="F35" s="104">
        <v>1</v>
      </c>
    </row>
    <row r="36" spans="1:8" ht="15" customHeight="1" x14ac:dyDescent="0.15">
      <c r="A36">
        <v>35</v>
      </c>
      <c r="B36" s="168" t="s">
        <v>226</v>
      </c>
      <c r="C36" s="105">
        <v>1</v>
      </c>
      <c r="D36" s="105">
        <v>0</v>
      </c>
      <c r="E36" s="105">
        <v>0</v>
      </c>
      <c r="F36" s="105">
        <v>1</v>
      </c>
      <c r="G36"/>
      <c r="H36"/>
    </row>
    <row r="37" spans="1:8" ht="15" customHeight="1" x14ac:dyDescent="0.15">
      <c r="A37">
        <v>36</v>
      </c>
      <c r="B37" s="168" t="s">
        <v>227</v>
      </c>
      <c r="C37" s="105">
        <v>1</v>
      </c>
      <c r="D37" s="105">
        <v>0</v>
      </c>
      <c r="E37" s="105">
        <v>0</v>
      </c>
      <c r="F37" s="105">
        <v>1</v>
      </c>
      <c r="G37"/>
      <c r="H37"/>
    </row>
    <row r="38" spans="1:8" ht="15" customHeight="1" x14ac:dyDescent="0.15">
      <c r="A38">
        <v>37</v>
      </c>
      <c r="B38" s="168" t="s">
        <v>228</v>
      </c>
      <c r="C38" s="105">
        <v>1</v>
      </c>
      <c r="D38" s="105">
        <v>0</v>
      </c>
      <c r="E38" s="105">
        <v>0</v>
      </c>
      <c r="F38" s="105">
        <v>1</v>
      </c>
      <c r="G38"/>
      <c r="H38"/>
    </row>
    <row r="39" spans="1:8" ht="15" customHeight="1" x14ac:dyDescent="0.15">
      <c r="A39">
        <v>38</v>
      </c>
      <c r="B39" s="168" t="s">
        <v>229</v>
      </c>
      <c r="C39" s="105">
        <v>1</v>
      </c>
      <c r="D39" s="105">
        <v>0</v>
      </c>
      <c r="E39" s="105">
        <v>0</v>
      </c>
      <c r="F39" s="105">
        <v>1</v>
      </c>
      <c r="G39"/>
      <c r="H39"/>
    </row>
    <row r="40" spans="1:8" ht="15" customHeight="1" x14ac:dyDescent="0.15">
      <c r="A40">
        <v>39</v>
      </c>
      <c r="B40" s="168" t="s">
        <v>230</v>
      </c>
      <c r="C40" s="105">
        <v>1</v>
      </c>
      <c r="D40" s="105">
        <v>0</v>
      </c>
      <c r="E40" s="105">
        <v>0</v>
      </c>
      <c r="F40" s="105">
        <v>1</v>
      </c>
      <c r="G40"/>
      <c r="H40"/>
    </row>
    <row r="41" spans="1:8" ht="15" customHeight="1" x14ac:dyDescent="0.15">
      <c r="A41">
        <v>40</v>
      </c>
      <c r="B41" s="168" t="s">
        <v>231</v>
      </c>
      <c r="C41" s="105">
        <v>1</v>
      </c>
      <c r="D41" s="105">
        <v>0</v>
      </c>
      <c r="E41" s="105">
        <v>0</v>
      </c>
      <c r="F41" s="105">
        <v>1</v>
      </c>
      <c r="G41"/>
      <c r="H41"/>
    </row>
    <row r="42" spans="1:8" ht="15" customHeight="1" x14ac:dyDescent="0.15">
      <c r="A42">
        <v>41</v>
      </c>
      <c r="B42" s="168" t="s">
        <v>232</v>
      </c>
      <c r="C42" s="105">
        <v>0</v>
      </c>
      <c r="D42" s="105">
        <v>1</v>
      </c>
      <c r="E42" s="105">
        <v>0</v>
      </c>
      <c r="F42" s="105">
        <v>1</v>
      </c>
      <c r="G42"/>
      <c r="H42"/>
    </row>
    <row r="43" spans="1:8" ht="15" customHeight="1" x14ac:dyDescent="0.15">
      <c r="A43">
        <v>42</v>
      </c>
      <c r="B43" s="168" t="s">
        <v>233</v>
      </c>
      <c r="C43" s="105">
        <v>0</v>
      </c>
      <c r="D43" s="105">
        <v>0</v>
      </c>
      <c r="E43" s="105">
        <v>1</v>
      </c>
      <c r="F43" s="105">
        <v>1</v>
      </c>
      <c r="G43"/>
      <c r="H43"/>
    </row>
    <row r="44" spans="1:8" ht="15" customHeight="1" x14ac:dyDescent="0.15">
      <c r="A44">
        <v>43</v>
      </c>
      <c r="B44" s="168" t="s">
        <v>234</v>
      </c>
      <c r="C44" s="105">
        <v>0</v>
      </c>
      <c r="D44" s="105">
        <v>1</v>
      </c>
      <c r="E44" s="104">
        <v>0</v>
      </c>
      <c r="F44" s="104">
        <v>1</v>
      </c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5"/>
      <c r="F46" s="105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1.33203125" bestFit="1" customWidth="1"/>
    <col min="3" max="4" width="8.83203125" bestFit="1" customWidth="1"/>
    <col min="5" max="5" width="12.1640625" bestFit="1" customWidth="1"/>
  </cols>
  <sheetData>
    <row r="1" spans="1:5" s="106" customFormat="1" ht="112" x14ac:dyDescent="0.15">
      <c r="A1" s="5" t="s">
        <v>21</v>
      </c>
      <c r="B1" s="3" t="s">
        <v>0</v>
      </c>
      <c r="C1" s="171" t="s">
        <v>234</v>
      </c>
      <c r="D1" s="171" t="s">
        <v>238</v>
      </c>
      <c r="E1"/>
    </row>
    <row r="2" spans="1:5" ht="15" customHeight="1" x14ac:dyDescent="0.15">
      <c r="A2">
        <v>1</v>
      </c>
      <c r="B2" s="170" t="s">
        <v>192</v>
      </c>
      <c r="C2">
        <v>1.26E-4</v>
      </c>
      <c r="D2">
        <v>1.26E-4</v>
      </c>
    </row>
    <row r="3" spans="1:5" ht="15" customHeight="1" x14ac:dyDescent="0.15">
      <c r="A3">
        <v>2</v>
      </c>
      <c r="B3" s="170" t="s">
        <v>193</v>
      </c>
      <c r="C3">
        <v>2.5999999999999999E-3</v>
      </c>
      <c r="D3">
        <v>2.5999999999999999E-3</v>
      </c>
    </row>
    <row r="4" spans="1:5" ht="15" customHeight="1" x14ac:dyDescent="0.15">
      <c r="A4">
        <v>3</v>
      </c>
      <c r="B4" s="170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70" t="s">
        <v>195</v>
      </c>
      <c r="C5">
        <v>2.8799999999999999E-2</v>
      </c>
      <c r="D5">
        <v>2.8799999999999999E-2</v>
      </c>
    </row>
    <row r="6" spans="1:5" ht="15" customHeight="1" x14ac:dyDescent="0.15">
      <c r="A6">
        <v>5</v>
      </c>
      <c r="B6" s="170" t="s">
        <v>196</v>
      </c>
      <c r="C6">
        <v>7.85E-2</v>
      </c>
      <c r="D6">
        <v>7.85E-2</v>
      </c>
    </row>
    <row r="7" spans="1:5" ht="15" customHeight="1" x14ac:dyDescent="0.15">
      <c r="A7">
        <v>6</v>
      </c>
      <c r="B7" s="170" t="s">
        <v>197</v>
      </c>
      <c r="C7">
        <v>3.09E-2</v>
      </c>
      <c r="D7">
        <v>3.09E-2</v>
      </c>
    </row>
    <row r="8" spans="1:5" ht="15" customHeight="1" x14ac:dyDescent="0.15">
      <c r="A8">
        <v>7</v>
      </c>
      <c r="B8" s="170" t="s">
        <v>198</v>
      </c>
      <c r="C8">
        <v>7.2000000000000002E-5</v>
      </c>
      <c r="D8">
        <v>7.2000000000000002E-5</v>
      </c>
    </row>
    <row r="9" spans="1:5" ht="15" customHeight="1" x14ac:dyDescent="0.15">
      <c r="A9">
        <v>8</v>
      </c>
      <c r="B9" s="170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70" t="s">
        <v>200</v>
      </c>
      <c r="C10">
        <v>1.6799999999999999E-2</v>
      </c>
      <c r="D10">
        <v>1.6799999999999999E-2</v>
      </c>
    </row>
    <row r="11" spans="1:5" ht="15" customHeight="1" x14ac:dyDescent="0.15">
      <c r="A11">
        <v>10</v>
      </c>
      <c r="B11" s="170" t="s">
        <v>201</v>
      </c>
      <c r="C11">
        <v>3.0099999999999998E-2</v>
      </c>
      <c r="D11">
        <v>3.0099999999999998E-2</v>
      </c>
    </row>
    <row r="12" spans="1:5" ht="15" customHeight="1" x14ac:dyDescent="0.15">
      <c r="A12">
        <v>11</v>
      </c>
      <c r="B12" s="170" t="s">
        <v>202</v>
      </c>
      <c r="C12">
        <v>3.3999999999999998E-3</v>
      </c>
      <c r="D12">
        <v>3.3999999999999998E-3</v>
      </c>
    </row>
    <row r="13" spans="1:5" ht="15" customHeight="1" x14ac:dyDescent="0.15">
      <c r="A13">
        <v>12</v>
      </c>
      <c r="B13" s="170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70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70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70" t="s">
        <v>206</v>
      </c>
      <c r="C16">
        <v>1.1599999999999999E-2</v>
      </c>
      <c r="D16">
        <v>1.1599999999999999E-2</v>
      </c>
    </row>
    <row r="17" spans="1:4" ht="15" customHeight="1" x14ac:dyDescent="0.15">
      <c r="A17">
        <v>16</v>
      </c>
      <c r="B17" s="170" t="s">
        <v>207</v>
      </c>
      <c r="C17">
        <v>2.9100000000000001E-2</v>
      </c>
      <c r="D17">
        <v>2.9100000000000001E-2</v>
      </c>
    </row>
    <row r="18" spans="1:4" ht="15" customHeight="1" x14ac:dyDescent="0.15">
      <c r="A18">
        <v>17</v>
      </c>
      <c r="B18" s="170" t="s">
        <v>208</v>
      </c>
      <c r="C18">
        <v>1.9300000000000001E-2</v>
      </c>
      <c r="D18">
        <v>1.9300000000000001E-2</v>
      </c>
    </row>
    <row r="19" spans="1:4" ht="15" customHeight="1" x14ac:dyDescent="0.15">
      <c r="A19">
        <v>18</v>
      </c>
      <c r="B19" s="170" t="s">
        <v>209</v>
      </c>
      <c r="C19">
        <v>1.8499999999999999E-2</v>
      </c>
      <c r="D19">
        <v>1.8499999999999999E-2</v>
      </c>
    </row>
    <row r="20" spans="1:4" ht="15" customHeight="1" x14ac:dyDescent="0.15">
      <c r="A20">
        <v>19</v>
      </c>
      <c r="B20" s="170" t="s">
        <v>210</v>
      </c>
      <c r="C20">
        <v>1.2200000000000001E-2</v>
      </c>
      <c r="D20">
        <v>1.2200000000000001E-2</v>
      </c>
    </row>
    <row r="21" spans="1:4" ht="15" customHeight="1" x14ac:dyDescent="0.15">
      <c r="A21">
        <v>20</v>
      </c>
      <c r="B21" s="170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70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70" t="s">
        <v>213</v>
      </c>
      <c r="C23">
        <v>0</v>
      </c>
      <c r="D23">
        <v>0</v>
      </c>
    </row>
    <row r="24" spans="1:4" ht="15" customHeight="1" x14ac:dyDescent="0.15">
      <c r="A24">
        <v>23</v>
      </c>
      <c r="B24" s="170" t="s">
        <v>214</v>
      </c>
      <c r="C24">
        <v>0</v>
      </c>
      <c r="D24">
        <v>0</v>
      </c>
    </row>
    <row r="25" spans="1:4" ht="15" customHeight="1" x14ac:dyDescent="0.15">
      <c r="A25">
        <v>24</v>
      </c>
      <c r="B25" s="170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70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70" t="s">
        <v>217</v>
      </c>
      <c r="C27">
        <v>0</v>
      </c>
      <c r="D27">
        <v>0</v>
      </c>
    </row>
    <row r="28" spans="1:4" ht="15" customHeight="1" x14ac:dyDescent="0.15">
      <c r="A28">
        <v>27</v>
      </c>
      <c r="B28" s="170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70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70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70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70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70" t="s">
        <v>223</v>
      </c>
      <c r="C33">
        <v>0</v>
      </c>
      <c r="D33">
        <v>0</v>
      </c>
    </row>
    <row r="34" spans="1:4" ht="15" customHeight="1" x14ac:dyDescent="0.15">
      <c r="A34">
        <v>33</v>
      </c>
      <c r="B34" s="170" t="s">
        <v>224</v>
      </c>
      <c r="C34">
        <v>0</v>
      </c>
      <c r="D34">
        <v>0</v>
      </c>
    </row>
    <row r="35" spans="1:4" ht="15" customHeight="1" x14ac:dyDescent="0.15">
      <c r="A35">
        <v>34</v>
      </c>
      <c r="B35" s="170" t="s">
        <v>225</v>
      </c>
      <c r="C35">
        <v>2.24E-2</v>
      </c>
      <c r="D35">
        <v>2.24E-2</v>
      </c>
    </row>
    <row r="36" spans="1:4" ht="15" customHeight="1" x14ac:dyDescent="0.15">
      <c r="A36">
        <v>35</v>
      </c>
      <c r="B36" s="170" t="s">
        <v>226</v>
      </c>
      <c r="C36">
        <v>0</v>
      </c>
      <c r="D36">
        <v>0</v>
      </c>
    </row>
    <row r="37" spans="1:4" ht="15" customHeight="1" x14ac:dyDescent="0.15">
      <c r="A37">
        <v>36</v>
      </c>
      <c r="B37" s="170" t="s">
        <v>227</v>
      </c>
      <c r="C37">
        <v>1.7000000000000001E-2</v>
      </c>
      <c r="D37">
        <v>1.7000000000000001E-2</v>
      </c>
    </row>
    <row r="38" spans="1:4" ht="15" customHeight="1" x14ac:dyDescent="0.15">
      <c r="A38">
        <v>37</v>
      </c>
      <c r="B38" s="170" t="s">
        <v>228</v>
      </c>
      <c r="C38">
        <v>0</v>
      </c>
      <c r="D38">
        <v>0</v>
      </c>
    </row>
    <row r="39" spans="1:4" ht="15" customHeight="1" x14ac:dyDescent="0.15">
      <c r="A39">
        <v>38</v>
      </c>
      <c r="B39" s="170" t="s">
        <v>229</v>
      </c>
      <c r="C39">
        <v>0</v>
      </c>
      <c r="D39">
        <v>0</v>
      </c>
    </row>
    <row r="40" spans="1:4" ht="15" customHeight="1" x14ac:dyDescent="0.15">
      <c r="A40">
        <v>39</v>
      </c>
      <c r="B40" s="170" t="s">
        <v>230</v>
      </c>
      <c r="C40">
        <v>0</v>
      </c>
      <c r="D40">
        <v>0</v>
      </c>
    </row>
    <row r="41" spans="1:4" ht="15" customHeight="1" x14ac:dyDescent="0.15">
      <c r="A41">
        <v>40</v>
      </c>
      <c r="B41" s="170" t="s">
        <v>231</v>
      </c>
      <c r="C41">
        <v>0</v>
      </c>
      <c r="D41">
        <v>0</v>
      </c>
    </row>
    <row r="42" spans="1:4" ht="15" customHeight="1" x14ac:dyDescent="0.15">
      <c r="A42">
        <v>41</v>
      </c>
      <c r="B42" s="170" t="s">
        <v>232</v>
      </c>
      <c r="C42">
        <v>0</v>
      </c>
      <c r="D42">
        <v>0</v>
      </c>
    </row>
    <row r="43" spans="1:4" ht="15" customHeight="1" x14ac:dyDescent="0.15">
      <c r="A43">
        <v>42</v>
      </c>
      <c r="B43" s="170" t="s">
        <v>233</v>
      </c>
      <c r="C43">
        <v>0</v>
      </c>
      <c r="D43">
        <v>0</v>
      </c>
    </row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4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1.33203125" bestFit="1" customWidth="1"/>
    <col min="3" max="4" width="2.33203125" bestFit="1" customWidth="1"/>
    <col min="5" max="5" width="12.1640625" bestFit="1" customWidth="1"/>
  </cols>
  <sheetData>
    <row r="1" spans="1:4" s="106" customFormat="1" ht="112" x14ac:dyDescent="0.15">
      <c r="A1" s="5" t="s">
        <v>22</v>
      </c>
      <c r="B1" s="3" t="s">
        <v>0</v>
      </c>
      <c r="C1" s="173" t="s">
        <v>234</v>
      </c>
      <c r="D1" s="173" t="s">
        <v>238</v>
      </c>
    </row>
    <row r="2" spans="1:4" x14ac:dyDescent="0.15">
      <c r="A2">
        <v>1</v>
      </c>
      <c r="B2" s="172" t="s">
        <v>192</v>
      </c>
      <c r="C2">
        <v>0</v>
      </c>
      <c r="D2">
        <v>0</v>
      </c>
    </row>
    <row r="3" spans="1:4" x14ac:dyDescent="0.15">
      <c r="A3">
        <v>2</v>
      </c>
      <c r="B3" s="172" t="s">
        <v>193</v>
      </c>
      <c r="C3">
        <v>0</v>
      </c>
      <c r="D3">
        <v>0</v>
      </c>
    </row>
    <row r="4" spans="1:4" x14ac:dyDescent="0.15">
      <c r="A4">
        <v>3</v>
      </c>
      <c r="B4" s="172" t="s">
        <v>194</v>
      </c>
      <c r="C4">
        <v>0</v>
      </c>
      <c r="D4">
        <v>0</v>
      </c>
    </row>
    <row r="5" spans="1:4" x14ac:dyDescent="0.15">
      <c r="A5">
        <v>4</v>
      </c>
      <c r="B5" s="172" t="s">
        <v>195</v>
      </c>
      <c r="C5">
        <v>0</v>
      </c>
      <c r="D5">
        <v>0</v>
      </c>
    </row>
    <row r="6" spans="1:4" x14ac:dyDescent="0.15">
      <c r="A6">
        <v>5</v>
      </c>
      <c r="B6" s="172" t="s">
        <v>196</v>
      </c>
      <c r="C6">
        <v>0</v>
      </c>
      <c r="D6">
        <v>0</v>
      </c>
    </row>
    <row r="7" spans="1:4" x14ac:dyDescent="0.15">
      <c r="A7">
        <v>6</v>
      </c>
      <c r="B7" s="172" t="s">
        <v>197</v>
      </c>
      <c r="C7">
        <v>0</v>
      </c>
      <c r="D7">
        <v>0</v>
      </c>
    </row>
    <row r="8" spans="1:4" x14ac:dyDescent="0.15">
      <c r="A8">
        <v>7</v>
      </c>
      <c r="B8" s="172" t="s">
        <v>198</v>
      </c>
      <c r="C8">
        <v>0</v>
      </c>
      <c r="D8">
        <v>0</v>
      </c>
    </row>
    <row r="9" spans="1:4" x14ac:dyDescent="0.15">
      <c r="A9">
        <v>8</v>
      </c>
      <c r="B9" s="172" t="s">
        <v>199</v>
      </c>
      <c r="C9">
        <v>0</v>
      </c>
      <c r="D9">
        <v>0</v>
      </c>
    </row>
    <row r="10" spans="1:4" x14ac:dyDescent="0.15">
      <c r="A10">
        <v>9</v>
      </c>
      <c r="B10" s="172" t="s">
        <v>200</v>
      </c>
      <c r="C10">
        <v>0</v>
      </c>
      <c r="D10">
        <v>0</v>
      </c>
    </row>
    <row r="11" spans="1:4" x14ac:dyDescent="0.15">
      <c r="A11">
        <v>10</v>
      </c>
      <c r="B11" s="172" t="s">
        <v>201</v>
      </c>
      <c r="C11">
        <v>0</v>
      </c>
      <c r="D11">
        <v>0</v>
      </c>
    </row>
    <row r="12" spans="1:4" x14ac:dyDescent="0.15">
      <c r="A12">
        <v>11</v>
      </c>
      <c r="B12" s="172" t="s">
        <v>202</v>
      </c>
      <c r="C12">
        <v>0</v>
      </c>
      <c r="D12">
        <v>0</v>
      </c>
    </row>
    <row r="13" spans="1:4" x14ac:dyDescent="0.15">
      <c r="A13">
        <v>12</v>
      </c>
      <c r="B13" s="172" t="s">
        <v>203</v>
      </c>
      <c r="C13">
        <v>0</v>
      </c>
      <c r="D13">
        <v>0</v>
      </c>
    </row>
    <row r="14" spans="1:4" x14ac:dyDescent="0.15">
      <c r="A14">
        <v>13</v>
      </c>
      <c r="B14" s="172" t="s">
        <v>204</v>
      </c>
      <c r="C14">
        <v>0</v>
      </c>
      <c r="D14">
        <v>0</v>
      </c>
    </row>
    <row r="15" spans="1:4" x14ac:dyDescent="0.15">
      <c r="A15">
        <v>14</v>
      </c>
      <c r="B15" s="172" t="s">
        <v>205</v>
      </c>
      <c r="C15">
        <v>0</v>
      </c>
      <c r="D15">
        <v>0</v>
      </c>
    </row>
    <row r="16" spans="1:4" x14ac:dyDescent="0.15">
      <c r="A16">
        <v>15</v>
      </c>
      <c r="B16" s="172" t="s">
        <v>206</v>
      </c>
      <c r="C16">
        <v>0</v>
      </c>
      <c r="D16">
        <v>0</v>
      </c>
    </row>
    <row r="17" spans="1:4" x14ac:dyDescent="0.15">
      <c r="A17">
        <v>16</v>
      </c>
      <c r="B17" s="172" t="s">
        <v>207</v>
      </c>
      <c r="C17">
        <v>0</v>
      </c>
      <c r="D17">
        <v>0</v>
      </c>
    </row>
    <row r="18" spans="1:4" x14ac:dyDescent="0.15">
      <c r="A18">
        <v>17</v>
      </c>
      <c r="B18" s="172" t="s">
        <v>208</v>
      </c>
      <c r="C18">
        <v>0</v>
      </c>
      <c r="D18">
        <v>0</v>
      </c>
    </row>
    <row r="19" spans="1:4" x14ac:dyDescent="0.15">
      <c r="A19">
        <v>18</v>
      </c>
      <c r="B19" s="172" t="s">
        <v>209</v>
      </c>
      <c r="C19">
        <v>0</v>
      </c>
      <c r="D19">
        <v>0</v>
      </c>
    </row>
    <row r="20" spans="1:4" x14ac:dyDescent="0.15">
      <c r="A20">
        <v>19</v>
      </c>
      <c r="B20" s="172" t="s">
        <v>210</v>
      </c>
      <c r="C20">
        <v>0</v>
      </c>
      <c r="D20">
        <v>0</v>
      </c>
    </row>
    <row r="21" spans="1:4" x14ac:dyDescent="0.15">
      <c r="A21">
        <v>20</v>
      </c>
      <c r="B21" s="172" t="s">
        <v>211</v>
      </c>
      <c r="C21">
        <v>0</v>
      </c>
      <c r="D21">
        <v>0</v>
      </c>
    </row>
    <row r="22" spans="1:4" x14ac:dyDescent="0.15">
      <c r="A22">
        <v>21</v>
      </c>
      <c r="B22" s="172" t="s">
        <v>212</v>
      </c>
      <c r="C22">
        <v>0</v>
      </c>
      <c r="D22">
        <v>0</v>
      </c>
    </row>
    <row r="23" spans="1:4" x14ac:dyDescent="0.15">
      <c r="A23">
        <v>22</v>
      </c>
      <c r="B23" s="172" t="s">
        <v>213</v>
      </c>
      <c r="C23">
        <v>0</v>
      </c>
      <c r="D23">
        <v>0</v>
      </c>
    </row>
    <row r="24" spans="1:4" x14ac:dyDescent="0.15">
      <c r="A24">
        <v>23</v>
      </c>
      <c r="B24" s="172" t="s">
        <v>214</v>
      </c>
      <c r="C24">
        <v>0</v>
      </c>
      <c r="D24">
        <v>0</v>
      </c>
    </row>
    <row r="25" spans="1:4" x14ac:dyDescent="0.15">
      <c r="A25">
        <v>24</v>
      </c>
      <c r="B25" s="172" t="s">
        <v>215</v>
      </c>
      <c r="C25">
        <v>0</v>
      </c>
      <c r="D25">
        <v>0</v>
      </c>
    </row>
    <row r="26" spans="1:4" x14ac:dyDescent="0.15">
      <c r="A26">
        <v>25</v>
      </c>
      <c r="B26" s="172" t="s">
        <v>216</v>
      </c>
      <c r="C26">
        <v>0</v>
      </c>
      <c r="D26">
        <v>0</v>
      </c>
    </row>
    <row r="27" spans="1:4" x14ac:dyDescent="0.15">
      <c r="A27">
        <v>26</v>
      </c>
      <c r="B27" s="172" t="s">
        <v>217</v>
      </c>
      <c r="C27">
        <v>0</v>
      </c>
      <c r="D27">
        <v>0</v>
      </c>
    </row>
    <row r="28" spans="1:4" x14ac:dyDescent="0.15">
      <c r="A28">
        <v>27</v>
      </c>
      <c r="B28" s="172" t="s">
        <v>218</v>
      </c>
      <c r="C28">
        <v>0</v>
      </c>
      <c r="D28">
        <v>0</v>
      </c>
    </row>
    <row r="29" spans="1:4" x14ac:dyDescent="0.15">
      <c r="A29">
        <v>28</v>
      </c>
      <c r="B29" s="172" t="s">
        <v>219</v>
      </c>
      <c r="C29">
        <v>0</v>
      </c>
      <c r="D29">
        <v>0</v>
      </c>
    </row>
    <row r="30" spans="1:4" x14ac:dyDescent="0.15">
      <c r="A30">
        <v>29</v>
      </c>
      <c r="B30" s="172" t="s">
        <v>220</v>
      </c>
      <c r="C30">
        <v>0</v>
      </c>
      <c r="D30">
        <v>0</v>
      </c>
    </row>
    <row r="31" spans="1:4" x14ac:dyDescent="0.15">
      <c r="A31">
        <v>30</v>
      </c>
      <c r="B31" s="172" t="s">
        <v>221</v>
      </c>
      <c r="C31">
        <v>0</v>
      </c>
      <c r="D31">
        <v>0</v>
      </c>
    </row>
    <row r="32" spans="1:4" x14ac:dyDescent="0.15">
      <c r="A32">
        <v>31</v>
      </c>
      <c r="B32" s="172" t="s">
        <v>222</v>
      </c>
      <c r="C32">
        <v>0</v>
      </c>
      <c r="D32">
        <v>0</v>
      </c>
    </row>
    <row r="33" spans="1:4" x14ac:dyDescent="0.15">
      <c r="A33">
        <v>32</v>
      </c>
      <c r="B33" s="172" t="s">
        <v>223</v>
      </c>
      <c r="C33">
        <v>0</v>
      </c>
      <c r="D33">
        <v>0</v>
      </c>
    </row>
    <row r="34" spans="1:4" x14ac:dyDescent="0.15">
      <c r="A34">
        <v>33</v>
      </c>
      <c r="B34" s="172" t="s">
        <v>224</v>
      </c>
      <c r="C34">
        <v>0</v>
      </c>
      <c r="D34">
        <v>0</v>
      </c>
    </row>
    <row r="35" spans="1:4" x14ac:dyDescent="0.15">
      <c r="A35">
        <v>34</v>
      </c>
      <c r="B35" s="172" t="s">
        <v>225</v>
      </c>
      <c r="C35">
        <v>0</v>
      </c>
      <c r="D35">
        <v>0</v>
      </c>
    </row>
    <row r="36" spans="1:4" x14ac:dyDescent="0.15">
      <c r="A36">
        <v>35</v>
      </c>
      <c r="B36" s="172" t="s">
        <v>226</v>
      </c>
      <c r="C36">
        <v>0</v>
      </c>
      <c r="D36">
        <v>0</v>
      </c>
    </row>
    <row r="37" spans="1:4" x14ac:dyDescent="0.15">
      <c r="A37">
        <v>36</v>
      </c>
      <c r="B37" s="172" t="s">
        <v>227</v>
      </c>
      <c r="C37">
        <v>0</v>
      </c>
      <c r="D37">
        <v>0</v>
      </c>
    </row>
    <row r="38" spans="1:4" x14ac:dyDescent="0.15">
      <c r="A38">
        <v>37</v>
      </c>
      <c r="B38" s="172" t="s">
        <v>228</v>
      </c>
      <c r="C38">
        <v>0</v>
      </c>
      <c r="D38">
        <v>0</v>
      </c>
    </row>
    <row r="39" spans="1:4" x14ac:dyDescent="0.15">
      <c r="A39">
        <v>38</v>
      </c>
      <c r="B39" s="172" t="s">
        <v>229</v>
      </c>
      <c r="C39">
        <v>0</v>
      </c>
      <c r="D39">
        <v>0</v>
      </c>
    </row>
    <row r="40" spans="1:4" x14ac:dyDescent="0.15">
      <c r="A40">
        <v>39</v>
      </c>
      <c r="B40" s="172" t="s">
        <v>230</v>
      </c>
      <c r="C40">
        <v>0</v>
      </c>
      <c r="D40">
        <v>0</v>
      </c>
    </row>
    <row r="41" spans="1:4" x14ac:dyDescent="0.15">
      <c r="A41">
        <v>40</v>
      </c>
      <c r="B41" s="172" t="s">
        <v>231</v>
      </c>
      <c r="C41">
        <v>0</v>
      </c>
      <c r="D41">
        <v>0</v>
      </c>
    </row>
    <row r="42" spans="1:4" x14ac:dyDescent="0.15">
      <c r="A42">
        <v>41</v>
      </c>
      <c r="B42" s="172" t="s">
        <v>232</v>
      </c>
      <c r="C42">
        <v>0</v>
      </c>
      <c r="D42">
        <v>0</v>
      </c>
    </row>
    <row r="43" spans="1:4" x14ac:dyDescent="0.15">
      <c r="A43">
        <v>42</v>
      </c>
      <c r="B43" s="172" t="s">
        <v>233</v>
      </c>
      <c r="C43">
        <v>0</v>
      </c>
      <c r="D4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1.33203125" bestFit="1" customWidth="1"/>
    <col min="6" max="6" width="4.83203125" bestFit="1" customWidth="1"/>
    <col min="7" max="9" width="3.83203125" bestFit="1" customWidth="1"/>
    <col min="10" max="11" width="4.83203125" style="10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7" customFormat="1" ht="14" thickBot="1" x14ac:dyDescent="0.2">
      <c r="D1" s="108" t="s">
        <v>8</v>
      </c>
      <c r="E1" s="108" t="s">
        <v>0</v>
      </c>
      <c r="F1" s="109" t="s">
        <v>99</v>
      </c>
      <c r="G1" s="110" t="s">
        <v>84</v>
      </c>
      <c r="H1" s="110" t="s">
        <v>85</v>
      </c>
      <c r="I1" s="110" t="s">
        <v>86</v>
      </c>
      <c r="J1" s="110" t="s">
        <v>87</v>
      </c>
      <c r="K1" s="110" t="s">
        <v>88</v>
      </c>
      <c r="L1" s="111" t="s">
        <v>89</v>
      </c>
      <c r="M1" s="111" t="s">
        <v>93</v>
      </c>
      <c r="N1" s="111" t="s">
        <v>92</v>
      </c>
      <c r="O1" s="111" t="s">
        <v>90</v>
      </c>
      <c r="P1" s="111" t="s">
        <v>91</v>
      </c>
      <c r="Q1" s="112" t="s">
        <v>94</v>
      </c>
      <c r="R1" s="112" t="s">
        <v>95</v>
      </c>
      <c r="S1" s="112" t="s">
        <v>96</v>
      </c>
      <c r="T1" s="112" t="s">
        <v>97</v>
      </c>
      <c r="U1" s="112" t="s">
        <v>98</v>
      </c>
      <c r="V1" s="110" t="s">
        <v>100</v>
      </c>
      <c r="W1" s="110" t="s">
        <v>101</v>
      </c>
      <c r="X1" s="110" t="s">
        <v>102</v>
      </c>
      <c r="Y1" s="110" t="s">
        <v>134</v>
      </c>
      <c r="Z1" s="111" t="s">
        <v>103</v>
      </c>
      <c r="AA1" s="111" t="s">
        <v>104</v>
      </c>
      <c r="AB1" s="111" t="s">
        <v>105</v>
      </c>
      <c r="AC1" s="113" t="s">
        <v>135</v>
      </c>
      <c r="AD1" s="112" t="s">
        <v>106</v>
      </c>
      <c r="AE1" s="112" t="s">
        <v>107</v>
      </c>
      <c r="AF1" s="112" t="s">
        <v>108</v>
      </c>
      <c r="AG1" s="112" t="s">
        <v>136</v>
      </c>
      <c r="AH1" s="110" t="s">
        <v>109</v>
      </c>
      <c r="AI1" s="110" t="s">
        <v>111</v>
      </c>
      <c r="AJ1" s="110" t="s">
        <v>110</v>
      </c>
      <c r="AK1" s="111" t="s">
        <v>115</v>
      </c>
      <c r="AL1" s="111" t="s">
        <v>116</v>
      </c>
      <c r="AM1" s="111" t="s">
        <v>117</v>
      </c>
      <c r="AN1" s="112" t="s">
        <v>112</v>
      </c>
      <c r="AO1" s="112" t="s">
        <v>113</v>
      </c>
      <c r="AP1" s="112" t="s">
        <v>114</v>
      </c>
    </row>
    <row r="2" spans="1:42" x14ac:dyDescent="0.15">
      <c r="A2" s="114" t="s">
        <v>74</v>
      </c>
      <c r="B2" s="115">
        <v>1</v>
      </c>
      <c r="D2">
        <v>1</v>
      </c>
      <c r="E2" s="174" t="s">
        <v>192</v>
      </c>
      <c r="F2">
        <v>0.98</v>
      </c>
      <c r="G2">
        <v>0.8</v>
      </c>
      <c r="H2">
        <v>0.8</v>
      </c>
      <c r="I2">
        <v>0.8</v>
      </c>
      <c r="J2" s="105">
        <v>0.25</v>
      </c>
      <c r="K2" s="105">
        <v>0.05</v>
      </c>
    </row>
    <row r="3" spans="1:42" x14ac:dyDescent="0.15">
      <c r="A3" s="114" t="s">
        <v>75</v>
      </c>
      <c r="B3" s="116">
        <v>1</v>
      </c>
      <c r="D3">
        <v>2</v>
      </c>
      <c r="E3" s="174" t="s">
        <v>193</v>
      </c>
      <c r="F3">
        <v>0.98</v>
      </c>
      <c r="G3">
        <v>0.8</v>
      </c>
      <c r="H3">
        <v>0.8</v>
      </c>
      <c r="I3">
        <v>0.8</v>
      </c>
      <c r="J3" s="105">
        <v>0.25</v>
      </c>
      <c r="K3" s="105">
        <v>0.05</v>
      </c>
    </row>
    <row r="4" spans="1:42" x14ac:dyDescent="0.15">
      <c r="A4" s="114" t="s">
        <v>76</v>
      </c>
      <c r="B4" s="116">
        <v>1</v>
      </c>
      <c r="D4">
        <v>3</v>
      </c>
      <c r="E4" s="174" t="s">
        <v>194</v>
      </c>
      <c r="F4">
        <v>0.98</v>
      </c>
      <c r="G4">
        <v>0.8</v>
      </c>
      <c r="H4">
        <v>0.8</v>
      </c>
      <c r="I4">
        <v>0.8</v>
      </c>
      <c r="J4" s="105">
        <v>0.25</v>
      </c>
      <c r="K4" s="105">
        <v>0.05</v>
      </c>
    </row>
    <row r="5" spans="1:42" x14ac:dyDescent="0.15">
      <c r="A5" s="114" t="s">
        <v>77</v>
      </c>
      <c r="B5" s="116">
        <v>1</v>
      </c>
      <c r="D5">
        <v>4</v>
      </c>
      <c r="E5" s="174" t="s">
        <v>195</v>
      </c>
      <c r="F5">
        <v>0.98</v>
      </c>
      <c r="G5">
        <v>0.8</v>
      </c>
      <c r="H5">
        <v>0.8</v>
      </c>
      <c r="I5">
        <v>0.8</v>
      </c>
      <c r="J5" s="105">
        <v>0.25</v>
      </c>
      <c r="K5" s="105">
        <v>0.05</v>
      </c>
    </row>
    <row r="6" spans="1:42" x14ac:dyDescent="0.15">
      <c r="A6" s="114" t="s">
        <v>78</v>
      </c>
      <c r="B6" s="116">
        <v>1</v>
      </c>
      <c r="D6">
        <v>5</v>
      </c>
      <c r="E6" s="174" t="s">
        <v>196</v>
      </c>
      <c r="F6">
        <v>0.98</v>
      </c>
      <c r="G6">
        <v>0.8</v>
      </c>
      <c r="H6">
        <v>0.8</v>
      </c>
      <c r="I6">
        <v>0.8</v>
      </c>
      <c r="J6" s="105">
        <v>0.25</v>
      </c>
      <c r="K6" s="105">
        <v>0.05</v>
      </c>
    </row>
    <row r="7" spans="1:42" x14ac:dyDescent="0.15">
      <c r="A7" s="114" t="s">
        <v>79</v>
      </c>
      <c r="B7" s="116">
        <v>1</v>
      </c>
      <c r="D7">
        <v>6</v>
      </c>
      <c r="E7" s="174" t="s">
        <v>197</v>
      </c>
      <c r="F7">
        <v>0.98</v>
      </c>
      <c r="G7">
        <v>0.8</v>
      </c>
      <c r="H7">
        <v>0.8</v>
      </c>
      <c r="I7">
        <v>0.8</v>
      </c>
      <c r="J7" s="105">
        <v>0.25</v>
      </c>
      <c r="K7" s="105">
        <v>0.05</v>
      </c>
    </row>
    <row r="8" spans="1:42" x14ac:dyDescent="0.15">
      <c r="A8" s="114" t="s">
        <v>80</v>
      </c>
      <c r="B8" s="116">
        <v>1</v>
      </c>
      <c r="D8">
        <v>7</v>
      </c>
      <c r="E8" s="174" t="s">
        <v>198</v>
      </c>
      <c r="F8">
        <v>0.98</v>
      </c>
      <c r="G8">
        <v>0.8</v>
      </c>
      <c r="H8">
        <v>0.8</v>
      </c>
      <c r="I8">
        <v>0.8</v>
      </c>
      <c r="J8" s="105">
        <v>0.25</v>
      </c>
      <c r="K8" s="105">
        <v>0.05</v>
      </c>
    </row>
    <row r="9" spans="1:42" x14ac:dyDescent="0.15">
      <c r="A9" s="114" t="s">
        <v>81</v>
      </c>
      <c r="B9" s="116">
        <v>0.1</v>
      </c>
      <c r="C9" s="59" t="s">
        <v>150</v>
      </c>
      <c r="D9">
        <v>8</v>
      </c>
      <c r="E9" s="174" t="s">
        <v>199</v>
      </c>
      <c r="F9">
        <v>0.98</v>
      </c>
      <c r="G9">
        <v>0.8</v>
      </c>
      <c r="H9">
        <v>0.8</v>
      </c>
      <c r="I9">
        <v>0.8</v>
      </c>
      <c r="J9" s="105">
        <v>0.25</v>
      </c>
      <c r="K9" s="105">
        <v>0.05</v>
      </c>
    </row>
    <row r="10" spans="1:42" ht="14" thickBot="1" x14ac:dyDescent="0.2">
      <c r="A10" s="114" t="s">
        <v>149</v>
      </c>
      <c r="B10" s="117">
        <f>1/3</f>
        <v>0.33333333333333331</v>
      </c>
      <c r="C10" s="59" t="s">
        <v>150</v>
      </c>
      <c r="D10">
        <v>9</v>
      </c>
      <c r="E10" s="174" t="s">
        <v>200</v>
      </c>
      <c r="F10">
        <v>0.98</v>
      </c>
      <c r="G10">
        <v>0.8</v>
      </c>
      <c r="H10">
        <v>0.8</v>
      </c>
      <c r="I10">
        <v>0.8</v>
      </c>
      <c r="J10" s="105">
        <v>0.25</v>
      </c>
      <c r="K10" s="105">
        <v>0.05</v>
      </c>
    </row>
    <row r="11" spans="1:42" x14ac:dyDescent="0.15">
      <c r="D11">
        <v>10</v>
      </c>
      <c r="E11" s="174" t="s">
        <v>201</v>
      </c>
      <c r="F11">
        <v>0.98</v>
      </c>
      <c r="G11">
        <v>0.8</v>
      </c>
      <c r="H11">
        <v>0.8</v>
      </c>
      <c r="I11">
        <v>0.8</v>
      </c>
      <c r="J11" s="105">
        <v>0.25</v>
      </c>
      <c r="K11" s="105">
        <v>0.05</v>
      </c>
    </row>
    <row r="12" spans="1:42" x14ac:dyDescent="0.15">
      <c r="D12">
        <v>11</v>
      </c>
      <c r="E12" s="174" t="s">
        <v>202</v>
      </c>
      <c r="F12">
        <v>0.98</v>
      </c>
      <c r="G12">
        <v>0.8</v>
      </c>
      <c r="H12">
        <v>0.8</v>
      </c>
      <c r="I12">
        <v>0.8</v>
      </c>
      <c r="J12" s="105">
        <v>0.25</v>
      </c>
      <c r="K12" s="105">
        <v>0.05</v>
      </c>
    </row>
    <row r="13" spans="1:42" x14ac:dyDescent="0.15">
      <c r="D13">
        <v>12</v>
      </c>
      <c r="E13" s="174" t="s">
        <v>203</v>
      </c>
      <c r="F13">
        <v>0.98</v>
      </c>
      <c r="G13">
        <v>0.8</v>
      </c>
      <c r="H13">
        <v>0.8</v>
      </c>
      <c r="I13">
        <v>0.8</v>
      </c>
      <c r="J13" s="105">
        <v>0.25</v>
      </c>
      <c r="K13" s="105">
        <v>0.05</v>
      </c>
    </row>
    <row r="14" spans="1:42" x14ac:dyDescent="0.15">
      <c r="D14">
        <v>13</v>
      </c>
      <c r="E14" s="174" t="s">
        <v>204</v>
      </c>
      <c r="F14">
        <v>0.98</v>
      </c>
      <c r="G14">
        <v>0.8</v>
      </c>
      <c r="H14">
        <v>0.8</v>
      </c>
      <c r="I14">
        <v>0.8</v>
      </c>
      <c r="J14" s="105">
        <v>0.25</v>
      </c>
      <c r="K14" s="105">
        <v>0.05</v>
      </c>
    </row>
    <row r="15" spans="1:42" x14ac:dyDescent="0.15">
      <c r="D15">
        <v>14</v>
      </c>
      <c r="E15" s="174" t="s">
        <v>205</v>
      </c>
      <c r="F15">
        <v>0.98</v>
      </c>
      <c r="G15">
        <v>0.8</v>
      </c>
      <c r="H15">
        <v>0.8</v>
      </c>
      <c r="I15">
        <v>0.8</v>
      </c>
      <c r="J15" s="105">
        <v>0.25</v>
      </c>
      <c r="K15" s="105">
        <v>0.05</v>
      </c>
    </row>
    <row r="16" spans="1:42" x14ac:dyDescent="0.15">
      <c r="D16">
        <v>15</v>
      </c>
      <c r="E16" s="174" t="s">
        <v>206</v>
      </c>
      <c r="F16">
        <v>0.98</v>
      </c>
      <c r="G16">
        <v>0.8</v>
      </c>
      <c r="H16">
        <v>0.8</v>
      </c>
      <c r="I16">
        <v>0.8</v>
      </c>
      <c r="J16" s="105">
        <v>0.25</v>
      </c>
      <c r="K16" s="105">
        <v>0.05</v>
      </c>
    </row>
    <row r="17" spans="4:33" ht="15" customHeight="1" x14ac:dyDescent="0.15">
      <c r="D17">
        <v>16</v>
      </c>
      <c r="E17" s="174" t="s">
        <v>207</v>
      </c>
      <c r="F17">
        <v>0.98</v>
      </c>
      <c r="G17">
        <v>0.8</v>
      </c>
      <c r="H17">
        <v>0.8</v>
      </c>
      <c r="I17">
        <v>0.8</v>
      </c>
      <c r="J17" s="105">
        <v>0.25</v>
      </c>
      <c r="K17" s="105">
        <v>0.05</v>
      </c>
    </row>
    <row r="18" spans="4:33" ht="15" customHeight="1" x14ac:dyDescent="0.15">
      <c r="D18">
        <v>17</v>
      </c>
      <c r="E18" s="174" t="s">
        <v>208</v>
      </c>
      <c r="F18">
        <v>0.98</v>
      </c>
      <c r="G18">
        <v>0.8</v>
      </c>
      <c r="H18">
        <v>0.8</v>
      </c>
      <c r="I18">
        <v>0.8</v>
      </c>
      <c r="J18" s="105">
        <v>0.25</v>
      </c>
      <c r="K18" s="105">
        <v>0.05</v>
      </c>
    </row>
    <row r="19" spans="4:33" ht="15" customHeight="1" x14ac:dyDescent="0.15">
      <c r="D19">
        <v>18</v>
      </c>
      <c r="E19" s="174" t="s">
        <v>209</v>
      </c>
      <c r="F19">
        <v>0.98</v>
      </c>
      <c r="G19">
        <v>0.8</v>
      </c>
      <c r="H19">
        <v>0.8</v>
      </c>
      <c r="I19">
        <v>0.8</v>
      </c>
      <c r="J19" s="105">
        <v>0.25</v>
      </c>
      <c r="K19" s="105">
        <v>0.05</v>
      </c>
    </row>
    <row r="20" spans="4:33" ht="15" customHeight="1" x14ac:dyDescent="0.15">
      <c r="D20">
        <v>19</v>
      </c>
      <c r="E20" s="174" t="s">
        <v>210</v>
      </c>
      <c r="F20">
        <v>0.98</v>
      </c>
      <c r="G20">
        <v>0.8</v>
      </c>
      <c r="H20">
        <v>0.8</v>
      </c>
      <c r="I20">
        <v>0.8</v>
      </c>
      <c r="J20" s="105">
        <v>0.25</v>
      </c>
      <c r="K20" s="105">
        <v>0.05</v>
      </c>
    </row>
    <row r="21" spans="4:33" ht="15" customHeight="1" x14ac:dyDescent="0.15">
      <c r="D21">
        <v>20</v>
      </c>
      <c r="E21" s="174" t="s">
        <v>211</v>
      </c>
      <c r="F21">
        <v>0.98</v>
      </c>
      <c r="G21">
        <v>0.8</v>
      </c>
      <c r="H21">
        <v>0.8</v>
      </c>
      <c r="I21">
        <v>0.8</v>
      </c>
      <c r="J21" s="105">
        <v>0.25</v>
      </c>
      <c r="K21" s="105">
        <v>0.05</v>
      </c>
    </row>
    <row r="22" spans="4:33" ht="15" customHeight="1" x14ac:dyDescent="0.15">
      <c r="D22">
        <v>21</v>
      </c>
      <c r="E22" s="174" t="s">
        <v>212</v>
      </c>
      <c r="F22">
        <v>0.98</v>
      </c>
      <c r="G22">
        <v>0.8</v>
      </c>
      <c r="H22">
        <v>0.8</v>
      </c>
      <c r="I22">
        <v>0.8</v>
      </c>
      <c r="J22" s="105">
        <v>0.25</v>
      </c>
      <c r="K22" s="105">
        <v>0.05</v>
      </c>
    </row>
    <row r="23" spans="4:33" ht="15" customHeight="1" x14ac:dyDescent="0.15">
      <c r="D23">
        <v>22</v>
      </c>
      <c r="E23" s="174" t="s">
        <v>213</v>
      </c>
      <c r="F23">
        <v>0.98</v>
      </c>
      <c r="G23">
        <v>0.8</v>
      </c>
      <c r="H23">
        <v>0.8</v>
      </c>
      <c r="I23">
        <v>0.8</v>
      </c>
      <c r="J23" s="105">
        <v>0.25</v>
      </c>
      <c r="K23" s="105">
        <v>0.05</v>
      </c>
    </row>
    <row r="24" spans="4:33" ht="15" customHeight="1" x14ac:dyDescent="0.15">
      <c r="D24">
        <v>23</v>
      </c>
      <c r="E24" s="174" t="s">
        <v>214</v>
      </c>
      <c r="F24">
        <v>0.98</v>
      </c>
      <c r="G24">
        <v>0.8</v>
      </c>
      <c r="H24">
        <v>0.8</v>
      </c>
      <c r="I24">
        <v>0.8</v>
      </c>
      <c r="J24" s="105">
        <v>0.25</v>
      </c>
      <c r="K24" s="105">
        <v>0.05</v>
      </c>
    </row>
    <row r="25" spans="4:33" ht="15" customHeight="1" x14ac:dyDescent="0.15">
      <c r="D25">
        <v>24</v>
      </c>
      <c r="E25" s="174" t="s">
        <v>215</v>
      </c>
      <c r="F25">
        <v>0.98</v>
      </c>
      <c r="G25">
        <v>0.8</v>
      </c>
      <c r="H25">
        <v>0.8</v>
      </c>
      <c r="I25">
        <v>0.8</v>
      </c>
      <c r="J25" s="105">
        <v>0.25</v>
      </c>
      <c r="K25" s="105">
        <v>0.05</v>
      </c>
    </row>
    <row r="26" spans="4:33" ht="15" customHeight="1" x14ac:dyDescent="0.15">
      <c r="D26">
        <v>25</v>
      </c>
      <c r="E26" s="174" t="s">
        <v>216</v>
      </c>
      <c r="F26">
        <v>0.98</v>
      </c>
      <c r="G26">
        <v>0.8</v>
      </c>
      <c r="H26">
        <v>0.8</v>
      </c>
      <c r="I26">
        <v>0.8</v>
      </c>
      <c r="J26" s="105">
        <v>0.25</v>
      </c>
      <c r="K26" s="105">
        <v>0.05</v>
      </c>
    </row>
    <row r="27" spans="4:33" ht="15" customHeight="1" x14ac:dyDescent="0.15">
      <c r="D27">
        <v>26</v>
      </c>
      <c r="E27" s="174" t="s">
        <v>217</v>
      </c>
      <c r="F27">
        <v>0.98</v>
      </c>
      <c r="G27">
        <v>0.8</v>
      </c>
      <c r="H27">
        <v>0.8</v>
      </c>
      <c r="I27">
        <v>0.8</v>
      </c>
      <c r="J27" s="105">
        <v>0.25</v>
      </c>
      <c r="K27" s="105">
        <v>0.05</v>
      </c>
    </row>
    <row r="28" spans="4:33" ht="15" customHeight="1" x14ac:dyDescent="0.15">
      <c r="D28">
        <v>27</v>
      </c>
      <c r="E28" s="174" t="s">
        <v>218</v>
      </c>
      <c r="F28">
        <v>0.98</v>
      </c>
      <c r="G28">
        <v>0.8</v>
      </c>
      <c r="H28">
        <v>0.8</v>
      </c>
      <c r="I28">
        <v>0.8</v>
      </c>
      <c r="J28" s="105">
        <v>0.25</v>
      </c>
      <c r="K28" s="105">
        <v>0.05</v>
      </c>
    </row>
    <row r="29" spans="4:33" ht="15" customHeight="1" x14ac:dyDescent="0.15">
      <c r="D29">
        <v>28</v>
      </c>
      <c r="E29" s="174" t="s">
        <v>219</v>
      </c>
      <c r="F29">
        <v>0.98</v>
      </c>
      <c r="G29">
        <v>0.8</v>
      </c>
      <c r="H29">
        <v>0.8</v>
      </c>
      <c r="I29">
        <v>0.8</v>
      </c>
      <c r="J29" s="105">
        <v>0.25</v>
      </c>
      <c r="K29" s="105">
        <v>0.05</v>
      </c>
      <c r="Y29"/>
      <c r="AC29"/>
      <c r="AG29"/>
    </row>
    <row r="30" spans="4:33" ht="15" customHeight="1" x14ac:dyDescent="0.15">
      <c r="D30">
        <v>29</v>
      </c>
      <c r="E30" s="174" t="s">
        <v>220</v>
      </c>
      <c r="F30">
        <v>0.98</v>
      </c>
      <c r="G30">
        <v>0.8</v>
      </c>
      <c r="H30">
        <v>0.8</v>
      </c>
      <c r="I30">
        <v>0.8</v>
      </c>
      <c r="J30" s="105">
        <v>0.25</v>
      </c>
      <c r="K30" s="105">
        <v>0.05</v>
      </c>
      <c r="Y30"/>
      <c r="AC30"/>
      <c r="AG30"/>
    </row>
    <row r="31" spans="4:33" ht="15" customHeight="1" x14ac:dyDescent="0.15">
      <c r="D31">
        <v>30</v>
      </c>
      <c r="E31" s="174" t="s">
        <v>221</v>
      </c>
      <c r="F31">
        <v>0.98</v>
      </c>
      <c r="G31">
        <v>0.8</v>
      </c>
      <c r="H31">
        <v>0.8</v>
      </c>
      <c r="I31">
        <v>0.8</v>
      </c>
      <c r="J31" s="105">
        <v>0.25</v>
      </c>
      <c r="K31" s="105">
        <v>0.05</v>
      </c>
      <c r="Y31"/>
      <c r="AC31"/>
      <c r="AG31"/>
    </row>
    <row r="32" spans="4:33" ht="15" customHeight="1" x14ac:dyDescent="0.15">
      <c r="D32">
        <v>31</v>
      </c>
      <c r="E32" s="174" t="s">
        <v>222</v>
      </c>
      <c r="F32">
        <v>0.98</v>
      </c>
      <c r="G32">
        <v>0.8</v>
      </c>
      <c r="H32">
        <v>0.8</v>
      </c>
      <c r="I32">
        <v>0.8</v>
      </c>
      <c r="J32" s="105">
        <v>0.25</v>
      </c>
      <c r="K32" s="105">
        <v>0.05</v>
      </c>
      <c r="Y32"/>
      <c r="AC32"/>
      <c r="AG32"/>
    </row>
    <row r="33" spans="4:33" ht="15" customHeight="1" x14ac:dyDescent="0.15">
      <c r="D33">
        <v>32</v>
      </c>
      <c r="E33" s="174" t="s">
        <v>223</v>
      </c>
      <c r="F33">
        <v>0.98</v>
      </c>
      <c r="G33">
        <v>0.8</v>
      </c>
      <c r="H33">
        <v>0.8</v>
      </c>
      <c r="I33">
        <v>0.8</v>
      </c>
      <c r="J33" s="105">
        <v>0.25</v>
      </c>
      <c r="K33" s="105">
        <v>0.05</v>
      </c>
      <c r="Y33"/>
      <c r="AC33"/>
      <c r="AG33"/>
    </row>
    <row r="34" spans="4:33" ht="15" customHeight="1" x14ac:dyDescent="0.15">
      <c r="D34">
        <v>33</v>
      </c>
      <c r="E34" s="174" t="s">
        <v>224</v>
      </c>
      <c r="F34">
        <v>0.98</v>
      </c>
      <c r="G34">
        <v>0.8</v>
      </c>
      <c r="H34">
        <v>0.8</v>
      </c>
      <c r="I34">
        <v>0.8</v>
      </c>
      <c r="J34" s="105">
        <v>0.25</v>
      </c>
      <c r="K34" s="105">
        <v>0.05</v>
      </c>
      <c r="Y34"/>
      <c r="AC34"/>
      <c r="AG34"/>
    </row>
    <row r="35" spans="4:33" ht="15" customHeight="1" x14ac:dyDescent="0.15">
      <c r="D35">
        <v>34</v>
      </c>
      <c r="E35" s="174" t="s">
        <v>225</v>
      </c>
      <c r="F35">
        <v>0.98</v>
      </c>
      <c r="G35">
        <v>0.8</v>
      </c>
      <c r="H35">
        <v>0.8</v>
      </c>
      <c r="I35">
        <v>0.8</v>
      </c>
      <c r="J35" s="105">
        <v>0.25</v>
      </c>
      <c r="K35" s="105">
        <v>0.05</v>
      </c>
      <c r="Y35"/>
      <c r="AC35"/>
      <c r="AG35"/>
    </row>
    <row r="36" spans="4:33" ht="15" customHeight="1" x14ac:dyDescent="0.15">
      <c r="D36">
        <v>35</v>
      </c>
      <c r="E36" s="174" t="s">
        <v>226</v>
      </c>
      <c r="F36">
        <v>0.98</v>
      </c>
      <c r="G36">
        <v>0.8</v>
      </c>
      <c r="H36">
        <v>0.8</v>
      </c>
      <c r="I36">
        <v>0.8</v>
      </c>
      <c r="J36" s="105">
        <v>0.25</v>
      </c>
      <c r="K36" s="105">
        <v>0.05</v>
      </c>
      <c r="Y36"/>
      <c r="AC36"/>
      <c r="AG36"/>
    </row>
    <row r="37" spans="4:33" ht="15" customHeight="1" x14ac:dyDescent="0.15">
      <c r="D37">
        <v>36</v>
      </c>
      <c r="E37" s="174" t="s">
        <v>227</v>
      </c>
      <c r="F37">
        <v>0.98</v>
      </c>
      <c r="G37">
        <v>0.8</v>
      </c>
      <c r="H37">
        <v>0.8</v>
      </c>
      <c r="I37">
        <v>0.8</v>
      </c>
      <c r="J37" s="105">
        <v>0.25</v>
      </c>
      <c r="K37" s="105">
        <v>0.05</v>
      </c>
      <c r="Y37"/>
      <c r="AC37"/>
      <c r="AG37"/>
    </row>
    <row r="38" spans="4:33" ht="15" customHeight="1" x14ac:dyDescent="0.15">
      <c r="D38">
        <v>37</v>
      </c>
      <c r="E38" s="174" t="s">
        <v>228</v>
      </c>
      <c r="F38">
        <v>0.98</v>
      </c>
      <c r="G38">
        <v>0.8</v>
      </c>
      <c r="H38">
        <v>0.8</v>
      </c>
      <c r="I38">
        <v>0</v>
      </c>
      <c r="J38" s="105">
        <v>0</v>
      </c>
      <c r="K38" s="105">
        <v>0</v>
      </c>
      <c r="Y38"/>
      <c r="AC38"/>
      <c r="AG38"/>
    </row>
    <row r="39" spans="4:33" ht="15" customHeight="1" x14ac:dyDescent="0.15">
      <c r="D39">
        <v>38</v>
      </c>
      <c r="E39" s="174" t="s">
        <v>229</v>
      </c>
      <c r="F39">
        <v>0.98</v>
      </c>
      <c r="G39">
        <v>0.8</v>
      </c>
      <c r="H39">
        <v>0.8</v>
      </c>
      <c r="I39">
        <v>0</v>
      </c>
      <c r="J39" s="105">
        <v>0</v>
      </c>
      <c r="K39" s="105">
        <v>0</v>
      </c>
    </row>
    <row r="40" spans="4:33" ht="15" customHeight="1" x14ac:dyDescent="0.15">
      <c r="D40">
        <v>39</v>
      </c>
      <c r="E40" s="174" t="s">
        <v>230</v>
      </c>
      <c r="F40">
        <v>0.98</v>
      </c>
      <c r="G40">
        <v>0.8</v>
      </c>
      <c r="H40">
        <v>0.8</v>
      </c>
      <c r="I40">
        <v>0</v>
      </c>
      <c r="J40" s="105">
        <v>0</v>
      </c>
      <c r="K40" s="105">
        <v>0</v>
      </c>
      <c r="Y40"/>
      <c r="AC40"/>
      <c r="AG40"/>
    </row>
    <row r="41" spans="4:33" ht="15" customHeight="1" x14ac:dyDescent="0.15">
      <c r="D41">
        <v>40</v>
      </c>
      <c r="E41" s="174" t="s">
        <v>231</v>
      </c>
      <c r="F41">
        <v>0.98</v>
      </c>
      <c r="G41">
        <v>0.8</v>
      </c>
      <c r="H41">
        <v>0.8</v>
      </c>
      <c r="I41">
        <v>0</v>
      </c>
      <c r="J41" s="105">
        <v>0</v>
      </c>
      <c r="K41" s="105">
        <v>0</v>
      </c>
      <c r="Y41"/>
      <c r="AC41"/>
      <c r="AG41"/>
    </row>
    <row r="42" spans="4:33" ht="15" customHeight="1" x14ac:dyDescent="0.15">
      <c r="D42">
        <v>41</v>
      </c>
      <c r="E42" s="174" t="s">
        <v>232</v>
      </c>
      <c r="F42">
        <v>0.98</v>
      </c>
      <c r="G42">
        <v>0.8</v>
      </c>
      <c r="H42">
        <v>0</v>
      </c>
      <c r="I42">
        <v>0</v>
      </c>
      <c r="J42" s="105">
        <v>0</v>
      </c>
      <c r="K42" s="105">
        <v>0</v>
      </c>
      <c r="Y42"/>
      <c r="AC42"/>
      <c r="AG42"/>
    </row>
    <row r="43" spans="4:33" ht="15" customHeight="1" x14ac:dyDescent="0.15">
      <c r="D43">
        <v>42</v>
      </c>
      <c r="E43" s="174" t="s">
        <v>233</v>
      </c>
      <c r="F43">
        <v>0.98</v>
      </c>
      <c r="G43">
        <v>0.8</v>
      </c>
      <c r="H43">
        <v>0</v>
      </c>
      <c r="I43">
        <v>0</v>
      </c>
      <c r="J43" s="105">
        <v>0</v>
      </c>
      <c r="K43" s="105">
        <v>0</v>
      </c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Q44"/>
  <sheetViews>
    <sheetView workbookViewId="0">
      <selection activeCell="A3" sqref="A3"/>
    </sheetView>
  </sheetViews>
  <sheetFormatPr baseColWidth="10" defaultRowHeight="13" x14ac:dyDescent="0.15"/>
  <cols>
    <col min="1" max="1" width="31.33203125" style="103" bestFit="1" customWidth="1"/>
    <col min="2" max="37" width="3.83203125" style="103" customWidth="1"/>
    <col min="38" max="43" width="2.33203125" style="103" customWidth="1"/>
    <col min="44" max="16384" width="10.83203125" style="103"/>
  </cols>
  <sheetData>
    <row r="1" spans="1:43" x14ac:dyDescent="0.15">
      <c r="A1" s="61" t="s">
        <v>118</v>
      </c>
      <c r="B1" s="176" t="s">
        <v>192</v>
      </c>
      <c r="C1" s="176" t="s">
        <v>193</v>
      </c>
      <c r="D1" s="176" t="s">
        <v>194</v>
      </c>
      <c r="E1" s="176" t="s">
        <v>195</v>
      </c>
      <c r="F1" s="176" t="s">
        <v>196</v>
      </c>
      <c r="G1" s="176" t="s">
        <v>197</v>
      </c>
      <c r="H1" s="176" t="s">
        <v>198</v>
      </c>
      <c r="I1" s="176" t="s">
        <v>199</v>
      </c>
      <c r="J1" s="176" t="s">
        <v>200</v>
      </c>
      <c r="K1" s="176" t="s">
        <v>201</v>
      </c>
      <c r="L1" s="176" t="s">
        <v>202</v>
      </c>
      <c r="M1" s="176" t="s">
        <v>203</v>
      </c>
      <c r="N1" s="176" t="s">
        <v>204</v>
      </c>
      <c r="O1" s="176" t="s">
        <v>205</v>
      </c>
      <c r="P1" s="176" t="s">
        <v>206</v>
      </c>
      <c r="Q1" s="176" t="s">
        <v>207</v>
      </c>
      <c r="R1" s="176" t="s">
        <v>208</v>
      </c>
      <c r="S1" s="176" t="s">
        <v>209</v>
      </c>
      <c r="T1" s="176" t="s">
        <v>210</v>
      </c>
      <c r="U1" s="176" t="s">
        <v>211</v>
      </c>
      <c r="V1" s="176" t="s">
        <v>212</v>
      </c>
      <c r="W1" s="176" t="s">
        <v>213</v>
      </c>
      <c r="X1" s="176" t="s">
        <v>214</v>
      </c>
      <c r="Y1" s="176" t="s">
        <v>215</v>
      </c>
      <c r="Z1" s="176" t="s">
        <v>216</v>
      </c>
      <c r="AA1" s="176" t="s">
        <v>217</v>
      </c>
      <c r="AB1" s="176" t="s">
        <v>218</v>
      </c>
      <c r="AC1" s="176" t="s">
        <v>219</v>
      </c>
      <c r="AD1" s="176" t="s">
        <v>220</v>
      </c>
      <c r="AE1" s="176" t="s">
        <v>221</v>
      </c>
      <c r="AF1" s="176" t="s">
        <v>222</v>
      </c>
      <c r="AG1" s="176" t="s">
        <v>223</v>
      </c>
      <c r="AH1" s="176" t="s">
        <v>224</v>
      </c>
      <c r="AI1" s="176" t="s">
        <v>225</v>
      </c>
      <c r="AJ1" s="176" t="s">
        <v>226</v>
      </c>
      <c r="AK1" s="176" t="s">
        <v>227</v>
      </c>
      <c r="AL1" s="176" t="s">
        <v>228</v>
      </c>
      <c r="AM1" s="176" t="s">
        <v>229</v>
      </c>
      <c r="AN1" s="176" t="s">
        <v>230</v>
      </c>
      <c r="AO1" s="176" t="s">
        <v>231</v>
      </c>
      <c r="AP1" s="176" t="s">
        <v>232</v>
      </c>
      <c r="AQ1" s="176" t="s">
        <v>233</v>
      </c>
    </row>
    <row r="2" spans="1:43" customFormat="1" x14ac:dyDescent="0.15">
      <c r="A2" s="175" t="s">
        <v>192</v>
      </c>
      <c r="B2" s="103">
        <v>0</v>
      </c>
      <c r="C2" s="103">
        <v>0</v>
      </c>
      <c r="D2" s="103">
        <v>0</v>
      </c>
      <c r="E2" s="103">
        <v>0.8</v>
      </c>
      <c r="F2" s="103">
        <v>0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  <c r="X2" s="103">
        <v>0</v>
      </c>
      <c r="Y2" s="103">
        <v>0</v>
      </c>
      <c r="Z2" s="103">
        <v>0</v>
      </c>
      <c r="AA2" s="103">
        <v>0</v>
      </c>
      <c r="AB2" s="103">
        <v>0</v>
      </c>
      <c r="AC2" s="103">
        <v>0</v>
      </c>
      <c r="AD2" s="103">
        <v>0</v>
      </c>
      <c r="AE2" s="103">
        <v>0</v>
      </c>
      <c r="AF2" s="103">
        <v>0</v>
      </c>
      <c r="AG2" s="103">
        <v>0</v>
      </c>
      <c r="AH2" s="103">
        <v>0</v>
      </c>
      <c r="AI2" s="103">
        <v>0</v>
      </c>
      <c r="AJ2" s="103">
        <v>0</v>
      </c>
      <c r="AK2" s="103">
        <v>0</v>
      </c>
      <c r="AL2" s="103">
        <v>0</v>
      </c>
      <c r="AM2" s="103">
        <v>0</v>
      </c>
      <c r="AN2" s="103">
        <v>0</v>
      </c>
      <c r="AO2" s="103">
        <v>0</v>
      </c>
      <c r="AP2" s="103">
        <v>0</v>
      </c>
      <c r="AQ2" s="103">
        <v>0</v>
      </c>
    </row>
    <row r="3" spans="1:43" customFormat="1" x14ac:dyDescent="0.15">
      <c r="A3" s="175" t="s">
        <v>193</v>
      </c>
      <c r="B3" s="103">
        <v>0</v>
      </c>
      <c r="C3" s="103">
        <v>0</v>
      </c>
      <c r="D3" s="103">
        <v>0</v>
      </c>
      <c r="E3" s="103">
        <v>0</v>
      </c>
      <c r="F3" s="103">
        <v>0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  <c r="X3" s="103">
        <v>0</v>
      </c>
      <c r="Y3" s="103">
        <v>0</v>
      </c>
      <c r="Z3" s="103">
        <v>0</v>
      </c>
      <c r="AA3" s="103">
        <v>0</v>
      </c>
      <c r="AB3" s="103">
        <v>0</v>
      </c>
      <c r="AC3" s="103">
        <v>0</v>
      </c>
      <c r="AD3" s="103">
        <v>0</v>
      </c>
      <c r="AE3" s="103">
        <v>0</v>
      </c>
      <c r="AF3" s="103">
        <v>0</v>
      </c>
      <c r="AG3" s="103">
        <v>0</v>
      </c>
      <c r="AH3" s="103">
        <v>0</v>
      </c>
      <c r="AI3" s="103">
        <v>0</v>
      </c>
      <c r="AJ3" s="103">
        <v>0</v>
      </c>
      <c r="AK3" s="103">
        <v>0</v>
      </c>
      <c r="AL3" s="103">
        <v>0</v>
      </c>
      <c r="AM3" s="103">
        <v>0</v>
      </c>
      <c r="AN3" s="103">
        <v>0</v>
      </c>
      <c r="AO3" s="103">
        <v>0</v>
      </c>
      <c r="AP3" s="103">
        <v>0</v>
      </c>
      <c r="AQ3" s="103">
        <v>0</v>
      </c>
    </row>
    <row r="4" spans="1:43" customFormat="1" x14ac:dyDescent="0.15">
      <c r="A4" s="175" t="s">
        <v>194</v>
      </c>
      <c r="B4" s="103">
        <v>0</v>
      </c>
      <c r="C4" s="103">
        <v>0</v>
      </c>
      <c r="D4" s="103">
        <v>0</v>
      </c>
      <c r="E4" s="103">
        <v>0</v>
      </c>
      <c r="F4" s="103">
        <v>0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0</v>
      </c>
      <c r="U4" s="103">
        <v>0</v>
      </c>
      <c r="V4" s="103">
        <v>0</v>
      </c>
      <c r="W4" s="103">
        <v>0</v>
      </c>
      <c r="X4" s="103">
        <v>0</v>
      </c>
      <c r="Y4" s="103">
        <v>0</v>
      </c>
      <c r="Z4" s="103">
        <v>0</v>
      </c>
      <c r="AA4" s="103">
        <v>0</v>
      </c>
      <c r="AB4" s="103">
        <v>0</v>
      </c>
      <c r="AC4" s="103">
        <v>0</v>
      </c>
      <c r="AD4" s="103">
        <v>0</v>
      </c>
      <c r="AE4" s="103">
        <v>0</v>
      </c>
      <c r="AF4" s="103">
        <v>0</v>
      </c>
      <c r="AG4" s="103">
        <v>0</v>
      </c>
      <c r="AH4" s="103">
        <v>0</v>
      </c>
      <c r="AI4" s="103">
        <v>0</v>
      </c>
      <c r="AJ4" s="103">
        <v>0</v>
      </c>
      <c r="AK4" s="103">
        <v>0</v>
      </c>
      <c r="AL4" s="103">
        <v>0</v>
      </c>
      <c r="AM4" s="103">
        <v>0</v>
      </c>
      <c r="AN4" s="103">
        <v>0</v>
      </c>
      <c r="AO4" s="103">
        <v>0</v>
      </c>
      <c r="AP4" s="103">
        <v>0</v>
      </c>
      <c r="AQ4" s="103">
        <v>0</v>
      </c>
    </row>
    <row r="5" spans="1:43" customFormat="1" x14ac:dyDescent="0.15">
      <c r="A5" s="175" t="s">
        <v>195</v>
      </c>
      <c r="B5" s="103">
        <v>0.8</v>
      </c>
      <c r="C5" s="103">
        <v>0</v>
      </c>
      <c r="D5" s="103">
        <v>0.8</v>
      </c>
      <c r="E5" s="103">
        <v>0.8</v>
      </c>
      <c r="F5" s="103">
        <v>0</v>
      </c>
      <c r="G5" s="103">
        <v>0</v>
      </c>
      <c r="H5" s="103">
        <v>0</v>
      </c>
      <c r="I5" s="103">
        <v>0</v>
      </c>
      <c r="J5" s="103">
        <v>0</v>
      </c>
      <c r="K5" s="103">
        <v>0</v>
      </c>
      <c r="L5" s="103">
        <v>0</v>
      </c>
      <c r="M5" s="103">
        <v>0</v>
      </c>
      <c r="N5" s="103">
        <v>0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0</v>
      </c>
      <c r="U5" s="103">
        <v>0</v>
      </c>
      <c r="V5" s="103">
        <v>0</v>
      </c>
      <c r="W5" s="103">
        <v>0</v>
      </c>
      <c r="X5" s="103">
        <v>0</v>
      </c>
      <c r="Y5" s="103">
        <v>0</v>
      </c>
      <c r="Z5" s="103">
        <v>0</v>
      </c>
      <c r="AA5" s="103">
        <v>0</v>
      </c>
      <c r="AB5" s="103">
        <v>0</v>
      </c>
      <c r="AC5" s="103">
        <v>0</v>
      </c>
      <c r="AD5" s="103">
        <v>0</v>
      </c>
      <c r="AE5" s="103">
        <v>0</v>
      </c>
      <c r="AF5" s="103">
        <v>0</v>
      </c>
      <c r="AG5" s="103">
        <v>0</v>
      </c>
      <c r="AH5" s="103">
        <v>0</v>
      </c>
      <c r="AI5" s="103">
        <v>0</v>
      </c>
      <c r="AJ5" s="103">
        <v>0</v>
      </c>
      <c r="AK5" s="103">
        <v>0</v>
      </c>
      <c r="AL5" s="103">
        <v>0</v>
      </c>
      <c r="AM5" s="103">
        <v>0</v>
      </c>
      <c r="AN5" s="103">
        <v>0</v>
      </c>
      <c r="AO5" s="103">
        <v>0</v>
      </c>
      <c r="AP5" s="103">
        <v>0</v>
      </c>
      <c r="AQ5" s="103">
        <v>0</v>
      </c>
    </row>
    <row r="6" spans="1:43" customFormat="1" x14ac:dyDescent="0.15">
      <c r="A6" s="175" t="s">
        <v>196</v>
      </c>
      <c r="B6" s="103">
        <v>0.8</v>
      </c>
      <c r="C6" s="103">
        <v>0</v>
      </c>
      <c r="D6" s="103">
        <v>0.8</v>
      </c>
      <c r="E6" s="103">
        <v>0</v>
      </c>
      <c r="F6" s="103">
        <v>0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>
        <v>0</v>
      </c>
      <c r="AC6" s="103">
        <v>0</v>
      </c>
      <c r="AD6" s="103">
        <v>0</v>
      </c>
      <c r="AE6" s="103">
        <v>0</v>
      </c>
      <c r="AF6" s="103">
        <v>0</v>
      </c>
      <c r="AG6" s="103">
        <v>0</v>
      </c>
      <c r="AH6" s="103">
        <v>0</v>
      </c>
      <c r="AI6" s="103">
        <v>0</v>
      </c>
      <c r="AJ6" s="103">
        <v>0</v>
      </c>
      <c r="AK6" s="103">
        <v>0</v>
      </c>
      <c r="AL6" s="103">
        <v>0</v>
      </c>
      <c r="AM6" s="103">
        <v>0</v>
      </c>
      <c r="AN6" s="103">
        <v>0</v>
      </c>
      <c r="AO6" s="103">
        <v>0</v>
      </c>
      <c r="AP6" s="103">
        <v>0</v>
      </c>
      <c r="AQ6" s="103">
        <v>0</v>
      </c>
    </row>
    <row r="7" spans="1:43" customFormat="1" x14ac:dyDescent="0.15">
      <c r="A7" s="175" t="s">
        <v>197</v>
      </c>
      <c r="B7" s="103">
        <v>0.8</v>
      </c>
      <c r="C7" s="103">
        <v>0</v>
      </c>
      <c r="D7" s="103">
        <v>0.8</v>
      </c>
      <c r="E7" s="103">
        <v>0.8</v>
      </c>
      <c r="F7" s="103">
        <v>0</v>
      </c>
      <c r="G7" s="103">
        <v>0</v>
      </c>
      <c r="H7" s="103">
        <v>0.8</v>
      </c>
      <c r="I7" s="103">
        <v>0</v>
      </c>
      <c r="J7" s="103">
        <v>0</v>
      </c>
      <c r="K7" s="103">
        <v>0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  <c r="AC7" s="103">
        <v>0</v>
      </c>
      <c r="AD7" s="103">
        <v>0</v>
      </c>
      <c r="AE7" s="103">
        <v>0</v>
      </c>
      <c r="AF7" s="103">
        <v>0</v>
      </c>
      <c r="AG7" s="103">
        <v>0</v>
      </c>
      <c r="AH7" s="103">
        <v>0</v>
      </c>
      <c r="AI7" s="103">
        <v>0</v>
      </c>
      <c r="AJ7" s="103">
        <v>0</v>
      </c>
      <c r="AK7" s="103">
        <v>0</v>
      </c>
      <c r="AL7" s="103">
        <v>0</v>
      </c>
      <c r="AM7" s="103">
        <v>0</v>
      </c>
      <c r="AN7" s="103">
        <v>0</v>
      </c>
      <c r="AO7" s="103">
        <v>0</v>
      </c>
      <c r="AP7" s="103">
        <v>0</v>
      </c>
      <c r="AQ7" s="103">
        <v>0</v>
      </c>
    </row>
    <row r="8" spans="1:43" customFormat="1" x14ac:dyDescent="0.15">
      <c r="A8" s="175" t="s">
        <v>198</v>
      </c>
      <c r="B8" s="103">
        <v>0</v>
      </c>
      <c r="C8" s="103">
        <v>0</v>
      </c>
      <c r="D8" s="103">
        <v>0</v>
      </c>
      <c r="E8" s="103">
        <v>0.8</v>
      </c>
      <c r="F8" s="103">
        <v>0</v>
      </c>
      <c r="G8" s="103">
        <v>0</v>
      </c>
      <c r="H8" s="103">
        <v>0</v>
      </c>
      <c r="I8" s="103">
        <v>0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>
        <v>0</v>
      </c>
      <c r="AD8" s="103">
        <v>0</v>
      </c>
      <c r="AE8" s="103">
        <v>0</v>
      </c>
      <c r="AF8" s="103">
        <v>0</v>
      </c>
      <c r="AG8" s="103">
        <v>0</v>
      </c>
      <c r="AH8" s="103">
        <v>0</v>
      </c>
      <c r="AI8" s="103">
        <v>0</v>
      </c>
      <c r="AJ8" s="103">
        <v>0</v>
      </c>
      <c r="AK8" s="103">
        <v>0</v>
      </c>
      <c r="AL8" s="103">
        <v>0</v>
      </c>
      <c r="AM8" s="103">
        <v>0</v>
      </c>
      <c r="AN8" s="103">
        <v>0</v>
      </c>
      <c r="AO8" s="103">
        <v>0</v>
      </c>
      <c r="AP8" s="103">
        <v>0</v>
      </c>
      <c r="AQ8" s="103">
        <v>0</v>
      </c>
    </row>
    <row r="9" spans="1:43" customFormat="1" x14ac:dyDescent="0.15">
      <c r="A9" s="175" t="s">
        <v>199</v>
      </c>
      <c r="B9" s="103">
        <v>0</v>
      </c>
      <c r="C9" s="103">
        <v>0</v>
      </c>
      <c r="D9" s="103">
        <v>0</v>
      </c>
      <c r="E9" s="103">
        <v>0</v>
      </c>
      <c r="F9" s="103">
        <v>0</v>
      </c>
      <c r="G9" s="103">
        <v>0</v>
      </c>
      <c r="H9" s="103">
        <v>0</v>
      </c>
      <c r="I9" s="103">
        <v>0</v>
      </c>
      <c r="J9" s="103">
        <v>0</v>
      </c>
      <c r="K9" s="103">
        <v>0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>
        <v>0</v>
      </c>
      <c r="AD9" s="103">
        <v>0</v>
      </c>
      <c r="AE9" s="103">
        <v>0</v>
      </c>
      <c r="AF9" s="103">
        <v>0</v>
      </c>
      <c r="AG9" s="103">
        <v>0</v>
      </c>
      <c r="AH9" s="103">
        <v>0</v>
      </c>
      <c r="AI9" s="103">
        <v>0</v>
      </c>
      <c r="AJ9" s="103">
        <v>0</v>
      </c>
      <c r="AK9" s="103">
        <v>0</v>
      </c>
      <c r="AL9" s="103">
        <v>0</v>
      </c>
      <c r="AM9" s="103">
        <v>0</v>
      </c>
      <c r="AN9" s="103">
        <v>0</v>
      </c>
      <c r="AO9" s="103">
        <v>0</v>
      </c>
      <c r="AP9" s="103">
        <v>0</v>
      </c>
      <c r="AQ9" s="103">
        <v>0</v>
      </c>
    </row>
    <row r="10" spans="1:43" customFormat="1" x14ac:dyDescent="0.15">
      <c r="A10" s="175" t="s">
        <v>200</v>
      </c>
      <c r="B10" s="103">
        <v>0.8</v>
      </c>
      <c r="C10" s="103">
        <v>0.8</v>
      </c>
      <c r="D10" s="103">
        <v>0.8</v>
      </c>
      <c r="E10" s="103">
        <v>0.8</v>
      </c>
      <c r="F10" s="103">
        <v>0.8</v>
      </c>
      <c r="G10" s="103">
        <v>0</v>
      </c>
      <c r="H10" s="103">
        <v>0</v>
      </c>
      <c r="I10" s="103">
        <v>0.8</v>
      </c>
      <c r="J10" s="103">
        <v>0.8</v>
      </c>
      <c r="K10" s="103">
        <v>0.8</v>
      </c>
      <c r="L10" s="103">
        <v>0.8</v>
      </c>
      <c r="M10" s="103">
        <v>0</v>
      </c>
      <c r="N10" s="103">
        <v>0</v>
      </c>
      <c r="O10" s="103">
        <v>0</v>
      </c>
      <c r="P10" s="103">
        <v>0.8</v>
      </c>
      <c r="Q10" s="103">
        <v>0</v>
      </c>
      <c r="R10" s="103">
        <v>0.8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>
        <v>0</v>
      </c>
      <c r="AD10" s="103">
        <v>0</v>
      </c>
      <c r="AE10" s="103">
        <v>0</v>
      </c>
      <c r="AF10" s="103">
        <v>0</v>
      </c>
      <c r="AG10" s="103">
        <v>0</v>
      </c>
      <c r="AH10" s="103">
        <v>0</v>
      </c>
      <c r="AI10" s="103">
        <v>0</v>
      </c>
      <c r="AJ10" s="103">
        <v>0</v>
      </c>
      <c r="AK10" s="103">
        <v>0</v>
      </c>
      <c r="AL10" s="103">
        <v>0</v>
      </c>
      <c r="AM10" s="103">
        <v>0</v>
      </c>
      <c r="AN10" s="103">
        <v>0</v>
      </c>
      <c r="AO10" s="103">
        <v>0</v>
      </c>
      <c r="AP10" s="103">
        <v>0</v>
      </c>
      <c r="AQ10" s="103">
        <v>0</v>
      </c>
    </row>
    <row r="11" spans="1:43" customFormat="1" x14ac:dyDescent="0.15">
      <c r="A11" s="175" t="s">
        <v>201</v>
      </c>
      <c r="B11" s="103">
        <v>0.8</v>
      </c>
      <c r="C11" s="103">
        <v>0.8</v>
      </c>
      <c r="D11" s="103">
        <v>0.8</v>
      </c>
      <c r="E11" s="103">
        <v>0.8</v>
      </c>
      <c r="F11" s="103">
        <v>0</v>
      </c>
      <c r="G11" s="103">
        <v>0</v>
      </c>
      <c r="H11" s="103">
        <v>0.8</v>
      </c>
      <c r="I11" s="103">
        <v>0</v>
      </c>
      <c r="J11" s="103">
        <v>0</v>
      </c>
      <c r="K11" s="103">
        <v>0</v>
      </c>
      <c r="L11" s="103">
        <v>0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>
        <v>0</v>
      </c>
      <c r="AD11" s="103">
        <v>0</v>
      </c>
      <c r="AE11" s="103">
        <v>0</v>
      </c>
      <c r="AF11" s="103">
        <v>0</v>
      </c>
      <c r="AG11" s="103">
        <v>0</v>
      </c>
      <c r="AH11" s="103">
        <v>0</v>
      </c>
      <c r="AI11" s="103">
        <v>0</v>
      </c>
      <c r="AJ11" s="103">
        <v>0</v>
      </c>
      <c r="AK11" s="103">
        <v>0</v>
      </c>
      <c r="AL11" s="103">
        <v>0</v>
      </c>
      <c r="AM11" s="103">
        <v>0</v>
      </c>
      <c r="AN11" s="103">
        <v>0</v>
      </c>
      <c r="AO11" s="103">
        <v>0</v>
      </c>
      <c r="AP11" s="103">
        <v>0</v>
      </c>
      <c r="AQ11" s="103">
        <v>0</v>
      </c>
    </row>
    <row r="12" spans="1:43" customFormat="1" x14ac:dyDescent="0.15">
      <c r="A12" s="175" t="s">
        <v>202</v>
      </c>
      <c r="B12" s="103">
        <v>0</v>
      </c>
      <c r="C12" s="103">
        <v>0.8</v>
      </c>
      <c r="D12" s="103">
        <v>0</v>
      </c>
      <c r="E12" s="103">
        <v>0.8</v>
      </c>
      <c r="F12" s="103">
        <v>0</v>
      </c>
      <c r="G12" s="103">
        <v>0</v>
      </c>
      <c r="H12" s="103">
        <v>0</v>
      </c>
      <c r="I12" s="103">
        <v>0</v>
      </c>
      <c r="J12" s="103">
        <v>0</v>
      </c>
      <c r="K12" s="103">
        <v>0</v>
      </c>
      <c r="L12" s="103">
        <v>0</v>
      </c>
      <c r="M12" s="103">
        <v>0</v>
      </c>
      <c r="N12" s="103">
        <v>0</v>
      </c>
      <c r="O12" s="103">
        <v>0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>
        <v>0</v>
      </c>
      <c r="AD12" s="103">
        <v>0</v>
      </c>
      <c r="AE12" s="103">
        <v>0</v>
      </c>
      <c r="AF12" s="103">
        <v>0</v>
      </c>
      <c r="AG12" s="103">
        <v>0</v>
      </c>
      <c r="AH12" s="103">
        <v>0</v>
      </c>
      <c r="AI12" s="103">
        <v>0</v>
      </c>
      <c r="AJ12" s="103">
        <v>0</v>
      </c>
      <c r="AK12" s="103">
        <v>0</v>
      </c>
      <c r="AL12" s="103">
        <v>0</v>
      </c>
      <c r="AM12" s="103">
        <v>0</v>
      </c>
      <c r="AN12" s="103">
        <v>0</v>
      </c>
      <c r="AO12" s="103">
        <v>0</v>
      </c>
      <c r="AP12" s="103">
        <v>0</v>
      </c>
      <c r="AQ12" s="103">
        <v>0</v>
      </c>
    </row>
    <row r="13" spans="1:43" customFormat="1" x14ac:dyDescent="0.15">
      <c r="A13" s="175" t="s">
        <v>203</v>
      </c>
      <c r="B13" s="103">
        <v>0.8</v>
      </c>
      <c r="C13" s="103">
        <v>0</v>
      </c>
      <c r="D13" s="103">
        <v>0.8</v>
      </c>
      <c r="E13" s="103">
        <v>0</v>
      </c>
      <c r="F13" s="103">
        <v>0</v>
      </c>
      <c r="G13" s="103">
        <v>0</v>
      </c>
      <c r="H13" s="103">
        <v>0.8</v>
      </c>
      <c r="I13" s="103">
        <v>0</v>
      </c>
      <c r="J13" s="103">
        <v>0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>
        <v>0</v>
      </c>
      <c r="AD13" s="103">
        <v>0</v>
      </c>
      <c r="AE13" s="103">
        <v>0</v>
      </c>
      <c r="AF13" s="103">
        <v>0</v>
      </c>
      <c r="AG13" s="103">
        <v>0</v>
      </c>
      <c r="AH13" s="103">
        <v>0</v>
      </c>
      <c r="AI13" s="103">
        <v>0</v>
      </c>
      <c r="AJ13" s="103">
        <v>0</v>
      </c>
      <c r="AK13" s="103">
        <v>0</v>
      </c>
      <c r="AL13" s="103">
        <v>0</v>
      </c>
      <c r="AM13" s="103">
        <v>0</v>
      </c>
      <c r="AN13" s="103">
        <v>0</v>
      </c>
      <c r="AO13" s="103">
        <v>0</v>
      </c>
      <c r="AP13" s="103">
        <v>0</v>
      </c>
      <c r="AQ13" s="103">
        <v>0</v>
      </c>
    </row>
    <row r="14" spans="1:43" customFormat="1" x14ac:dyDescent="0.15">
      <c r="A14" s="175" t="s">
        <v>204</v>
      </c>
      <c r="B14" s="103">
        <v>0.8</v>
      </c>
      <c r="C14" s="103">
        <v>0</v>
      </c>
      <c r="D14" s="103">
        <v>0.8</v>
      </c>
      <c r="E14" s="103">
        <v>0</v>
      </c>
      <c r="F14" s="103">
        <v>0</v>
      </c>
      <c r="G14" s="103">
        <v>0</v>
      </c>
      <c r="H14" s="103">
        <v>0.8</v>
      </c>
      <c r="I14" s="103">
        <v>0</v>
      </c>
      <c r="J14" s="103">
        <v>0</v>
      </c>
      <c r="K14" s="103">
        <v>0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>
        <v>0</v>
      </c>
      <c r="AD14" s="103">
        <v>0</v>
      </c>
      <c r="AE14" s="103">
        <v>0</v>
      </c>
      <c r="AF14" s="103">
        <v>0</v>
      </c>
      <c r="AG14" s="103">
        <v>0</v>
      </c>
      <c r="AH14" s="103">
        <v>0</v>
      </c>
      <c r="AI14" s="103">
        <v>0</v>
      </c>
      <c r="AJ14" s="103">
        <v>0</v>
      </c>
      <c r="AK14" s="103">
        <v>0</v>
      </c>
      <c r="AL14" s="103">
        <v>0</v>
      </c>
      <c r="AM14" s="103">
        <v>0</v>
      </c>
      <c r="AN14" s="103">
        <v>0</v>
      </c>
      <c r="AO14" s="103">
        <v>0</v>
      </c>
      <c r="AP14" s="103">
        <v>0</v>
      </c>
      <c r="AQ14" s="103">
        <v>0</v>
      </c>
    </row>
    <row r="15" spans="1:43" customFormat="1" x14ac:dyDescent="0.15">
      <c r="A15" s="175" t="s">
        <v>205</v>
      </c>
      <c r="B15" s="103">
        <v>0.8</v>
      </c>
      <c r="C15" s="103">
        <v>0</v>
      </c>
      <c r="D15" s="103">
        <v>0.8</v>
      </c>
      <c r="E15" s="103">
        <v>0.8</v>
      </c>
      <c r="F15" s="103">
        <v>0</v>
      </c>
      <c r="G15" s="103">
        <v>0</v>
      </c>
      <c r="H15" s="103">
        <v>0.8</v>
      </c>
      <c r="I15" s="103">
        <v>0</v>
      </c>
      <c r="J15" s="103">
        <v>0</v>
      </c>
      <c r="K15" s="103">
        <v>0.8</v>
      </c>
      <c r="L15" s="103">
        <v>0</v>
      </c>
      <c r="M15" s="103">
        <v>0</v>
      </c>
      <c r="N15" s="103">
        <v>0</v>
      </c>
      <c r="O15" s="103">
        <v>0</v>
      </c>
      <c r="P15" s="103">
        <v>0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>
        <v>0</v>
      </c>
      <c r="AD15" s="103">
        <v>0</v>
      </c>
      <c r="AE15" s="103">
        <v>0</v>
      </c>
      <c r="AF15" s="103">
        <v>0</v>
      </c>
      <c r="AG15" s="103">
        <v>0</v>
      </c>
      <c r="AH15" s="103">
        <v>0</v>
      </c>
      <c r="AI15" s="103">
        <v>0</v>
      </c>
      <c r="AJ15" s="103">
        <v>0</v>
      </c>
      <c r="AK15" s="103">
        <v>0</v>
      </c>
      <c r="AL15" s="103">
        <v>0</v>
      </c>
      <c r="AM15" s="103">
        <v>0</v>
      </c>
      <c r="AN15" s="103">
        <v>0</v>
      </c>
      <c r="AO15" s="103">
        <v>0</v>
      </c>
      <c r="AP15" s="103">
        <v>0</v>
      </c>
      <c r="AQ15" s="103">
        <v>0</v>
      </c>
    </row>
    <row r="16" spans="1:43" customFormat="1" x14ac:dyDescent="0.15">
      <c r="A16" s="175" t="s">
        <v>206</v>
      </c>
      <c r="B16" s="103">
        <v>0.8</v>
      </c>
      <c r="C16" s="103">
        <v>0</v>
      </c>
      <c r="D16" s="103">
        <v>0.8</v>
      </c>
      <c r="E16" s="103">
        <v>0.8</v>
      </c>
      <c r="F16" s="103">
        <v>0.8</v>
      </c>
      <c r="G16" s="103">
        <v>0.8</v>
      </c>
      <c r="H16" s="103">
        <v>0.8</v>
      </c>
      <c r="I16" s="103">
        <v>0.8</v>
      </c>
      <c r="J16" s="103">
        <v>0.8</v>
      </c>
      <c r="K16" s="103">
        <v>0</v>
      </c>
      <c r="L16" s="103">
        <v>0</v>
      </c>
      <c r="M16" s="103">
        <v>0</v>
      </c>
      <c r="N16" s="103">
        <v>0</v>
      </c>
      <c r="O16" s="103">
        <v>0</v>
      </c>
      <c r="P16" s="103">
        <v>0</v>
      </c>
      <c r="Q16" s="103">
        <v>0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>
        <v>0</v>
      </c>
      <c r="AD16" s="103">
        <v>0</v>
      </c>
      <c r="AE16" s="103">
        <v>0</v>
      </c>
      <c r="AF16" s="103">
        <v>0</v>
      </c>
      <c r="AG16" s="103">
        <v>0</v>
      </c>
      <c r="AH16" s="103">
        <v>0</v>
      </c>
      <c r="AI16" s="103">
        <v>0</v>
      </c>
      <c r="AJ16" s="103">
        <v>0</v>
      </c>
      <c r="AK16" s="103">
        <v>0</v>
      </c>
      <c r="AL16" s="103">
        <v>0</v>
      </c>
      <c r="AM16" s="103">
        <v>0</v>
      </c>
      <c r="AN16" s="103">
        <v>0</v>
      </c>
      <c r="AO16" s="103">
        <v>0</v>
      </c>
      <c r="AP16" s="103">
        <v>0</v>
      </c>
      <c r="AQ16" s="103">
        <v>0</v>
      </c>
    </row>
    <row r="17" spans="1:43" customFormat="1" x14ac:dyDescent="0.15">
      <c r="A17" s="175" t="s">
        <v>207</v>
      </c>
      <c r="B17" s="103">
        <v>0.8</v>
      </c>
      <c r="C17" s="103">
        <v>0</v>
      </c>
      <c r="D17" s="103">
        <v>0.8</v>
      </c>
      <c r="E17" s="103">
        <v>0.8</v>
      </c>
      <c r="F17" s="103">
        <v>0</v>
      </c>
      <c r="G17" s="103">
        <v>0</v>
      </c>
      <c r="H17" s="103">
        <v>0.8</v>
      </c>
      <c r="I17" s="103">
        <v>0</v>
      </c>
      <c r="J17" s="103">
        <v>0.8</v>
      </c>
      <c r="K17" s="103">
        <v>0</v>
      </c>
      <c r="L17" s="103">
        <v>0</v>
      </c>
      <c r="M17" s="103">
        <v>0</v>
      </c>
      <c r="N17" s="103">
        <v>0</v>
      </c>
      <c r="O17" s="103">
        <v>0</v>
      </c>
      <c r="P17" s="103">
        <v>0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>
        <v>0</v>
      </c>
      <c r="AD17" s="103">
        <v>0</v>
      </c>
      <c r="AE17" s="103">
        <v>0</v>
      </c>
      <c r="AF17" s="103">
        <v>0</v>
      </c>
      <c r="AG17" s="103">
        <v>0</v>
      </c>
      <c r="AH17" s="103">
        <v>0</v>
      </c>
      <c r="AI17" s="103">
        <v>0</v>
      </c>
      <c r="AJ17" s="103">
        <v>0</v>
      </c>
      <c r="AK17" s="103">
        <v>0</v>
      </c>
      <c r="AL17" s="103">
        <v>0</v>
      </c>
      <c r="AM17" s="103">
        <v>0</v>
      </c>
      <c r="AN17" s="103">
        <v>0</v>
      </c>
      <c r="AO17" s="103">
        <v>0</v>
      </c>
      <c r="AP17" s="103">
        <v>0</v>
      </c>
      <c r="AQ17" s="103">
        <v>0</v>
      </c>
    </row>
    <row r="18" spans="1:43" customFormat="1" x14ac:dyDescent="0.15">
      <c r="A18" s="175" t="s">
        <v>208</v>
      </c>
      <c r="B18" s="103">
        <v>0.8</v>
      </c>
      <c r="C18" s="103">
        <v>0</v>
      </c>
      <c r="D18" s="103">
        <v>0.8</v>
      </c>
      <c r="E18" s="103">
        <v>0.8</v>
      </c>
      <c r="F18" s="103">
        <v>0</v>
      </c>
      <c r="G18" s="103">
        <v>0</v>
      </c>
      <c r="H18" s="103">
        <v>0.8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103">
        <v>0</v>
      </c>
      <c r="O18" s="103">
        <v>0</v>
      </c>
      <c r="P18" s="103">
        <v>0</v>
      </c>
      <c r="Q18" s="103">
        <v>0</v>
      </c>
      <c r="R18" s="103">
        <v>0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>
        <v>0</v>
      </c>
      <c r="AD18" s="103">
        <v>0</v>
      </c>
      <c r="AE18" s="103">
        <v>0</v>
      </c>
      <c r="AF18" s="103">
        <v>0</v>
      </c>
      <c r="AG18" s="103">
        <v>0</v>
      </c>
      <c r="AH18" s="103">
        <v>0</v>
      </c>
      <c r="AI18" s="103">
        <v>0</v>
      </c>
      <c r="AJ18" s="103">
        <v>0</v>
      </c>
      <c r="AK18" s="103">
        <v>0</v>
      </c>
      <c r="AL18" s="103">
        <v>0</v>
      </c>
      <c r="AM18" s="103">
        <v>0</v>
      </c>
      <c r="AN18" s="103">
        <v>0</v>
      </c>
      <c r="AO18" s="103">
        <v>0</v>
      </c>
      <c r="AP18" s="103">
        <v>0</v>
      </c>
      <c r="AQ18" s="103">
        <v>0</v>
      </c>
    </row>
    <row r="19" spans="1:43" customFormat="1" x14ac:dyDescent="0.15">
      <c r="A19" s="175" t="s">
        <v>209</v>
      </c>
      <c r="B19" s="103">
        <v>0.8</v>
      </c>
      <c r="C19" s="103">
        <v>0.8</v>
      </c>
      <c r="D19" s="103">
        <v>0.8</v>
      </c>
      <c r="E19" s="103">
        <v>0.8</v>
      </c>
      <c r="F19" s="103">
        <v>0.8</v>
      </c>
      <c r="G19" s="103">
        <v>0.8</v>
      </c>
      <c r="H19" s="103">
        <v>0.8</v>
      </c>
      <c r="I19" s="103">
        <v>0</v>
      </c>
      <c r="J19" s="103">
        <v>0.8</v>
      </c>
      <c r="K19" s="103">
        <v>0.8</v>
      </c>
      <c r="L19" s="103">
        <v>0.8</v>
      </c>
      <c r="M19" s="103">
        <v>0.8</v>
      </c>
      <c r="N19" s="103">
        <v>0</v>
      </c>
      <c r="O19" s="103">
        <v>0.8</v>
      </c>
      <c r="P19" s="103">
        <v>0</v>
      </c>
      <c r="Q19" s="103">
        <v>0</v>
      </c>
      <c r="R19" s="103">
        <v>0.8</v>
      </c>
      <c r="S19" s="103">
        <v>0.8</v>
      </c>
      <c r="T19" s="103">
        <v>0</v>
      </c>
      <c r="U19" s="103">
        <v>0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>
        <v>0</v>
      </c>
      <c r="AD19" s="103">
        <v>0</v>
      </c>
      <c r="AE19" s="103">
        <v>0</v>
      </c>
      <c r="AF19" s="103">
        <v>0</v>
      </c>
      <c r="AG19" s="103">
        <v>0</v>
      </c>
      <c r="AH19" s="103">
        <v>0</v>
      </c>
      <c r="AI19" s="103">
        <v>0</v>
      </c>
      <c r="AJ19" s="103">
        <v>0</v>
      </c>
      <c r="AK19" s="103">
        <v>0</v>
      </c>
      <c r="AL19" s="103">
        <v>0</v>
      </c>
      <c r="AM19" s="103">
        <v>0</v>
      </c>
      <c r="AN19" s="103">
        <v>0</v>
      </c>
      <c r="AO19" s="103">
        <v>0</v>
      </c>
      <c r="AP19" s="103">
        <v>0</v>
      </c>
      <c r="AQ19" s="103">
        <v>0</v>
      </c>
    </row>
    <row r="20" spans="1:43" customFormat="1" x14ac:dyDescent="0.15">
      <c r="A20" s="175" t="s">
        <v>210</v>
      </c>
      <c r="B20" s="103">
        <v>0.8</v>
      </c>
      <c r="C20" s="103">
        <v>0.8</v>
      </c>
      <c r="D20" s="103">
        <v>0.8</v>
      </c>
      <c r="E20" s="103">
        <v>0.8</v>
      </c>
      <c r="F20" s="103">
        <v>0.8</v>
      </c>
      <c r="G20" s="103">
        <v>0.8</v>
      </c>
      <c r="H20" s="103">
        <v>0.8</v>
      </c>
      <c r="I20" s="103">
        <v>0</v>
      </c>
      <c r="J20" s="103">
        <v>0.8</v>
      </c>
      <c r="K20" s="103">
        <v>0.8</v>
      </c>
      <c r="L20" s="103">
        <v>0.8</v>
      </c>
      <c r="M20" s="103">
        <v>0.8</v>
      </c>
      <c r="N20" s="103">
        <v>0.8</v>
      </c>
      <c r="O20" s="103">
        <v>0.8</v>
      </c>
      <c r="P20" s="103">
        <v>0.8</v>
      </c>
      <c r="Q20" s="103">
        <v>0.8</v>
      </c>
      <c r="R20" s="103">
        <v>0.8</v>
      </c>
      <c r="S20" s="103">
        <v>0.8</v>
      </c>
      <c r="T20" s="103">
        <v>0.8</v>
      </c>
      <c r="U20" s="103">
        <v>0</v>
      </c>
      <c r="V20" s="103">
        <v>0</v>
      </c>
      <c r="W20" s="103">
        <v>0</v>
      </c>
      <c r="X20" s="103">
        <v>0.8</v>
      </c>
      <c r="Y20" s="103">
        <v>0</v>
      </c>
      <c r="Z20" s="103">
        <v>0</v>
      </c>
      <c r="AA20" s="103">
        <v>0</v>
      </c>
      <c r="AB20" s="103">
        <v>0</v>
      </c>
      <c r="AC20" s="103">
        <v>0</v>
      </c>
      <c r="AD20" s="103">
        <v>0</v>
      </c>
      <c r="AE20" s="103">
        <v>0</v>
      </c>
      <c r="AF20" s="103">
        <v>0</v>
      </c>
      <c r="AG20" s="103">
        <v>0</v>
      </c>
      <c r="AH20" s="103">
        <v>0</v>
      </c>
      <c r="AI20" s="103">
        <v>0</v>
      </c>
      <c r="AJ20" s="103">
        <v>0</v>
      </c>
      <c r="AK20" s="103">
        <v>0</v>
      </c>
      <c r="AL20" s="103">
        <v>0</v>
      </c>
      <c r="AM20" s="103">
        <v>0</v>
      </c>
      <c r="AN20" s="103">
        <v>0</v>
      </c>
      <c r="AO20" s="103">
        <v>0</v>
      </c>
      <c r="AP20" s="103">
        <v>0</v>
      </c>
      <c r="AQ20" s="103">
        <v>0</v>
      </c>
    </row>
    <row r="21" spans="1:43" customFormat="1" x14ac:dyDescent="0.15">
      <c r="A21" s="175" t="s">
        <v>211</v>
      </c>
      <c r="B21" s="103">
        <v>0</v>
      </c>
      <c r="C21" s="103">
        <v>0</v>
      </c>
      <c r="D21" s="103">
        <v>0</v>
      </c>
      <c r="E21" s="103">
        <v>0</v>
      </c>
      <c r="F21" s="103">
        <v>0.8</v>
      </c>
      <c r="G21" s="103">
        <v>0</v>
      </c>
      <c r="H21" s="103">
        <v>0</v>
      </c>
      <c r="I21" s="103">
        <v>0</v>
      </c>
      <c r="J21" s="103">
        <v>0</v>
      </c>
      <c r="K21" s="103">
        <v>0</v>
      </c>
      <c r="L21" s="103">
        <v>0</v>
      </c>
      <c r="M21" s="103">
        <v>0</v>
      </c>
      <c r="N21" s="103">
        <v>0</v>
      </c>
      <c r="O21" s="103">
        <v>0</v>
      </c>
      <c r="P21" s="103">
        <v>0</v>
      </c>
      <c r="Q21" s="103">
        <v>0.8</v>
      </c>
      <c r="R21" s="103">
        <v>0</v>
      </c>
      <c r="S21" s="103">
        <v>0</v>
      </c>
      <c r="T21" s="103">
        <v>0</v>
      </c>
      <c r="U21" s="103">
        <v>0.8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>
        <v>0</v>
      </c>
      <c r="AD21" s="103">
        <v>0</v>
      </c>
      <c r="AE21" s="103">
        <v>0</v>
      </c>
      <c r="AF21" s="103">
        <v>0</v>
      </c>
      <c r="AG21" s="103">
        <v>0</v>
      </c>
      <c r="AH21" s="103">
        <v>0</v>
      </c>
      <c r="AI21" s="103">
        <v>0</v>
      </c>
      <c r="AJ21" s="103">
        <v>0</v>
      </c>
      <c r="AK21" s="103">
        <v>0</v>
      </c>
      <c r="AL21" s="103">
        <v>0</v>
      </c>
      <c r="AM21" s="103">
        <v>0</v>
      </c>
      <c r="AN21" s="103">
        <v>0</v>
      </c>
      <c r="AO21" s="103">
        <v>0</v>
      </c>
      <c r="AP21" s="103">
        <v>0</v>
      </c>
      <c r="AQ21" s="103">
        <v>0</v>
      </c>
    </row>
    <row r="22" spans="1:43" customFormat="1" x14ac:dyDescent="0.15">
      <c r="A22" s="175" t="s">
        <v>212</v>
      </c>
      <c r="B22" s="103">
        <v>0</v>
      </c>
      <c r="C22" s="103">
        <v>0</v>
      </c>
      <c r="D22" s="103">
        <v>0</v>
      </c>
      <c r="E22" s="103">
        <v>0.8</v>
      </c>
      <c r="F22" s="103">
        <v>0.8</v>
      </c>
      <c r="G22" s="103">
        <v>0.8</v>
      </c>
      <c r="H22" s="103">
        <v>0</v>
      </c>
      <c r="I22" s="103">
        <v>0.8</v>
      </c>
      <c r="J22" s="103">
        <v>0.8</v>
      </c>
      <c r="K22" s="103">
        <v>0.8</v>
      </c>
      <c r="L22" s="103">
        <v>0</v>
      </c>
      <c r="M22" s="103">
        <v>0</v>
      </c>
      <c r="N22" s="103">
        <v>0.8</v>
      </c>
      <c r="O22" s="103">
        <v>0.8</v>
      </c>
      <c r="P22" s="103">
        <v>0.8</v>
      </c>
      <c r="Q22" s="103">
        <v>0.8</v>
      </c>
      <c r="R22" s="103">
        <v>0.8</v>
      </c>
      <c r="S22" s="103">
        <v>0.8</v>
      </c>
      <c r="T22" s="103">
        <v>0.8</v>
      </c>
      <c r="U22" s="103">
        <v>0</v>
      </c>
      <c r="V22" s="103">
        <v>0.8</v>
      </c>
      <c r="W22" s="103">
        <v>0</v>
      </c>
      <c r="X22" s="103">
        <v>0</v>
      </c>
      <c r="Y22" s="103">
        <v>0.8</v>
      </c>
      <c r="Z22" s="103">
        <v>0</v>
      </c>
      <c r="AA22" s="103">
        <v>0.8</v>
      </c>
      <c r="AB22" s="103">
        <v>0</v>
      </c>
      <c r="AC22" s="103">
        <v>0.8</v>
      </c>
      <c r="AD22" s="103">
        <v>0</v>
      </c>
      <c r="AE22" s="103">
        <v>0</v>
      </c>
      <c r="AF22" s="103">
        <v>0</v>
      </c>
      <c r="AG22" s="103">
        <v>0</v>
      </c>
      <c r="AH22" s="103">
        <v>0</v>
      </c>
      <c r="AI22" s="103">
        <v>0</v>
      </c>
      <c r="AJ22" s="103">
        <v>0</v>
      </c>
      <c r="AK22" s="103">
        <v>0</v>
      </c>
      <c r="AL22" s="103">
        <v>0</v>
      </c>
      <c r="AM22" s="103">
        <v>0</v>
      </c>
      <c r="AN22" s="103">
        <v>0</v>
      </c>
      <c r="AO22" s="103">
        <v>0</v>
      </c>
      <c r="AP22" s="103">
        <v>0</v>
      </c>
      <c r="AQ22" s="103">
        <v>0</v>
      </c>
    </row>
    <row r="23" spans="1:43" customFormat="1" x14ac:dyDescent="0.15">
      <c r="A23" s="175" t="s">
        <v>213</v>
      </c>
      <c r="B23" s="103">
        <v>0</v>
      </c>
      <c r="C23" s="103">
        <v>0</v>
      </c>
      <c r="D23" s="103">
        <v>0</v>
      </c>
      <c r="E23" s="103">
        <v>0.8</v>
      </c>
      <c r="F23" s="103">
        <v>0.8</v>
      </c>
      <c r="G23" s="103">
        <v>0</v>
      </c>
      <c r="H23" s="103">
        <v>0</v>
      </c>
      <c r="I23" s="103">
        <v>0</v>
      </c>
      <c r="J23" s="103">
        <v>0.8</v>
      </c>
      <c r="K23" s="103">
        <v>0</v>
      </c>
      <c r="L23" s="103">
        <v>0</v>
      </c>
      <c r="M23" s="103">
        <v>0</v>
      </c>
      <c r="N23" s="103">
        <v>0</v>
      </c>
      <c r="O23" s="103">
        <v>0.8</v>
      </c>
      <c r="P23" s="103">
        <v>0</v>
      </c>
      <c r="Q23" s="103">
        <v>0.8</v>
      </c>
      <c r="R23" s="103">
        <v>0.8</v>
      </c>
      <c r="S23" s="103">
        <v>0.8</v>
      </c>
      <c r="T23" s="103">
        <v>0.8</v>
      </c>
      <c r="U23" s="103">
        <v>0.8</v>
      </c>
      <c r="V23" s="103">
        <v>0</v>
      </c>
      <c r="W23" s="103">
        <v>0</v>
      </c>
      <c r="X23" s="103">
        <v>0</v>
      </c>
      <c r="Y23" s="103">
        <v>0</v>
      </c>
      <c r="Z23" s="103">
        <v>0.8</v>
      </c>
      <c r="AA23" s="103">
        <v>0</v>
      </c>
      <c r="AB23" s="103">
        <v>0</v>
      </c>
      <c r="AC23" s="103">
        <v>0</v>
      </c>
      <c r="AD23" s="103">
        <v>0</v>
      </c>
      <c r="AE23" s="103">
        <v>0</v>
      </c>
      <c r="AF23" s="103">
        <v>0</v>
      </c>
      <c r="AG23" s="103">
        <v>0</v>
      </c>
      <c r="AH23" s="103">
        <v>0</v>
      </c>
      <c r="AI23" s="103">
        <v>0</v>
      </c>
      <c r="AJ23" s="103">
        <v>0</v>
      </c>
      <c r="AK23" s="103">
        <v>0</v>
      </c>
      <c r="AL23" s="103">
        <v>0</v>
      </c>
      <c r="AM23" s="103">
        <v>0</v>
      </c>
      <c r="AN23" s="103">
        <v>0</v>
      </c>
      <c r="AO23" s="103">
        <v>0</v>
      </c>
      <c r="AP23" s="103">
        <v>0</v>
      </c>
      <c r="AQ23" s="103">
        <v>0</v>
      </c>
    </row>
    <row r="24" spans="1:43" customFormat="1" x14ac:dyDescent="0.15">
      <c r="A24" s="175" t="s">
        <v>214</v>
      </c>
      <c r="B24" s="103">
        <v>0</v>
      </c>
      <c r="C24" s="103">
        <v>0</v>
      </c>
      <c r="D24" s="103">
        <v>0</v>
      </c>
      <c r="E24" s="103">
        <v>0.8</v>
      </c>
      <c r="F24" s="103">
        <v>0.8</v>
      </c>
      <c r="G24" s="103">
        <v>0</v>
      </c>
      <c r="H24" s="103">
        <v>0</v>
      </c>
      <c r="I24" s="103">
        <v>0</v>
      </c>
      <c r="J24" s="103">
        <v>0.8</v>
      </c>
      <c r="K24" s="103">
        <v>0</v>
      </c>
      <c r="L24" s="103">
        <v>0</v>
      </c>
      <c r="M24" s="103">
        <v>0.8</v>
      </c>
      <c r="N24" s="103">
        <v>0</v>
      </c>
      <c r="O24" s="103">
        <v>0.8</v>
      </c>
      <c r="P24" s="103">
        <v>0</v>
      </c>
      <c r="Q24" s="103">
        <v>0.8</v>
      </c>
      <c r="R24" s="103">
        <v>0.8</v>
      </c>
      <c r="S24" s="103">
        <v>0.8</v>
      </c>
      <c r="T24" s="103">
        <v>0.8</v>
      </c>
      <c r="U24" s="103">
        <v>0.8</v>
      </c>
      <c r="V24" s="103">
        <v>0</v>
      </c>
      <c r="W24" s="103">
        <v>0</v>
      </c>
      <c r="X24" s="103">
        <v>0.8</v>
      </c>
      <c r="Y24" s="103">
        <v>0</v>
      </c>
      <c r="Z24" s="103">
        <v>0</v>
      </c>
      <c r="AA24" s="103">
        <v>0</v>
      </c>
      <c r="AB24" s="103">
        <v>0</v>
      </c>
      <c r="AC24" s="103">
        <v>0</v>
      </c>
      <c r="AD24" s="103">
        <v>0</v>
      </c>
      <c r="AE24" s="103">
        <v>0</v>
      </c>
      <c r="AF24" s="103">
        <v>0</v>
      </c>
      <c r="AG24" s="103">
        <v>0</v>
      </c>
      <c r="AH24" s="103">
        <v>0</v>
      </c>
      <c r="AI24" s="103">
        <v>0</v>
      </c>
      <c r="AJ24" s="103">
        <v>0</v>
      </c>
      <c r="AK24" s="103">
        <v>0</v>
      </c>
      <c r="AL24" s="103">
        <v>0</v>
      </c>
      <c r="AM24" s="103">
        <v>0</v>
      </c>
      <c r="AN24" s="103">
        <v>0</v>
      </c>
      <c r="AO24" s="103">
        <v>0</v>
      </c>
      <c r="AP24" s="103">
        <v>0</v>
      </c>
      <c r="AQ24" s="103">
        <v>0</v>
      </c>
    </row>
    <row r="25" spans="1:43" customFormat="1" x14ac:dyDescent="0.15">
      <c r="A25" s="175" t="s">
        <v>215</v>
      </c>
      <c r="B25" s="103">
        <v>0</v>
      </c>
      <c r="C25" s="103">
        <v>0</v>
      </c>
      <c r="D25" s="103">
        <v>0</v>
      </c>
      <c r="E25" s="103">
        <v>0</v>
      </c>
      <c r="F25" s="103">
        <v>0</v>
      </c>
      <c r="G25" s="103">
        <v>0</v>
      </c>
      <c r="H25" s="103">
        <v>0</v>
      </c>
      <c r="I25" s="103">
        <v>0</v>
      </c>
      <c r="J25" s="103">
        <v>0</v>
      </c>
      <c r="K25" s="103">
        <v>0</v>
      </c>
      <c r="L25" s="103">
        <v>0.8</v>
      </c>
      <c r="M25" s="103">
        <v>0.8</v>
      </c>
      <c r="N25" s="103">
        <v>0</v>
      </c>
      <c r="O25" s="103">
        <v>0.8</v>
      </c>
      <c r="P25" s="103">
        <v>0</v>
      </c>
      <c r="Q25" s="103">
        <v>0.8</v>
      </c>
      <c r="R25" s="103">
        <v>0.8</v>
      </c>
      <c r="S25" s="103">
        <v>0.8</v>
      </c>
      <c r="T25" s="103">
        <v>0</v>
      </c>
      <c r="U25" s="103">
        <v>0.8</v>
      </c>
      <c r="V25" s="103">
        <v>0</v>
      </c>
      <c r="W25" s="103">
        <v>0</v>
      </c>
      <c r="X25" s="103">
        <v>0.8</v>
      </c>
      <c r="Y25" s="103">
        <v>0</v>
      </c>
      <c r="Z25" s="103">
        <v>0.8</v>
      </c>
      <c r="AA25" s="103">
        <v>0.8</v>
      </c>
      <c r="AB25" s="103">
        <v>0</v>
      </c>
      <c r="AC25" s="103">
        <v>0</v>
      </c>
      <c r="AD25" s="103">
        <v>0</v>
      </c>
      <c r="AE25" s="103">
        <v>0</v>
      </c>
      <c r="AF25" s="103">
        <v>0.8</v>
      </c>
      <c r="AG25" s="103">
        <v>0.8</v>
      </c>
      <c r="AH25" s="103">
        <v>0</v>
      </c>
      <c r="AI25" s="103">
        <v>0</v>
      </c>
      <c r="AJ25" s="103">
        <v>0</v>
      </c>
      <c r="AK25" s="103">
        <v>0</v>
      </c>
      <c r="AL25" s="103">
        <v>0</v>
      </c>
      <c r="AM25" s="103">
        <v>0</v>
      </c>
      <c r="AN25" s="103">
        <v>0</v>
      </c>
      <c r="AO25" s="103">
        <v>0</v>
      </c>
      <c r="AP25" s="103">
        <v>0</v>
      </c>
      <c r="AQ25" s="103">
        <v>0</v>
      </c>
    </row>
    <row r="26" spans="1:43" customFormat="1" x14ac:dyDescent="0.15">
      <c r="A26" s="175" t="s">
        <v>216</v>
      </c>
      <c r="B26" s="103">
        <v>0</v>
      </c>
      <c r="C26" s="103">
        <v>0</v>
      </c>
      <c r="D26" s="103">
        <v>0</v>
      </c>
      <c r="E26" s="103">
        <v>0</v>
      </c>
      <c r="F26" s="103">
        <v>0.8</v>
      </c>
      <c r="G26" s="103">
        <v>0</v>
      </c>
      <c r="H26" s="103">
        <v>0</v>
      </c>
      <c r="I26" s="103">
        <v>0</v>
      </c>
      <c r="J26" s="103">
        <v>0</v>
      </c>
      <c r="K26" s="103">
        <v>0</v>
      </c>
      <c r="L26" s="103">
        <v>0.8</v>
      </c>
      <c r="M26" s="103">
        <v>0</v>
      </c>
      <c r="N26" s="103">
        <v>0.8</v>
      </c>
      <c r="O26" s="103">
        <v>0.8</v>
      </c>
      <c r="P26" s="103">
        <v>0</v>
      </c>
      <c r="Q26" s="103">
        <v>0.8</v>
      </c>
      <c r="R26" s="103">
        <v>0.8</v>
      </c>
      <c r="S26" s="103">
        <v>0</v>
      </c>
      <c r="T26" s="103">
        <v>0</v>
      </c>
      <c r="U26" s="103">
        <v>0.8</v>
      </c>
      <c r="V26" s="103">
        <v>0</v>
      </c>
      <c r="W26" s="103">
        <v>0</v>
      </c>
      <c r="X26" s="103">
        <v>0</v>
      </c>
      <c r="Y26" s="103">
        <v>0</v>
      </c>
      <c r="Z26" s="103">
        <v>0</v>
      </c>
      <c r="AA26" s="103">
        <v>0</v>
      </c>
      <c r="AB26" s="103">
        <v>0</v>
      </c>
      <c r="AC26" s="103">
        <v>0</v>
      </c>
      <c r="AD26" s="103">
        <v>0</v>
      </c>
      <c r="AE26" s="103">
        <v>0</v>
      </c>
      <c r="AF26" s="103">
        <v>0</v>
      </c>
      <c r="AG26" s="103">
        <v>0</v>
      </c>
      <c r="AH26" s="103">
        <v>0</v>
      </c>
      <c r="AI26" s="103">
        <v>0</v>
      </c>
      <c r="AJ26" s="103">
        <v>0</v>
      </c>
      <c r="AK26" s="103">
        <v>0</v>
      </c>
      <c r="AL26" s="103">
        <v>0</v>
      </c>
      <c r="AM26" s="103">
        <v>0</v>
      </c>
      <c r="AN26" s="103">
        <v>0</v>
      </c>
      <c r="AO26" s="103">
        <v>0</v>
      </c>
      <c r="AP26" s="103">
        <v>0</v>
      </c>
      <c r="AQ26" s="103">
        <v>0</v>
      </c>
    </row>
    <row r="27" spans="1:43" customFormat="1" x14ac:dyDescent="0.15">
      <c r="A27" s="175" t="s">
        <v>217</v>
      </c>
      <c r="B27" s="103">
        <v>0</v>
      </c>
      <c r="C27" s="103">
        <v>0.8</v>
      </c>
      <c r="D27" s="103">
        <v>0</v>
      </c>
      <c r="E27" s="103">
        <v>0.8</v>
      </c>
      <c r="F27" s="103">
        <v>0.8</v>
      </c>
      <c r="G27" s="103">
        <v>0.8</v>
      </c>
      <c r="H27" s="103">
        <v>0</v>
      </c>
      <c r="I27" s="103">
        <v>0</v>
      </c>
      <c r="J27" s="103">
        <v>0.8</v>
      </c>
      <c r="K27" s="103">
        <v>0.8</v>
      </c>
      <c r="L27" s="103">
        <v>0.8</v>
      </c>
      <c r="M27" s="103">
        <v>0.8</v>
      </c>
      <c r="N27" s="103">
        <v>0.8</v>
      </c>
      <c r="O27" s="103">
        <v>0.8</v>
      </c>
      <c r="P27" s="103">
        <v>0.8</v>
      </c>
      <c r="Q27" s="103">
        <v>0.8</v>
      </c>
      <c r="R27" s="103">
        <v>0.8</v>
      </c>
      <c r="S27" s="103">
        <v>0.8</v>
      </c>
      <c r="T27" s="103">
        <v>0.8</v>
      </c>
      <c r="U27" s="103">
        <v>0.8</v>
      </c>
      <c r="V27" s="103">
        <v>0</v>
      </c>
      <c r="W27" s="103">
        <v>0</v>
      </c>
      <c r="X27" s="103">
        <v>0.8</v>
      </c>
      <c r="Y27" s="103">
        <v>0</v>
      </c>
      <c r="Z27" s="103">
        <v>0.8</v>
      </c>
      <c r="AA27" s="103">
        <v>0.8</v>
      </c>
      <c r="AB27" s="103">
        <v>0</v>
      </c>
      <c r="AC27" s="103">
        <v>0</v>
      </c>
      <c r="AD27" s="103">
        <v>0</v>
      </c>
      <c r="AE27" s="103">
        <v>0</v>
      </c>
      <c r="AF27" s="103">
        <v>0.8</v>
      </c>
      <c r="AG27" s="103">
        <v>0</v>
      </c>
      <c r="AH27" s="103">
        <v>0</v>
      </c>
      <c r="AI27" s="103">
        <v>0</v>
      </c>
      <c r="AJ27" s="103">
        <v>0</v>
      </c>
      <c r="AK27" s="103">
        <v>0</v>
      </c>
      <c r="AL27" s="103">
        <v>0</v>
      </c>
      <c r="AM27" s="103">
        <v>0</v>
      </c>
      <c r="AN27" s="103">
        <v>0</v>
      </c>
      <c r="AO27" s="103">
        <v>0</v>
      </c>
      <c r="AP27" s="103">
        <v>0</v>
      </c>
      <c r="AQ27" s="103">
        <v>0</v>
      </c>
    </row>
    <row r="28" spans="1:43" customFormat="1" x14ac:dyDescent="0.15">
      <c r="A28" s="175" t="s">
        <v>218</v>
      </c>
      <c r="B28" s="103">
        <v>0</v>
      </c>
      <c r="C28" s="103">
        <v>0</v>
      </c>
      <c r="D28" s="103">
        <v>0</v>
      </c>
      <c r="E28" s="103">
        <v>0.8</v>
      </c>
      <c r="F28" s="103">
        <v>0</v>
      </c>
      <c r="G28" s="103">
        <v>0</v>
      </c>
      <c r="H28" s="103">
        <v>0.8</v>
      </c>
      <c r="I28" s="103">
        <v>0</v>
      </c>
      <c r="J28" s="103">
        <v>0.8</v>
      </c>
      <c r="K28" s="103">
        <v>0</v>
      </c>
      <c r="L28" s="103">
        <v>0</v>
      </c>
      <c r="M28" s="103">
        <v>0</v>
      </c>
      <c r="N28" s="103">
        <v>0</v>
      </c>
      <c r="O28" s="103">
        <v>0</v>
      </c>
      <c r="P28" s="103">
        <v>0</v>
      </c>
      <c r="Q28" s="103">
        <v>0</v>
      </c>
      <c r="R28" s="103">
        <v>0</v>
      </c>
      <c r="S28" s="103">
        <v>0</v>
      </c>
      <c r="T28" s="103">
        <v>0</v>
      </c>
      <c r="U28" s="103">
        <v>0</v>
      </c>
      <c r="V28" s="103">
        <v>0</v>
      </c>
      <c r="W28" s="103">
        <v>0</v>
      </c>
      <c r="X28" s="103">
        <v>0</v>
      </c>
      <c r="Y28" s="103">
        <v>0</v>
      </c>
      <c r="Z28" s="103">
        <v>0</v>
      </c>
      <c r="AA28" s="103">
        <v>0</v>
      </c>
      <c r="AB28" s="103">
        <v>0</v>
      </c>
      <c r="AC28" s="103">
        <v>0</v>
      </c>
      <c r="AD28" s="103">
        <v>0</v>
      </c>
      <c r="AE28" s="103">
        <v>0</v>
      </c>
      <c r="AF28" s="103">
        <v>0</v>
      </c>
      <c r="AG28" s="103">
        <v>0</v>
      </c>
      <c r="AH28" s="103">
        <v>0</v>
      </c>
      <c r="AI28" s="103">
        <v>0</v>
      </c>
      <c r="AJ28" s="103">
        <v>0</v>
      </c>
      <c r="AK28" s="103">
        <v>0</v>
      </c>
      <c r="AL28" s="103">
        <v>0</v>
      </c>
      <c r="AM28" s="103">
        <v>0</v>
      </c>
      <c r="AN28" s="103">
        <v>0</v>
      </c>
      <c r="AO28" s="103">
        <v>0</v>
      </c>
      <c r="AP28" s="103">
        <v>0</v>
      </c>
      <c r="AQ28" s="103">
        <v>0</v>
      </c>
    </row>
    <row r="29" spans="1:43" customFormat="1" x14ac:dyDescent="0.15">
      <c r="A29" s="175" t="s">
        <v>219</v>
      </c>
      <c r="B29" s="103">
        <v>0</v>
      </c>
      <c r="C29" s="103">
        <v>0</v>
      </c>
      <c r="D29" s="103">
        <v>0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103">
        <v>0</v>
      </c>
      <c r="O29" s="103">
        <v>0</v>
      </c>
      <c r="P29" s="103">
        <v>0</v>
      </c>
      <c r="Q29" s="103">
        <v>0</v>
      </c>
      <c r="R29" s="103">
        <v>0</v>
      </c>
      <c r="S29" s="103">
        <v>0</v>
      </c>
      <c r="T29" s="103">
        <v>0</v>
      </c>
      <c r="U29" s="103">
        <v>0</v>
      </c>
      <c r="V29" s="103">
        <v>0</v>
      </c>
      <c r="W29" s="103">
        <v>0</v>
      </c>
      <c r="X29" s="103">
        <v>0</v>
      </c>
      <c r="Y29" s="103">
        <v>0</v>
      </c>
      <c r="Z29" s="103">
        <v>0</v>
      </c>
      <c r="AA29" s="103">
        <v>0</v>
      </c>
      <c r="AB29" s="103">
        <v>0</v>
      </c>
      <c r="AC29" s="103">
        <v>0</v>
      </c>
      <c r="AD29" s="103">
        <v>0</v>
      </c>
      <c r="AE29" s="103">
        <v>0</v>
      </c>
      <c r="AF29" s="103">
        <v>0</v>
      </c>
      <c r="AG29" s="103">
        <v>0</v>
      </c>
      <c r="AH29" s="103">
        <v>0</v>
      </c>
      <c r="AI29" s="103">
        <v>0</v>
      </c>
      <c r="AJ29" s="103">
        <v>0</v>
      </c>
      <c r="AK29" s="103">
        <v>0</v>
      </c>
      <c r="AL29" s="103">
        <v>0</v>
      </c>
      <c r="AM29" s="103">
        <v>0</v>
      </c>
      <c r="AN29" s="103">
        <v>0</v>
      </c>
      <c r="AO29" s="103">
        <v>0</v>
      </c>
      <c r="AP29" s="103">
        <v>0</v>
      </c>
      <c r="AQ29" s="103">
        <v>0</v>
      </c>
    </row>
    <row r="30" spans="1:43" customFormat="1" x14ac:dyDescent="0.15">
      <c r="A30" s="175" t="s">
        <v>220</v>
      </c>
      <c r="B30" s="103">
        <v>0</v>
      </c>
      <c r="C30" s="103">
        <v>0.8</v>
      </c>
      <c r="D30" s="103">
        <v>0</v>
      </c>
      <c r="E30" s="103">
        <v>0.8</v>
      </c>
      <c r="F30" s="103">
        <v>0.8</v>
      </c>
      <c r="G30" s="103">
        <v>0.8</v>
      </c>
      <c r="H30" s="103">
        <v>0</v>
      </c>
      <c r="I30" s="103">
        <v>0.8</v>
      </c>
      <c r="J30" s="103">
        <v>0</v>
      </c>
      <c r="K30" s="103">
        <v>0.8</v>
      </c>
      <c r="L30" s="103">
        <v>0.8</v>
      </c>
      <c r="M30" s="103">
        <v>0.8</v>
      </c>
      <c r="N30" s="103">
        <v>0.8</v>
      </c>
      <c r="O30" s="103">
        <v>0.8</v>
      </c>
      <c r="P30" s="103">
        <v>0.8</v>
      </c>
      <c r="Q30" s="103">
        <v>0.8</v>
      </c>
      <c r="R30" s="103">
        <v>0.8</v>
      </c>
      <c r="S30" s="103">
        <v>0.8</v>
      </c>
      <c r="T30" s="103">
        <v>0.8</v>
      </c>
      <c r="U30" s="103">
        <v>0</v>
      </c>
      <c r="V30" s="103">
        <v>0</v>
      </c>
      <c r="W30" s="103">
        <v>0</v>
      </c>
      <c r="X30" s="103">
        <v>0.8</v>
      </c>
      <c r="Y30" s="103">
        <v>0</v>
      </c>
      <c r="Z30" s="103">
        <v>0</v>
      </c>
      <c r="AA30" s="103">
        <v>0.8</v>
      </c>
      <c r="AB30" s="103">
        <v>0</v>
      </c>
      <c r="AC30" s="103">
        <v>0</v>
      </c>
      <c r="AD30" s="103">
        <v>0</v>
      </c>
      <c r="AE30" s="103">
        <v>0</v>
      </c>
      <c r="AF30" s="103">
        <v>0</v>
      </c>
      <c r="AG30" s="103">
        <v>0</v>
      </c>
      <c r="AH30" s="103">
        <v>0</v>
      </c>
      <c r="AI30" s="103">
        <v>0</v>
      </c>
      <c r="AJ30" s="103">
        <v>0</v>
      </c>
      <c r="AK30" s="103">
        <v>0</v>
      </c>
      <c r="AL30" s="103">
        <v>0</v>
      </c>
      <c r="AM30" s="103">
        <v>0</v>
      </c>
      <c r="AN30" s="103">
        <v>0</v>
      </c>
      <c r="AO30" s="103">
        <v>0</v>
      </c>
      <c r="AP30" s="103">
        <v>0</v>
      </c>
      <c r="AQ30" s="103">
        <v>0</v>
      </c>
    </row>
    <row r="31" spans="1:43" customFormat="1" x14ac:dyDescent="0.15">
      <c r="A31" s="175" t="s">
        <v>221</v>
      </c>
      <c r="B31" s="103">
        <v>0</v>
      </c>
      <c r="C31" s="103">
        <v>0</v>
      </c>
      <c r="D31" s="103">
        <v>0</v>
      </c>
      <c r="E31" s="103">
        <v>0.8</v>
      </c>
      <c r="F31" s="103">
        <v>0</v>
      </c>
      <c r="G31" s="103">
        <v>0</v>
      </c>
      <c r="H31" s="103">
        <v>0</v>
      </c>
      <c r="I31" s="103">
        <v>0</v>
      </c>
      <c r="J31" s="103">
        <v>0.8</v>
      </c>
      <c r="K31" s="103">
        <v>0</v>
      </c>
      <c r="L31" s="103">
        <v>0</v>
      </c>
      <c r="M31" s="103">
        <v>0.8</v>
      </c>
      <c r="N31" s="103">
        <v>0.8</v>
      </c>
      <c r="O31" s="103">
        <v>0.8</v>
      </c>
      <c r="P31" s="103">
        <v>0.8</v>
      </c>
      <c r="Q31" s="103">
        <v>0</v>
      </c>
      <c r="R31" s="103">
        <v>0.8</v>
      </c>
      <c r="S31" s="103">
        <v>0.8</v>
      </c>
      <c r="T31" s="103">
        <v>0.8</v>
      </c>
      <c r="U31" s="103">
        <v>0</v>
      </c>
      <c r="V31" s="103">
        <v>0.8</v>
      </c>
      <c r="W31" s="103">
        <v>0</v>
      </c>
      <c r="X31" s="103">
        <v>0</v>
      </c>
      <c r="Y31" s="103">
        <v>0.8</v>
      </c>
      <c r="Z31" s="103">
        <v>0</v>
      </c>
      <c r="AA31" s="103">
        <v>0.8</v>
      </c>
      <c r="AB31" s="103">
        <v>0.8</v>
      </c>
      <c r="AC31" s="103">
        <v>0.8</v>
      </c>
      <c r="AD31" s="103">
        <v>0.8</v>
      </c>
      <c r="AE31" s="103">
        <v>0</v>
      </c>
      <c r="AF31" s="103">
        <v>0</v>
      </c>
      <c r="AG31" s="103">
        <v>0.8</v>
      </c>
      <c r="AH31" s="103">
        <v>0</v>
      </c>
      <c r="AI31" s="103">
        <v>0</v>
      </c>
      <c r="AJ31" s="103">
        <v>0</v>
      </c>
      <c r="AK31" s="103">
        <v>0</v>
      </c>
      <c r="AL31" s="103">
        <v>0</v>
      </c>
      <c r="AM31" s="103">
        <v>0</v>
      </c>
      <c r="AN31" s="103">
        <v>0</v>
      </c>
      <c r="AO31" s="103">
        <v>0</v>
      </c>
      <c r="AP31" s="103">
        <v>0</v>
      </c>
      <c r="AQ31" s="103">
        <v>0</v>
      </c>
    </row>
    <row r="32" spans="1:43" customFormat="1" x14ac:dyDescent="0.15">
      <c r="A32" s="175" t="s">
        <v>222</v>
      </c>
      <c r="B32" s="103">
        <v>0</v>
      </c>
      <c r="C32" s="103">
        <v>0</v>
      </c>
      <c r="D32" s="103">
        <v>0</v>
      </c>
      <c r="E32" s="103">
        <v>0</v>
      </c>
      <c r="F32" s="103">
        <v>0.8</v>
      </c>
      <c r="G32" s="103">
        <v>0</v>
      </c>
      <c r="H32" s="103">
        <v>0</v>
      </c>
      <c r="I32" s="103">
        <v>0</v>
      </c>
      <c r="J32" s="103">
        <v>0</v>
      </c>
      <c r="K32" s="103">
        <v>0</v>
      </c>
      <c r="L32" s="103">
        <v>0</v>
      </c>
      <c r="M32" s="103">
        <v>0.8</v>
      </c>
      <c r="N32" s="103">
        <v>0</v>
      </c>
      <c r="O32" s="103">
        <v>0.8</v>
      </c>
      <c r="P32" s="103">
        <v>0</v>
      </c>
      <c r="Q32" s="103">
        <v>0.8</v>
      </c>
      <c r="R32" s="103">
        <v>0.8</v>
      </c>
      <c r="S32" s="103">
        <v>0.8</v>
      </c>
      <c r="T32" s="103">
        <v>0.8</v>
      </c>
      <c r="U32" s="103">
        <v>0.8</v>
      </c>
      <c r="V32" s="103">
        <v>0</v>
      </c>
      <c r="W32" s="103">
        <v>0</v>
      </c>
      <c r="X32" s="103">
        <v>0</v>
      </c>
      <c r="Y32" s="103">
        <v>0</v>
      </c>
      <c r="Z32" s="103">
        <v>0</v>
      </c>
      <c r="AA32" s="103">
        <v>0</v>
      </c>
      <c r="AB32" s="103">
        <v>0</v>
      </c>
      <c r="AC32" s="103">
        <v>0</v>
      </c>
      <c r="AD32" s="103">
        <v>0</v>
      </c>
      <c r="AE32" s="103">
        <v>0</v>
      </c>
      <c r="AF32" s="103">
        <v>0</v>
      </c>
      <c r="AG32" s="103">
        <v>0</v>
      </c>
      <c r="AH32" s="103">
        <v>0</v>
      </c>
      <c r="AI32" s="103">
        <v>0</v>
      </c>
      <c r="AJ32" s="103">
        <v>0</v>
      </c>
      <c r="AK32" s="103">
        <v>0</v>
      </c>
      <c r="AL32" s="103">
        <v>0</v>
      </c>
      <c r="AM32" s="103">
        <v>0</v>
      </c>
      <c r="AN32" s="103">
        <v>0</v>
      </c>
      <c r="AO32" s="103">
        <v>0</v>
      </c>
      <c r="AP32" s="103">
        <v>0</v>
      </c>
      <c r="AQ32" s="103">
        <v>0</v>
      </c>
    </row>
    <row r="33" spans="1:43" x14ac:dyDescent="0.15">
      <c r="A33" s="175" t="s">
        <v>223</v>
      </c>
      <c r="B33" s="103">
        <v>0</v>
      </c>
      <c r="C33" s="103">
        <v>0</v>
      </c>
      <c r="D33" s="103">
        <v>0</v>
      </c>
      <c r="E33" s="103">
        <v>0.8</v>
      </c>
      <c r="F33" s="103">
        <v>0.8</v>
      </c>
      <c r="G33" s="103">
        <v>0.8</v>
      </c>
      <c r="H33" s="103">
        <v>0</v>
      </c>
      <c r="I33" s="103">
        <v>0</v>
      </c>
      <c r="J33" s="103">
        <v>0</v>
      </c>
      <c r="K33" s="103">
        <v>0.8</v>
      </c>
      <c r="L33" s="103">
        <v>0.8</v>
      </c>
      <c r="M33" s="103">
        <v>0.8</v>
      </c>
      <c r="N33" s="103">
        <v>0.8</v>
      </c>
      <c r="O33" s="103">
        <v>0.8</v>
      </c>
      <c r="P33" s="103">
        <v>0.8</v>
      </c>
      <c r="Q33" s="103">
        <v>0.8</v>
      </c>
      <c r="R33" s="103">
        <v>0.8</v>
      </c>
      <c r="S33" s="103">
        <v>0.8</v>
      </c>
      <c r="T33" s="103">
        <v>0.8</v>
      </c>
      <c r="U33" s="103">
        <v>0</v>
      </c>
      <c r="V33" s="103">
        <v>0</v>
      </c>
      <c r="W33" s="103">
        <v>0</v>
      </c>
      <c r="X33" s="103">
        <v>0.8</v>
      </c>
      <c r="Y33" s="103">
        <v>0</v>
      </c>
      <c r="Z33" s="103">
        <v>0</v>
      </c>
      <c r="AA33" s="103">
        <v>0.8</v>
      </c>
      <c r="AB33" s="103">
        <v>0</v>
      </c>
      <c r="AC33" s="103">
        <v>0</v>
      </c>
      <c r="AD33" s="103">
        <v>0</v>
      </c>
      <c r="AE33" s="103">
        <v>0</v>
      </c>
      <c r="AF33" s="103">
        <v>0</v>
      </c>
      <c r="AG33" s="103">
        <v>0</v>
      </c>
      <c r="AH33" s="103">
        <v>0</v>
      </c>
      <c r="AI33" s="103">
        <v>0</v>
      </c>
      <c r="AJ33" s="103">
        <v>0</v>
      </c>
      <c r="AK33" s="103">
        <v>0</v>
      </c>
      <c r="AL33" s="103">
        <v>0</v>
      </c>
      <c r="AM33" s="103">
        <v>0</v>
      </c>
      <c r="AN33" s="103">
        <v>0</v>
      </c>
      <c r="AO33" s="103">
        <v>0</v>
      </c>
      <c r="AP33" s="103">
        <v>0</v>
      </c>
      <c r="AQ33" s="103">
        <v>0</v>
      </c>
    </row>
    <row r="34" spans="1:43" x14ac:dyDescent="0.15">
      <c r="A34" s="175" t="s">
        <v>224</v>
      </c>
      <c r="B34" s="103">
        <v>0</v>
      </c>
      <c r="C34" s="103">
        <v>0</v>
      </c>
      <c r="D34" s="103">
        <v>0</v>
      </c>
      <c r="E34" s="103">
        <v>0.8</v>
      </c>
      <c r="F34" s="103">
        <v>0</v>
      </c>
      <c r="G34" s="103">
        <v>0</v>
      </c>
      <c r="H34" s="103">
        <v>0</v>
      </c>
      <c r="I34" s="103">
        <v>0</v>
      </c>
      <c r="J34" s="103">
        <v>0</v>
      </c>
      <c r="K34" s="103">
        <v>0</v>
      </c>
      <c r="L34" s="103">
        <v>0</v>
      </c>
      <c r="M34" s="103">
        <v>0</v>
      </c>
      <c r="N34" s="103">
        <v>0</v>
      </c>
      <c r="O34" s="103">
        <v>0</v>
      </c>
      <c r="P34" s="103">
        <v>0</v>
      </c>
      <c r="Q34" s="103">
        <v>0.8</v>
      </c>
      <c r="R34" s="103">
        <v>0</v>
      </c>
      <c r="S34" s="103">
        <v>0.8</v>
      </c>
      <c r="T34" s="103">
        <v>0.8</v>
      </c>
      <c r="U34" s="103">
        <v>0</v>
      </c>
      <c r="V34" s="103">
        <v>0</v>
      </c>
      <c r="W34" s="103">
        <v>0</v>
      </c>
      <c r="X34" s="103">
        <v>0.8</v>
      </c>
      <c r="Y34" s="103">
        <v>0</v>
      </c>
      <c r="Z34" s="103">
        <v>0</v>
      </c>
      <c r="AA34" s="103">
        <v>0</v>
      </c>
      <c r="AB34" s="103">
        <v>0</v>
      </c>
      <c r="AC34" s="103">
        <v>0</v>
      </c>
      <c r="AD34" s="103">
        <v>0</v>
      </c>
      <c r="AE34" s="103">
        <v>0</v>
      </c>
      <c r="AF34" s="103">
        <v>0</v>
      </c>
      <c r="AG34" s="103">
        <v>0</v>
      </c>
      <c r="AH34" s="103">
        <v>0</v>
      </c>
      <c r="AI34" s="103">
        <v>0</v>
      </c>
      <c r="AJ34" s="103">
        <v>0</v>
      </c>
      <c r="AK34" s="103">
        <v>0</v>
      </c>
      <c r="AL34" s="103">
        <v>0</v>
      </c>
      <c r="AM34" s="103">
        <v>0</v>
      </c>
      <c r="AN34" s="103">
        <v>0</v>
      </c>
      <c r="AO34" s="103">
        <v>0</v>
      </c>
      <c r="AP34" s="103">
        <v>0</v>
      </c>
      <c r="AQ34" s="103">
        <v>0</v>
      </c>
    </row>
    <row r="35" spans="1:43" x14ac:dyDescent="0.15">
      <c r="A35" s="175" t="s">
        <v>225</v>
      </c>
      <c r="B35" s="103">
        <v>0.8</v>
      </c>
      <c r="C35" s="103">
        <v>0</v>
      </c>
      <c r="D35" s="103">
        <v>0.8</v>
      </c>
      <c r="E35" s="103">
        <v>0</v>
      </c>
      <c r="F35" s="103">
        <v>0</v>
      </c>
      <c r="G35" s="103">
        <v>0</v>
      </c>
      <c r="H35" s="103">
        <v>0</v>
      </c>
      <c r="I35" s="103">
        <v>0</v>
      </c>
      <c r="J35" s="103">
        <v>0</v>
      </c>
      <c r="K35" s="103">
        <v>0</v>
      </c>
      <c r="L35" s="103">
        <v>0</v>
      </c>
      <c r="M35" s="103">
        <v>0</v>
      </c>
      <c r="N35" s="103">
        <v>0</v>
      </c>
      <c r="O35" s="103">
        <v>0</v>
      </c>
      <c r="P35" s="103">
        <v>0</v>
      </c>
      <c r="Q35" s="103">
        <v>0</v>
      </c>
      <c r="R35" s="103">
        <v>0</v>
      </c>
      <c r="S35" s="103">
        <v>0</v>
      </c>
      <c r="T35" s="103">
        <v>0</v>
      </c>
      <c r="U35" s="103">
        <v>0</v>
      </c>
      <c r="V35" s="103">
        <v>0</v>
      </c>
      <c r="W35" s="103">
        <v>0</v>
      </c>
      <c r="X35" s="103">
        <v>0</v>
      </c>
      <c r="Y35" s="103">
        <v>0</v>
      </c>
      <c r="Z35" s="103">
        <v>0</v>
      </c>
      <c r="AA35" s="103">
        <v>0</v>
      </c>
      <c r="AB35" s="103">
        <v>0</v>
      </c>
      <c r="AC35" s="103">
        <v>0</v>
      </c>
      <c r="AD35" s="103">
        <v>0</v>
      </c>
      <c r="AE35" s="103">
        <v>0</v>
      </c>
      <c r="AF35" s="103">
        <v>0</v>
      </c>
      <c r="AG35" s="103">
        <v>0</v>
      </c>
      <c r="AH35" s="103">
        <v>0</v>
      </c>
      <c r="AI35" s="103">
        <v>0</v>
      </c>
      <c r="AJ35" s="103">
        <v>0</v>
      </c>
      <c r="AK35" s="103">
        <v>0</v>
      </c>
      <c r="AL35" s="103">
        <v>0</v>
      </c>
      <c r="AM35" s="103">
        <v>0</v>
      </c>
      <c r="AN35" s="103">
        <v>0</v>
      </c>
      <c r="AO35" s="103">
        <v>0</v>
      </c>
      <c r="AP35" s="103">
        <v>0</v>
      </c>
      <c r="AQ35" s="103">
        <v>0</v>
      </c>
    </row>
    <row r="36" spans="1:43" x14ac:dyDescent="0.15">
      <c r="A36" s="175" t="s">
        <v>226</v>
      </c>
      <c r="B36" s="103">
        <v>0</v>
      </c>
      <c r="C36" s="103">
        <v>0</v>
      </c>
      <c r="D36" s="103">
        <v>0</v>
      </c>
      <c r="E36" s="103">
        <v>0</v>
      </c>
      <c r="F36" s="103">
        <v>0</v>
      </c>
      <c r="G36" s="103">
        <v>0</v>
      </c>
      <c r="H36" s="103">
        <v>0</v>
      </c>
      <c r="I36" s="103">
        <v>0</v>
      </c>
      <c r="J36" s="103">
        <v>0</v>
      </c>
      <c r="K36" s="103">
        <v>0</v>
      </c>
      <c r="L36" s="103">
        <v>0.8</v>
      </c>
      <c r="M36" s="103">
        <v>0</v>
      </c>
      <c r="N36" s="103">
        <v>0</v>
      </c>
      <c r="O36" s="103">
        <v>0</v>
      </c>
      <c r="P36" s="103">
        <v>0</v>
      </c>
      <c r="Q36" s="103">
        <v>0</v>
      </c>
      <c r="R36" s="103">
        <v>0.8</v>
      </c>
      <c r="S36" s="103">
        <v>0.8</v>
      </c>
      <c r="T36" s="103">
        <v>0.8</v>
      </c>
      <c r="U36" s="103">
        <v>0.8</v>
      </c>
      <c r="V36" s="103">
        <v>0</v>
      </c>
      <c r="W36" s="103">
        <v>0.8</v>
      </c>
      <c r="X36" s="103">
        <v>0</v>
      </c>
      <c r="Y36" s="103">
        <v>0.8</v>
      </c>
      <c r="Z36" s="103">
        <v>0.8</v>
      </c>
      <c r="AA36" s="103">
        <v>0.8</v>
      </c>
      <c r="AB36" s="103">
        <v>0</v>
      </c>
      <c r="AC36" s="103">
        <v>0.8</v>
      </c>
      <c r="AD36" s="103">
        <v>0.8</v>
      </c>
      <c r="AE36" s="103">
        <v>0.8</v>
      </c>
      <c r="AF36" s="103">
        <v>0</v>
      </c>
      <c r="AG36" s="103">
        <v>0.8</v>
      </c>
      <c r="AH36" s="103">
        <v>0.8</v>
      </c>
      <c r="AI36" s="103">
        <v>0</v>
      </c>
      <c r="AJ36" s="103">
        <v>0</v>
      </c>
      <c r="AK36" s="103">
        <v>0</v>
      </c>
      <c r="AL36" s="103">
        <v>0</v>
      </c>
      <c r="AM36" s="103">
        <v>0</v>
      </c>
      <c r="AN36" s="103">
        <v>0</v>
      </c>
      <c r="AO36" s="103">
        <v>0</v>
      </c>
      <c r="AP36" s="103">
        <v>0</v>
      </c>
      <c r="AQ36" s="103">
        <v>0</v>
      </c>
    </row>
    <row r="37" spans="1:43" x14ac:dyDescent="0.15">
      <c r="A37" s="175" t="s">
        <v>227</v>
      </c>
      <c r="B37" s="103">
        <v>0.8</v>
      </c>
      <c r="C37" s="103">
        <v>0</v>
      </c>
      <c r="D37" s="103">
        <v>0.8</v>
      </c>
      <c r="E37" s="103">
        <v>0</v>
      </c>
      <c r="F37" s="103">
        <v>0</v>
      </c>
      <c r="G37" s="103">
        <v>0</v>
      </c>
      <c r="H37" s="103">
        <v>0.8</v>
      </c>
      <c r="I37" s="103">
        <v>0</v>
      </c>
      <c r="J37" s="103">
        <v>0.8</v>
      </c>
      <c r="K37" s="103">
        <v>0</v>
      </c>
      <c r="L37" s="103">
        <v>0</v>
      </c>
      <c r="M37" s="103">
        <v>0</v>
      </c>
      <c r="N37" s="103">
        <v>0</v>
      </c>
      <c r="O37" s="103">
        <v>0</v>
      </c>
      <c r="P37" s="103">
        <v>0</v>
      </c>
      <c r="Q37" s="103">
        <v>0</v>
      </c>
      <c r="R37" s="103">
        <v>0</v>
      </c>
      <c r="S37" s="103">
        <v>0</v>
      </c>
      <c r="T37" s="103">
        <v>0</v>
      </c>
      <c r="U37" s="103">
        <v>0</v>
      </c>
      <c r="V37" s="103">
        <v>0</v>
      </c>
      <c r="W37" s="103">
        <v>0</v>
      </c>
      <c r="X37" s="103">
        <v>0</v>
      </c>
      <c r="Y37" s="103">
        <v>0</v>
      </c>
      <c r="Z37" s="103">
        <v>0</v>
      </c>
      <c r="AA37" s="103">
        <v>0</v>
      </c>
      <c r="AB37" s="103">
        <v>0</v>
      </c>
      <c r="AC37" s="103">
        <v>0</v>
      </c>
      <c r="AD37" s="103">
        <v>0</v>
      </c>
      <c r="AE37" s="103">
        <v>0</v>
      </c>
      <c r="AF37" s="103">
        <v>0</v>
      </c>
      <c r="AG37" s="103">
        <v>0</v>
      </c>
      <c r="AH37" s="103">
        <v>0</v>
      </c>
      <c r="AI37" s="103">
        <v>0</v>
      </c>
      <c r="AJ37" s="103">
        <v>0</v>
      </c>
      <c r="AK37" s="103">
        <v>0</v>
      </c>
      <c r="AL37" s="103">
        <v>0</v>
      </c>
      <c r="AM37" s="103">
        <v>0</v>
      </c>
      <c r="AN37" s="103">
        <v>0</v>
      </c>
      <c r="AO37" s="103">
        <v>0</v>
      </c>
      <c r="AP37" s="103">
        <v>0</v>
      </c>
      <c r="AQ37" s="103">
        <v>0</v>
      </c>
    </row>
    <row r="38" spans="1:43" x14ac:dyDescent="0.15">
      <c r="A38" s="175" t="s">
        <v>228</v>
      </c>
      <c r="B38" s="103">
        <v>0</v>
      </c>
      <c r="C38" s="103">
        <v>0</v>
      </c>
      <c r="D38" s="103">
        <v>0</v>
      </c>
      <c r="E38" s="103">
        <v>0</v>
      </c>
      <c r="F38" s="103">
        <v>0</v>
      </c>
      <c r="G38" s="103">
        <v>0</v>
      </c>
      <c r="H38" s="103">
        <v>0</v>
      </c>
      <c r="I38" s="103">
        <v>0</v>
      </c>
      <c r="J38" s="103">
        <v>0</v>
      </c>
      <c r="K38" s="103">
        <v>0</v>
      </c>
      <c r="L38" s="103">
        <v>0</v>
      </c>
      <c r="M38" s="103">
        <v>0</v>
      </c>
      <c r="N38" s="103">
        <v>0</v>
      </c>
      <c r="O38" s="103">
        <v>0</v>
      </c>
      <c r="P38" s="103">
        <v>0</v>
      </c>
      <c r="Q38" s="103">
        <v>0.8</v>
      </c>
      <c r="R38" s="103">
        <v>0</v>
      </c>
      <c r="S38" s="103">
        <v>0.8</v>
      </c>
      <c r="T38" s="103">
        <v>0.8</v>
      </c>
      <c r="U38" s="103">
        <v>0</v>
      </c>
      <c r="V38" s="103">
        <v>0</v>
      </c>
      <c r="W38" s="103">
        <v>0</v>
      </c>
      <c r="X38" s="103">
        <v>0.8</v>
      </c>
      <c r="Y38" s="103">
        <v>0</v>
      </c>
      <c r="Z38" s="103">
        <v>0</v>
      </c>
      <c r="AA38" s="103">
        <v>0.8</v>
      </c>
      <c r="AB38" s="103">
        <v>0</v>
      </c>
      <c r="AC38" s="103">
        <v>0</v>
      </c>
      <c r="AD38" s="103">
        <v>0.8</v>
      </c>
      <c r="AE38" s="103">
        <v>0</v>
      </c>
      <c r="AF38" s="103">
        <v>0.8</v>
      </c>
      <c r="AG38" s="103">
        <v>0.8</v>
      </c>
      <c r="AH38" s="103">
        <v>0</v>
      </c>
      <c r="AI38" s="103">
        <v>0.8</v>
      </c>
      <c r="AJ38" s="103">
        <v>0</v>
      </c>
      <c r="AK38" s="103">
        <v>0.8</v>
      </c>
      <c r="AL38" s="103">
        <v>0</v>
      </c>
      <c r="AM38" s="103">
        <v>0</v>
      </c>
      <c r="AN38" s="103">
        <v>0</v>
      </c>
      <c r="AO38" s="103">
        <v>0</v>
      </c>
      <c r="AP38" s="103">
        <v>0</v>
      </c>
      <c r="AQ38" s="103">
        <v>0</v>
      </c>
    </row>
    <row r="39" spans="1:43" x14ac:dyDescent="0.15">
      <c r="A39" s="175" t="s">
        <v>229</v>
      </c>
      <c r="B39" s="103">
        <v>0</v>
      </c>
      <c r="C39" s="103">
        <v>0</v>
      </c>
      <c r="D39" s="103">
        <v>0</v>
      </c>
      <c r="E39" s="103">
        <v>0</v>
      </c>
      <c r="F39" s="103">
        <v>0.8</v>
      </c>
      <c r="G39" s="103">
        <v>0</v>
      </c>
      <c r="H39" s="103">
        <v>0</v>
      </c>
      <c r="I39" s="103">
        <v>0</v>
      </c>
      <c r="J39" s="103">
        <v>0</v>
      </c>
      <c r="K39" s="103">
        <v>0</v>
      </c>
      <c r="L39" s="103">
        <v>0</v>
      </c>
      <c r="M39" s="103">
        <v>0.8</v>
      </c>
      <c r="N39" s="103">
        <v>0</v>
      </c>
      <c r="O39" s="103">
        <v>0.8</v>
      </c>
      <c r="P39" s="103">
        <v>0</v>
      </c>
      <c r="Q39" s="103">
        <v>0.8</v>
      </c>
      <c r="R39" s="103">
        <v>0.8</v>
      </c>
      <c r="S39" s="103">
        <v>0.8</v>
      </c>
      <c r="T39" s="103">
        <v>0.8</v>
      </c>
      <c r="U39" s="103">
        <v>0.8</v>
      </c>
      <c r="V39" s="103">
        <v>0</v>
      </c>
      <c r="W39" s="103">
        <v>0</v>
      </c>
      <c r="X39" s="103">
        <v>0.8</v>
      </c>
      <c r="Y39" s="103">
        <v>0</v>
      </c>
      <c r="Z39" s="103">
        <v>0.8</v>
      </c>
      <c r="AA39" s="103">
        <v>0.8</v>
      </c>
      <c r="AB39" s="103">
        <v>0.8</v>
      </c>
      <c r="AC39" s="103">
        <v>0</v>
      </c>
      <c r="AD39" s="103">
        <v>0.8</v>
      </c>
      <c r="AE39" s="103">
        <v>0</v>
      </c>
      <c r="AF39" s="103">
        <v>0.8</v>
      </c>
      <c r="AG39" s="103">
        <v>0.8</v>
      </c>
      <c r="AH39" s="103">
        <v>0</v>
      </c>
      <c r="AI39" s="103">
        <v>0</v>
      </c>
      <c r="AJ39" s="103">
        <v>0</v>
      </c>
      <c r="AK39" s="103">
        <v>0.8</v>
      </c>
      <c r="AL39" s="103">
        <v>0</v>
      </c>
      <c r="AM39" s="103">
        <v>0</v>
      </c>
      <c r="AN39" s="103">
        <v>0</v>
      </c>
      <c r="AO39" s="103">
        <v>0</v>
      </c>
      <c r="AP39" s="103">
        <v>0</v>
      </c>
      <c r="AQ39" s="103">
        <v>0</v>
      </c>
    </row>
    <row r="40" spans="1:43" x14ac:dyDescent="0.15">
      <c r="A40" s="175" t="s">
        <v>230</v>
      </c>
      <c r="B40" s="103">
        <v>0</v>
      </c>
      <c r="C40" s="103">
        <v>0</v>
      </c>
      <c r="D40" s="103">
        <v>0</v>
      </c>
      <c r="E40" s="103">
        <v>0</v>
      </c>
      <c r="F40" s="103">
        <v>0</v>
      </c>
      <c r="G40" s="103">
        <v>0</v>
      </c>
      <c r="H40" s="103">
        <v>0</v>
      </c>
      <c r="I40" s="103">
        <v>0</v>
      </c>
      <c r="J40" s="103">
        <v>0</v>
      </c>
      <c r="K40" s="103">
        <v>0</v>
      </c>
      <c r="L40" s="103">
        <v>0</v>
      </c>
      <c r="M40" s="103">
        <v>0</v>
      </c>
      <c r="N40" s="103">
        <v>0</v>
      </c>
      <c r="O40" s="103">
        <v>0</v>
      </c>
      <c r="P40" s="103">
        <v>0</v>
      </c>
      <c r="Q40" s="103">
        <v>0</v>
      </c>
      <c r="R40" s="103">
        <v>0</v>
      </c>
      <c r="S40" s="103">
        <v>0.8</v>
      </c>
      <c r="T40" s="103">
        <v>0</v>
      </c>
      <c r="U40" s="103">
        <v>0</v>
      </c>
      <c r="V40" s="103">
        <v>0</v>
      </c>
      <c r="W40" s="103">
        <v>0</v>
      </c>
      <c r="X40" s="103">
        <v>0.8</v>
      </c>
      <c r="Y40" s="103">
        <v>0</v>
      </c>
      <c r="Z40" s="103">
        <v>0</v>
      </c>
      <c r="AA40" s="103">
        <v>0</v>
      </c>
      <c r="AB40" s="103">
        <v>0</v>
      </c>
      <c r="AC40" s="103">
        <v>0</v>
      </c>
      <c r="AD40" s="103">
        <v>0.8</v>
      </c>
      <c r="AE40" s="103">
        <v>0</v>
      </c>
      <c r="AF40" s="103">
        <v>0.8</v>
      </c>
      <c r="AG40" s="103">
        <v>0.8</v>
      </c>
      <c r="AH40" s="103">
        <v>0</v>
      </c>
      <c r="AI40" s="103">
        <v>0.8</v>
      </c>
      <c r="AJ40" s="103">
        <v>0</v>
      </c>
      <c r="AK40" s="103">
        <v>0</v>
      </c>
      <c r="AL40" s="103">
        <v>0</v>
      </c>
      <c r="AM40" s="103">
        <v>0</v>
      </c>
      <c r="AN40" s="103">
        <v>0</v>
      </c>
      <c r="AO40" s="103">
        <v>0</v>
      </c>
      <c r="AP40" s="103">
        <v>0</v>
      </c>
      <c r="AQ40" s="103">
        <v>0</v>
      </c>
    </row>
    <row r="41" spans="1:43" x14ac:dyDescent="0.15">
      <c r="A41" s="175" t="s">
        <v>231</v>
      </c>
      <c r="B41" s="103">
        <v>0</v>
      </c>
      <c r="C41" s="103">
        <v>0</v>
      </c>
      <c r="D41" s="103">
        <v>0</v>
      </c>
      <c r="E41" s="103">
        <v>0</v>
      </c>
      <c r="F41" s="103">
        <v>0</v>
      </c>
      <c r="G41" s="103">
        <v>0</v>
      </c>
      <c r="H41" s="103">
        <v>0</v>
      </c>
      <c r="I41" s="103">
        <v>0</v>
      </c>
      <c r="J41" s="103">
        <v>0</v>
      </c>
      <c r="K41" s="103">
        <v>0</v>
      </c>
      <c r="L41" s="103">
        <v>0</v>
      </c>
      <c r="M41" s="103">
        <v>0</v>
      </c>
      <c r="N41" s="103">
        <v>0</v>
      </c>
      <c r="O41" s="103">
        <v>0</v>
      </c>
      <c r="P41" s="103">
        <v>0</v>
      </c>
      <c r="Q41" s="103">
        <v>0</v>
      </c>
      <c r="R41" s="103">
        <v>0</v>
      </c>
      <c r="S41" s="103">
        <v>0</v>
      </c>
      <c r="T41" s="103">
        <v>0</v>
      </c>
      <c r="U41" s="103">
        <v>0</v>
      </c>
      <c r="V41" s="103">
        <v>0.8</v>
      </c>
      <c r="W41" s="103">
        <v>0.8</v>
      </c>
      <c r="X41" s="103">
        <v>0</v>
      </c>
      <c r="Y41" s="103">
        <v>0.8</v>
      </c>
      <c r="Z41" s="103">
        <v>0</v>
      </c>
      <c r="AA41" s="103">
        <v>0.8</v>
      </c>
      <c r="AB41" s="103">
        <v>0</v>
      </c>
      <c r="AC41" s="103">
        <v>0</v>
      </c>
      <c r="AD41" s="103">
        <v>0</v>
      </c>
      <c r="AE41" s="103">
        <v>0.8</v>
      </c>
      <c r="AF41" s="103">
        <v>0</v>
      </c>
      <c r="AG41" s="103">
        <v>0</v>
      </c>
      <c r="AH41" s="103">
        <v>0</v>
      </c>
      <c r="AI41" s="103">
        <v>0</v>
      </c>
      <c r="AJ41" s="103">
        <v>0.8</v>
      </c>
      <c r="AK41" s="103">
        <v>0</v>
      </c>
      <c r="AL41" s="103">
        <v>0</v>
      </c>
      <c r="AM41" s="103">
        <v>0</v>
      </c>
      <c r="AN41" s="103">
        <v>0</v>
      </c>
      <c r="AO41" s="103">
        <v>0</v>
      </c>
      <c r="AP41" s="103">
        <v>0</v>
      </c>
      <c r="AQ41" s="103">
        <v>0</v>
      </c>
    </row>
    <row r="42" spans="1:43" x14ac:dyDescent="0.15">
      <c r="A42" s="175" t="s">
        <v>232</v>
      </c>
      <c r="B42" s="103">
        <v>0</v>
      </c>
      <c r="C42" s="103">
        <v>0</v>
      </c>
      <c r="D42" s="103">
        <v>0</v>
      </c>
      <c r="E42" s="103">
        <v>0</v>
      </c>
      <c r="F42" s="103">
        <v>0.8</v>
      </c>
      <c r="G42" s="103">
        <v>0.8</v>
      </c>
      <c r="H42" s="103">
        <v>0</v>
      </c>
      <c r="I42" s="103">
        <v>0</v>
      </c>
      <c r="J42" s="103">
        <v>0</v>
      </c>
      <c r="K42" s="103">
        <v>0.8</v>
      </c>
      <c r="L42" s="103">
        <v>0</v>
      </c>
      <c r="M42" s="103">
        <v>0.8</v>
      </c>
      <c r="N42" s="103">
        <v>0.8</v>
      </c>
      <c r="O42" s="103">
        <v>0.8</v>
      </c>
      <c r="P42" s="103">
        <v>0.8</v>
      </c>
      <c r="Q42" s="103">
        <v>0</v>
      </c>
      <c r="R42" s="103">
        <v>0.8</v>
      </c>
      <c r="S42" s="103">
        <v>0.8</v>
      </c>
      <c r="T42" s="103">
        <v>0.8</v>
      </c>
      <c r="U42" s="103">
        <v>0.8</v>
      </c>
      <c r="V42" s="103">
        <v>0.8</v>
      </c>
      <c r="W42" s="103">
        <v>0.8</v>
      </c>
      <c r="X42" s="103">
        <v>0.8</v>
      </c>
      <c r="Y42" s="103">
        <v>0.8</v>
      </c>
      <c r="Z42" s="103">
        <v>0.8</v>
      </c>
      <c r="AA42" s="103">
        <v>0.8</v>
      </c>
      <c r="AB42" s="103">
        <v>0.8</v>
      </c>
      <c r="AC42" s="103">
        <v>0.8</v>
      </c>
      <c r="AD42" s="103">
        <v>0.8</v>
      </c>
      <c r="AE42" s="103">
        <v>0.8</v>
      </c>
      <c r="AF42" s="103">
        <v>0</v>
      </c>
      <c r="AG42" s="103">
        <v>0.8</v>
      </c>
      <c r="AH42" s="103">
        <v>0.8</v>
      </c>
      <c r="AI42" s="103">
        <v>0</v>
      </c>
      <c r="AJ42" s="103">
        <v>0.8</v>
      </c>
      <c r="AK42" s="103">
        <v>0</v>
      </c>
      <c r="AL42" s="103">
        <v>0</v>
      </c>
      <c r="AM42" s="103">
        <v>0</v>
      </c>
      <c r="AN42" s="103">
        <v>0</v>
      </c>
      <c r="AO42" s="103">
        <v>0</v>
      </c>
      <c r="AP42" s="103">
        <v>0</v>
      </c>
      <c r="AQ42" s="103">
        <v>0</v>
      </c>
    </row>
    <row r="43" spans="1:43" x14ac:dyDescent="0.15">
      <c r="A43" s="175" t="s">
        <v>233</v>
      </c>
      <c r="B43" s="103">
        <v>0</v>
      </c>
      <c r="C43" s="103">
        <v>0</v>
      </c>
      <c r="D43" s="103">
        <v>0</v>
      </c>
      <c r="E43" s="103">
        <v>0</v>
      </c>
      <c r="F43" s="103">
        <v>0</v>
      </c>
      <c r="G43" s="103">
        <v>0</v>
      </c>
      <c r="H43" s="103">
        <v>0</v>
      </c>
      <c r="I43" s="103">
        <v>0</v>
      </c>
      <c r="J43" s="103">
        <v>0</v>
      </c>
      <c r="K43" s="103">
        <v>0</v>
      </c>
      <c r="L43" s="103">
        <v>0</v>
      </c>
      <c r="M43" s="103">
        <v>0</v>
      </c>
      <c r="N43" s="103">
        <v>0</v>
      </c>
      <c r="O43" s="103">
        <v>0</v>
      </c>
      <c r="P43" s="103">
        <v>0</v>
      </c>
      <c r="Q43" s="103">
        <v>0</v>
      </c>
      <c r="R43" s="103">
        <v>0</v>
      </c>
      <c r="S43" s="103">
        <v>0</v>
      </c>
      <c r="T43" s="103">
        <v>0</v>
      </c>
      <c r="U43" s="103">
        <v>0</v>
      </c>
      <c r="V43" s="103">
        <v>0</v>
      </c>
      <c r="W43" s="103">
        <v>0</v>
      </c>
      <c r="X43" s="103">
        <v>0</v>
      </c>
      <c r="Y43" s="103">
        <v>0</v>
      </c>
      <c r="Z43" s="103">
        <v>0</v>
      </c>
      <c r="AA43" s="103">
        <v>0</v>
      </c>
      <c r="AB43" s="103">
        <v>0</v>
      </c>
      <c r="AC43" s="103">
        <v>0</v>
      </c>
      <c r="AD43" s="103">
        <v>0</v>
      </c>
      <c r="AE43" s="103">
        <v>0</v>
      </c>
      <c r="AF43" s="103">
        <v>0</v>
      </c>
      <c r="AG43" s="103">
        <v>0</v>
      </c>
      <c r="AH43" s="103">
        <v>0</v>
      </c>
      <c r="AI43" s="103">
        <v>0</v>
      </c>
      <c r="AJ43" s="103">
        <v>0</v>
      </c>
      <c r="AK43" s="103">
        <v>0</v>
      </c>
      <c r="AL43" s="103">
        <v>0</v>
      </c>
      <c r="AM43" s="103">
        <v>0</v>
      </c>
      <c r="AN43" s="103">
        <v>0</v>
      </c>
      <c r="AO43" s="103">
        <v>0</v>
      </c>
      <c r="AP43" s="103">
        <v>0</v>
      </c>
      <c r="AQ43" s="103">
        <v>0</v>
      </c>
    </row>
    <row r="44" spans="1:43" x14ac:dyDescent="0.15">
      <c r="A44" s="175" t="s">
        <v>235</v>
      </c>
      <c r="B44" s="103">
        <v>0</v>
      </c>
      <c r="C44" s="103">
        <v>0.8</v>
      </c>
      <c r="D44" s="103">
        <v>0</v>
      </c>
      <c r="E44" s="103">
        <v>0.8</v>
      </c>
      <c r="F44" s="103">
        <v>0</v>
      </c>
      <c r="G44" s="103">
        <v>0</v>
      </c>
      <c r="H44" s="103">
        <v>0</v>
      </c>
      <c r="I44" s="103">
        <v>0.8</v>
      </c>
      <c r="J44" s="103">
        <v>0</v>
      </c>
      <c r="K44" s="103">
        <v>0</v>
      </c>
      <c r="L44" s="103">
        <v>0</v>
      </c>
      <c r="M44" s="103">
        <v>0</v>
      </c>
      <c r="N44" s="103">
        <v>0</v>
      </c>
      <c r="O44" s="103">
        <v>0</v>
      </c>
      <c r="P44" s="103">
        <v>0.8</v>
      </c>
      <c r="Q44" s="103">
        <v>0</v>
      </c>
      <c r="R44" s="103">
        <v>0</v>
      </c>
      <c r="S44" s="103">
        <v>0</v>
      </c>
      <c r="T44" s="103">
        <v>0</v>
      </c>
      <c r="U44" s="103">
        <v>0</v>
      </c>
      <c r="V44" s="103">
        <v>0</v>
      </c>
      <c r="W44" s="103">
        <v>0</v>
      </c>
      <c r="X44" s="103">
        <v>0</v>
      </c>
      <c r="Y44" s="103">
        <v>0</v>
      </c>
      <c r="Z44" s="103">
        <v>0</v>
      </c>
      <c r="AA44" s="103">
        <v>0</v>
      </c>
      <c r="AB44" s="103">
        <v>0</v>
      </c>
      <c r="AC44" s="103">
        <v>0</v>
      </c>
      <c r="AD44" s="103">
        <v>0</v>
      </c>
      <c r="AE44" s="103">
        <v>0</v>
      </c>
      <c r="AF44" s="103">
        <v>0</v>
      </c>
      <c r="AG44" s="103">
        <v>0</v>
      </c>
      <c r="AH44" s="103">
        <v>0</v>
      </c>
      <c r="AI44" s="103">
        <v>0</v>
      </c>
      <c r="AJ44" s="103">
        <v>0</v>
      </c>
      <c r="AK44" s="103">
        <v>0</v>
      </c>
      <c r="AL44" s="103">
        <v>0</v>
      </c>
      <c r="AM44" s="103">
        <v>0</v>
      </c>
      <c r="AN44" s="103">
        <v>0</v>
      </c>
      <c r="AO44" s="103">
        <v>0</v>
      </c>
      <c r="AP44" s="103">
        <v>0</v>
      </c>
      <c r="AQ44" s="10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Q44"/>
  <sheetViews>
    <sheetView workbookViewId="0">
      <selection activeCell="A3" sqref="A3"/>
    </sheetView>
  </sheetViews>
  <sheetFormatPr baseColWidth="10" defaultRowHeight="13" x14ac:dyDescent="0.15"/>
  <cols>
    <col min="1" max="1" width="31.33203125" style="103" bestFit="1" customWidth="1"/>
    <col min="2" max="43" width="2.33203125" style="103" customWidth="1"/>
    <col min="44" max="16384" width="10.83203125" style="103"/>
  </cols>
  <sheetData>
    <row r="1" spans="1:43" x14ac:dyDescent="0.15">
      <c r="A1" s="61" t="s">
        <v>139</v>
      </c>
      <c r="B1" s="178" t="s">
        <v>192</v>
      </c>
      <c r="C1" s="178" t="s">
        <v>193</v>
      </c>
      <c r="D1" s="178" t="s">
        <v>194</v>
      </c>
      <c r="E1" s="178" t="s">
        <v>195</v>
      </c>
      <c r="F1" s="178" t="s">
        <v>196</v>
      </c>
      <c r="G1" s="178" t="s">
        <v>197</v>
      </c>
      <c r="H1" s="178" t="s">
        <v>198</v>
      </c>
      <c r="I1" s="178" t="s">
        <v>199</v>
      </c>
      <c r="J1" s="178" t="s">
        <v>200</v>
      </c>
      <c r="K1" s="178" t="s">
        <v>201</v>
      </c>
      <c r="L1" s="178" t="s">
        <v>202</v>
      </c>
      <c r="M1" s="178" t="s">
        <v>203</v>
      </c>
      <c r="N1" s="178" t="s">
        <v>204</v>
      </c>
      <c r="O1" s="178" t="s">
        <v>205</v>
      </c>
      <c r="P1" s="178" t="s">
        <v>206</v>
      </c>
      <c r="Q1" s="178" t="s">
        <v>207</v>
      </c>
      <c r="R1" s="178" t="s">
        <v>208</v>
      </c>
      <c r="S1" s="178" t="s">
        <v>209</v>
      </c>
      <c r="T1" s="178" t="s">
        <v>210</v>
      </c>
      <c r="U1" s="178" t="s">
        <v>211</v>
      </c>
      <c r="V1" s="178" t="s">
        <v>212</v>
      </c>
      <c r="W1" s="178" t="s">
        <v>213</v>
      </c>
      <c r="X1" s="178" t="s">
        <v>214</v>
      </c>
      <c r="Y1" s="178" t="s">
        <v>215</v>
      </c>
      <c r="Z1" s="178" t="s">
        <v>216</v>
      </c>
      <c r="AA1" s="178" t="s">
        <v>217</v>
      </c>
      <c r="AB1" s="178" t="s">
        <v>218</v>
      </c>
      <c r="AC1" s="178" t="s">
        <v>219</v>
      </c>
      <c r="AD1" s="178" t="s">
        <v>220</v>
      </c>
      <c r="AE1" s="178" t="s">
        <v>221</v>
      </c>
      <c r="AF1" s="178" t="s">
        <v>222</v>
      </c>
      <c r="AG1" s="178" t="s">
        <v>223</v>
      </c>
      <c r="AH1" s="178" t="s">
        <v>224</v>
      </c>
      <c r="AI1" s="178" t="s">
        <v>225</v>
      </c>
      <c r="AJ1" s="178" t="s">
        <v>226</v>
      </c>
      <c r="AK1" s="178" t="s">
        <v>227</v>
      </c>
      <c r="AL1" s="178" t="s">
        <v>228</v>
      </c>
      <c r="AM1" s="178" t="s">
        <v>229</v>
      </c>
      <c r="AN1" s="178" t="s">
        <v>230</v>
      </c>
      <c r="AO1" s="178" t="s">
        <v>231</v>
      </c>
      <c r="AP1" s="178" t="s">
        <v>232</v>
      </c>
      <c r="AQ1" s="178" t="s">
        <v>233</v>
      </c>
    </row>
    <row r="2" spans="1:43" customFormat="1" x14ac:dyDescent="0.15">
      <c r="A2" s="177" t="s">
        <v>192</v>
      </c>
      <c r="B2" s="103">
        <v>0</v>
      </c>
      <c r="C2" s="103">
        <v>0</v>
      </c>
      <c r="D2" s="103">
        <v>0</v>
      </c>
      <c r="E2" s="103">
        <v>1</v>
      </c>
      <c r="F2" s="103">
        <v>0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  <c r="X2" s="103">
        <v>0</v>
      </c>
      <c r="Y2" s="103">
        <v>0</v>
      </c>
      <c r="Z2" s="103">
        <v>0</v>
      </c>
      <c r="AA2" s="103">
        <v>0</v>
      </c>
      <c r="AB2" s="103">
        <v>0</v>
      </c>
      <c r="AC2" s="103">
        <v>0</v>
      </c>
      <c r="AD2" s="103">
        <v>0</v>
      </c>
      <c r="AE2" s="103">
        <v>0</v>
      </c>
      <c r="AF2" s="103">
        <v>0</v>
      </c>
      <c r="AG2" s="103">
        <v>0</v>
      </c>
      <c r="AH2" s="103">
        <v>0</v>
      </c>
      <c r="AI2" s="103">
        <v>0</v>
      </c>
      <c r="AJ2" s="103">
        <v>0</v>
      </c>
      <c r="AK2" s="103">
        <v>0</v>
      </c>
      <c r="AL2" s="103">
        <v>0</v>
      </c>
      <c r="AM2" s="103">
        <v>0</v>
      </c>
      <c r="AN2" s="103">
        <v>0</v>
      </c>
      <c r="AO2" s="103">
        <v>0</v>
      </c>
      <c r="AP2" s="103">
        <v>0</v>
      </c>
      <c r="AQ2" s="103">
        <v>0</v>
      </c>
    </row>
    <row r="3" spans="1:43" customFormat="1" x14ac:dyDescent="0.15">
      <c r="A3" s="177" t="s">
        <v>193</v>
      </c>
      <c r="B3" s="103">
        <v>0</v>
      </c>
      <c r="C3" s="103">
        <v>0</v>
      </c>
      <c r="D3" s="103">
        <v>0</v>
      </c>
      <c r="E3" s="103">
        <v>0</v>
      </c>
      <c r="F3" s="103">
        <v>0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  <c r="X3" s="103">
        <v>0</v>
      </c>
      <c r="Y3" s="103">
        <v>0</v>
      </c>
      <c r="Z3" s="103">
        <v>0</v>
      </c>
      <c r="AA3" s="103">
        <v>0</v>
      </c>
      <c r="AB3" s="103">
        <v>0</v>
      </c>
      <c r="AC3" s="103">
        <v>0</v>
      </c>
      <c r="AD3" s="103">
        <v>0</v>
      </c>
      <c r="AE3" s="103">
        <v>0</v>
      </c>
      <c r="AF3" s="103">
        <v>0</v>
      </c>
      <c r="AG3" s="103">
        <v>0</v>
      </c>
      <c r="AH3" s="103">
        <v>0</v>
      </c>
      <c r="AI3" s="103">
        <v>0</v>
      </c>
      <c r="AJ3" s="103">
        <v>0</v>
      </c>
      <c r="AK3" s="103">
        <v>0</v>
      </c>
      <c r="AL3" s="103">
        <v>0</v>
      </c>
      <c r="AM3" s="103">
        <v>0</v>
      </c>
      <c r="AN3" s="103">
        <v>0</v>
      </c>
      <c r="AO3" s="103">
        <v>0</v>
      </c>
      <c r="AP3" s="103">
        <v>0</v>
      </c>
      <c r="AQ3" s="103">
        <v>0</v>
      </c>
    </row>
    <row r="4" spans="1:43" customFormat="1" x14ac:dyDescent="0.15">
      <c r="A4" s="177" t="s">
        <v>194</v>
      </c>
      <c r="B4" s="103">
        <v>0</v>
      </c>
      <c r="C4" s="103">
        <v>0</v>
      </c>
      <c r="D4" s="103">
        <v>0</v>
      </c>
      <c r="E4" s="103">
        <v>0</v>
      </c>
      <c r="F4" s="103">
        <v>0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0</v>
      </c>
      <c r="U4" s="103">
        <v>0</v>
      </c>
      <c r="V4" s="103">
        <v>0</v>
      </c>
      <c r="W4" s="103">
        <v>0</v>
      </c>
      <c r="X4" s="103">
        <v>0</v>
      </c>
      <c r="Y4" s="103">
        <v>0</v>
      </c>
      <c r="Z4" s="103">
        <v>0</v>
      </c>
      <c r="AA4" s="103">
        <v>0</v>
      </c>
      <c r="AB4" s="103">
        <v>0</v>
      </c>
      <c r="AC4" s="103">
        <v>0</v>
      </c>
      <c r="AD4" s="103">
        <v>0</v>
      </c>
      <c r="AE4" s="103">
        <v>0</v>
      </c>
      <c r="AF4" s="103">
        <v>0</v>
      </c>
      <c r="AG4" s="103">
        <v>0</v>
      </c>
      <c r="AH4" s="103">
        <v>0</v>
      </c>
      <c r="AI4" s="103">
        <v>0</v>
      </c>
      <c r="AJ4" s="103">
        <v>0</v>
      </c>
      <c r="AK4" s="103">
        <v>0</v>
      </c>
      <c r="AL4" s="103">
        <v>0</v>
      </c>
      <c r="AM4" s="103">
        <v>0</v>
      </c>
      <c r="AN4" s="103">
        <v>0</v>
      </c>
      <c r="AO4" s="103">
        <v>0</v>
      </c>
      <c r="AP4" s="103">
        <v>0</v>
      </c>
      <c r="AQ4" s="103">
        <v>0</v>
      </c>
    </row>
    <row r="5" spans="1:43" customFormat="1" x14ac:dyDescent="0.15">
      <c r="A5" s="177" t="s">
        <v>195</v>
      </c>
      <c r="B5" s="103">
        <v>1</v>
      </c>
      <c r="C5" s="103">
        <v>0</v>
      </c>
      <c r="D5" s="103">
        <v>1</v>
      </c>
      <c r="E5" s="103">
        <v>1</v>
      </c>
      <c r="F5" s="103">
        <v>0</v>
      </c>
      <c r="G5" s="103">
        <v>0</v>
      </c>
      <c r="H5" s="103">
        <v>0</v>
      </c>
      <c r="I5" s="103">
        <v>0</v>
      </c>
      <c r="J5" s="103">
        <v>0</v>
      </c>
      <c r="K5" s="103">
        <v>0</v>
      </c>
      <c r="L5" s="103">
        <v>0</v>
      </c>
      <c r="M5" s="103">
        <v>0</v>
      </c>
      <c r="N5" s="103">
        <v>0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0</v>
      </c>
      <c r="U5" s="103">
        <v>0</v>
      </c>
      <c r="V5" s="103">
        <v>0</v>
      </c>
      <c r="W5" s="103">
        <v>0</v>
      </c>
      <c r="X5" s="103">
        <v>0</v>
      </c>
      <c r="Y5" s="103">
        <v>0</v>
      </c>
      <c r="Z5" s="103">
        <v>0</v>
      </c>
      <c r="AA5" s="103">
        <v>0</v>
      </c>
      <c r="AB5" s="103">
        <v>0</v>
      </c>
      <c r="AC5" s="103">
        <v>0</v>
      </c>
      <c r="AD5" s="103">
        <v>0</v>
      </c>
      <c r="AE5" s="103">
        <v>0</v>
      </c>
      <c r="AF5" s="103">
        <v>0</v>
      </c>
      <c r="AG5" s="103">
        <v>0</v>
      </c>
      <c r="AH5" s="103">
        <v>0</v>
      </c>
      <c r="AI5" s="103">
        <v>0</v>
      </c>
      <c r="AJ5" s="103">
        <v>0</v>
      </c>
      <c r="AK5" s="103">
        <v>0</v>
      </c>
      <c r="AL5" s="103">
        <v>0</v>
      </c>
      <c r="AM5" s="103">
        <v>0</v>
      </c>
      <c r="AN5" s="103">
        <v>0</v>
      </c>
      <c r="AO5" s="103">
        <v>0</v>
      </c>
      <c r="AP5" s="103">
        <v>0</v>
      </c>
      <c r="AQ5" s="103">
        <v>0</v>
      </c>
    </row>
    <row r="6" spans="1:43" customFormat="1" x14ac:dyDescent="0.15">
      <c r="A6" s="177" t="s">
        <v>196</v>
      </c>
      <c r="B6" s="103">
        <v>1</v>
      </c>
      <c r="C6" s="103">
        <v>0</v>
      </c>
      <c r="D6" s="103">
        <v>1</v>
      </c>
      <c r="E6" s="103">
        <v>0</v>
      </c>
      <c r="F6" s="103">
        <v>0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>
        <v>0</v>
      </c>
      <c r="AC6" s="103">
        <v>0</v>
      </c>
      <c r="AD6" s="103">
        <v>0</v>
      </c>
      <c r="AE6" s="103">
        <v>0</v>
      </c>
      <c r="AF6" s="103">
        <v>0</v>
      </c>
      <c r="AG6" s="103">
        <v>0</v>
      </c>
      <c r="AH6" s="103">
        <v>0</v>
      </c>
      <c r="AI6" s="103">
        <v>0</v>
      </c>
      <c r="AJ6" s="103">
        <v>0</v>
      </c>
      <c r="AK6" s="103">
        <v>0</v>
      </c>
      <c r="AL6" s="103">
        <v>0</v>
      </c>
      <c r="AM6" s="103">
        <v>0</v>
      </c>
      <c r="AN6" s="103">
        <v>0</v>
      </c>
      <c r="AO6" s="103">
        <v>0</v>
      </c>
      <c r="AP6" s="103">
        <v>0</v>
      </c>
      <c r="AQ6" s="103">
        <v>0</v>
      </c>
    </row>
    <row r="7" spans="1:43" customFormat="1" x14ac:dyDescent="0.15">
      <c r="A7" s="177" t="s">
        <v>197</v>
      </c>
      <c r="B7" s="103">
        <v>1</v>
      </c>
      <c r="C7" s="103">
        <v>0</v>
      </c>
      <c r="D7" s="103">
        <v>1</v>
      </c>
      <c r="E7" s="103">
        <v>1</v>
      </c>
      <c r="F7" s="103">
        <v>0</v>
      </c>
      <c r="G7" s="103">
        <v>0</v>
      </c>
      <c r="H7" s="103">
        <v>1</v>
      </c>
      <c r="I7" s="103">
        <v>0</v>
      </c>
      <c r="J7" s="103">
        <v>0</v>
      </c>
      <c r="K7" s="103">
        <v>0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  <c r="AC7" s="103">
        <v>0</v>
      </c>
      <c r="AD7" s="103">
        <v>0</v>
      </c>
      <c r="AE7" s="103">
        <v>0</v>
      </c>
      <c r="AF7" s="103">
        <v>0</v>
      </c>
      <c r="AG7" s="103">
        <v>0</v>
      </c>
      <c r="AH7" s="103">
        <v>0</v>
      </c>
      <c r="AI7" s="103">
        <v>0</v>
      </c>
      <c r="AJ7" s="103">
        <v>0</v>
      </c>
      <c r="AK7" s="103">
        <v>0</v>
      </c>
      <c r="AL7" s="103">
        <v>0</v>
      </c>
      <c r="AM7" s="103">
        <v>0</v>
      </c>
      <c r="AN7" s="103">
        <v>0</v>
      </c>
      <c r="AO7" s="103">
        <v>0</v>
      </c>
      <c r="AP7" s="103">
        <v>0</v>
      </c>
      <c r="AQ7" s="103">
        <v>0</v>
      </c>
    </row>
    <row r="8" spans="1:43" customFormat="1" x14ac:dyDescent="0.15">
      <c r="A8" s="177" t="s">
        <v>198</v>
      </c>
      <c r="B8" s="103">
        <v>0</v>
      </c>
      <c r="C8" s="103">
        <v>0</v>
      </c>
      <c r="D8" s="103">
        <v>0</v>
      </c>
      <c r="E8" s="103">
        <v>1</v>
      </c>
      <c r="F8" s="103">
        <v>0</v>
      </c>
      <c r="G8" s="103">
        <v>0</v>
      </c>
      <c r="H8" s="103">
        <v>0</v>
      </c>
      <c r="I8" s="103">
        <v>0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>
        <v>0</v>
      </c>
      <c r="AD8" s="103">
        <v>0</v>
      </c>
      <c r="AE8" s="103">
        <v>0</v>
      </c>
      <c r="AF8" s="103">
        <v>0</v>
      </c>
      <c r="AG8" s="103">
        <v>0</v>
      </c>
      <c r="AH8" s="103">
        <v>0</v>
      </c>
      <c r="AI8" s="103">
        <v>0</v>
      </c>
      <c r="AJ8" s="103">
        <v>0</v>
      </c>
      <c r="AK8" s="103">
        <v>0</v>
      </c>
      <c r="AL8" s="103">
        <v>0</v>
      </c>
      <c r="AM8" s="103">
        <v>0</v>
      </c>
      <c r="AN8" s="103">
        <v>0</v>
      </c>
      <c r="AO8" s="103">
        <v>0</v>
      </c>
      <c r="AP8" s="103">
        <v>0</v>
      </c>
      <c r="AQ8" s="103">
        <v>0</v>
      </c>
    </row>
    <row r="9" spans="1:43" customFormat="1" x14ac:dyDescent="0.15">
      <c r="A9" s="177" t="s">
        <v>199</v>
      </c>
      <c r="B9" s="103">
        <v>0</v>
      </c>
      <c r="C9" s="103">
        <v>0</v>
      </c>
      <c r="D9" s="103">
        <v>0</v>
      </c>
      <c r="E9" s="103">
        <v>0</v>
      </c>
      <c r="F9" s="103">
        <v>0</v>
      </c>
      <c r="G9" s="103">
        <v>0</v>
      </c>
      <c r="H9" s="103">
        <v>0</v>
      </c>
      <c r="I9" s="103">
        <v>0</v>
      </c>
      <c r="J9" s="103">
        <v>0</v>
      </c>
      <c r="K9" s="103">
        <v>0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>
        <v>0</v>
      </c>
      <c r="AD9" s="103">
        <v>0</v>
      </c>
      <c r="AE9" s="103">
        <v>0</v>
      </c>
      <c r="AF9" s="103">
        <v>0</v>
      </c>
      <c r="AG9" s="103">
        <v>0</v>
      </c>
      <c r="AH9" s="103">
        <v>0</v>
      </c>
      <c r="AI9" s="103">
        <v>0</v>
      </c>
      <c r="AJ9" s="103">
        <v>0</v>
      </c>
      <c r="AK9" s="103">
        <v>0</v>
      </c>
      <c r="AL9" s="103">
        <v>0</v>
      </c>
      <c r="AM9" s="103">
        <v>0</v>
      </c>
      <c r="AN9" s="103">
        <v>0</v>
      </c>
      <c r="AO9" s="103">
        <v>0</v>
      </c>
      <c r="AP9" s="103">
        <v>0</v>
      </c>
      <c r="AQ9" s="103">
        <v>0</v>
      </c>
    </row>
    <row r="10" spans="1:43" customFormat="1" x14ac:dyDescent="0.15">
      <c r="A10" s="177" t="s">
        <v>200</v>
      </c>
      <c r="B10" s="103">
        <v>1</v>
      </c>
      <c r="C10" s="103">
        <v>1</v>
      </c>
      <c r="D10" s="103">
        <v>1</v>
      </c>
      <c r="E10" s="103">
        <v>1</v>
      </c>
      <c r="F10" s="103">
        <v>1</v>
      </c>
      <c r="G10" s="103">
        <v>0</v>
      </c>
      <c r="H10" s="103">
        <v>0</v>
      </c>
      <c r="I10" s="103">
        <v>1</v>
      </c>
      <c r="J10" s="103">
        <v>1</v>
      </c>
      <c r="K10" s="103">
        <v>1</v>
      </c>
      <c r="L10" s="103">
        <v>1</v>
      </c>
      <c r="M10" s="103">
        <v>0</v>
      </c>
      <c r="N10" s="103">
        <v>0</v>
      </c>
      <c r="O10" s="103">
        <v>0</v>
      </c>
      <c r="P10" s="103">
        <v>1</v>
      </c>
      <c r="Q10" s="103">
        <v>0</v>
      </c>
      <c r="R10" s="103">
        <v>1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>
        <v>0</v>
      </c>
      <c r="AD10" s="103">
        <v>0</v>
      </c>
      <c r="AE10" s="103">
        <v>0</v>
      </c>
      <c r="AF10" s="103">
        <v>0</v>
      </c>
      <c r="AG10" s="103">
        <v>0</v>
      </c>
      <c r="AH10" s="103">
        <v>0</v>
      </c>
      <c r="AI10" s="103">
        <v>0</v>
      </c>
      <c r="AJ10" s="103">
        <v>0</v>
      </c>
      <c r="AK10" s="103">
        <v>0</v>
      </c>
      <c r="AL10" s="103">
        <v>0</v>
      </c>
      <c r="AM10" s="103">
        <v>0</v>
      </c>
      <c r="AN10" s="103">
        <v>0</v>
      </c>
      <c r="AO10" s="103">
        <v>0</v>
      </c>
      <c r="AP10" s="103">
        <v>0</v>
      </c>
      <c r="AQ10" s="103">
        <v>0</v>
      </c>
    </row>
    <row r="11" spans="1:43" customFormat="1" x14ac:dyDescent="0.15">
      <c r="A11" s="177" t="s">
        <v>201</v>
      </c>
      <c r="B11" s="103">
        <v>1</v>
      </c>
      <c r="C11" s="103">
        <v>1</v>
      </c>
      <c r="D11" s="103">
        <v>1</v>
      </c>
      <c r="E11" s="103">
        <v>1</v>
      </c>
      <c r="F11" s="103">
        <v>0</v>
      </c>
      <c r="G11" s="103">
        <v>0</v>
      </c>
      <c r="H11" s="103">
        <v>1</v>
      </c>
      <c r="I11" s="103">
        <v>0</v>
      </c>
      <c r="J11" s="103">
        <v>0</v>
      </c>
      <c r="K11" s="103">
        <v>0</v>
      </c>
      <c r="L11" s="103">
        <v>0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>
        <v>0</v>
      </c>
      <c r="AD11" s="103">
        <v>0</v>
      </c>
      <c r="AE11" s="103">
        <v>0</v>
      </c>
      <c r="AF11" s="103">
        <v>0</v>
      </c>
      <c r="AG11" s="103">
        <v>0</v>
      </c>
      <c r="AH11" s="103">
        <v>0</v>
      </c>
      <c r="AI11" s="103">
        <v>0</v>
      </c>
      <c r="AJ11" s="103">
        <v>0</v>
      </c>
      <c r="AK11" s="103">
        <v>0</v>
      </c>
      <c r="AL11" s="103">
        <v>0</v>
      </c>
      <c r="AM11" s="103">
        <v>0</v>
      </c>
      <c r="AN11" s="103">
        <v>0</v>
      </c>
      <c r="AO11" s="103">
        <v>0</v>
      </c>
      <c r="AP11" s="103">
        <v>0</v>
      </c>
      <c r="AQ11" s="103">
        <v>0</v>
      </c>
    </row>
    <row r="12" spans="1:43" customFormat="1" x14ac:dyDescent="0.15">
      <c r="A12" s="177" t="s">
        <v>202</v>
      </c>
      <c r="B12" s="103">
        <v>0</v>
      </c>
      <c r="C12" s="103">
        <v>1</v>
      </c>
      <c r="D12" s="103">
        <v>0</v>
      </c>
      <c r="E12" s="103">
        <v>1</v>
      </c>
      <c r="F12" s="103">
        <v>0</v>
      </c>
      <c r="G12" s="103">
        <v>0</v>
      </c>
      <c r="H12" s="103">
        <v>0</v>
      </c>
      <c r="I12" s="103">
        <v>0</v>
      </c>
      <c r="J12" s="103">
        <v>0</v>
      </c>
      <c r="K12" s="103">
        <v>0</v>
      </c>
      <c r="L12" s="103">
        <v>0</v>
      </c>
      <c r="M12" s="103">
        <v>0</v>
      </c>
      <c r="N12" s="103">
        <v>0</v>
      </c>
      <c r="O12" s="103">
        <v>0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>
        <v>0</v>
      </c>
      <c r="AD12" s="103">
        <v>0</v>
      </c>
      <c r="AE12" s="103">
        <v>0</v>
      </c>
      <c r="AF12" s="103">
        <v>0</v>
      </c>
      <c r="AG12" s="103">
        <v>0</v>
      </c>
      <c r="AH12" s="103">
        <v>0</v>
      </c>
      <c r="AI12" s="103">
        <v>0</v>
      </c>
      <c r="AJ12" s="103">
        <v>0</v>
      </c>
      <c r="AK12" s="103">
        <v>0</v>
      </c>
      <c r="AL12" s="103">
        <v>0</v>
      </c>
      <c r="AM12" s="103">
        <v>0</v>
      </c>
      <c r="AN12" s="103">
        <v>0</v>
      </c>
      <c r="AO12" s="103">
        <v>0</v>
      </c>
      <c r="AP12" s="103">
        <v>0</v>
      </c>
      <c r="AQ12" s="103">
        <v>0</v>
      </c>
    </row>
    <row r="13" spans="1:43" customFormat="1" x14ac:dyDescent="0.15">
      <c r="A13" s="177" t="s">
        <v>203</v>
      </c>
      <c r="B13" s="103">
        <v>1</v>
      </c>
      <c r="C13" s="103">
        <v>0</v>
      </c>
      <c r="D13" s="103">
        <v>1</v>
      </c>
      <c r="E13" s="103">
        <v>0</v>
      </c>
      <c r="F13" s="103">
        <v>0</v>
      </c>
      <c r="G13" s="103">
        <v>0</v>
      </c>
      <c r="H13" s="103">
        <v>1</v>
      </c>
      <c r="I13" s="103">
        <v>0</v>
      </c>
      <c r="J13" s="103">
        <v>0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>
        <v>0</v>
      </c>
      <c r="AD13" s="103">
        <v>0</v>
      </c>
      <c r="AE13" s="103">
        <v>0</v>
      </c>
      <c r="AF13" s="103">
        <v>0</v>
      </c>
      <c r="AG13" s="103">
        <v>0</v>
      </c>
      <c r="AH13" s="103">
        <v>0</v>
      </c>
      <c r="AI13" s="103">
        <v>0</v>
      </c>
      <c r="AJ13" s="103">
        <v>0</v>
      </c>
      <c r="AK13" s="103">
        <v>0</v>
      </c>
      <c r="AL13" s="103">
        <v>0</v>
      </c>
      <c r="AM13" s="103">
        <v>0</v>
      </c>
      <c r="AN13" s="103">
        <v>0</v>
      </c>
      <c r="AO13" s="103">
        <v>0</v>
      </c>
      <c r="AP13" s="103">
        <v>0</v>
      </c>
      <c r="AQ13" s="103">
        <v>0</v>
      </c>
    </row>
    <row r="14" spans="1:43" customFormat="1" x14ac:dyDescent="0.15">
      <c r="A14" s="177" t="s">
        <v>204</v>
      </c>
      <c r="B14" s="103">
        <v>1</v>
      </c>
      <c r="C14" s="103">
        <v>0</v>
      </c>
      <c r="D14" s="103">
        <v>1</v>
      </c>
      <c r="E14" s="103">
        <v>0</v>
      </c>
      <c r="F14" s="103">
        <v>0</v>
      </c>
      <c r="G14" s="103">
        <v>0</v>
      </c>
      <c r="H14" s="103">
        <v>1</v>
      </c>
      <c r="I14" s="103">
        <v>0</v>
      </c>
      <c r="J14" s="103">
        <v>0</v>
      </c>
      <c r="K14" s="103">
        <v>0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>
        <v>0</v>
      </c>
      <c r="AD14" s="103">
        <v>0</v>
      </c>
      <c r="AE14" s="103">
        <v>0</v>
      </c>
      <c r="AF14" s="103">
        <v>0</v>
      </c>
      <c r="AG14" s="103">
        <v>0</v>
      </c>
      <c r="AH14" s="103">
        <v>0</v>
      </c>
      <c r="AI14" s="103">
        <v>0</v>
      </c>
      <c r="AJ14" s="103">
        <v>0</v>
      </c>
      <c r="AK14" s="103">
        <v>0</v>
      </c>
      <c r="AL14" s="103">
        <v>0</v>
      </c>
      <c r="AM14" s="103">
        <v>0</v>
      </c>
      <c r="AN14" s="103">
        <v>0</v>
      </c>
      <c r="AO14" s="103">
        <v>0</v>
      </c>
      <c r="AP14" s="103">
        <v>0</v>
      </c>
      <c r="AQ14" s="103">
        <v>0</v>
      </c>
    </row>
    <row r="15" spans="1:43" customFormat="1" x14ac:dyDescent="0.15">
      <c r="A15" s="177" t="s">
        <v>205</v>
      </c>
      <c r="B15" s="103">
        <v>1</v>
      </c>
      <c r="C15" s="103">
        <v>0</v>
      </c>
      <c r="D15" s="103">
        <v>1</v>
      </c>
      <c r="E15" s="103">
        <v>1</v>
      </c>
      <c r="F15" s="103">
        <v>0</v>
      </c>
      <c r="G15" s="103">
        <v>0</v>
      </c>
      <c r="H15" s="103">
        <v>1</v>
      </c>
      <c r="I15" s="103">
        <v>0</v>
      </c>
      <c r="J15" s="103">
        <v>0</v>
      </c>
      <c r="K15" s="103">
        <v>1</v>
      </c>
      <c r="L15" s="103">
        <v>0</v>
      </c>
      <c r="M15" s="103">
        <v>0</v>
      </c>
      <c r="N15" s="103">
        <v>0</v>
      </c>
      <c r="O15" s="103">
        <v>0</v>
      </c>
      <c r="P15" s="103">
        <v>0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>
        <v>0</v>
      </c>
      <c r="AD15" s="103">
        <v>0</v>
      </c>
      <c r="AE15" s="103">
        <v>0</v>
      </c>
      <c r="AF15" s="103">
        <v>0</v>
      </c>
      <c r="AG15" s="103">
        <v>0</v>
      </c>
      <c r="AH15" s="103">
        <v>0</v>
      </c>
      <c r="AI15" s="103">
        <v>0</v>
      </c>
      <c r="AJ15" s="103">
        <v>0</v>
      </c>
      <c r="AK15" s="103">
        <v>0</v>
      </c>
      <c r="AL15" s="103">
        <v>0</v>
      </c>
      <c r="AM15" s="103">
        <v>0</v>
      </c>
      <c r="AN15" s="103">
        <v>0</v>
      </c>
      <c r="AO15" s="103">
        <v>0</v>
      </c>
      <c r="AP15" s="103">
        <v>0</v>
      </c>
      <c r="AQ15" s="103">
        <v>0</v>
      </c>
    </row>
    <row r="16" spans="1:43" customFormat="1" x14ac:dyDescent="0.15">
      <c r="A16" s="177" t="s">
        <v>206</v>
      </c>
      <c r="B16" s="103">
        <v>1</v>
      </c>
      <c r="C16" s="103">
        <v>0</v>
      </c>
      <c r="D16" s="103">
        <v>1</v>
      </c>
      <c r="E16" s="103">
        <v>1</v>
      </c>
      <c r="F16" s="103">
        <v>1</v>
      </c>
      <c r="G16" s="103">
        <v>1</v>
      </c>
      <c r="H16" s="103">
        <v>1</v>
      </c>
      <c r="I16" s="103">
        <v>1</v>
      </c>
      <c r="J16" s="103">
        <v>1</v>
      </c>
      <c r="K16" s="103">
        <v>0</v>
      </c>
      <c r="L16" s="103">
        <v>0</v>
      </c>
      <c r="M16" s="103">
        <v>0</v>
      </c>
      <c r="N16" s="103">
        <v>0</v>
      </c>
      <c r="O16" s="103">
        <v>0</v>
      </c>
      <c r="P16" s="103">
        <v>0</v>
      </c>
      <c r="Q16" s="103">
        <v>0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>
        <v>0</v>
      </c>
      <c r="AD16" s="103">
        <v>0</v>
      </c>
      <c r="AE16" s="103">
        <v>0</v>
      </c>
      <c r="AF16" s="103">
        <v>0</v>
      </c>
      <c r="AG16" s="103">
        <v>0</v>
      </c>
      <c r="AH16" s="103">
        <v>0</v>
      </c>
      <c r="AI16" s="103">
        <v>0</v>
      </c>
      <c r="AJ16" s="103">
        <v>0</v>
      </c>
      <c r="AK16" s="103">
        <v>0</v>
      </c>
      <c r="AL16" s="103">
        <v>0</v>
      </c>
      <c r="AM16" s="103">
        <v>0</v>
      </c>
      <c r="AN16" s="103">
        <v>0</v>
      </c>
      <c r="AO16" s="103">
        <v>0</v>
      </c>
      <c r="AP16" s="103">
        <v>0</v>
      </c>
      <c r="AQ16" s="103">
        <v>0</v>
      </c>
    </row>
    <row r="17" spans="1:43" customFormat="1" x14ac:dyDescent="0.15">
      <c r="A17" s="177" t="s">
        <v>207</v>
      </c>
      <c r="B17" s="103">
        <v>1</v>
      </c>
      <c r="C17" s="103">
        <v>0</v>
      </c>
      <c r="D17" s="103">
        <v>1</v>
      </c>
      <c r="E17" s="103">
        <v>1</v>
      </c>
      <c r="F17" s="103">
        <v>0</v>
      </c>
      <c r="G17" s="103">
        <v>0</v>
      </c>
      <c r="H17" s="103">
        <v>1</v>
      </c>
      <c r="I17" s="103">
        <v>0</v>
      </c>
      <c r="J17" s="103">
        <v>1</v>
      </c>
      <c r="K17" s="103">
        <v>0</v>
      </c>
      <c r="L17" s="103">
        <v>0</v>
      </c>
      <c r="M17" s="103">
        <v>0</v>
      </c>
      <c r="N17" s="103">
        <v>0</v>
      </c>
      <c r="O17" s="103">
        <v>0</v>
      </c>
      <c r="P17" s="103">
        <v>0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>
        <v>0</v>
      </c>
      <c r="AD17" s="103">
        <v>0</v>
      </c>
      <c r="AE17" s="103">
        <v>0</v>
      </c>
      <c r="AF17" s="103">
        <v>0</v>
      </c>
      <c r="AG17" s="103">
        <v>0</v>
      </c>
      <c r="AH17" s="103">
        <v>0</v>
      </c>
      <c r="AI17" s="103">
        <v>0</v>
      </c>
      <c r="AJ17" s="103">
        <v>0</v>
      </c>
      <c r="AK17" s="103">
        <v>0</v>
      </c>
      <c r="AL17" s="103">
        <v>0</v>
      </c>
      <c r="AM17" s="103">
        <v>0</v>
      </c>
      <c r="AN17" s="103">
        <v>0</v>
      </c>
      <c r="AO17" s="103">
        <v>0</v>
      </c>
      <c r="AP17" s="103">
        <v>0</v>
      </c>
      <c r="AQ17" s="103">
        <v>0</v>
      </c>
    </row>
    <row r="18" spans="1:43" customFormat="1" x14ac:dyDescent="0.15">
      <c r="A18" s="177" t="s">
        <v>208</v>
      </c>
      <c r="B18" s="103">
        <v>1</v>
      </c>
      <c r="C18" s="103">
        <v>0</v>
      </c>
      <c r="D18" s="103">
        <v>1</v>
      </c>
      <c r="E18" s="103">
        <v>1</v>
      </c>
      <c r="F18" s="103">
        <v>0</v>
      </c>
      <c r="G18" s="103">
        <v>0</v>
      </c>
      <c r="H18" s="103">
        <v>1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103">
        <v>0</v>
      </c>
      <c r="O18" s="103">
        <v>0</v>
      </c>
      <c r="P18" s="103">
        <v>0</v>
      </c>
      <c r="Q18" s="103">
        <v>0</v>
      </c>
      <c r="R18" s="103">
        <v>0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>
        <v>0</v>
      </c>
      <c r="AD18" s="103">
        <v>0</v>
      </c>
      <c r="AE18" s="103">
        <v>0</v>
      </c>
      <c r="AF18" s="103">
        <v>0</v>
      </c>
      <c r="AG18" s="103">
        <v>0</v>
      </c>
      <c r="AH18" s="103">
        <v>0</v>
      </c>
      <c r="AI18" s="103">
        <v>0</v>
      </c>
      <c r="AJ18" s="103">
        <v>0</v>
      </c>
      <c r="AK18" s="103">
        <v>0</v>
      </c>
      <c r="AL18" s="103">
        <v>0</v>
      </c>
      <c r="AM18" s="103">
        <v>0</v>
      </c>
      <c r="AN18" s="103">
        <v>0</v>
      </c>
      <c r="AO18" s="103">
        <v>0</v>
      </c>
      <c r="AP18" s="103">
        <v>0</v>
      </c>
      <c r="AQ18" s="103">
        <v>0</v>
      </c>
    </row>
    <row r="19" spans="1:43" customFormat="1" x14ac:dyDescent="0.15">
      <c r="A19" s="177" t="s">
        <v>209</v>
      </c>
      <c r="B19" s="103">
        <v>1</v>
      </c>
      <c r="C19" s="103">
        <v>1</v>
      </c>
      <c r="D19" s="103">
        <v>1</v>
      </c>
      <c r="E19" s="103">
        <v>1</v>
      </c>
      <c r="F19" s="103">
        <v>1</v>
      </c>
      <c r="G19" s="103">
        <v>1</v>
      </c>
      <c r="H19" s="103">
        <v>1</v>
      </c>
      <c r="I19" s="103">
        <v>0</v>
      </c>
      <c r="J19" s="103">
        <v>1</v>
      </c>
      <c r="K19" s="103">
        <v>1</v>
      </c>
      <c r="L19" s="103">
        <v>1</v>
      </c>
      <c r="M19" s="103">
        <v>1</v>
      </c>
      <c r="N19" s="103">
        <v>0</v>
      </c>
      <c r="O19" s="103">
        <v>1</v>
      </c>
      <c r="P19" s="103">
        <v>0</v>
      </c>
      <c r="Q19" s="103">
        <v>0</v>
      </c>
      <c r="R19" s="103">
        <v>1</v>
      </c>
      <c r="S19" s="103">
        <v>1</v>
      </c>
      <c r="T19" s="103">
        <v>0</v>
      </c>
      <c r="U19" s="103">
        <v>0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>
        <v>0</v>
      </c>
      <c r="AD19" s="103">
        <v>0</v>
      </c>
      <c r="AE19" s="103">
        <v>0</v>
      </c>
      <c r="AF19" s="103">
        <v>0</v>
      </c>
      <c r="AG19" s="103">
        <v>0</v>
      </c>
      <c r="AH19" s="103">
        <v>0</v>
      </c>
      <c r="AI19" s="103">
        <v>0</v>
      </c>
      <c r="AJ19" s="103">
        <v>0</v>
      </c>
      <c r="AK19" s="103">
        <v>0</v>
      </c>
      <c r="AL19" s="103">
        <v>0</v>
      </c>
      <c r="AM19" s="103">
        <v>0</v>
      </c>
      <c r="AN19" s="103">
        <v>0</v>
      </c>
      <c r="AO19" s="103">
        <v>0</v>
      </c>
      <c r="AP19" s="103">
        <v>0</v>
      </c>
      <c r="AQ19" s="103">
        <v>0</v>
      </c>
    </row>
    <row r="20" spans="1:43" customFormat="1" x14ac:dyDescent="0.15">
      <c r="A20" s="177" t="s">
        <v>210</v>
      </c>
      <c r="B20" s="103">
        <v>1</v>
      </c>
      <c r="C20" s="103">
        <v>1</v>
      </c>
      <c r="D20" s="103">
        <v>1</v>
      </c>
      <c r="E20" s="103">
        <v>1</v>
      </c>
      <c r="F20" s="103">
        <v>1</v>
      </c>
      <c r="G20" s="103">
        <v>1</v>
      </c>
      <c r="H20" s="103">
        <v>1</v>
      </c>
      <c r="I20" s="103">
        <v>0</v>
      </c>
      <c r="J20" s="103">
        <v>1</v>
      </c>
      <c r="K20" s="103">
        <v>1</v>
      </c>
      <c r="L20" s="103">
        <v>1</v>
      </c>
      <c r="M20" s="103">
        <v>1</v>
      </c>
      <c r="N20" s="103">
        <v>1</v>
      </c>
      <c r="O20" s="103">
        <v>1</v>
      </c>
      <c r="P20" s="103">
        <v>1</v>
      </c>
      <c r="Q20" s="103">
        <v>1</v>
      </c>
      <c r="R20" s="103">
        <v>1</v>
      </c>
      <c r="S20" s="103">
        <v>1</v>
      </c>
      <c r="T20" s="103">
        <v>1</v>
      </c>
      <c r="U20" s="103">
        <v>0</v>
      </c>
      <c r="V20" s="103">
        <v>0</v>
      </c>
      <c r="W20" s="103">
        <v>0</v>
      </c>
      <c r="X20" s="103">
        <v>1</v>
      </c>
      <c r="Y20" s="103">
        <v>0</v>
      </c>
      <c r="Z20" s="103">
        <v>0</v>
      </c>
      <c r="AA20" s="103">
        <v>0</v>
      </c>
      <c r="AB20" s="103">
        <v>0</v>
      </c>
      <c r="AC20" s="103">
        <v>0</v>
      </c>
      <c r="AD20" s="103">
        <v>0</v>
      </c>
      <c r="AE20" s="103">
        <v>0</v>
      </c>
      <c r="AF20" s="103">
        <v>0</v>
      </c>
      <c r="AG20" s="103">
        <v>0</v>
      </c>
      <c r="AH20" s="103">
        <v>0</v>
      </c>
      <c r="AI20" s="103">
        <v>0</v>
      </c>
      <c r="AJ20" s="103">
        <v>0</v>
      </c>
      <c r="AK20" s="103">
        <v>0</v>
      </c>
      <c r="AL20" s="103">
        <v>0</v>
      </c>
      <c r="AM20" s="103">
        <v>0</v>
      </c>
      <c r="AN20" s="103">
        <v>0</v>
      </c>
      <c r="AO20" s="103">
        <v>0</v>
      </c>
      <c r="AP20" s="103">
        <v>0</v>
      </c>
      <c r="AQ20" s="103">
        <v>0</v>
      </c>
    </row>
    <row r="21" spans="1:43" customFormat="1" x14ac:dyDescent="0.15">
      <c r="A21" s="177" t="s">
        <v>211</v>
      </c>
      <c r="B21" s="103">
        <v>0</v>
      </c>
      <c r="C21" s="103">
        <v>0</v>
      </c>
      <c r="D21" s="103">
        <v>0</v>
      </c>
      <c r="E21" s="103">
        <v>0</v>
      </c>
      <c r="F21" s="103">
        <v>1</v>
      </c>
      <c r="G21" s="103">
        <v>0</v>
      </c>
      <c r="H21" s="103">
        <v>0</v>
      </c>
      <c r="I21" s="103">
        <v>0</v>
      </c>
      <c r="J21" s="103">
        <v>0</v>
      </c>
      <c r="K21" s="103">
        <v>0</v>
      </c>
      <c r="L21" s="103">
        <v>0</v>
      </c>
      <c r="M21" s="103">
        <v>0</v>
      </c>
      <c r="N21" s="103">
        <v>0</v>
      </c>
      <c r="O21" s="103">
        <v>0</v>
      </c>
      <c r="P21" s="103">
        <v>0</v>
      </c>
      <c r="Q21" s="103">
        <v>1</v>
      </c>
      <c r="R21" s="103">
        <v>0</v>
      </c>
      <c r="S21" s="103">
        <v>0</v>
      </c>
      <c r="T21" s="103">
        <v>0</v>
      </c>
      <c r="U21" s="103">
        <v>1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>
        <v>0</v>
      </c>
      <c r="AD21" s="103">
        <v>0</v>
      </c>
      <c r="AE21" s="103">
        <v>0</v>
      </c>
      <c r="AF21" s="103">
        <v>0</v>
      </c>
      <c r="AG21" s="103">
        <v>0</v>
      </c>
      <c r="AH21" s="103">
        <v>0</v>
      </c>
      <c r="AI21" s="103">
        <v>0</v>
      </c>
      <c r="AJ21" s="103">
        <v>0</v>
      </c>
      <c r="AK21" s="103">
        <v>0</v>
      </c>
      <c r="AL21" s="103">
        <v>0</v>
      </c>
      <c r="AM21" s="103">
        <v>0</v>
      </c>
      <c r="AN21" s="103">
        <v>0</v>
      </c>
      <c r="AO21" s="103">
        <v>0</v>
      </c>
      <c r="AP21" s="103">
        <v>0</v>
      </c>
      <c r="AQ21" s="103">
        <v>0</v>
      </c>
    </row>
    <row r="22" spans="1:43" customFormat="1" x14ac:dyDescent="0.15">
      <c r="A22" s="177" t="s">
        <v>212</v>
      </c>
      <c r="B22" s="103">
        <v>0</v>
      </c>
      <c r="C22" s="103">
        <v>0</v>
      </c>
      <c r="D22" s="103">
        <v>0</v>
      </c>
      <c r="E22" s="103">
        <v>1</v>
      </c>
      <c r="F22" s="103">
        <v>1</v>
      </c>
      <c r="G22" s="103">
        <v>1</v>
      </c>
      <c r="H22" s="103">
        <v>0</v>
      </c>
      <c r="I22" s="103">
        <v>1</v>
      </c>
      <c r="J22" s="103">
        <v>1</v>
      </c>
      <c r="K22" s="103">
        <v>1</v>
      </c>
      <c r="L22" s="103">
        <v>0</v>
      </c>
      <c r="M22" s="103">
        <v>0</v>
      </c>
      <c r="N22" s="103">
        <v>1</v>
      </c>
      <c r="O22" s="103">
        <v>1</v>
      </c>
      <c r="P22" s="103">
        <v>1</v>
      </c>
      <c r="Q22" s="103">
        <v>1</v>
      </c>
      <c r="R22" s="103">
        <v>1</v>
      </c>
      <c r="S22" s="103">
        <v>1</v>
      </c>
      <c r="T22" s="103">
        <v>1</v>
      </c>
      <c r="U22" s="103">
        <v>0</v>
      </c>
      <c r="V22" s="103">
        <v>1</v>
      </c>
      <c r="W22" s="103">
        <v>0</v>
      </c>
      <c r="X22" s="103">
        <v>0</v>
      </c>
      <c r="Y22" s="103">
        <v>1</v>
      </c>
      <c r="Z22" s="103">
        <v>0</v>
      </c>
      <c r="AA22" s="103">
        <v>1</v>
      </c>
      <c r="AB22" s="103">
        <v>0</v>
      </c>
      <c r="AC22" s="103">
        <v>1</v>
      </c>
      <c r="AD22" s="103">
        <v>0</v>
      </c>
      <c r="AE22" s="103">
        <v>0</v>
      </c>
      <c r="AF22" s="103">
        <v>0</v>
      </c>
      <c r="AG22" s="103">
        <v>0</v>
      </c>
      <c r="AH22" s="103">
        <v>0</v>
      </c>
      <c r="AI22" s="103">
        <v>0</v>
      </c>
      <c r="AJ22" s="103">
        <v>0</v>
      </c>
      <c r="AK22" s="103">
        <v>0</v>
      </c>
      <c r="AL22" s="103">
        <v>0</v>
      </c>
      <c r="AM22" s="103">
        <v>0</v>
      </c>
      <c r="AN22" s="103">
        <v>0</v>
      </c>
      <c r="AO22" s="103">
        <v>0</v>
      </c>
      <c r="AP22" s="103">
        <v>0</v>
      </c>
      <c r="AQ22" s="103">
        <v>0</v>
      </c>
    </row>
    <row r="23" spans="1:43" customFormat="1" x14ac:dyDescent="0.15">
      <c r="A23" s="177" t="s">
        <v>213</v>
      </c>
      <c r="B23" s="103">
        <v>0</v>
      </c>
      <c r="C23" s="103">
        <v>0</v>
      </c>
      <c r="D23" s="103">
        <v>0</v>
      </c>
      <c r="E23" s="103">
        <v>1</v>
      </c>
      <c r="F23" s="103">
        <v>1</v>
      </c>
      <c r="G23" s="103">
        <v>0</v>
      </c>
      <c r="H23" s="103">
        <v>0</v>
      </c>
      <c r="I23" s="103">
        <v>0</v>
      </c>
      <c r="J23" s="103">
        <v>1</v>
      </c>
      <c r="K23" s="103">
        <v>0</v>
      </c>
      <c r="L23" s="103">
        <v>0</v>
      </c>
      <c r="M23" s="103">
        <v>0</v>
      </c>
      <c r="N23" s="103">
        <v>0</v>
      </c>
      <c r="O23" s="103">
        <v>1</v>
      </c>
      <c r="P23" s="103">
        <v>0</v>
      </c>
      <c r="Q23" s="103">
        <v>1</v>
      </c>
      <c r="R23" s="103">
        <v>1</v>
      </c>
      <c r="S23" s="103">
        <v>1</v>
      </c>
      <c r="T23" s="103">
        <v>1</v>
      </c>
      <c r="U23" s="103">
        <v>1</v>
      </c>
      <c r="V23" s="103">
        <v>0</v>
      </c>
      <c r="W23" s="103">
        <v>0</v>
      </c>
      <c r="X23" s="103">
        <v>0</v>
      </c>
      <c r="Y23" s="103">
        <v>0</v>
      </c>
      <c r="Z23" s="103">
        <v>1</v>
      </c>
      <c r="AA23" s="103">
        <v>0</v>
      </c>
      <c r="AB23" s="103">
        <v>0</v>
      </c>
      <c r="AC23" s="103">
        <v>0</v>
      </c>
      <c r="AD23" s="103">
        <v>0</v>
      </c>
      <c r="AE23" s="103">
        <v>0</v>
      </c>
      <c r="AF23" s="103">
        <v>0</v>
      </c>
      <c r="AG23" s="103">
        <v>0</v>
      </c>
      <c r="AH23" s="103">
        <v>0</v>
      </c>
      <c r="AI23" s="103">
        <v>0</v>
      </c>
      <c r="AJ23" s="103">
        <v>0</v>
      </c>
      <c r="AK23" s="103">
        <v>0</v>
      </c>
      <c r="AL23" s="103">
        <v>0</v>
      </c>
      <c r="AM23" s="103">
        <v>0</v>
      </c>
      <c r="AN23" s="103">
        <v>0</v>
      </c>
      <c r="AO23" s="103">
        <v>0</v>
      </c>
      <c r="AP23" s="103">
        <v>0</v>
      </c>
      <c r="AQ23" s="103">
        <v>0</v>
      </c>
    </row>
    <row r="24" spans="1:43" customFormat="1" x14ac:dyDescent="0.15">
      <c r="A24" s="177" t="s">
        <v>214</v>
      </c>
      <c r="B24" s="103">
        <v>0</v>
      </c>
      <c r="C24" s="103">
        <v>0</v>
      </c>
      <c r="D24" s="103">
        <v>0</v>
      </c>
      <c r="E24" s="103">
        <v>1</v>
      </c>
      <c r="F24" s="103">
        <v>1</v>
      </c>
      <c r="G24" s="103">
        <v>0</v>
      </c>
      <c r="H24" s="103">
        <v>0</v>
      </c>
      <c r="I24" s="103">
        <v>0</v>
      </c>
      <c r="J24" s="103">
        <v>1</v>
      </c>
      <c r="K24" s="103">
        <v>0</v>
      </c>
      <c r="L24" s="103">
        <v>0</v>
      </c>
      <c r="M24" s="103">
        <v>1</v>
      </c>
      <c r="N24" s="103">
        <v>0</v>
      </c>
      <c r="O24" s="103">
        <v>1</v>
      </c>
      <c r="P24" s="103">
        <v>0</v>
      </c>
      <c r="Q24" s="103">
        <v>1</v>
      </c>
      <c r="R24" s="103">
        <v>1</v>
      </c>
      <c r="S24" s="103">
        <v>1</v>
      </c>
      <c r="T24" s="103">
        <v>1</v>
      </c>
      <c r="U24" s="103">
        <v>1</v>
      </c>
      <c r="V24" s="103">
        <v>0</v>
      </c>
      <c r="W24" s="103">
        <v>0</v>
      </c>
      <c r="X24" s="103">
        <v>1</v>
      </c>
      <c r="Y24" s="103">
        <v>0</v>
      </c>
      <c r="Z24" s="103">
        <v>0</v>
      </c>
      <c r="AA24" s="103">
        <v>0</v>
      </c>
      <c r="AB24" s="103">
        <v>0</v>
      </c>
      <c r="AC24" s="103">
        <v>0</v>
      </c>
      <c r="AD24" s="103">
        <v>0</v>
      </c>
      <c r="AE24" s="103">
        <v>0</v>
      </c>
      <c r="AF24" s="103">
        <v>0</v>
      </c>
      <c r="AG24" s="103">
        <v>0</v>
      </c>
      <c r="AH24" s="103">
        <v>0</v>
      </c>
      <c r="AI24" s="103">
        <v>0</v>
      </c>
      <c r="AJ24" s="103">
        <v>0</v>
      </c>
      <c r="AK24" s="103">
        <v>0</v>
      </c>
      <c r="AL24" s="103">
        <v>0</v>
      </c>
      <c r="AM24" s="103">
        <v>0</v>
      </c>
      <c r="AN24" s="103">
        <v>0</v>
      </c>
      <c r="AO24" s="103">
        <v>0</v>
      </c>
      <c r="AP24" s="103">
        <v>0</v>
      </c>
      <c r="AQ24" s="103">
        <v>0</v>
      </c>
    </row>
    <row r="25" spans="1:43" customFormat="1" x14ac:dyDescent="0.15">
      <c r="A25" s="177" t="s">
        <v>215</v>
      </c>
      <c r="B25" s="103">
        <v>0</v>
      </c>
      <c r="C25" s="103">
        <v>0</v>
      </c>
      <c r="D25" s="103">
        <v>0</v>
      </c>
      <c r="E25" s="103">
        <v>0</v>
      </c>
      <c r="F25" s="103">
        <v>0</v>
      </c>
      <c r="G25" s="103">
        <v>0</v>
      </c>
      <c r="H25" s="103">
        <v>0</v>
      </c>
      <c r="I25" s="103">
        <v>0</v>
      </c>
      <c r="J25" s="103">
        <v>0</v>
      </c>
      <c r="K25" s="103">
        <v>0</v>
      </c>
      <c r="L25" s="103">
        <v>1</v>
      </c>
      <c r="M25" s="103">
        <v>1</v>
      </c>
      <c r="N25" s="103">
        <v>0</v>
      </c>
      <c r="O25" s="103">
        <v>1</v>
      </c>
      <c r="P25" s="103">
        <v>0</v>
      </c>
      <c r="Q25" s="103">
        <v>1</v>
      </c>
      <c r="R25" s="103">
        <v>1</v>
      </c>
      <c r="S25" s="103">
        <v>1</v>
      </c>
      <c r="T25" s="103">
        <v>0</v>
      </c>
      <c r="U25" s="103">
        <v>1</v>
      </c>
      <c r="V25" s="103">
        <v>0</v>
      </c>
      <c r="W25" s="103">
        <v>0</v>
      </c>
      <c r="X25" s="103">
        <v>1</v>
      </c>
      <c r="Y25" s="103">
        <v>0</v>
      </c>
      <c r="Z25" s="103">
        <v>1</v>
      </c>
      <c r="AA25" s="103">
        <v>1</v>
      </c>
      <c r="AB25" s="103">
        <v>0</v>
      </c>
      <c r="AC25" s="103">
        <v>0</v>
      </c>
      <c r="AD25" s="103">
        <v>0</v>
      </c>
      <c r="AE25" s="103">
        <v>0</v>
      </c>
      <c r="AF25" s="103">
        <v>1</v>
      </c>
      <c r="AG25" s="103">
        <v>1</v>
      </c>
      <c r="AH25" s="103">
        <v>0</v>
      </c>
      <c r="AI25" s="103">
        <v>0</v>
      </c>
      <c r="AJ25" s="103">
        <v>0</v>
      </c>
      <c r="AK25" s="103">
        <v>0</v>
      </c>
      <c r="AL25" s="103">
        <v>0</v>
      </c>
      <c r="AM25" s="103">
        <v>0</v>
      </c>
      <c r="AN25" s="103">
        <v>0</v>
      </c>
      <c r="AO25" s="103">
        <v>0</v>
      </c>
      <c r="AP25" s="103">
        <v>0</v>
      </c>
      <c r="AQ25" s="103">
        <v>0</v>
      </c>
    </row>
    <row r="26" spans="1:43" customFormat="1" x14ac:dyDescent="0.15">
      <c r="A26" s="177" t="s">
        <v>216</v>
      </c>
      <c r="B26" s="103">
        <v>0</v>
      </c>
      <c r="C26" s="103">
        <v>0</v>
      </c>
      <c r="D26" s="103">
        <v>0</v>
      </c>
      <c r="E26" s="103">
        <v>0</v>
      </c>
      <c r="F26" s="103">
        <v>1</v>
      </c>
      <c r="G26" s="103">
        <v>0</v>
      </c>
      <c r="H26" s="103">
        <v>0</v>
      </c>
      <c r="I26" s="103">
        <v>0</v>
      </c>
      <c r="J26" s="103">
        <v>0</v>
      </c>
      <c r="K26" s="103">
        <v>0</v>
      </c>
      <c r="L26" s="103">
        <v>1</v>
      </c>
      <c r="M26" s="103">
        <v>0</v>
      </c>
      <c r="N26" s="103">
        <v>1</v>
      </c>
      <c r="O26" s="103">
        <v>1</v>
      </c>
      <c r="P26" s="103">
        <v>0</v>
      </c>
      <c r="Q26" s="103">
        <v>1</v>
      </c>
      <c r="R26" s="103">
        <v>1</v>
      </c>
      <c r="S26" s="103">
        <v>0</v>
      </c>
      <c r="T26" s="103">
        <v>0</v>
      </c>
      <c r="U26" s="103">
        <v>1</v>
      </c>
      <c r="V26" s="103">
        <v>0</v>
      </c>
      <c r="W26" s="103">
        <v>0</v>
      </c>
      <c r="X26" s="103">
        <v>0</v>
      </c>
      <c r="Y26" s="103">
        <v>0</v>
      </c>
      <c r="Z26" s="103">
        <v>0</v>
      </c>
      <c r="AA26" s="103">
        <v>0</v>
      </c>
      <c r="AB26" s="103">
        <v>0</v>
      </c>
      <c r="AC26" s="103">
        <v>0</v>
      </c>
      <c r="AD26" s="103">
        <v>0</v>
      </c>
      <c r="AE26" s="103">
        <v>0</v>
      </c>
      <c r="AF26" s="103">
        <v>0</v>
      </c>
      <c r="AG26" s="103">
        <v>0</v>
      </c>
      <c r="AH26" s="103">
        <v>0</v>
      </c>
      <c r="AI26" s="103">
        <v>0</v>
      </c>
      <c r="AJ26" s="103">
        <v>0</v>
      </c>
      <c r="AK26" s="103">
        <v>0</v>
      </c>
      <c r="AL26" s="103">
        <v>0</v>
      </c>
      <c r="AM26" s="103">
        <v>0</v>
      </c>
      <c r="AN26" s="103">
        <v>0</v>
      </c>
      <c r="AO26" s="103">
        <v>0</v>
      </c>
      <c r="AP26" s="103">
        <v>0</v>
      </c>
      <c r="AQ26" s="103">
        <v>0</v>
      </c>
    </row>
    <row r="27" spans="1:43" customFormat="1" x14ac:dyDescent="0.15">
      <c r="A27" s="177" t="s">
        <v>217</v>
      </c>
      <c r="B27" s="103">
        <v>0</v>
      </c>
      <c r="C27" s="103">
        <v>1</v>
      </c>
      <c r="D27" s="103">
        <v>0</v>
      </c>
      <c r="E27" s="103">
        <v>1</v>
      </c>
      <c r="F27" s="103">
        <v>1</v>
      </c>
      <c r="G27" s="103">
        <v>1</v>
      </c>
      <c r="H27" s="103">
        <v>0</v>
      </c>
      <c r="I27" s="103">
        <v>0</v>
      </c>
      <c r="J27" s="103">
        <v>1</v>
      </c>
      <c r="K27" s="103">
        <v>1</v>
      </c>
      <c r="L27" s="103">
        <v>1</v>
      </c>
      <c r="M27" s="103">
        <v>1</v>
      </c>
      <c r="N27" s="103">
        <v>1</v>
      </c>
      <c r="O27" s="103">
        <v>1</v>
      </c>
      <c r="P27" s="103">
        <v>1</v>
      </c>
      <c r="Q27" s="103">
        <v>1</v>
      </c>
      <c r="R27" s="103">
        <v>1</v>
      </c>
      <c r="S27" s="103">
        <v>1</v>
      </c>
      <c r="T27" s="103">
        <v>1</v>
      </c>
      <c r="U27" s="103">
        <v>1</v>
      </c>
      <c r="V27" s="103">
        <v>0</v>
      </c>
      <c r="W27" s="103">
        <v>0</v>
      </c>
      <c r="X27" s="103">
        <v>1</v>
      </c>
      <c r="Y27" s="103">
        <v>0</v>
      </c>
      <c r="Z27" s="103">
        <v>1</v>
      </c>
      <c r="AA27" s="103">
        <v>1</v>
      </c>
      <c r="AB27" s="103">
        <v>0</v>
      </c>
      <c r="AC27" s="103">
        <v>0</v>
      </c>
      <c r="AD27" s="103">
        <v>0</v>
      </c>
      <c r="AE27" s="103">
        <v>0</v>
      </c>
      <c r="AF27" s="103">
        <v>1</v>
      </c>
      <c r="AG27" s="103">
        <v>0</v>
      </c>
      <c r="AH27" s="103">
        <v>0</v>
      </c>
      <c r="AI27" s="103">
        <v>0</v>
      </c>
      <c r="AJ27" s="103">
        <v>0</v>
      </c>
      <c r="AK27" s="103">
        <v>0</v>
      </c>
      <c r="AL27" s="103">
        <v>0</v>
      </c>
      <c r="AM27" s="103">
        <v>0</v>
      </c>
      <c r="AN27" s="103">
        <v>0</v>
      </c>
      <c r="AO27" s="103">
        <v>0</v>
      </c>
      <c r="AP27" s="103">
        <v>0</v>
      </c>
      <c r="AQ27" s="103">
        <v>0</v>
      </c>
    </row>
    <row r="28" spans="1:43" customFormat="1" x14ac:dyDescent="0.15">
      <c r="A28" s="177" t="s">
        <v>218</v>
      </c>
      <c r="B28" s="103">
        <v>0</v>
      </c>
      <c r="C28" s="103">
        <v>0</v>
      </c>
      <c r="D28" s="103">
        <v>0</v>
      </c>
      <c r="E28" s="103">
        <v>1</v>
      </c>
      <c r="F28" s="103">
        <v>0</v>
      </c>
      <c r="G28" s="103">
        <v>0</v>
      </c>
      <c r="H28" s="103">
        <v>1</v>
      </c>
      <c r="I28" s="103">
        <v>0</v>
      </c>
      <c r="J28" s="103">
        <v>1</v>
      </c>
      <c r="K28" s="103">
        <v>0</v>
      </c>
      <c r="L28" s="103">
        <v>0</v>
      </c>
      <c r="M28" s="103">
        <v>0</v>
      </c>
      <c r="N28" s="103">
        <v>0</v>
      </c>
      <c r="O28" s="103">
        <v>0</v>
      </c>
      <c r="P28" s="103">
        <v>0</v>
      </c>
      <c r="Q28" s="103">
        <v>0</v>
      </c>
      <c r="R28" s="103">
        <v>0</v>
      </c>
      <c r="S28" s="103">
        <v>0</v>
      </c>
      <c r="T28" s="103">
        <v>0</v>
      </c>
      <c r="U28" s="103">
        <v>0</v>
      </c>
      <c r="V28" s="103">
        <v>0</v>
      </c>
      <c r="W28" s="103">
        <v>0</v>
      </c>
      <c r="X28" s="103">
        <v>0</v>
      </c>
      <c r="Y28" s="103">
        <v>0</v>
      </c>
      <c r="Z28" s="103">
        <v>0</v>
      </c>
      <c r="AA28" s="103">
        <v>0</v>
      </c>
      <c r="AB28" s="103">
        <v>0</v>
      </c>
      <c r="AC28" s="103">
        <v>0</v>
      </c>
      <c r="AD28" s="103">
        <v>0</v>
      </c>
      <c r="AE28" s="103">
        <v>0</v>
      </c>
      <c r="AF28" s="103">
        <v>0</v>
      </c>
      <c r="AG28" s="103">
        <v>0</v>
      </c>
      <c r="AH28" s="103">
        <v>0</v>
      </c>
      <c r="AI28" s="103">
        <v>0</v>
      </c>
      <c r="AJ28" s="103">
        <v>0</v>
      </c>
      <c r="AK28" s="103">
        <v>0</v>
      </c>
      <c r="AL28" s="103">
        <v>0</v>
      </c>
      <c r="AM28" s="103">
        <v>0</v>
      </c>
      <c r="AN28" s="103">
        <v>0</v>
      </c>
      <c r="AO28" s="103">
        <v>0</v>
      </c>
      <c r="AP28" s="103">
        <v>0</v>
      </c>
      <c r="AQ28" s="103">
        <v>0</v>
      </c>
    </row>
    <row r="29" spans="1:43" customFormat="1" x14ac:dyDescent="0.15">
      <c r="A29" s="177" t="s">
        <v>219</v>
      </c>
      <c r="B29" s="103">
        <v>0</v>
      </c>
      <c r="C29" s="103">
        <v>0</v>
      </c>
      <c r="D29" s="103">
        <v>0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103">
        <v>0</v>
      </c>
      <c r="O29" s="103">
        <v>0</v>
      </c>
      <c r="P29" s="103">
        <v>0</v>
      </c>
      <c r="Q29" s="103">
        <v>0</v>
      </c>
      <c r="R29" s="103">
        <v>0</v>
      </c>
      <c r="S29" s="103">
        <v>0</v>
      </c>
      <c r="T29" s="103">
        <v>0</v>
      </c>
      <c r="U29" s="103">
        <v>0</v>
      </c>
      <c r="V29" s="103">
        <v>0</v>
      </c>
      <c r="W29" s="103">
        <v>0</v>
      </c>
      <c r="X29" s="103">
        <v>0</v>
      </c>
      <c r="Y29" s="103">
        <v>0</v>
      </c>
      <c r="Z29" s="103">
        <v>0</v>
      </c>
      <c r="AA29" s="103">
        <v>0</v>
      </c>
      <c r="AB29" s="103">
        <v>0</v>
      </c>
      <c r="AC29" s="103">
        <v>0</v>
      </c>
      <c r="AD29" s="103">
        <v>0</v>
      </c>
      <c r="AE29" s="103">
        <v>0</v>
      </c>
      <c r="AF29" s="103">
        <v>0</v>
      </c>
      <c r="AG29" s="103">
        <v>0</v>
      </c>
      <c r="AH29" s="103">
        <v>0</v>
      </c>
      <c r="AI29" s="103">
        <v>0</v>
      </c>
      <c r="AJ29" s="103">
        <v>0</v>
      </c>
      <c r="AK29" s="103">
        <v>0</v>
      </c>
      <c r="AL29" s="103">
        <v>0</v>
      </c>
      <c r="AM29" s="103">
        <v>0</v>
      </c>
      <c r="AN29" s="103">
        <v>0</v>
      </c>
      <c r="AO29" s="103">
        <v>0</v>
      </c>
      <c r="AP29" s="103">
        <v>0</v>
      </c>
      <c r="AQ29" s="103">
        <v>0</v>
      </c>
    </row>
    <row r="30" spans="1:43" customFormat="1" x14ac:dyDescent="0.15">
      <c r="A30" s="177" t="s">
        <v>220</v>
      </c>
      <c r="B30" s="103">
        <v>0</v>
      </c>
      <c r="C30" s="103">
        <v>1</v>
      </c>
      <c r="D30" s="103">
        <v>0</v>
      </c>
      <c r="E30" s="103">
        <v>1</v>
      </c>
      <c r="F30" s="103">
        <v>1</v>
      </c>
      <c r="G30" s="103">
        <v>1</v>
      </c>
      <c r="H30" s="103">
        <v>0</v>
      </c>
      <c r="I30" s="103">
        <v>1</v>
      </c>
      <c r="J30" s="103">
        <v>0</v>
      </c>
      <c r="K30" s="103">
        <v>1</v>
      </c>
      <c r="L30" s="103">
        <v>1</v>
      </c>
      <c r="M30" s="103">
        <v>1</v>
      </c>
      <c r="N30" s="103">
        <v>1</v>
      </c>
      <c r="O30" s="103">
        <v>1</v>
      </c>
      <c r="P30" s="103">
        <v>1</v>
      </c>
      <c r="Q30" s="103">
        <v>1</v>
      </c>
      <c r="R30" s="103">
        <v>1</v>
      </c>
      <c r="S30" s="103">
        <v>1</v>
      </c>
      <c r="T30" s="103">
        <v>1</v>
      </c>
      <c r="U30" s="103">
        <v>0</v>
      </c>
      <c r="V30" s="103">
        <v>0</v>
      </c>
      <c r="W30" s="103">
        <v>0</v>
      </c>
      <c r="X30" s="103">
        <v>1</v>
      </c>
      <c r="Y30" s="103">
        <v>0</v>
      </c>
      <c r="Z30" s="103">
        <v>0</v>
      </c>
      <c r="AA30" s="103">
        <v>1</v>
      </c>
      <c r="AB30" s="103">
        <v>0</v>
      </c>
      <c r="AC30" s="103">
        <v>0</v>
      </c>
      <c r="AD30" s="103">
        <v>0</v>
      </c>
      <c r="AE30" s="103">
        <v>0</v>
      </c>
      <c r="AF30" s="103">
        <v>0</v>
      </c>
      <c r="AG30" s="103">
        <v>0</v>
      </c>
      <c r="AH30" s="103">
        <v>0</v>
      </c>
      <c r="AI30" s="103">
        <v>0</v>
      </c>
      <c r="AJ30" s="103">
        <v>0</v>
      </c>
      <c r="AK30" s="103">
        <v>0</v>
      </c>
      <c r="AL30" s="103">
        <v>0</v>
      </c>
      <c r="AM30" s="103">
        <v>0</v>
      </c>
      <c r="AN30" s="103">
        <v>0</v>
      </c>
      <c r="AO30" s="103">
        <v>0</v>
      </c>
      <c r="AP30" s="103">
        <v>0</v>
      </c>
      <c r="AQ30" s="103">
        <v>0</v>
      </c>
    </row>
    <row r="31" spans="1:43" customFormat="1" x14ac:dyDescent="0.15">
      <c r="A31" s="177" t="s">
        <v>221</v>
      </c>
      <c r="B31" s="103">
        <v>0</v>
      </c>
      <c r="C31" s="103">
        <v>0</v>
      </c>
      <c r="D31" s="103">
        <v>0</v>
      </c>
      <c r="E31" s="103">
        <v>1</v>
      </c>
      <c r="F31" s="103">
        <v>0</v>
      </c>
      <c r="G31" s="103">
        <v>0</v>
      </c>
      <c r="H31" s="103">
        <v>0</v>
      </c>
      <c r="I31" s="103">
        <v>0</v>
      </c>
      <c r="J31" s="103">
        <v>1</v>
      </c>
      <c r="K31" s="103">
        <v>0</v>
      </c>
      <c r="L31" s="103">
        <v>0</v>
      </c>
      <c r="M31" s="103">
        <v>1</v>
      </c>
      <c r="N31" s="103">
        <v>1</v>
      </c>
      <c r="O31" s="103">
        <v>1</v>
      </c>
      <c r="P31" s="103">
        <v>1</v>
      </c>
      <c r="Q31" s="103">
        <v>0</v>
      </c>
      <c r="R31" s="103">
        <v>1</v>
      </c>
      <c r="S31" s="103">
        <v>1</v>
      </c>
      <c r="T31" s="103">
        <v>1</v>
      </c>
      <c r="U31" s="103">
        <v>0</v>
      </c>
      <c r="V31" s="103">
        <v>1</v>
      </c>
      <c r="W31" s="103">
        <v>0</v>
      </c>
      <c r="X31" s="103">
        <v>0</v>
      </c>
      <c r="Y31" s="103">
        <v>1</v>
      </c>
      <c r="Z31" s="103">
        <v>0</v>
      </c>
      <c r="AA31" s="103">
        <v>1</v>
      </c>
      <c r="AB31" s="103">
        <v>1</v>
      </c>
      <c r="AC31" s="103">
        <v>1</v>
      </c>
      <c r="AD31" s="103">
        <v>1</v>
      </c>
      <c r="AE31" s="103">
        <v>0</v>
      </c>
      <c r="AF31" s="103">
        <v>0</v>
      </c>
      <c r="AG31" s="103">
        <v>1</v>
      </c>
      <c r="AH31" s="103">
        <v>0</v>
      </c>
      <c r="AI31" s="103">
        <v>0</v>
      </c>
      <c r="AJ31" s="103">
        <v>0</v>
      </c>
      <c r="AK31" s="103">
        <v>0</v>
      </c>
      <c r="AL31" s="103">
        <v>0</v>
      </c>
      <c r="AM31" s="103">
        <v>0</v>
      </c>
      <c r="AN31" s="103">
        <v>0</v>
      </c>
      <c r="AO31" s="103">
        <v>0</v>
      </c>
      <c r="AP31" s="103">
        <v>0</v>
      </c>
      <c r="AQ31" s="103">
        <v>0</v>
      </c>
    </row>
    <row r="32" spans="1:43" x14ac:dyDescent="0.15">
      <c r="A32" s="177" t="s">
        <v>222</v>
      </c>
      <c r="B32" s="103">
        <v>0</v>
      </c>
      <c r="C32" s="103">
        <v>0</v>
      </c>
      <c r="D32" s="103">
        <v>0</v>
      </c>
      <c r="E32" s="103">
        <v>0</v>
      </c>
      <c r="F32" s="103">
        <v>1</v>
      </c>
      <c r="G32" s="103">
        <v>0</v>
      </c>
      <c r="H32" s="103">
        <v>0</v>
      </c>
      <c r="I32" s="103">
        <v>0</v>
      </c>
      <c r="J32" s="103">
        <v>0</v>
      </c>
      <c r="K32" s="103">
        <v>0</v>
      </c>
      <c r="L32" s="103">
        <v>0</v>
      </c>
      <c r="M32" s="103">
        <v>1</v>
      </c>
      <c r="N32" s="103">
        <v>0</v>
      </c>
      <c r="O32" s="103">
        <v>1</v>
      </c>
      <c r="P32" s="103">
        <v>0</v>
      </c>
      <c r="Q32" s="103">
        <v>1</v>
      </c>
      <c r="R32" s="103">
        <v>1</v>
      </c>
      <c r="S32" s="103">
        <v>1</v>
      </c>
      <c r="T32" s="103">
        <v>1</v>
      </c>
      <c r="U32" s="103">
        <v>1</v>
      </c>
      <c r="V32" s="103">
        <v>0</v>
      </c>
      <c r="W32" s="103">
        <v>0</v>
      </c>
      <c r="X32" s="103">
        <v>0</v>
      </c>
      <c r="Y32" s="103">
        <v>0</v>
      </c>
      <c r="Z32" s="103">
        <v>0</v>
      </c>
      <c r="AA32" s="103">
        <v>0</v>
      </c>
      <c r="AB32" s="103">
        <v>0</v>
      </c>
      <c r="AC32" s="103">
        <v>0</v>
      </c>
      <c r="AD32" s="103">
        <v>0</v>
      </c>
      <c r="AE32" s="103">
        <v>0</v>
      </c>
      <c r="AF32" s="103">
        <v>0</v>
      </c>
      <c r="AG32" s="103">
        <v>0</v>
      </c>
      <c r="AH32" s="103">
        <v>0</v>
      </c>
      <c r="AI32" s="103">
        <v>0</v>
      </c>
      <c r="AJ32" s="103">
        <v>0</v>
      </c>
      <c r="AK32" s="103">
        <v>0</v>
      </c>
      <c r="AL32" s="103">
        <v>0</v>
      </c>
      <c r="AM32" s="103">
        <v>0</v>
      </c>
      <c r="AN32" s="103">
        <v>0</v>
      </c>
      <c r="AO32" s="103">
        <v>0</v>
      </c>
      <c r="AP32" s="103">
        <v>0</v>
      </c>
      <c r="AQ32" s="103">
        <v>0</v>
      </c>
    </row>
    <row r="33" spans="1:43" x14ac:dyDescent="0.15">
      <c r="A33" s="177" t="s">
        <v>223</v>
      </c>
      <c r="B33" s="103">
        <v>0</v>
      </c>
      <c r="C33" s="103">
        <v>0</v>
      </c>
      <c r="D33" s="103">
        <v>0</v>
      </c>
      <c r="E33" s="103">
        <v>1</v>
      </c>
      <c r="F33" s="103">
        <v>1</v>
      </c>
      <c r="G33" s="103">
        <v>1</v>
      </c>
      <c r="H33" s="103">
        <v>0</v>
      </c>
      <c r="I33" s="103">
        <v>0</v>
      </c>
      <c r="J33" s="103">
        <v>0</v>
      </c>
      <c r="K33" s="103">
        <v>1</v>
      </c>
      <c r="L33" s="103">
        <v>1</v>
      </c>
      <c r="M33" s="103">
        <v>1</v>
      </c>
      <c r="N33" s="103">
        <v>1</v>
      </c>
      <c r="O33" s="103">
        <v>1</v>
      </c>
      <c r="P33" s="103">
        <v>1</v>
      </c>
      <c r="Q33" s="103">
        <v>1</v>
      </c>
      <c r="R33" s="103">
        <v>1</v>
      </c>
      <c r="S33" s="103">
        <v>1</v>
      </c>
      <c r="T33" s="103">
        <v>1</v>
      </c>
      <c r="U33" s="103">
        <v>0</v>
      </c>
      <c r="V33" s="103">
        <v>0</v>
      </c>
      <c r="W33" s="103">
        <v>0</v>
      </c>
      <c r="X33" s="103">
        <v>1</v>
      </c>
      <c r="Y33" s="103">
        <v>0</v>
      </c>
      <c r="Z33" s="103">
        <v>0</v>
      </c>
      <c r="AA33" s="103">
        <v>1</v>
      </c>
      <c r="AB33" s="103">
        <v>0</v>
      </c>
      <c r="AC33" s="103">
        <v>0</v>
      </c>
      <c r="AD33" s="103">
        <v>0</v>
      </c>
      <c r="AE33" s="103">
        <v>0</v>
      </c>
      <c r="AF33" s="103">
        <v>0</v>
      </c>
      <c r="AG33" s="103">
        <v>0</v>
      </c>
      <c r="AH33" s="103">
        <v>0</v>
      </c>
      <c r="AI33" s="103">
        <v>0</v>
      </c>
      <c r="AJ33" s="103">
        <v>0</v>
      </c>
      <c r="AK33" s="103">
        <v>0</v>
      </c>
      <c r="AL33" s="103">
        <v>0</v>
      </c>
      <c r="AM33" s="103">
        <v>0</v>
      </c>
      <c r="AN33" s="103">
        <v>0</v>
      </c>
      <c r="AO33" s="103">
        <v>0</v>
      </c>
      <c r="AP33" s="103">
        <v>0</v>
      </c>
      <c r="AQ33" s="103">
        <v>0</v>
      </c>
    </row>
    <row r="34" spans="1:43" x14ac:dyDescent="0.15">
      <c r="A34" s="177" t="s">
        <v>224</v>
      </c>
      <c r="B34" s="103">
        <v>0</v>
      </c>
      <c r="C34" s="103">
        <v>0</v>
      </c>
      <c r="D34" s="103">
        <v>0</v>
      </c>
      <c r="E34" s="103">
        <v>1</v>
      </c>
      <c r="F34" s="103">
        <v>0</v>
      </c>
      <c r="G34" s="103">
        <v>0</v>
      </c>
      <c r="H34" s="103">
        <v>0</v>
      </c>
      <c r="I34" s="103">
        <v>0</v>
      </c>
      <c r="J34" s="103">
        <v>0</v>
      </c>
      <c r="K34" s="103">
        <v>0</v>
      </c>
      <c r="L34" s="103">
        <v>0</v>
      </c>
      <c r="M34" s="103">
        <v>0</v>
      </c>
      <c r="N34" s="103">
        <v>0</v>
      </c>
      <c r="O34" s="103">
        <v>0</v>
      </c>
      <c r="P34" s="103">
        <v>0</v>
      </c>
      <c r="Q34" s="103">
        <v>1</v>
      </c>
      <c r="R34" s="103">
        <v>0</v>
      </c>
      <c r="S34" s="103">
        <v>1</v>
      </c>
      <c r="T34" s="103">
        <v>1</v>
      </c>
      <c r="U34" s="103">
        <v>0</v>
      </c>
      <c r="V34" s="103">
        <v>0</v>
      </c>
      <c r="W34" s="103">
        <v>0</v>
      </c>
      <c r="X34" s="103">
        <v>1</v>
      </c>
      <c r="Y34" s="103">
        <v>0</v>
      </c>
      <c r="Z34" s="103">
        <v>0</v>
      </c>
      <c r="AA34" s="103">
        <v>0</v>
      </c>
      <c r="AB34" s="103">
        <v>0</v>
      </c>
      <c r="AC34" s="103">
        <v>0</v>
      </c>
      <c r="AD34" s="103">
        <v>0</v>
      </c>
      <c r="AE34" s="103">
        <v>0</v>
      </c>
      <c r="AF34" s="103">
        <v>0</v>
      </c>
      <c r="AG34" s="103">
        <v>0</v>
      </c>
      <c r="AH34" s="103">
        <v>0</v>
      </c>
      <c r="AI34" s="103">
        <v>0</v>
      </c>
      <c r="AJ34" s="103">
        <v>0</v>
      </c>
      <c r="AK34" s="103">
        <v>0</v>
      </c>
      <c r="AL34" s="103">
        <v>0</v>
      </c>
      <c r="AM34" s="103">
        <v>0</v>
      </c>
      <c r="AN34" s="103">
        <v>0</v>
      </c>
      <c r="AO34" s="103">
        <v>0</v>
      </c>
      <c r="AP34" s="103">
        <v>0</v>
      </c>
      <c r="AQ34" s="103">
        <v>0</v>
      </c>
    </row>
    <row r="35" spans="1:43" x14ac:dyDescent="0.15">
      <c r="A35" s="177" t="s">
        <v>225</v>
      </c>
      <c r="B35" s="103">
        <v>1</v>
      </c>
      <c r="C35" s="103">
        <v>0</v>
      </c>
      <c r="D35" s="103">
        <v>1</v>
      </c>
      <c r="E35" s="103">
        <v>0</v>
      </c>
      <c r="F35" s="103">
        <v>0</v>
      </c>
      <c r="G35" s="103">
        <v>0</v>
      </c>
      <c r="H35" s="103">
        <v>0</v>
      </c>
      <c r="I35" s="103">
        <v>0</v>
      </c>
      <c r="J35" s="103">
        <v>0</v>
      </c>
      <c r="K35" s="103">
        <v>0</v>
      </c>
      <c r="L35" s="103">
        <v>0</v>
      </c>
      <c r="M35" s="103">
        <v>0</v>
      </c>
      <c r="N35" s="103">
        <v>0</v>
      </c>
      <c r="O35" s="103">
        <v>0</v>
      </c>
      <c r="P35" s="103">
        <v>0</v>
      </c>
      <c r="Q35" s="103">
        <v>0</v>
      </c>
      <c r="R35" s="103">
        <v>0</v>
      </c>
      <c r="S35" s="103">
        <v>0</v>
      </c>
      <c r="T35" s="103">
        <v>0</v>
      </c>
      <c r="U35" s="103">
        <v>0</v>
      </c>
      <c r="V35" s="103">
        <v>0</v>
      </c>
      <c r="W35" s="103">
        <v>0</v>
      </c>
      <c r="X35" s="103">
        <v>0</v>
      </c>
      <c r="Y35" s="103">
        <v>0</v>
      </c>
      <c r="Z35" s="103">
        <v>0</v>
      </c>
      <c r="AA35" s="103">
        <v>0</v>
      </c>
      <c r="AB35" s="103">
        <v>0</v>
      </c>
      <c r="AC35" s="103">
        <v>0</v>
      </c>
      <c r="AD35" s="103">
        <v>0</v>
      </c>
      <c r="AE35" s="103">
        <v>0</v>
      </c>
      <c r="AF35" s="103">
        <v>0</v>
      </c>
      <c r="AG35" s="103">
        <v>0</v>
      </c>
      <c r="AH35" s="103">
        <v>0</v>
      </c>
      <c r="AI35" s="103">
        <v>0</v>
      </c>
      <c r="AJ35" s="103">
        <v>0</v>
      </c>
      <c r="AK35" s="103">
        <v>0</v>
      </c>
      <c r="AL35" s="103">
        <v>0</v>
      </c>
      <c r="AM35" s="103">
        <v>0</v>
      </c>
      <c r="AN35" s="103">
        <v>0</v>
      </c>
      <c r="AO35" s="103">
        <v>0</v>
      </c>
      <c r="AP35" s="103">
        <v>0</v>
      </c>
      <c r="AQ35" s="103">
        <v>0</v>
      </c>
    </row>
    <row r="36" spans="1:43" x14ac:dyDescent="0.15">
      <c r="A36" s="177" t="s">
        <v>226</v>
      </c>
      <c r="B36" s="103">
        <v>0</v>
      </c>
      <c r="C36" s="103">
        <v>0</v>
      </c>
      <c r="D36" s="103">
        <v>0</v>
      </c>
      <c r="E36" s="103">
        <v>0</v>
      </c>
      <c r="F36" s="103">
        <v>0</v>
      </c>
      <c r="G36" s="103">
        <v>0</v>
      </c>
      <c r="H36" s="103">
        <v>0</v>
      </c>
      <c r="I36" s="103">
        <v>0</v>
      </c>
      <c r="J36" s="103">
        <v>0</v>
      </c>
      <c r="K36" s="103">
        <v>0</v>
      </c>
      <c r="L36" s="103">
        <v>1</v>
      </c>
      <c r="M36" s="103">
        <v>0</v>
      </c>
      <c r="N36" s="103">
        <v>0</v>
      </c>
      <c r="O36" s="103">
        <v>0</v>
      </c>
      <c r="P36" s="103">
        <v>0</v>
      </c>
      <c r="Q36" s="103">
        <v>0</v>
      </c>
      <c r="R36" s="103">
        <v>1</v>
      </c>
      <c r="S36" s="103">
        <v>1</v>
      </c>
      <c r="T36" s="103">
        <v>1</v>
      </c>
      <c r="U36" s="103">
        <v>1</v>
      </c>
      <c r="V36" s="103">
        <v>0</v>
      </c>
      <c r="W36" s="103">
        <v>1</v>
      </c>
      <c r="X36" s="103">
        <v>0</v>
      </c>
      <c r="Y36" s="103">
        <v>1</v>
      </c>
      <c r="Z36" s="103">
        <v>1</v>
      </c>
      <c r="AA36" s="103">
        <v>1</v>
      </c>
      <c r="AB36" s="103">
        <v>0</v>
      </c>
      <c r="AC36" s="103">
        <v>1</v>
      </c>
      <c r="AD36" s="103">
        <v>1</v>
      </c>
      <c r="AE36" s="103">
        <v>1</v>
      </c>
      <c r="AF36" s="103">
        <v>0</v>
      </c>
      <c r="AG36" s="103">
        <v>1</v>
      </c>
      <c r="AH36" s="103">
        <v>1</v>
      </c>
      <c r="AI36" s="103">
        <v>0</v>
      </c>
      <c r="AJ36" s="103">
        <v>0</v>
      </c>
      <c r="AK36" s="103">
        <v>0</v>
      </c>
      <c r="AL36" s="103">
        <v>0</v>
      </c>
      <c r="AM36" s="103">
        <v>0</v>
      </c>
      <c r="AN36" s="103">
        <v>0</v>
      </c>
      <c r="AO36" s="103">
        <v>0</v>
      </c>
      <c r="AP36" s="103">
        <v>0</v>
      </c>
      <c r="AQ36" s="103">
        <v>0</v>
      </c>
    </row>
    <row r="37" spans="1:43" x14ac:dyDescent="0.15">
      <c r="A37" s="177" t="s">
        <v>227</v>
      </c>
      <c r="B37" s="103">
        <v>1</v>
      </c>
      <c r="C37" s="103">
        <v>0</v>
      </c>
      <c r="D37" s="103">
        <v>1</v>
      </c>
      <c r="E37" s="103">
        <v>0</v>
      </c>
      <c r="F37" s="103">
        <v>0</v>
      </c>
      <c r="G37" s="103">
        <v>0</v>
      </c>
      <c r="H37" s="103">
        <v>1</v>
      </c>
      <c r="I37" s="103">
        <v>0</v>
      </c>
      <c r="J37" s="103">
        <v>1</v>
      </c>
      <c r="K37" s="103">
        <v>0</v>
      </c>
      <c r="L37" s="103">
        <v>0</v>
      </c>
      <c r="M37" s="103">
        <v>0</v>
      </c>
      <c r="N37" s="103">
        <v>0</v>
      </c>
      <c r="O37" s="103">
        <v>0</v>
      </c>
      <c r="P37" s="103">
        <v>0</v>
      </c>
      <c r="Q37" s="103">
        <v>0</v>
      </c>
      <c r="R37" s="103">
        <v>0</v>
      </c>
      <c r="S37" s="103">
        <v>0</v>
      </c>
      <c r="T37" s="103">
        <v>0</v>
      </c>
      <c r="U37" s="103">
        <v>0</v>
      </c>
      <c r="V37" s="103">
        <v>0</v>
      </c>
      <c r="W37" s="103">
        <v>0</v>
      </c>
      <c r="X37" s="103">
        <v>0</v>
      </c>
      <c r="Y37" s="103">
        <v>0</v>
      </c>
      <c r="Z37" s="103">
        <v>0</v>
      </c>
      <c r="AA37" s="103">
        <v>0</v>
      </c>
      <c r="AB37" s="103">
        <v>0</v>
      </c>
      <c r="AC37" s="103">
        <v>0</v>
      </c>
      <c r="AD37" s="103">
        <v>0</v>
      </c>
      <c r="AE37" s="103">
        <v>0</v>
      </c>
      <c r="AF37" s="103">
        <v>0</v>
      </c>
      <c r="AG37" s="103">
        <v>0</v>
      </c>
      <c r="AH37" s="103">
        <v>0</v>
      </c>
      <c r="AI37" s="103">
        <v>0</v>
      </c>
      <c r="AJ37" s="103">
        <v>0</v>
      </c>
      <c r="AK37" s="103">
        <v>0</v>
      </c>
      <c r="AL37" s="103">
        <v>0</v>
      </c>
      <c r="AM37" s="103">
        <v>0</v>
      </c>
      <c r="AN37" s="103">
        <v>0</v>
      </c>
      <c r="AO37" s="103">
        <v>0</v>
      </c>
      <c r="AP37" s="103">
        <v>0</v>
      </c>
      <c r="AQ37" s="103">
        <v>0</v>
      </c>
    </row>
    <row r="38" spans="1:43" x14ac:dyDescent="0.15">
      <c r="A38" s="177" t="s">
        <v>228</v>
      </c>
      <c r="B38" s="103">
        <v>0</v>
      </c>
      <c r="C38" s="103">
        <v>0</v>
      </c>
      <c r="D38" s="103">
        <v>0</v>
      </c>
      <c r="E38" s="103">
        <v>0</v>
      </c>
      <c r="F38" s="103">
        <v>0</v>
      </c>
      <c r="G38" s="103">
        <v>0</v>
      </c>
      <c r="H38" s="103">
        <v>0</v>
      </c>
      <c r="I38" s="103">
        <v>0</v>
      </c>
      <c r="J38" s="103">
        <v>0</v>
      </c>
      <c r="K38" s="103">
        <v>0</v>
      </c>
      <c r="L38" s="103">
        <v>0</v>
      </c>
      <c r="M38" s="103">
        <v>0</v>
      </c>
      <c r="N38" s="103">
        <v>0</v>
      </c>
      <c r="O38" s="103">
        <v>0</v>
      </c>
      <c r="P38" s="103">
        <v>0</v>
      </c>
      <c r="Q38" s="103">
        <v>1</v>
      </c>
      <c r="R38" s="103">
        <v>0</v>
      </c>
      <c r="S38" s="103">
        <v>1</v>
      </c>
      <c r="T38" s="103">
        <v>1</v>
      </c>
      <c r="U38" s="103">
        <v>0</v>
      </c>
      <c r="V38" s="103">
        <v>0</v>
      </c>
      <c r="W38" s="103">
        <v>0</v>
      </c>
      <c r="X38" s="103">
        <v>1</v>
      </c>
      <c r="Y38" s="103">
        <v>0</v>
      </c>
      <c r="Z38" s="103">
        <v>0</v>
      </c>
      <c r="AA38" s="103">
        <v>1</v>
      </c>
      <c r="AB38" s="103">
        <v>0</v>
      </c>
      <c r="AC38" s="103">
        <v>0</v>
      </c>
      <c r="AD38" s="103">
        <v>1</v>
      </c>
      <c r="AE38" s="103">
        <v>0</v>
      </c>
      <c r="AF38" s="103">
        <v>1</v>
      </c>
      <c r="AG38" s="103">
        <v>1</v>
      </c>
      <c r="AH38" s="103">
        <v>0</v>
      </c>
      <c r="AI38" s="103">
        <v>1</v>
      </c>
      <c r="AJ38" s="103">
        <v>0</v>
      </c>
      <c r="AK38" s="103">
        <v>1</v>
      </c>
      <c r="AL38" s="103">
        <v>0</v>
      </c>
      <c r="AM38" s="103">
        <v>0</v>
      </c>
      <c r="AN38" s="103">
        <v>0</v>
      </c>
      <c r="AO38" s="103">
        <v>0</v>
      </c>
      <c r="AP38" s="103">
        <v>0</v>
      </c>
      <c r="AQ38" s="103">
        <v>0</v>
      </c>
    </row>
    <row r="39" spans="1:43" x14ac:dyDescent="0.15">
      <c r="A39" s="177" t="s">
        <v>229</v>
      </c>
      <c r="B39" s="103">
        <v>0</v>
      </c>
      <c r="C39" s="103">
        <v>0</v>
      </c>
      <c r="D39" s="103">
        <v>0</v>
      </c>
      <c r="E39" s="103">
        <v>0</v>
      </c>
      <c r="F39" s="103">
        <v>1</v>
      </c>
      <c r="G39" s="103">
        <v>0</v>
      </c>
      <c r="H39" s="103">
        <v>0</v>
      </c>
      <c r="I39" s="103">
        <v>0</v>
      </c>
      <c r="J39" s="103">
        <v>0</v>
      </c>
      <c r="K39" s="103">
        <v>0</v>
      </c>
      <c r="L39" s="103">
        <v>0</v>
      </c>
      <c r="M39" s="103">
        <v>1</v>
      </c>
      <c r="N39" s="103">
        <v>0</v>
      </c>
      <c r="O39" s="103">
        <v>1</v>
      </c>
      <c r="P39" s="103">
        <v>0</v>
      </c>
      <c r="Q39" s="103">
        <v>1</v>
      </c>
      <c r="R39" s="103">
        <v>1</v>
      </c>
      <c r="S39" s="103">
        <v>1</v>
      </c>
      <c r="T39" s="103">
        <v>1</v>
      </c>
      <c r="U39" s="103">
        <v>1</v>
      </c>
      <c r="V39" s="103">
        <v>0</v>
      </c>
      <c r="W39" s="103">
        <v>0</v>
      </c>
      <c r="X39" s="103">
        <v>1</v>
      </c>
      <c r="Y39" s="103">
        <v>0</v>
      </c>
      <c r="Z39" s="103">
        <v>1</v>
      </c>
      <c r="AA39" s="103">
        <v>1</v>
      </c>
      <c r="AB39" s="103">
        <v>1</v>
      </c>
      <c r="AC39" s="103">
        <v>0</v>
      </c>
      <c r="AD39" s="103">
        <v>1</v>
      </c>
      <c r="AE39" s="103">
        <v>0</v>
      </c>
      <c r="AF39" s="103">
        <v>1</v>
      </c>
      <c r="AG39" s="103">
        <v>1</v>
      </c>
      <c r="AH39" s="103">
        <v>0</v>
      </c>
      <c r="AI39" s="103">
        <v>0</v>
      </c>
      <c r="AJ39" s="103">
        <v>0</v>
      </c>
      <c r="AK39" s="103">
        <v>1</v>
      </c>
      <c r="AL39" s="103">
        <v>0</v>
      </c>
      <c r="AM39" s="103">
        <v>0</v>
      </c>
      <c r="AN39" s="103">
        <v>0</v>
      </c>
      <c r="AO39" s="103">
        <v>0</v>
      </c>
      <c r="AP39" s="103">
        <v>0</v>
      </c>
      <c r="AQ39" s="103">
        <v>0</v>
      </c>
    </row>
    <row r="40" spans="1:43" x14ac:dyDescent="0.15">
      <c r="A40" s="177" t="s">
        <v>230</v>
      </c>
      <c r="B40" s="103">
        <v>0</v>
      </c>
      <c r="C40" s="103">
        <v>0</v>
      </c>
      <c r="D40" s="103">
        <v>0</v>
      </c>
      <c r="E40" s="103">
        <v>0</v>
      </c>
      <c r="F40" s="103">
        <v>0</v>
      </c>
      <c r="G40" s="103">
        <v>0</v>
      </c>
      <c r="H40" s="103">
        <v>0</v>
      </c>
      <c r="I40" s="103">
        <v>0</v>
      </c>
      <c r="J40" s="103">
        <v>0</v>
      </c>
      <c r="K40" s="103">
        <v>0</v>
      </c>
      <c r="L40" s="103">
        <v>0</v>
      </c>
      <c r="M40" s="103">
        <v>0</v>
      </c>
      <c r="N40" s="103">
        <v>0</v>
      </c>
      <c r="O40" s="103">
        <v>0</v>
      </c>
      <c r="P40" s="103">
        <v>0</v>
      </c>
      <c r="Q40" s="103">
        <v>0</v>
      </c>
      <c r="R40" s="103">
        <v>0</v>
      </c>
      <c r="S40" s="103">
        <v>1</v>
      </c>
      <c r="T40" s="103">
        <v>0</v>
      </c>
      <c r="U40" s="103">
        <v>0</v>
      </c>
      <c r="V40" s="103">
        <v>0</v>
      </c>
      <c r="W40" s="103">
        <v>0</v>
      </c>
      <c r="X40" s="103">
        <v>1</v>
      </c>
      <c r="Y40" s="103">
        <v>0</v>
      </c>
      <c r="Z40" s="103">
        <v>0</v>
      </c>
      <c r="AA40" s="103">
        <v>0</v>
      </c>
      <c r="AB40" s="103">
        <v>0</v>
      </c>
      <c r="AC40" s="103">
        <v>0</v>
      </c>
      <c r="AD40" s="103">
        <v>1</v>
      </c>
      <c r="AE40" s="103">
        <v>0</v>
      </c>
      <c r="AF40" s="103">
        <v>1</v>
      </c>
      <c r="AG40" s="103">
        <v>1</v>
      </c>
      <c r="AH40" s="103">
        <v>0</v>
      </c>
      <c r="AI40" s="103">
        <v>1</v>
      </c>
      <c r="AJ40" s="103">
        <v>0</v>
      </c>
      <c r="AK40" s="103">
        <v>0</v>
      </c>
      <c r="AL40" s="103">
        <v>0</v>
      </c>
      <c r="AM40" s="103">
        <v>0</v>
      </c>
      <c r="AN40" s="103">
        <v>0</v>
      </c>
      <c r="AO40" s="103">
        <v>0</v>
      </c>
      <c r="AP40" s="103">
        <v>0</v>
      </c>
      <c r="AQ40" s="103">
        <v>0</v>
      </c>
    </row>
    <row r="41" spans="1:43" x14ac:dyDescent="0.15">
      <c r="A41" s="177" t="s">
        <v>231</v>
      </c>
      <c r="B41" s="103">
        <v>0</v>
      </c>
      <c r="C41" s="103">
        <v>0</v>
      </c>
      <c r="D41" s="103">
        <v>0</v>
      </c>
      <c r="E41" s="103">
        <v>0</v>
      </c>
      <c r="F41" s="103">
        <v>0</v>
      </c>
      <c r="G41" s="103">
        <v>0</v>
      </c>
      <c r="H41" s="103">
        <v>0</v>
      </c>
      <c r="I41" s="103">
        <v>0</v>
      </c>
      <c r="J41" s="103">
        <v>0</v>
      </c>
      <c r="K41" s="103">
        <v>0</v>
      </c>
      <c r="L41" s="103">
        <v>0</v>
      </c>
      <c r="M41" s="103">
        <v>0</v>
      </c>
      <c r="N41" s="103">
        <v>0</v>
      </c>
      <c r="O41" s="103">
        <v>0</v>
      </c>
      <c r="P41" s="103">
        <v>0</v>
      </c>
      <c r="Q41" s="103">
        <v>0</v>
      </c>
      <c r="R41" s="103">
        <v>0</v>
      </c>
      <c r="S41" s="103">
        <v>0</v>
      </c>
      <c r="T41" s="103">
        <v>0</v>
      </c>
      <c r="U41" s="103">
        <v>0</v>
      </c>
      <c r="V41" s="103">
        <v>1</v>
      </c>
      <c r="W41" s="103">
        <v>1</v>
      </c>
      <c r="X41" s="103">
        <v>0</v>
      </c>
      <c r="Y41" s="103">
        <v>1</v>
      </c>
      <c r="Z41" s="103">
        <v>0</v>
      </c>
      <c r="AA41" s="103">
        <v>1</v>
      </c>
      <c r="AB41" s="103">
        <v>0</v>
      </c>
      <c r="AC41" s="103">
        <v>0</v>
      </c>
      <c r="AD41" s="103">
        <v>0</v>
      </c>
      <c r="AE41" s="103">
        <v>1</v>
      </c>
      <c r="AF41" s="103">
        <v>0</v>
      </c>
      <c r="AG41" s="103">
        <v>0</v>
      </c>
      <c r="AH41" s="103">
        <v>0</v>
      </c>
      <c r="AI41" s="103">
        <v>0</v>
      </c>
      <c r="AJ41" s="103">
        <v>1</v>
      </c>
      <c r="AK41" s="103">
        <v>0</v>
      </c>
      <c r="AL41" s="103">
        <v>0</v>
      </c>
      <c r="AM41" s="103">
        <v>0</v>
      </c>
      <c r="AN41" s="103">
        <v>0</v>
      </c>
      <c r="AO41" s="103">
        <v>0</v>
      </c>
      <c r="AP41" s="103">
        <v>0</v>
      </c>
      <c r="AQ41" s="103">
        <v>0</v>
      </c>
    </row>
    <row r="42" spans="1:43" x14ac:dyDescent="0.15">
      <c r="A42" s="177" t="s">
        <v>232</v>
      </c>
      <c r="B42" s="103">
        <v>0</v>
      </c>
      <c r="C42" s="103">
        <v>0</v>
      </c>
      <c r="D42" s="103">
        <v>0</v>
      </c>
      <c r="E42" s="103">
        <v>0</v>
      </c>
      <c r="F42" s="103">
        <v>1</v>
      </c>
      <c r="G42" s="103">
        <v>1</v>
      </c>
      <c r="H42" s="103">
        <v>0</v>
      </c>
      <c r="I42" s="103">
        <v>0</v>
      </c>
      <c r="J42" s="103">
        <v>0</v>
      </c>
      <c r="K42" s="103">
        <v>1</v>
      </c>
      <c r="L42" s="103">
        <v>0</v>
      </c>
      <c r="M42" s="103">
        <v>1</v>
      </c>
      <c r="N42" s="103">
        <v>1</v>
      </c>
      <c r="O42" s="103">
        <v>1</v>
      </c>
      <c r="P42" s="103">
        <v>1</v>
      </c>
      <c r="Q42" s="103">
        <v>0</v>
      </c>
      <c r="R42" s="103">
        <v>1</v>
      </c>
      <c r="S42" s="103">
        <v>1</v>
      </c>
      <c r="T42" s="103">
        <v>1</v>
      </c>
      <c r="U42" s="103">
        <v>1</v>
      </c>
      <c r="V42" s="103">
        <v>1</v>
      </c>
      <c r="W42" s="103">
        <v>1</v>
      </c>
      <c r="X42" s="103">
        <v>1</v>
      </c>
      <c r="Y42" s="103">
        <v>1</v>
      </c>
      <c r="Z42" s="103">
        <v>1</v>
      </c>
      <c r="AA42" s="103">
        <v>1</v>
      </c>
      <c r="AB42" s="103">
        <v>1</v>
      </c>
      <c r="AC42" s="103">
        <v>1</v>
      </c>
      <c r="AD42" s="103">
        <v>1</v>
      </c>
      <c r="AE42" s="103">
        <v>1</v>
      </c>
      <c r="AF42" s="103">
        <v>0</v>
      </c>
      <c r="AG42" s="103">
        <v>1</v>
      </c>
      <c r="AH42" s="103">
        <v>1</v>
      </c>
      <c r="AI42" s="103">
        <v>0</v>
      </c>
      <c r="AJ42" s="103">
        <v>1</v>
      </c>
      <c r="AK42" s="103">
        <v>0</v>
      </c>
      <c r="AL42" s="103">
        <v>0</v>
      </c>
      <c r="AM42" s="103">
        <v>0</v>
      </c>
      <c r="AN42" s="103">
        <v>0</v>
      </c>
      <c r="AO42" s="103">
        <v>0</v>
      </c>
      <c r="AP42" s="103">
        <v>0</v>
      </c>
      <c r="AQ42" s="103">
        <v>0</v>
      </c>
    </row>
    <row r="43" spans="1:43" x14ac:dyDescent="0.15">
      <c r="A43" s="177" t="s">
        <v>233</v>
      </c>
      <c r="B43" s="103">
        <v>0</v>
      </c>
      <c r="C43" s="103">
        <v>0</v>
      </c>
      <c r="D43" s="103">
        <v>0</v>
      </c>
      <c r="E43" s="103">
        <v>0</v>
      </c>
      <c r="F43" s="103">
        <v>0</v>
      </c>
      <c r="G43" s="103">
        <v>0</v>
      </c>
      <c r="H43" s="103">
        <v>0</v>
      </c>
      <c r="I43" s="103">
        <v>0</v>
      </c>
      <c r="J43" s="103">
        <v>0</v>
      </c>
      <c r="K43" s="103">
        <v>0</v>
      </c>
      <c r="L43" s="103">
        <v>0</v>
      </c>
      <c r="M43" s="103">
        <v>0</v>
      </c>
      <c r="N43" s="103">
        <v>0</v>
      </c>
      <c r="O43" s="103">
        <v>0</v>
      </c>
      <c r="P43" s="103">
        <v>0</v>
      </c>
      <c r="Q43" s="103">
        <v>0</v>
      </c>
      <c r="R43" s="103">
        <v>0</v>
      </c>
      <c r="S43" s="103">
        <v>0</v>
      </c>
      <c r="T43" s="103">
        <v>0</v>
      </c>
      <c r="U43" s="103">
        <v>0</v>
      </c>
      <c r="V43" s="103">
        <v>0</v>
      </c>
      <c r="W43" s="103">
        <v>0</v>
      </c>
      <c r="X43" s="103">
        <v>0</v>
      </c>
      <c r="Y43" s="103">
        <v>0</v>
      </c>
      <c r="Z43" s="103">
        <v>0</v>
      </c>
      <c r="AA43" s="103">
        <v>0</v>
      </c>
      <c r="AB43" s="103">
        <v>0</v>
      </c>
      <c r="AC43" s="103">
        <v>0</v>
      </c>
      <c r="AD43" s="103">
        <v>0</v>
      </c>
      <c r="AE43" s="103">
        <v>0</v>
      </c>
      <c r="AF43" s="103">
        <v>0</v>
      </c>
      <c r="AG43" s="103">
        <v>0</v>
      </c>
      <c r="AH43" s="103">
        <v>0</v>
      </c>
      <c r="AI43" s="103">
        <v>0</v>
      </c>
      <c r="AJ43" s="103">
        <v>0</v>
      </c>
      <c r="AK43" s="103">
        <v>0</v>
      </c>
      <c r="AL43" s="103">
        <v>0</v>
      </c>
      <c r="AM43" s="103">
        <v>0</v>
      </c>
      <c r="AN43" s="103">
        <v>0</v>
      </c>
      <c r="AO43" s="103">
        <v>0</v>
      </c>
      <c r="AP43" s="103">
        <v>0</v>
      </c>
      <c r="AQ43" s="103">
        <v>0</v>
      </c>
    </row>
    <row r="44" spans="1:43" x14ac:dyDescent="0.15">
      <c r="A44" s="177" t="s">
        <v>235</v>
      </c>
      <c r="B44" s="103">
        <v>0</v>
      </c>
      <c r="C44" s="103">
        <v>1</v>
      </c>
      <c r="D44" s="103">
        <v>0</v>
      </c>
      <c r="E44" s="103">
        <v>1</v>
      </c>
      <c r="F44" s="103">
        <v>0</v>
      </c>
      <c r="G44" s="103">
        <v>0</v>
      </c>
      <c r="H44" s="103">
        <v>0</v>
      </c>
      <c r="I44" s="103">
        <v>1</v>
      </c>
      <c r="J44" s="103">
        <v>0</v>
      </c>
      <c r="K44" s="103">
        <v>0</v>
      </c>
      <c r="L44" s="103">
        <v>0</v>
      </c>
      <c r="M44" s="103">
        <v>0</v>
      </c>
      <c r="N44" s="103">
        <v>0</v>
      </c>
      <c r="O44" s="103">
        <v>0</v>
      </c>
      <c r="P44" s="103">
        <v>1</v>
      </c>
      <c r="Q44" s="103">
        <v>0</v>
      </c>
      <c r="R44" s="103">
        <v>0</v>
      </c>
      <c r="S44" s="103">
        <v>0</v>
      </c>
      <c r="T44" s="103">
        <v>0</v>
      </c>
      <c r="U44" s="103">
        <v>0</v>
      </c>
      <c r="V44" s="103">
        <v>0</v>
      </c>
      <c r="W44" s="103">
        <v>0</v>
      </c>
      <c r="X44" s="103">
        <v>0</v>
      </c>
      <c r="Y44" s="103">
        <v>0</v>
      </c>
      <c r="Z44" s="103">
        <v>0</v>
      </c>
      <c r="AA44" s="103">
        <v>0</v>
      </c>
      <c r="AB44" s="103">
        <v>0</v>
      </c>
      <c r="AC44" s="103">
        <v>0</v>
      </c>
      <c r="AD44" s="103">
        <v>0</v>
      </c>
      <c r="AE44" s="103">
        <v>0</v>
      </c>
      <c r="AF44" s="103">
        <v>0</v>
      </c>
      <c r="AG44" s="103">
        <v>0</v>
      </c>
      <c r="AH44" s="103">
        <v>0</v>
      </c>
      <c r="AI44" s="103">
        <v>0</v>
      </c>
      <c r="AJ44" s="103">
        <v>0</v>
      </c>
      <c r="AK44" s="103">
        <v>0</v>
      </c>
      <c r="AL44" s="103">
        <v>0</v>
      </c>
      <c r="AM44" s="103">
        <v>0</v>
      </c>
      <c r="AN44" s="103">
        <v>0</v>
      </c>
      <c r="AO44" s="103">
        <v>0</v>
      </c>
      <c r="AP44" s="103">
        <v>0</v>
      </c>
      <c r="AQ44" s="10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1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0" t="s">
        <v>234</v>
      </c>
    </row>
    <row r="2" spans="1:3" x14ac:dyDescent="0.15">
      <c r="A2">
        <v>1</v>
      </c>
      <c r="B2" s="179" t="s">
        <v>192</v>
      </c>
      <c r="C2">
        <v>0.8</v>
      </c>
    </row>
    <row r="3" spans="1:3" x14ac:dyDescent="0.15">
      <c r="A3">
        <v>2</v>
      </c>
      <c r="B3" s="179" t="s">
        <v>193</v>
      </c>
      <c r="C3">
        <v>0.8</v>
      </c>
    </row>
    <row r="4" spans="1:3" x14ac:dyDescent="0.15">
      <c r="A4">
        <v>3</v>
      </c>
      <c r="B4" s="179" t="s">
        <v>194</v>
      </c>
      <c r="C4">
        <v>0</v>
      </c>
    </row>
    <row r="5" spans="1:3" x14ac:dyDescent="0.15">
      <c r="A5">
        <v>4</v>
      </c>
      <c r="B5" s="179" t="s">
        <v>195</v>
      </c>
      <c r="C5">
        <v>0.8</v>
      </c>
    </row>
    <row r="6" spans="1:3" x14ac:dyDescent="0.15">
      <c r="A6">
        <v>5</v>
      </c>
      <c r="B6" s="179" t="s">
        <v>196</v>
      </c>
      <c r="C6">
        <v>0.8</v>
      </c>
    </row>
    <row r="7" spans="1:3" x14ac:dyDescent="0.15">
      <c r="A7">
        <v>6</v>
      </c>
      <c r="B7" s="179" t="s">
        <v>197</v>
      </c>
      <c r="C7">
        <v>0.8</v>
      </c>
    </row>
    <row r="8" spans="1:3" x14ac:dyDescent="0.15">
      <c r="A8">
        <v>7</v>
      </c>
      <c r="B8" s="179" t="s">
        <v>198</v>
      </c>
      <c r="C8">
        <v>0.8</v>
      </c>
    </row>
    <row r="9" spans="1:3" x14ac:dyDescent="0.15">
      <c r="A9">
        <v>8</v>
      </c>
      <c r="B9" s="179" t="s">
        <v>199</v>
      </c>
      <c r="C9">
        <v>0</v>
      </c>
    </row>
    <row r="10" spans="1:3" x14ac:dyDescent="0.15">
      <c r="A10">
        <v>9</v>
      </c>
      <c r="B10" s="179" t="s">
        <v>200</v>
      </c>
      <c r="C10">
        <v>0.8</v>
      </c>
    </row>
    <row r="11" spans="1:3" x14ac:dyDescent="0.15">
      <c r="A11">
        <v>10</v>
      </c>
      <c r="B11" s="179" t="s">
        <v>201</v>
      </c>
      <c r="C11">
        <v>0.8</v>
      </c>
    </row>
    <row r="12" spans="1:3" x14ac:dyDescent="0.15">
      <c r="A12">
        <v>11</v>
      </c>
      <c r="B12" s="179" t="s">
        <v>202</v>
      </c>
      <c r="C12">
        <v>0.8</v>
      </c>
    </row>
    <row r="13" spans="1:3" x14ac:dyDescent="0.15">
      <c r="A13">
        <v>12</v>
      </c>
      <c r="B13" s="179" t="s">
        <v>203</v>
      </c>
      <c r="C13">
        <v>0</v>
      </c>
    </row>
    <row r="14" spans="1:3" x14ac:dyDescent="0.15">
      <c r="A14">
        <v>13</v>
      </c>
      <c r="B14" s="179" t="s">
        <v>204</v>
      </c>
      <c r="C14">
        <v>0</v>
      </c>
    </row>
    <row r="15" spans="1:3" x14ac:dyDescent="0.15">
      <c r="A15">
        <v>14</v>
      </c>
      <c r="B15" s="179" t="s">
        <v>205</v>
      </c>
      <c r="C15">
        <v>0</v>
      </c>
    </row>
    <row r="16" spans="1:3" x14ac:dyDescent="0.15">
      <c r="A16">
        <v>15</v>
      </c>
      <c r="B16" s="179" t="s">
        <v>206</v>
      </c>
      <c r="C16">
        <v>0.8</v>
      </c>
    </row>
    <row r="17" spans="1:3" x14ac:dyDescent="0.15">
      <c r="A17">
        <v>16</v>
      </c>
      <c r="B17" s="179" t="s">
        <v>207</v>
      </c>
      <c r="C17">
        <v>0.8</v>
      </c>
    </row>
    <row r="18" spans="1:3" x14ac:dyDescent="0.15">
      <c r="A18">
        <v>17</v>
      </c>
      <c r="B18" s="179" t="s">
        <v>208</v>
      </c>
      <c r="C18">
        <v>0.8</v>
      </c>
    </row>
    <row r="19" spans="1:3" x14ac:dyDescent="0.15">
      <c r="A19">
        <v>18</v>
      </c>
      <c r="B19" s="179" t="s">
        <v>209</v>
      </c>
      <c r="C19">
        <v>0.8</v>
      </c>
    </row>
    <row r="20" spans="1:3" x14ac:dyDescent="0.15">
      <c r="A20">
        <v>19</v>
      </c>
      <c r="B20" s="179" t="s">
        <v>210</v>
      </c>
      <c r="C20">
        <v>0.8</v>
      </c>
    </row>
    <row r="21" spans="1:3" x14ac:dyDescent="0.15">
      <c r="A21">
        <v>20</v>
      </c>
      <c r="B21" s="179" t="s">
        <v>211</v>
      </c>
      <c r="C21">
        <v>0</v>
      </c>
    </row>
    <row r="22" spans="1:3" x14ac:dyDescent="0.15">
      <c r="A22">
        <v>21</v>
      </c>
      <c r="B22" s="179" t="s">
        <v>212</v>
      </c>
      <c r="C22">
        <v>0</v>
      </c>
    </row>
    <row r="23" spans="1:3" x14ac:dyDescent="0.15">
      <c r="A23">
        <v>22</v>
      </c>
      <c r="B23" s="179" t="s">
        <v>213</v>
      </c>
      <c r="C23">
        <v>0</v>
      </c>
    </row>
    <row r="24" spans="1:3" x14ac:dyDescent="0.15">
      <c r="A24">
        <v>23</v>
      </c>
      <c r="B24" s="179" t="s">
        <v>214</v>
      </c>
      <c r="C24">
        <v>0</v>
      </c>
    </row>
    <row r="25" spans="1:3" x14ac:dyDescent="0.15">
      <c r="A25">
        <v>24</v>
      </c>
      <c r="B25" s="179" t="s">
        <v>215</v>
      </c>
      <c r="C25">
        <v>0</v>
      </c>
    </row>
    <row r="26" spans="1:3" x14ac:dyDescent="0.15">
      <c r="A26">
        <v>25</v>
      </c>
      <c r="B26" s="179" t="s">
        <v>216</v>
      </c>
      <c r="C26">
        <v>0</v>
      </c>
    </row>
    <row r="27" spans="1:3" x14ac:dyDescent="0.15">
      <c r="A27">
        <v>26</v>
      </c>
      <c r="B27" s="179" t="s">
        <v>217</v>
      </c>
      <c r="C27">
        <v>0</v>
      </c>
    </row>
    <row r="28" spans="1:3" x14ac:dyDescent="0.15">
      <c r="A28">
        <v>27</v>
      </c>
      <c r="B28" s="179" t="s">
        <v>218</v>
      </c>
      <c r="C28">
        <v>0</v>
      </c>
    </row>
    <row r="29" spans="1:3" x14ac:dyDescent="0.15">
      <c r="A29">
        <v>28</v>
      </c>
      <c r="B29" s="179" t="s">
        <v>219</v>
      </c>
      <c r="C29">
        <v>0</v>
      </c>
    </row>
    <row r="30" spans="1:3" x14ac:dyDescent="0.15">
      <c r="A30">
        <v>29</v>
      </c>
      <c r="B30" s="179" t="s">
        <v>220</v>
      </c>
      <c r="C30">
        <v>0</v>
      </c>
    </row>
    <row r="31" spans="1:3" x14ac:dyDescent="0.15">
      <c r="A31">
        <v>30</v>
      </c>
      <c r="B31" s="179" t="s">
        <v>221</v>
      </c>
      <c r="C31">
        <v>0</v>
      </c>
    </row>
    <row r="32" spans="1:3" x14ac:dyDescent="0.15">
      <c r="A32">
        <v>31</v>
      </c>
      <c r="B32" s="179" t="s">
        <v>222</v>
      </c>
      <c r="C32">
        <v>0</v>
      </c>
    </row>
    <row r="33" spans="1:3" x14ac:dyDescent="0.15">
      <c r="A33">
        <v>32</v>
      </c>
      <c r="B33" s="179" t="s">
        <v>223</v>
      </c>
      <c r="C33">
        <v>0</v>
      </c>
    </row>
    <row r="34" spans="1:3" x14ac:dyDescent="0.15">
      <c r="A34">
        <v>33</v>
      </c>
      <c r="B34" s="179" t="s">
        <v>224</v>
      </c>
      <c r="C34">
        <v>0</v>
      </c>
    </row>
    <row r="35" spans="1:3" x14ac:dyDescent="0.15">
      <c r="A35">
        <v>34</v>
      </c>
      <c r="B35" s="179" t="s">
        <v>225</v>
      </c>
      <c r="C35">
        <v>0.8</v>
      </c>
    </row>
    <row r="36" spans="1:3" x14ac:dyDescent="0.15">
      <c r="A36">
        <v>35</v>
      </c>
      <c r="B36" s="179" t="s">
        <v>226</v>
      </c>
      <c r="C36">
        <v>0</v>
      </c>
    </row>
    <row r="37" spans="1:3" x14ac:dyDescent="0.15">
      <c r="A37">
        <v>36</v>
      </c>
      <c r="B37" s="179" t="s">
        <v>227</v>
      </c>
      <c r="C37">
        <v>0.8</v>
      </c>
    </row>
    <row r="38" spans="1:3" x14ac:dyDescent="0.15">
      <c r="A38">
        <v>37</v>
      </c>
      <c r="B38" s="179" t="s">
        <v>228</v>
      </c>
      <c r="C38">
        <v>0</v>
      </c>
    </row>
    <row r="39" spans="1:3" x14ac:dyDescent="0.15">
      <c r="A39">
        <v>38</v>
      </c>
      <c r="B39" s="179" t="s">
        <v>229</v>
      </c>
      <c r="C39">
        <v>0</v>
      </c>
    </row>
    <row r="40" spans="1:3" x14ac:dyDescent="0.15">
      <c r="A40">
        <v>39</v>
      </c>
      <c r="B40" s="179" t="s">
        <v>230</v>
      </c>
      <c r="C40">
        <v>0</v>
      </c>
    </row>
    <row r="41" spans="1:3" x14ac:dyDescent="0.15">
      <c r="A41">
        <v>40</v>
      </c>
      <c r="B41" s="179" t="s">
        <v>231</v>
      </c>
      <c r="C41">
        <v>0</v>
      </c>
    </row>
    <row r="42" spans="1:3" x14ac:dyDescent="0.15">
      <c r="A42">
        <v>41</v>
      </c>
      <c r="B42" s="179" t="s">
        <v>232</v>
      </c>
      <c r="C42">
        <v>0</v>
      </c>
    </row>
    <row r="43" spans="1:3" x14ac:dyDescent="0.15">
      <c r="A43">
        <v>42</v>
      </c>
      <c r="B43" s="179" t="s">
        <v>233</v>
      </c>
      <c r="C4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4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1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82" t="s">
        <v>234</v>
      </c>
    </row>
    <row r="2" spans="1:3" x14ac:dyDescent="0.15">
      <c r="A2">
        <v>1</v>
      </c>
      <c r="B2" s="181" t="s">
        <v>192</v>
      </c>
      <c r="C2">
        <v>0.8</v>
      </c>
    </row>
    <row r="3" spans="1:3" x14ac:dyDescent="0.15">
      <c r="A3">
        <v>2</v>
      </c>
      <c r="B3" s="181" t="s">
        <v>193</v>
      </c>
      <c r="C3">
        <v>0.8</v>
      </c>
    </row>
    <row r="4" spans="1:3" x14ac:dyDescent="0.15">
      <c r="A4">
        <v>3</v>
      </c>
      <c r="B4" s="181" t="s">
        <v>194</v>
      </c>
      <c r="C4">
        <v>0</v>
      </c>
    </row>
    <row r="5" spans="1:3" x14ac:dyDescent="0.15">
      <c r="A5">
        <v>4</v>
      </c>
      <c r="B5" s="181" t="s">
        <v>195</v>
      </c>
      <c r="C5">
        <v>0.8</v>
      </c>
    </row>
    <row r="6" spans="1:3" x14ac:dyDescent="0.15">
      <c r="A6">
        <v>5</v>
      </c>
      <c r="B6" s="181" t="s">
        <v>196</v>
      </c>
      <c r="C6">
        <v>0.8</v>
      </c>
    </row>
    <row r="7" spans="1:3" x14ac:dyDescent="0.15">
      <c r="A7">
        <v>6</v>
      </c>
      <c r="B7" s="181" t="s">
        <v>197</v>
      </c>
      <c r="C7">
        <v>0.8</v>
      </c>
    </row>
    <row r="8" spans="1:3" x14ac:dyDescent="0.15">
      <c r="A8">
        <v>7</v>
      </c>
      <c r="B8" s="181" t="s">
        <v>198</v>
      </c>
      <c r="C8">
        <v>0.8</v>
      </c>
    </row>
    <row r="9" spans="1:3" x14ac:dyDescent="0.15">
      <c r="A9">
        <v>8</v>
      </c>
      <c r="B9" s="181" t="s">
        <v>199</v>
      </c>
      <c r="C9">
        <v>0</v>
      </c>
    </row>
    <row r="10" spans="1:3" x14ac:dyDescent="0.15">
      <c r="A10">
        <v>9</v>
      </c>
      <c r="B10" s="181" t="s">
        <v>200</v>
      </c>
      <c r="C10">
        <v>0.8</v>
      </c>
    </row>
    <row r="11" spans="1:3" x14ac:dyDescent="0.15">
      <c r="A11">
        <v>10</v>
      </c>
      <c r="B11" s="181" t="s">
        <v>201</v>
      </c>
      <c r="C11">
        <v>0.8</v>
      </c>
    </row>
    <row r="12" spans="1:3" x14ac:dyDescent="0.15">
      <c r="A12">
        <v>11</v>
      </c>
      <c r="B12" s="181" t="s">
        <v>202</v>
      </c>
      <c r="C12">
        <v>0.8</v>
      </c>
    </row>
    <row r="13" spans="1:3" x14ac:dyDescent="0.15">
      <c r="A13">
        <v>12</v>
      </c>
      <c r="B13" s="181" t="s">
        <v>203</v>
      </c>
      <c r="C13">
        <v>0</v>
      </c>
    </row>
    <row r="14" spans="1:3" x14ac:dyDescent="0.15">
      <c r="A14">
        <v>13</v>
      </c>
      <c r="B14" s="181" t="s">
        <v>204</v>
      </c>
      <c r="C14">
        <v>0</v>
      </c>
    </row>
    <row r="15" spans="1:3" x14ac:dyDescent="0.15">
      <c r="A15">
        <v>14</v>
      </c>
      <c r="B15" s="181" t="s">
        <v>205</v>
      </c>
      <c r="C15">
        <v>0</v>
      </c>
    </row>
    <row r="16" spans="1:3" x14ac:dyDescent="0.15">
      <c r="A16">
        <v>15</v>
      </c>
      <c r="B16" s="181" t="s">
        <v>206</v>
      </c>
      <c r="C16">
        <v>0.8</v>
      </c>
    </row>
    <row r="17" spans="1:3" x14ac:dyDescent="0.15">
      <c r="A17">
        <v>16</v>
      </c>
      <c r="B17" s="181" t="s">
        <v>207</v>
      </c>
      <c r="C17">
        <v>0.8</v>
      </c>
    </row>
    <row r="18" spans="1:3" x14ac:dyDescent="0.15">
      <c r="A18">
        <v>17</v>
      </c>
      <c r="B18" s="181" t="s">
        <v>208</v>
      </c>
      <c r="C18">
        <v>0.8</v>
      </c>
    </row>
    <row r="19" spans="1:3" x14ac:dyDescent="0.15">
      <c r="A19">
        <v>18</v>
      </c>
      <c r="B19" s="181" t="s">
        <v>209</v>
      </c>
      <c r="C19">
        <v>0.8</v>
      </c>
    </row>
    <row r="20" spans="1:3" x14ac:dyDescent="0.15">
      <c r="A20">
        <v>19</v>
      </c>
      <c r="B20" s="181" t="s">
        <v>210</v>
      </c>
      <c r="C20">
        <v>0.8</v>
      </c>
    </row>
    <row r="21" spans="1:3" x14ac:dyDescent="0.15">
      <c r="A21">
        <v>20</v>
      </c>
      <c r="B21" s="181" t="s">
        <v>211</v>
      </c>
      <c r="C21">
        <v>0</v>
      </c>
    </row>
    <row r="22" spans="1:3" x14ac:dyDescent="0.15">
      <c r="A22">
        <v>21</v>
      </c>
      <c r="B22" s="181" t="s">
        <v>212</v>
      </c>
      <c r="C22">
        <v>0</v>
      </c>
    </row>
    <row r="23" spans="1:3" x14ac:dyDescent="0.15">
      <c r="A23">
        <v>22</v>
      </c>
      <c r="B23" s="181" t="s">
        <v>213</v>
      </c>
      <c r="C23">
        <v>0</v>
      </c>
    </row>
    <row r="24" spans="1:3" x14ac:dyDescent="0.15">
      <c r="A24">
        <v>23</v>
      </c>
      <c r="B24" s="181" t="s">
        <v>214</v>
      </c>
      <c r="C24">
        <v>0</v>
      </c>
    </row>
    <row r="25" spans="1:3" x14ac:dyDescent="0.15">
      <c r="A25">
        <v>24</v>
      </c>
      <c r="B25" s="181" t="s">
        <v>215</v>
      </c>
      <c r="C25">
        <v>0</v>
      </c>
    </row>
    <row r="26" spans="1:3" x14ac:dyDescent="0.15">
      <c r="A26">
        <v>25</v>
      </c>
      <c r="B26" s="181" t="s">
        <v>216</v>
      </c>
      <c r="C26">
        <v>0</v>
      </c>
    </row>
    <row r="27" spans="1:3" x14ac:dyDescent="0.15">
      <c r="A27">
        <v>26</v>
      </c>
      <c r="B27" s="181" t="s">
        <v>217</v>
      </c>
      <c r="C27">
        <v>0</v>
      </c>
    </row>
    <row r="28" spans="1:3" x14ac:dyDescent="0.15">
      <c r="A28">
        <v>27</v>
      </c>
      <c r="B28" s="181" t="s">
        <v>218</v>
      </c>
      <c r="C28">
        <v>0</v>
      </c>
    </row>
    <row r="29" spans="1:3" x14ac:dyDescent="0.15">
      <c r="A29">
        <v>28</v>
      </c>
      <c r="B29" s="181" t="s">
        <v>219</v>
      </c>
      <c r="C29">
        <v>0</v>
      </c>
    </row>
    <row r="30" spans="1:3" x14ac:dyDescent="0.15">
      <c r="A30">
        <v>29</v>
      </c>
      <c r="B30" s="181" t="s">
        <v>220</v>
      </c>
      <c r="C30">
        <v>0</v>
      </c>
    </row>
    <row r="31" spans="1:3" x14ac:dyDescent="0.15">
      <c r="A31">
        <v>30</v>
      </c>
      <c r="B31" s="181" t="s">
        <v>221</v>
      </c>
      <c r="C31">
        <v>0</v>
      </c>
    </row>
    <row r="32" spans="1:3" x14ac:dyDescent="0.15">
      <c r="A32">
        <v>31</v>
      </c>
      <c r="B32" s="181" t="s">
        <v>222</v>
      </c>
      <c r="C32">
        <v>0</v>
      </c>
    </row>
    <row r="33" spans="1:3" x14ac:dyDescent="0.15">
      <c r="A33">
        <v>32</v>
      </c>
      <c r="B33" s="181" t="s">
        <v>223</v>
      </c>
      <c r="C33">
        <v>0</v>
      </c>
    </row>
    <row r="34" spans="1:3" x14ac:dyDescent="0.15">
      <c r="A34">
        <v>33</v>
      </c>
      <c r="B34" s="181" t="s">
        <v>224</v>
      </c>
      <c r="C34">
        <v>0</v>
      </c>
    </row>
    <row r="35" spans="1:3" x14ac:dyDescent="0.15">
      <c r="A35">
        <v>34</v>
      </c>
      <c r="B35" s="181" t="s">
        <v>225</v>
      </c>
      <c r="C35">
        <v>0.8</v>
      </c>
    </row>
    <row r="36" spans="1:3" x14ac:dyDescent="0.15">
      <c r="A36">
        <v>35</v>
      </c>
      <c r="B36" s="181" t="s">
        <v>226</v>
      </c>
      <c r="C36">
        <v>0</v>
      </c>
    </row>
    <row r="37" spans="1:3" x14ac:dyDescent="0.15">
      <c r="A37">
        <v>36</v>
      </c>
      <c r="B37" s="181" t="s">
        <v>227</v>
      </c>
      <c r="C37">
        <v>0.8</v>
      </c>
    </row>
    <row r="38" spans="1:3" x14ac:dyDescent="0.15">
      <c r="A38">
        <v>37</v>
      </c>
      <c r="B38" s="181" t="s">
        <v>228</v>
      </c>
      <c r="C38">
        <v>0</v>
      </c>
    </row>
    <row r="39" spans="1:3" x14ac:dyDescent="0.15">
      <c r="A39">
        <v>38</v>
      </c>
      <c r="B39" s="181" t="s">
        <v>229</v>
      </c>
      <c r="C39">
        <v>0</v>
      </c>
    </row>
    <row r="40" spans="1:3" x14ac:dyDescent="0.15">
      <c r="A40">
        <v>39</v>
      </c>
      <c r="B40" s="181" t="s">
        <v>230</v>
      </c>
      <c r="C40">
        <v>0</v>
      </c>
    </row>
    <row r="41" spans="1:3" x14ac:dyDescent="0.15">
      <c r="A41">
        <v>40</v>
      </c>
      <c r="B41" s="181" t="s">
        <v>231</v>
      </c>
      <c r="C41">
        <v>0</v>
      </c>
    </row>
    <row r="42" spans="1:3" x14ac:dyDescent="0.15">
      <c r="A42">
        <v>41</v>
      </c>
      <c r="B42" s="181" t="s">
        <v>232</v>
      </c>
      <c r="C42">
        <v>0</v>
      </c>
    </row>
    <row r="43" spans="1:3" x14ac:dyDescent="0.15">
      <c r="A43">
        <v>42</v>
      </c>
      <c r="B43" s="181" t="s">
        <v>233</v>
      </c>
      <c r="C4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3" sqref="L3"/>
    </sheetView>
  </sheetViews>
  <sheetFormatPr baseColWidth="10" defaultColWidth="8.83203125" defaultRowHeight="15" customHeight="1" x14ac:dyDescent="0.15"/>
  <cols>
    <col min="1" max="1" width="8.83203125" style="79"/>
    <col min="2" max="2" width="41.83203125" style="79" bestFit="1" customWidth="1"/>
    <col min="3" max="3" width="9.33203125" style="79" bestFit="1" customWidth="1"/>
    <col min="4" max="4" width="13" style="79" bestFit="1" customWidth="1"/>
    <col min="5" max="6" width="9.33203125" style="79" bestFit="1" customWidth="1"/>
    <col min="7" max="7" width="9.33203125" style="94" bestFit="1" customWidth="1"/>
    <col min="8" max="8" width="9.33203125" style="79" bestFit="1" customWidth="1"/>
    <col min="9" max="9" width="11" style="79" customWidth="1"/>
    <col min="10" max="10" width="8.83203125" style="79"/>
    <col min="15" max="16384" width="8.83203125" style="79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34">
        <v>1</v>
      </c>
      <c r="B2" s="134" t="s">
        <v>192</v>
      </c>
      <c r="C2" s="8">
        <v>4.2485051155090332</v>
      </c>
      <c r="D2" s="9">
        <v>0.42669722437858582</v>
      </c>
      <c r="E2" s="9">
        <v>0.44029000401496887</v>
      </c>
      <c r="F2" s="9">
        <v>1.5571256875991821</v>
      </c>
      <c r="G2" s="9">
        <v>0.72148638963699341</v>
      </c>
      <c r="H2" s="9">
        <v>0.28275817632675171</v>
      </c>
      <c r="I2">
        <v>1.2599999899975955E-4</v>
      </c>
      <c r="J2"/>
    </row>
    <row r="3" spans="1:10" ht="15" customHeight="1" x14ac:dyDescent="0.15">
      <c r="A3" s="135">
        <v>2</v>
      </c>
      <c r="B3" s="135" t="s">
        <v>193</v>
      </c>
      <c r="C3" s="8">
        <v>4.3751907348632812</v>
      </c>
      <c r="D3" s="9">
        <v>3.2663315534591675E-2</v>
      </c>
      <c r="E3" s="9">
        <v>0.19900000095367432</v>
      </c>
      <c r="F3" s="9">
        <v>1.9900000095367432</v>
      </c>
      <c r="G3" s="9">
        <v>0.40000000596046448</v>
      </c>
      <c r="H3" s="9">
        <v>0.10000000149011612</v>
      </c>
      <c r="I3">
        <v>2.6000000070780516E-3</v>
      </c>
      <c r="J3"/>
    </row>
    <row r="4" spans="1:10" ht="15" customHeight="1" x14ac:dyDescent="0.15">
      <c r="A4" s="136">
        <v>3</v>
      </c>
      <c r="B4" s="136" t="s">
        <v>194</v>
      </c>
      <c r="C4" s="8">
        <v>4.3709187507629395</v>
      </c>
      <c r="D4" s="9">
        <v>4.3209986686706543</v>
      </c>
      <c r="E4" s="9">
        <v>0.10000000149011612</v>
      </c>
      <c r="F4" s="9">
        <v>0.667000412940979</v>
      </c>
      <c r="G4" s="7">
        <v>0</v>
      </c>
      <c r="H4" s="9">
        <v>0.14992494881153107</v>
      </c>
      <c r="I4">
        <v>0</v>
      </c>
      <c r="J4"/>
    </row>
    <row r="5" spans="1:10" ht="15" customHeight="1" x14ac:dyDescent="0.15">
      <c r="A5" s="137">
        <v>4</v>
      </c>
      <c r="B5" s="137" t="s">
        <v>195</v>
      </c>
      <c r="C5" s="8">
        <v>4.0840296745300293</v>
      </c>
      <c r="D5" s="9">
        <v>5.5500001907348633</v>
      </c>
      <c r="E5" s="9">
        <v>0.24400000274181366</v>
      </c>
      <c r="F5" s="9">
        <v>2.440000057220459</v>
      </c>
      <c r="G5" s="9">
        <v>0.10820531845092773</v>
      </c>
      <c r="H5" s="9">
        <v>0.10000000149011612</v>
      </c>
      <c r="I5">
        <v>2.8799999505281448E-2</v>
      </c>
      <c r="J5"/>
    </row>
    <row r="6" spans="1:10" ht="15" customHeight="1" x14ac:dyDescent="0.15">
      <c r="A6" s="138">
        <v>5</v>
      </c>
      <c r="B6" s="138" t="s">
        <v>196</v>
      </c>
      <c r="C6" s="8">
        <v>4.2087798118591309</v>
      </c>
      <c r="D6" s="9">
        <v>0.49099999666213989</v>
      </c>
      <c r="E6" s="9">
        <v>0.51700001955032349</v>
      </c>
      <c r="F6" s="9">
        <v>4.4819998741149902</v>
      </c>
      <c r="G6" s="9">
        <v>0.66633695363998413</v>
      </c>
      <c r="H6" s="9">
        <v>0.11535029858350754</v>
      </c>
      <c r="I6">
        <v>7.850000262260437E-2</v>
      </c>
      <c r="J6"/>
    </row>
    <row r="7" spans="1:10" ht="15" customHeight="1" x14ac:dyDescent="0.15">
      <c r="A7" s="139">
        <v>6</v>
      </c>
      <c r="B7" s="139" t="s">
        <v>197</v>
      </c>
      <c r="C7" s="8">
        <v>3.7930879592895508</v>
      </c>
      <c r="D7" s="9">
        <v>4.2930002212524414</v>
      </c>
      <c r="E7" s="9">
        <v>0.59899997711181641</v>
      </c>
      <c r="F7" s="9">
        <v>3.993333101272583</v>
      </c>
      <c r="G7" s="9">
        <v>0.28977292776107788</v>
      </c>
      <c r="H7" s="9">
        <v>0.15000000596046448</v>
      </c>
      <c r="I7">
        <v>3.0899999663233757E-2</v>
      </c>
      <c r="J7"/>
    </row>
    <row r="8" spans="1:10" ht="15" customHeight="1" x14ac:dyDescent="0.15">
      <c r="A8" s="140">
        <v>7</v>
      </c>
      <c r="B8" s="140" t="s">
        <v>198</v>
      </c>
      <c r="C8" s="8">
        <v>3.9794232845306396</v>
      </c>
      <c r="D8" s="9">
        <v>0.24608805775642395</v>
      </c>
      <c r="E8" s="9">
        <v>1.5302900075912476</v>
      </c>
      <c r="F8" s="9">
        <v>4.396263599395752</v>
      </c>
      <c r="G8" s="9">
        <v>0.39575019478797913</v>
      </c>
      <c r="H8" s="9">
        <v>0.34808877110481262</v>
      </c>
      <c r="I8">
        <v>7.200000254670158E-5</v>
      </c>
      <c r="J8"/>
    </row>
    <row r="9" spans="1:10" ht="15" customHeight="1" x14ac:dyDescent="0.15">
      <c r="A9" s="141">
        <v>8</v>
      </c>
      <c r="B9" s="141" t="s">
        <v>199</v>
      </c>
      <c r="C9" s="8">
        <v>4.0868673324584961</v>
      </c>
      <c r="D9" s="9">
        <v>0.28999999165534973</v>
      </c>
      <c r="E9" s="9">
        <v>0.40000000596046448</v>
      </c>
      <c r="F9" s="9">
        <v>73.199996948242188</v>
      </c>
      <c r="G9" s="7">
        <v>0</v>
      </c>
      <c r="H9" s="9">
        <v>5.4644811898469925E-3</v>
      </c>
      <c r="I9">
        <v>0</v>
      </c>
      <c r="J9"/>
    </row>
    <row r="10" spans="1:10" ht="15" customHeight="1" x14ac:dyDescent="0.15">
      <c r="A10" s="142">
        <v>9</v>
      </c>
      <c r="B10" s="142" t="s">
        <v>200</v>
      </c>
      <c r="C10" s="8">
        <v>3.5994927883148193</v>
      </c>
      <c r="D10" s="9">
        <v>3</v>
      </c>
      <c r="E10" s="9">
        <v>2.3399999141693115</v>
      </c>
      <c r="F10" s="9">
        <v>7.7999992370605469</v>
      </c>
      <c r="G10" s="9">
        <v>0.94788902997970581</v>
      </c>
      <c r="H10" s="9">
        <v>0.30000001192092896</v>
      </c>
      <c r="I10">
        <v>1.679999940097332E-2</v>
      </c>
      <c r="J10"/>
    </row>
    <row r="11" spans="1:10" ht="15" customHeight="1" x14ac:dyDescent="0.15">
      <c r="A11" s="143">
        <v>10</v>
      </c>
      <c r="B11" s="143" t="s">
        <v>201</v>
      </c>
      <c r="C11" s="8">
        <v>3.6452484130859375</v>
      </c>
      <c r="D11" s="9">
        <v>0.23499999940395355</v>
      </c>
      <c r="E11" s="9">
        <v>0.83899998664855957</v>
      </c>
      <c r="F11" s="9">
        <v>5.6469998359680176</v>
      </c>
      <c r="G11" s="9">
        <v>0.96205288171768188</v>
      </c>
      <c r="H11" s="9">
        <v>0.14857447147369385</v>
      </c>
      <c r="I11">
        <v>3.0099999159574509E-2</v>
      </c>
      <c r="J11"/>
    </row>
    <row r="12" spans="1:10" ht="15" customHeight="1" x14ac:dyDescent="0.15">
      <c r="A12" s="144">
        <v>11</v>
      </c>
      <c r="B12" s="144" t="s">
        <v>202</v>
      </c>
      <c r="C12" s="8">
        <v>3.6552579402923584</v>
      </c>
      <c r="D12" s="9">
        <v>0.65405958890914917</v>
      </c>
      <c r="E12" s="9">
        <v>0.41499999165534973</v>
      </c>
      <c r="F12" s="9">
        <v>4.1499996185302734</v>
      </c>
      <c r="G12" s="9">
        <v>0.97999995946884155</v>
      </c>
      <c r="H12" s="9">
        <v>0.10000000894069672</v>
      </c>
      <c r="I12">
        <v>3.4000000450760126E-3</v>
      </c>
      <c r="J12"/>
    </row>
    <row r="13" spans="1:10" ht="15" customHeight="1" x14ac:dyDescent="0.15">
      <c r="A13" s="145">
        <v>12</v>
      </c>
      <c r="B13" s="145" t="s">
        <v>203</v>
      </c>
      <c r="C13" s="8">
        <v>3.3218066692352295</v>
      </c>
      <c r="D13" s="9">
        <v>0.14900000393390656</v>
      </c>
      <c r="E13" s="9">
        <v>0.59399998188018799</v>
      </c>
      <c r="F13" s="9">
        <v>5.9399995803833008</v>
      </c>
      <c r="G13" s="9">
        <v>0.97807085514068604</v>
      </c>
      <c r="H13" s="9">
        <v>0.10000000149011612</v>
      </c>
      <c r="I13">
        <v>0</v>
      </c>
      <c r="J13"/>
    </row>
    <row r="14" spans="1:10" ht="15" customHeight="1" x14ac:dyDescent="0.15">
      <c r="A14" s="146">
        <v>13</v>
      </c>
      <c r="B14" s="146" t="s">
        <v>204</v>
      </c>
      <c r="C14" s="8">
        <v>3.4102826118469238</v>
      </c>
      <c r="D14" s="9">
        <v>2.0999999716877937E-2</v>
      </c>
      <c r="E14" s="9">
        <v>1.3769999742507935</v>
      </c>
      <c r="F14" s="9">
        <v>9.9230003356933594</v>
      </c>
      <c r="G14" s="9">
        <v>0.82885611057281494</v>
      </c>
      <c r="H14" s="9">
        <v>0.1387685090303421</v>
      </c>
      <c r="I14">
        <v>0</v>
      </c>
      <c r="J14"/>
    </row>
    <row r="15" spans="1:10" ht="15" customHeight="1" x14ac:dyDescent="0.15">
      <c r="A15" s="147">
        <v>14</v>
      </c>
      <c r="B15" s="147" t="s">
        <v>205</v>
      </c>
      <c r="C15" s="8">
        <v>3.3330264091491699</v>
      </c>
      <c r="D15" s="9">
        <v>0.42599999904632568</v>
      </c>
      <c r="E15" s="9">
        <v>1.1189999580383301</v>
      </c>
      <c r="F15" s="9">
        <v>5.5949997901916504</v>
      </c>
      <c r="G15" s="9">
        <v>0.78377139568328857</v>
      </c>
      <c r="H15" s="9">
        <v>0.20000000298023224</v>
      </c>
      <c r="I15">
        <v>0</v>
      </c>
      <c r="J15"/>
    </row>
    <row r="16" spans="1:10" ht="15" customHeight="1" x14ac:dyDescent="0.15">
      <c r="A16" s="148">
        <v>15</v>
      </c>
      <c r="B16" s="148" t="s">
        <v>206</v>
      </c>
      <c r="C16" s="8">
        <v>3.5378117561340332</v>
      </c>
      <c r="D16" s="9">
        <v>20</v>
      </c>
      <c r="E16" s="9">
        <v>0.5559999942779541</v>
      </c>
      <c r="F16" s="9">
        <v>5.559999942779541</v>
      </c>
      <c r="G16" s="9">
        <v>0.91711723804473877</v>
      </c>
      <c r="H16" s="9">
        <v>0.10000000149011612</v>
      </c>
      <c r="I16">
        <v>1.1599999852478504E-2</v>
      </c>
      <c r="J16"/>
    </row>
    <row r="17" spans="1:10" ht="15" customHeight="1" x14ac:dyDescent="0.15">
      <c r="A17" s="149">
        <v>16</v>
      </c>
      <c r="B17" s="149" t="s">
        <v>207</v>
      </c>
      <c r="C17" s="8">
        <v>3.0797197818756104</v>
      </c>
      <c r="D17" s="9">
        <v>3.628000020980835</v>
      </c>
      <c r="E17" s="9">
        <v>0.50300002098083496</v>
      </c>
      <c r="F17" s="9">
        <v>5.0300002098083496</v>
      </c>
      <c r="G17" s="9">
        <v>0.66035085916519165</v>
      </c>
      <c r="H17" s="9">
        <v>0.10000000149011612</v>
      </c>
      <c r="I17">
        <v>2.9100000858306885E-2</v>
      </c>
      <c r="J17"/>
    </row>
    <row r="18" spans="1:10" ht="15" customHeight="1" x14ac:dyDescent="0.15">
      <c r="A18" s="150">
        <v>17</v>
      </c>
      <c r="B18" s="150" t="s">
        <v>208</v>
      </c>
      <c r="C18" s="8">
        <v>2.956355094909668</v>
      </c>
      <c r="D18" s="9">
        <v>5.0390000343322754</v>
      </c>
      <c r="E18" s="9">
        <v>0.52700001001358032</v>
      </c>
      <c r="F18" s="9">
        <v>5.2699999809265137</v>
      </c>
      <c r="G18" s="9">
        <v>0.95113205909729004</v>
      </c>
      <c r="H18" s="9">
        <v>0.10000000149011612</v>
      </c>
      <c r="I18">
        <v>1.9300000742077827E-2</v>
      </c>
      <c r="J18"/>
    </row>
    <row r="19" spans="1:10" ht="15" customHeight="1" x14ac:dyDescent="0.15">
      <c r="A19" s="151">
        <v>18</v>
      </c>
      <c r="B19" s="151" t="s">
        <v>209</v>
      </c>
      <c r="C19" s="8">
        <v>2.6293818950653076</v>
      </c>
      <c r="D19" s="9">
        <v>3.6080000400543213</v>
      </c>
      <c r="E19" s="9">
        <v>1.6100000143051147</v>
      </c>
      <c r="F19" s="9">
        <v>14</v>
      </c>
      <c r="G19" s="9">
        <v>0.75461345911026001</v>
      </c>
      <c r="H19" s="9">
        <v>0.11500000208616257</v>
      </c>
      <c r="I19">
        <v>1.8500000238418579E-2</v>
      </c>
      <c r="J19"/>
    </row>
    <row r="20" spans="1:10" ht="15" customHeight="1" x14ac:dyDescent="0.15">
      <c r="A20" s="152">
        <v>19</v>
      </c>
      <c r="B20" s="152" t="s">
        <v>210</v>
      </c>
      <c r="C20" s="8">
        <v>2.672494649887085</v>
      </c>
      <c r="D20" s="9">
        <v>13.364955902099609</v>
      </c>
      <c r="E20" s="9">
        <v>2.2999999523162842</v>
      </c>
      <c r="F20" s="9">
        <v>23</v>
      </c>
      <c r="G20" s="9">
        <v>0.95005607604980469</v>
      </c>
      <c r="H20" s="9">
        <v>0.10000000149011612</v>
      </c>
      <c r="I20">
        <v>1.2199999764561653E-2</v>
      </c>
      <c r="J20"/>
    </row>
    <row r="21" spans="1:10" ht="15" customHeight="1" x14ac:dyDescent="0.15">
      <c r="A21" s="153">
        <v>20</v>
      </c>
      <c r="B21" s="153" t="s">
        <v>211</v>
      </c>
      <c r="C21" s="8">
        <v>2.7133066654205322</v>
      </c>
      <c r="D21" s="9">
        <v>0.69999998807907104</v>
      </c>
      <c r="E21" s="9">
        <v>0.25</v>
      </c>
      <c r="F21" s="9">
        <v>1.6666666269302368</v>
      </c>
      <c r="G21" s="9">
        <v>0.18352097272872925</v>
      </c>
      <c r="H21" s="9">
        <v>0.15000000596046448</v>
      </c>
      <c r="I21">
        <v>0</v>
      </c>
      <c r="J21"/>
    </row>
    <row r="22" spans="1:10" ht="15" customHeight="1" x14ac:dyDescent="0.15">
      <c r="A22" s="154">
        <v>21</v>
      </c>
      <c r="B22" s="154" t="s">
        <v>212</v>
      </c>
      <c r="C22" s="8">
        <v>3.0377147197723389</v>
      </c>
      <c r="D22" s="9">
        <v>2.1818454265594482</v>
      </c>
      <c r="E22" s="9">
        <v>25</v>
      </c>
      <c r="F22" s="9">
        <v>125</v>
      </c>
      <c r="G22" s="9">
        <v>0.9502185583114624</v>
      </c>
      <c r="H22" s="9">
        <v>0.20000000298023224</v>
      </c>
      <c r="I22">
        <v>0</v>
      </c>
      <c r="J22"/>
    </row>
    <row r="23" spans="1:10" ht="15" customHeight="1" x14ac:dyDescent="0.15">
      <c r="A23" s="155">
        <v>22</v>
      </c>
      <c r="B23" s="155" t="s">
        <v>213</v>
      </c>
      <c r="C23" s="8">
        <v>2.1040000915527344</v>
      </c>
      <c r="D23" s="9">
        <v>2.7899999618530273</v>
      </c>
      <c r="E23" s="9">
        <v>2.4600000381469727</v>
      </c>
      <c r="F23" s="9">
        <v>15.866999626159668</v>
      </c>
      <c r="G23" s="9">
        <v>0.93894082307815552</v>
      </c>
      <c r="H23" s="9">
        <v>0.15503875911235809</v>
      </c>
      <c r="I23">
        <v>0</v>
      </c>
      <c r="J23"/>
    </row>
    <row r="24" spans="1:10" ht="15" customHeight="1" x14ac:dyDescent="0.15">
      <c r="A24" s="156">
        <v>23</v>
      </c>
      <c r="B24" s="156" t="s">
        <v>214</v>
      </c>
      <c r="C24" s="8">
        <v>2.2419016361236572</v>
      </c>
      <c r="D24" s="9">
        <v>17.885871887207031</v>
      </c>
      <c r="E24" s="9">
        <v>1.9129999876022339</v>
      </c>
      <c r="F24" s="9">
        <v>10.710000038146973</v>
      </c>
      <c r="G24" s="9">
        <v>0.89999991655349731</v>
      </c>
      <c r="H24" s="9">
        <v>0.17861811816692352</v>
      </c>
      <c r="I24">
        <v>0</v>
      </c>
      <c r="J24"/>
    </row>
    <row r="25" spans="1:10" ht="15" customHeight="1" x14ac:dyDescent="0.15">
      <c r="A25" s="157">
        <v>24</v>
      </c>
      <c r="B25" s="157" t="s">
        <v>215</v>
      </c>
      <c r="C25" s="8">
        <v>2.2799148559570312</v>
      </c>
      <c r="D25" s="9">
        <v>24.825538635253906</v>
      </c>
      <c r="E25" s="9">
        <v>1.6950000524520874</v>
      </c>
      <c r="F25" s="9">
        <v>14.006999969482422</v>
      </c>
      <c r="G25" s="9">
        <v>0.90000003576278687</v>
      </c>
      <c r="H25" s="9">
        <v>0.12101092934608459</v>
      </c>
      <c r="I25">
        <v>0</v>
      </c>
      <c r="J25"/>
    </row>
    <row r="26" spans="1:10" ht="15" customHeight="1" x14ac:dyDescent="0.15">
      <c r="A26" s="158">
        <v>25</v>
      </c>
      <c r="B26" s="158" t="s">
        <v>216</v>
      </c>
      <c r="C26" s="8">
        <v>2.0473899841308594</v>
      </c>
      <c r="D26" s="9">
        <v>0.69322896003723145</v>
      </c>
      <c r="E26" s="9">
        <v>0.49000000953674316</v>
      </c>
      <c r="F26" s="9">
        <v>3.2400000095367432</v>
      </c>
      <c r="G26" s="9">
        <v>0.90000003576278687</v>
      </c>
      <c r="H26" s="9">
        <v>0.15123456716537476</v>
      </c>
      <c r="I26">
        <v>0</v>
      </c>
      <c r="J26"/>
    </row>
    <row r="27" spans="1:10" ht="15" customHeight="1" x14ac:dyDescent="0.15">
      <c r="A27" s="159">
        <v>26</v>
      </c>
      <c r="B27" s="159" t="s">
        <v>217</v>
      </c>
      <c r="C27" s="8">
        <v>2.3288183212280273</v>
      </c>
      <c r="D27" s="9">
        <v>27.59083366394043</v>
      </c>
      <c r="E27" s="9">
        <v>1.8200000524520874</v>
      </c>
      <c r="F27" s="9">
        <v>11.529999732971191</v>
      </c>
      <c r="G27" s="9">
        <v>0.95003437995910645</v>
      </c>
      <c r="H27" s="9">
        <v>0.15784910321235657</v>
      </c>
      <c r="I27">
        <v>0</v>
      </c>
      <c r="J27"/>
    </row>
    <row r="28" spans="1:10" ht="15" customHeight="1" x14ac:dyDescent="0.15">
      <c r="A28" s="160">
        <v>27</v>
      </c>
      <c r="B28" s="160" t="s">
        <v>218</v>
      </c>
      <c r="C28" s="8">
        <v>2.2683999538421631</v>
      </c>
      <c r="D28" s="9">
        <v>4.5019998550415039</v>
      </c>
      <c r="E28" s="9">
        <v>0.45300000905990601</v>
      </c>
      <c r="F28" s="9">
        <v>4.5300002098083496</v>
      </c>
      <c r="G28" s="9">
        <v>0.59493398666381836</v>
      </c>
      <c r="H28" s="9">
        <v>9.9999994039535522E-2</v>
      </c>
      <c r="I28">
        <v>0</v>
      </c>
      <c r="J28"/>
    </row>
    <row r="29" spans="1:10" ht="15" customHeight="1" x14ac:dyDescent="0.15">
      <c r="A29" s="161">
        <v>28</v>
      </c>
      <c r="B29" s="161" t="s">
        <v>219</v>
      </c>
      <c r="C29" s="8">
        <v>2.2318859100341797</v>
      </c>
      <c r="D29" s="9">
        <v>40.555999755859375</v>
      </c>
      <c r="E29" s="9">
        <v>7.9999998211860657E-2</v>
      </c>
      <c r="F29" s="9">
        <v>0.53333330154418945</v>
      </c>
      <c r="G29" s="7">
        <v>0</v>
      </c>
      <c r="H29" s="9">
        <v>0.15000000596046448</v>
      </c>
      <c r="I29">
        <v>0</v>
      </c>
      <c r="J29"/>
    </row>
    <row r="30" spans="1:10" ht="15" customHeight="1" x14ac:dyDescent="0.15">
      <c r="A30" s="162">
        <v>29</v>
      </c>
      <c r="B30" s="162" t="s">
        <v>220</v>
      </c>
      <c r="C30" s="8">
        <v>2.1428000926971436</v>
      </c>
      <c r="D30" s="9">
        <v>31.049999237060547</v>
      </c>
      <c r="E30" s="9">
        <v>4</v>
      </c>
      <c r="F30" s="9">
        <v>33.400001525878906</v>
      </c>
      <c r="G30" s="9">
        <v>0.92534881830215454</v>
      </c>
      <c r="H30" s="9">
        <v>0.11976047605276108</v>
      </c>
      <c r="I30">
        <v>0</v>
      </c>
      <c r="J30"/>
    </row>
    <row r="31" spans="1:10" ht="15" customHeight="1" x14ac:dyDescent="0.15">
      <c r="A31" s="163">
        <v>30</v>
      </c>
      <c r="B31" s="163" t="s">
        <v>221</v>
      </c>
      <c r="C31" s="8">
        <v>2.0999999046325684</v>
      </c>
      <c r="D31" s="9">
        <v>9.6286792755126953</v>
      </c>
      <c r="E31" s="9">
        <v>50</v>
      </c>
      <c r="F31" s="9">
        <v>170</v>
      </c>
      <c r="G31" s="9">
        <v>0.9500012993812561</v>
      </c>
      <c r="H31" s="9">
        <v>0.29411765933036804</v>
      </c>
      <c r="I31">
        <v>0</v>
      </c>
      <c r="J31"/>
    </row>
    <row r="32" spans="1:10" ht="15" customHeight="1" x14ac:dyDescent="0.15">
      <c r="A32" s="191">
        <v>31</v>
      </c>
      <c r="B32" s="191" t="s">
        <v>222</v>
      </c>
      <c r="C32" s="8">
        <v>2.1563453674316406</v>
      </c>
      <c r="D32" s="9">
        <v>38.194999694824219</v>
      </c>
      <c r="E32" s="9">
        <v>0.18999999761581421</v>
      </c>
      <c r="F32" s="9">
        <v>1.2666666507720947</v>
      </c>
      <c r="G32" s="9">
        <v>0.65139263868331909</v>
      </c>
      <c r="H32" s="9">
        <v>0.15000000596046448</v>
      </c>
      <c r="I32">
        <v>0</v>
      </c>
      <c r="J32"/>
    </row>
    <row r="33" spans="1:10" ht="15" customHeight="1" x14ac:dyDescent="0.15">
      <c r="A33" s="192">
        <v>32</v>
      </c>
      <c r="B33" s="192" t="s">
        <v>223</v>
      </c>
      <c r="C33" s="8">
        <v>2.2355983257293701</v>
      </c>
      <c r="D33" s="9">
        <v>21.789011001586914</v>
      </c>
      <c r="E33" s="9">
        <v>4</v>
      </c>
      <c r="F33" s="9">
        <v>20</v>
      </c>
      <c r="G33" s="9">
        <v>0.9501345157623291</v>
      </c>
      <c r="H33" s="9">
        <v>0.20000000298023224</v>
      </c>
      <c r="I33">
        <v>0</v>
      </c>
      <c r="J33"/>
    </row>
    <row r="34" spans="1:10" ht="15" customHeight="1" x14ac:dyDescent="0.15">
      <c r="A34" s="193">
        <v>33</v>
      </c>
      <c r="B34" s="193" t="s">
        <v>224</v>
      </c>
      <c r="C34" s="8">
        <v>2.0499999523162842</v>
      </c>
      <c r="D34" s="9">
        <v>76.254997253417969</v>
      </c>
      <c r="E34" s="9">
        <v>0.25</v>
      </c>
      <c r="F34" s="9">
        <v>1.6666666269302368</v>
      </c>
      <c r="G34" s="9">
        <v>0.2315031886100769</v>
      </c>
      <c r="H34" s="9">
        <v>0.15000000596046448</v>
      </c>
      <c r="I34">
        <v>0</v>
      </c>
      <c r="J34"/>
    </row>
    <row r="35" spans="1:10" ht="15" customHeight="1" x14ac:dyDescent="0.15">
      <c r="A35" s="194">
        <v>34</v>
      </c>
      <c r="B35" s="194" t="s">
        <v>225</v>
      </c>
      <c r="C35" s="8">
        <v>2</v>
      </c>
      <c r="D35" s="9">
        <v>5.3999981880187988</v>
      </c>
      <c r="E35" s="9">
        <v>0.25420999526977539</v>
      </c>
      <c r="F35" s="9">
        <v>2.540001392364502</v>
      </c>
      <c r="G35" s="9">
        <v>0.12613488733768463</v>
      </c>
      <c r="H35" s="9">
        <v>0.10008262097835541</v>
      </c>
      <c r="I35">
        <v>2.239999920129776E-2</v>
      </c>
      <c r="J35"/>
    </row>
    <row r="36" spans="1:10" ht="15" customHeight="1" x14ac:dyDescent="0.15">
      <c r="A36" s="195">
        <v>35</v>
      </c>
      <c r="B36" s="195" t="s">
        <v>226</v>
      </c>
      <c r="C36" s="8">
        <v>2</v>
      </c>
      <c r="D36" s="9">
        <v>4.7960267066955566</v>
      </c>
      <c r="E36" s="9">
        <v>80</v>
      </c>
      <c r="F36" s="9">
        <v>266.66665649414062</v>
      </c>
      <c r="G36" s="9">
        <v>0.95000004768371582</v>
      </c>
      <c r="H36" s="9">
        <v>0.30000001192092896</v>
      </c>
      <c r="I36">
        <v>0</v>
      </c>
      <c r="J36"/>
    </row>
    <row r="37" spans="1:10" ht="15" customHeight="1" x14ac:dyDescent="0.15">
      <c r="A37" s="196">
        <v>36</v>
      </c>
      <c r="B37" s="196" t="s">
        <v>227</v>
      </c>
      <c r="C37" s="8">
        <v>2</v>
      </c>
      <c r="D37" s="9">
        <v>4.1015119552612305</v>
      </c>
      <c r="E37" s="9">
        <v>0.81420999765396118</v>
      </c>
      <c r="F37" s="9">
        <v>5.243840217590332</v>
      </c>
      <c r="G37" s="9">
        <v>0.42498588562011719</v>
      </c>
      <c r="H37" s="9">
        <v>0.1552698016166687</v>
      </c>
      <c r="I37">
        <v>1.7000000923871994E-2</v>
      </c>
      <c r="J37"/>
    </row>
    <row r="38" spans="1:10" ht="15" customHeight="1" x14ac:dyDescent="0.15">
      <c r="A38" s="197">
        <v>37</v>
      </c>
      <c r="B38" s="197" t="s">
        <v>228</v>
      </c>
      <c r="C38" s="8">
        <v>1</v>
      </c>
      <c r="D38" s="9">
        <v>8550</v>
      </c>
      <c r="E38" s="9">
        <v>0.30000001192092896</v>
      </c>
      <c r="F38" s="10"/>
      <c r="G38" s="9">
        <v>0.30339780449867249</v>
      </c>
      <c r="H38" s="10"/>
      <c r="I38">
        <v>0</v>
      </c>
      <c r="J38"/>
    </row>
    <row r="39" spans="1:10" ht="15" customHeight="1" x14ac:dyDescent="0.15">
      <c r="A39" s="198">
        <v>38</v>
      </c>
      <c r="B39" s="198" t="s">
        <v>229</v>
      </c>
      <c r="C39" s="8">
        <v>1</v>
      </c>
      <c r="D39" s="9">
        <v>140.95899963378906</v>
      </c>
      <c r="E39" s="9">
        <v>4.429999828338623</v>
      </c>
      <c r="F39" s="10"/>
      <c r="G39" s="9">
        <v>0.53347563743591309</v>
      </c>
      <c r="H39" s="10"/>
      <c r="I39">
        <v>0</v>
      </c>
      <c r="J39"/>
    </row>
    <row r="40" spans="1:10" ht="15" customHeight="1" x14ac:dyDescent="0.15">
      <c r="A40" s="199">
        <v>39</v>
      </c>
      <c r="B40" s="199" t="s">
        <v>230</v>
      </c>
      <c r="C40" s="8">
        <v>1</v>
      </c>
      <c r="D40" s="9">
        <v>40.950000762939453</v>
      </c>
      <c r="E40" s="9">
        <v>1.5729999542236328</v>
      </c>
      <c r="F40" s="10"/>
      <c r="G40" s="9">
        <v>0.55856943130493164</v>
      </c>
      <c r="H40" s="10"/>
      <c r="I40">
        <v>0</v>
      </c>
      <c r="J40"/>
    </row>
    <row r="41" spans="1:10" ht="15" customHeight="1" x14ac:dyDescent="0.15">
      <c r="A41" s="200">
        <v>40</v>
      </c>
      <c r="B41" s="200" t="s">
        <v>231</v>
      </c>
      <c r="C41" s="8">
        <v>1</v>
      </c>
      <c r="D41" s="9">
        <v>20</v>
      </c>
      <c r="E41" s="9">
        <v>112.65000152587891</v>
      </c>
      <c r="F41" s="10"/>
      <c r="G41" s="9">
        <v>0.6765778660774231</v>
      </c>
      <c r="H41" s="10"/>
      <c r="I41">
        <v>0</v>
      </c>
      <c r="J41"/>
    </row>
    <row r="42" spans="1:10" ht="15" customHeight="1" x14ac:dyDescent="0.15">
      <c r="A42" s="201">
        <v>41</v>
      </c>
      <c r="B42" s="201" t="s">
        <v>232</v>
      </c>
      <c r="C42" s="8">
        <v>1</v>
      </c>
      <c r="D42" s="9">
        <v>86.353996276855469</v>
      </c>
      <c r="E42" s="10"/>
      <c r="F42" s="10"/>
      <c r="G42" s="7">
        <v>0.53300595283508301</v>
      </c>
      <c r="H42" s="10"/>
      <c r="I42">
        <v>0</v>
      </c>
      <c r="J42"/>
    </row>
    <row r="43" spans="1:10" ht="15" customHeight="1" x14ac:dyDescent="0.15">
      <c r="A43" s="202">
        <v>42</v>
      </c>
      <c r="B43" s="202" t="s">
        <v>233</v>
      </c>
      <c r="C43" s="8">
        <v>1</v>
      </c>
      <c r="D43" s="9">
        <v>5</v>
      </c>
      <c r="E43" s="10"/>
      <c r="F43" s="10"/>
      <c r="G43" s="7">
        <v>0</v>
      </c>
      <c r="H43" s="10"/>
      <c r="I43">
        <v>0</v>
      </c>
      <c r="J43"/>
    </row>
    <row r="44" spans="1:10" ht="15" customHeight="1" x14ac:dyDescent="0.15">
      <c r="A44" s="203">
        <v>43</v>
      </c>
      <c r="B44" s="203" t="s">
        <v>234</v>
      </c>
      <c r="C44" s="8">
        <v>4.4468121528625488</v>
      </c>
      <c r="D44" s="10"/>
      <c r="E44" s="10"/>
      <c r="F44" s="10"/>
      <c r="G44" s="10"/>
      <c r="H44" s="10"/>
      <c r="I44">
        <v>0.32139798998832703</v>
      </c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9" bestFit="1" customWidth="1"/>
    <col min="2" max="4" width="9.5" style="79" bestFit="1" customWidth="1"/>
    <col min="5" max="7" width="9" style="79" bestFit="1" customWidth="1"/>
    <col min="8" max="16" width="12.6640625" style="79" bestFit="1" customWidth="1"/>
    <col min="17" max="17" width="12.33203125" style="79" bestFit="1" customWidth="1"/>
    <col min="18" max="18" width="8.83203125" style="79"/>
    <col min="19" max="21" width="9.33203125" style="79" bestFit="1" customWidth="1"/>
    <col min="22" max="23" width="8.83203125" style="79"/>
    <col min="24" max="24" width="9.33203125" style="79" bestFit="1" customWidth="1"/>
    <col min="25" max="27" width="8.83203125" style="79"/>
    <col min="28" max="58" width="9" style="79" bestFit="1" customWidth="1"/>
    <col min="59" max="59" width="12.33203125" style="79" bestFit="1" customWidth="1"/>
    <col min="60" max="60" width="9" style="79" bestFit="1" customWidth="1"/>
    <col min="61" max="61" width="11.33203125" style="79" bestFit="1" customWidth="1"/>
    <col min="62" max="77" width="9" style="79" bestFit="1" customWidth="1"/>
    <col min="78" max="78" width="12.33203125" style="79" bestFit="1" customWidth="1"/>
    <col min="79" max="79" width="9" style="79" bestFit="1" customWidth="1"/>
    <col min="80" max="80" width="12.33203125" style="79" bestFit="1" customWidth="1"/>
    <col min="81" max="107" width="9" style="79" bestFit="1" customWidth="1"/>
    <col min="108" max="108" width="11.33203125" style="79" bestFit="1" customWidth="1"/>
    <col min="109" max="124" width="9" style="79" bestFit="1" customWidth="1"/>
    <col min="125" max="125" width="10.33203125" style="79" bestFit="1" customWidth="1"/>
    <col min="126" max="129" width="9.33203125" style="79" bestFit="1" customWidth="1"/>
    <col min="130" max="130" width="9" style="79" bestFit="1" customWidth="1"/>
    <col min="131" max="134" width="9.33203125" style="79" bestFit="1" customWidth="1"/>
    <col min="135" max="165" width="9" style="79" bestFit="1" customWidth="1"/>
    <col min="166" max="166" width="12.33203125" style="79" bestFit="1" customWidth="1"/>
    <col min="167" max="170" width="9" style="79" bestFit="1" customWidth="1"/>
    <col min="171" max="176" width="8.83203125" style="79"/>
    <col min="177" max="177" width="13.83203125" style="79" bestFit="1" customWidth="1"/>
    <col min="178" max="16384" width="8.83203125" style="79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239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 t="s">
        <v>224</v>
      </c>
      <c r="AL1" t="s">
        <v>225</v>
      </c>
      <c r="AM1" t="s">
        <v>226</v>
      </c>
      <c r="AN1" t="s">
        <v>227</v>
      </c>
      <c r="AO1" t="s">
        <v>228</v>
      </c>
      <c r="AP1" t="s">
        <v>229</v>
      </c>
      <c r="AQ1" t="s">
        <v>230</v>
      </c>
      <c r="AR1" t="s">
        <v>231</v>
      </c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0.44029000401496887</v>
      </c>
      <c r="C2">
        <v>0.12262675911188126</v>
      </c>
      <c r="D2" s="11">
        <v>2.952913346234709E-4</v>
      </c>
      <c r="E2"/>
      <c r="F2"/>
      <c r="G2"/>
      <c r="H2" s="228">
        <v>0.31736794114112854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0.19900000095367432</v>
      </c>
      <c r="C3">
        <v>0.11940000206232071</v>
      </c>
      <c r="D3" s="204">
        <v>7.9600006341934204E-2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0.10000000149011612</v>
      </c>
      <c r="C4">
        <v>0.10000000149011612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0.24400000274181366</v>
      </c>
      <c r="C5">
        <v>0.21759790182113647</v>
      </c>
      <c r="D5" s="63">
        <v>5.1891887560486794E-3</v>
      </c>
      <c r="E5" s="20">
        <v>4.9083367921411991E-3</v>
      </c>
      <c r="F5"/>
      <c r="G5" s="27">
        <v>1.142457127571106E-2</v>
      </c>
      <c r="H5" s="20">
        <v>4.8800008371472359E-3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0.51700001955032349</v>
      </c>
      <c r="C6">
        <v>0.17250379920005798</v>
      </c>
      <c r="D6" s="205">
        <v>0.15987780690193176</v>
      </c>
      <c r="E6" s="217">
        <v>5.5481202900409698E-2</v>
      </c>
      <c r="F6"/>
      <c r="G6" s="223">
        <v>0.12913721799850464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0.59899997711181641</v>
      </c>
      <c r="C7">
        <v>0.42542600631713867</v>
      </c>
      <c r="D7" s="17">
        <v>7.197763305157423E-3</v>
      </c>
      <c r="E7" s="14">
        <v>6.345509085804224E-3</v>
      </c>
      <c r="F7"/>
      <c r="G7" s="226">
        <v>2.01405119150877E-2</v>
      </c>
      <c r="H7" s="236">
        <v>0.1104053258895874</v>
      </c>
      <c r="I7"/>
      <c r="J7"/>
      <c r="K7" s="227">
        <v>2.9484869912266731E-2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1.5302900075912476</v>
      </c>
      <c r="C8">
        <v>0.92467743158340454</v>
      </c>
      <c r="D8" s="11">
        <v>2.9257821734063327E-4</v>
      </c>
      <c r="E8"/>
      <c r="F8"/>
      <c r="G8"/>
      <c r="H8" s="231">
        <v>0.60531997680664062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0.40000000596046448</v>
      </c>
      <c r="C9">
        <v>0.40000000596046448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2.3399999141693115</v>
      </c>
      <c r="C10">
        <v>0.12193966656923294</v>
      </c>
      <c r="D10" s="13">
        <v>5.59999980032444E-3</v>
      </c>
      <c r="E10" s="23">
        <v>7.1536019444465637E-2</v>
      </c>
      <c r="F10" s="11">
        <v>2.3833334853406996E-4</v>
      </c>
      <c r="G10" s="250">
        <v>0.61196750402450562</v>
      </c>
      <c r="H10" s="248">
        <v>0.54168009757995605</v>
      </c>
      <c r="I10" s="13">
        <v>3.6677697207778692E-3</v>
      </c>
      <c r="J10"/>
      <c r="K10"/>
      <c r="L10" s="17">
        <v>2.8303997591137886E-2</v>
      </c>
      <c r="M10" s="226">
        <v>7.7999986708164215E-2</v>
      </c>
      <c r="N10" s="210">
        <v>0.10527890175580978</v>
      </c>
      <c r="O10" s="239">
        <v>0.1990521103143692</v>
      </c>
      <c r="P10"/>
      <c r="Q10"/>
      <c r="R10"/>
      <c r="S10" s="216">
        <v>0.30718013644218445</v>
      </c>
      <c r="T10"/>
      <c r="U10" s="242">
        <v>0.26555529236793518</v>
      </c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0.83899998664855957</v>
      </c>
      <c r="C11">
        <v>3.1837631016969681E-2</v>
      </c>
      <c r="D11" s="206">
        <v>0.12808510661125183</v>
      </c>
      <c r="E11" s="211">
        <v>8.7647050619125366E-2</v>
      </c>
      <c r="F11" s="212">
        <v>8.0212771892547607E-2</v>
      </c>
      <c r="G11" s="216">
        <v>0.11037858575582504</v>
      </c>
      <c r="H11" s="221">
        <v>0.2305021733045578</v>
      </c>
      <c r="I11"/>
      <c r="J11"/>
      <c r="K11" s="219">
        <v>0.17033666372299194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0.41499999165534973</v>
      </c>
      <c r="C12">
        <v>8.3000166341662407E-3</v>
      </c>
      <c r="D12" s="17">
        <v>5.1983031444251537E-3</v>
      </c>
      <c r="E12"/>
      <c r="F12" s="213">
        <v>2.8820004314184189E-2</v>
      </c>
      <c r="G12"/>
      <c r="H12" s="234">
        <v>0.37268167734146118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0.59399998188018799</v>
      </c>
      <c r="C13">
        <v>1.3025911524891853E-2</v>
      </c>
      <c r="D13"/>
      <c r="E13" s="214">
        <v>0.13823528587818146</v>
      </c>
      <c r="F13"/>
      <c r="G13" s="215">
        <v>0.17408701777458191</v>
      </c>
      <c r="H13"/>
      <c r="I13"/>
      <c r="J13"/>
      <c r="K13" s="218">
        <v>0.26865178346633911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1.3769999742507935</v>
      </c>
      <c r="C14">
        <v>0.23566512763500214</v>
      </c>
      <c r="D14"/>
      <c r="E14" s="209">
        <v>0.50622570514678955</v>
      </c>
      <c r="F14"/>
      <c r="G14" s="207">
        <v>0.27448645234107971</v>
      </c>
      <c r="H14"/>
      <c r="I14"/>
      <c r="J14"/>
      <c r="K14" s="208">
        <v>0.36062267422676086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1.1189999580383301</v>
      </c>
      <c r="C15">
        <v>0.24195979535579681</v>
      </c>
      <c r="D15"/>
      <c r="E15" s="19">
        <v>4.8349898308515549E-2</v>
      </c>
      <c r="F15"/>
      <c r="G15" s="220">
        <v>0.11501368880271912</v>
      </c>
      <c r="H15" s="233">
        <v>0.54040855169296265</v>
      </c>
      <c r="I15"/>
      <c r="J15"/>
      <c r="K15" s="206">
        <v>0.170152947306633</v>
      </c>
      <c r="L15"/>
      <c r="M15"/>
      <c r="N15" s="13">
        <v>3.1151291914284229E-3</v>
      </c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0.5559999942779541</v>
      </c>
      <c r="C16">
        <v>4.6082817018032074E-2</v>
      </c>
      <c r="D16" s="13">
        <v>5.7999999262392521E-4</v>
      </c>
      <c r="E16" s="13">
        <v>1.1295161675661802E-3</v>
      </c>
      <c r="F16"/>
      <c r="G16" s="22">
        <v>3.1703184358775616E-3</v>
      </c>
      <c r="H16" s="254">
        <v>0.1665666401386261</v>
      </c>
      <c r="I16" s="246">
        <v>7.4602439999580383E-2</v>
      </c>
      <c r="J16" s="258">
        <v>0.19457736611366272</v>
      </c>
      <c r="K16" s="17">
        <v>6.5453015267848969E-3</v>
      </c>
      <c r="L16" s="21">
        <v>4.2455997318029404E-3</v>
      </c>
      <c r="M16" s="229">
        <v>5.8499999344348907E-2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0.50300002098083496</v>
      </c>
      <c r="C17">
        <v>0.17084352672100067</v>
      </c>
      <c r="D17" s="15">
        <v>8.0209486186504364E-3</v>
      </c>
      <c r="E17" s="17">
        <v>5.6772483512759209E-3</v>
      </c>
      <c r="F17"/>
      <c r="G17" s="67">
        <v>2.5421015918254852E-2</v>
      </c>
      <c r="H17" s="237">
        <v>0.13064225018024445</v>
      </c>
      <c r="I17"/>
      <c r="J17"/>
      <c r="K17" s="102">
        <v>3.3398348838090897E-2</v>
      </c>
      <c r="L17"/>
      <c r="M17" s="235">
        <v>0.12899667024612427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0.52700001001358032</v>
      </c>
      <c r="C18">
        <v>2.5753404945135117E-2</v>
      </c>
      <c r="D18" s="21">
        <v>3.8301250897347927E-3</v>
      </c>
      <c r="E18" s="21">
        <v>4.0875286795198917E-3</v>
      </c>
      <c r="F18"/>
      <c r="G18" s="18">
        <v>9.723324328660965E-3</v>
      </c>
      <c r="H18" s="252">
        <v>0.46492683887481689</v>
      </c>
      <c r="I18"/>
      <c r="J18"/>
      <c r="K18" s="26">
        <v>1.8678808584809303E-2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1.6100000143051147</v>
      </c>
      <c r="C19">
        <v>0.395072340965271</v>
      </c>
      <c r="D19" s="12">
        <v>5.1274946890771389E-3</v>
      </c>
      <c r="E19" s="26">
        <v>5.7823799550533295E-2</v>
      </c>
      <c r="F19" s="11">
        <v>4.3237252975814044E-4</v>
      </c>
      <c r="G19" s="24">
        <v>4.2336940765380859E-2</v>
      </c>
      <c r="H19" s="232">
        <v>6.3806556165218353E-2</v>
      </c>
      <c r="I19" s="225">
        <v>3.7206310778856277E-2</v>
      </c>
      <c r="J19" s="240">
        <v>0.18055665493011475</v>
      </c>
      <c r="K19" s="210">
        <v>7.2564318776130676E-2</v>
      </c>
      <c r="L19"/>
      <c r="M19" s="245">
        <v>0.32427936792373657</v>
      </c>
      <c r="N19" s="13">
        <v>2.2068375255912542E-3</v>
      </c>
      <c r="O19" s="226">
        <v>5.3414255380630493E-2</v>
      </c>
      <c r="P19" s="69">
        <v>0.11504798382520676</v>
      </c>
      <c r="Q19"/>
      <c r="R19" s="15">
        <v>2.4442460387945175E-2</v>
      </c>
      <c r="S19"/>
      <c r="T19"/>
      <c r="U19" s="65">
        <v>9.5682345330715179E-2</v>
      </c>
      <c r="V19" s="238">
        <v>0.13999998569488525</v>
      </c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2.2999999523162842</v>
      </c>
      <c r="C20">
        <v>0.11487102508544922</v>
      </c>
      <c r="D20" s="11">
        <v>9.1283500660210848E-4</v>
      </c>
      <c r="E20" s="11">
        <v>9.9427369423210621E-4</v>
      </c>
      <c r="F20" s="11">
        <v>7.5870065484195948E-4</v>
      </c>
      <c r="G20" s="12">
        <v>1.0782329365611076E-2</v>
      </c>
      <c r="H20" s="132">
        <v>6.5861053764820099E-2</v>
      </c>
      <c r="I20" s="17">
        <v>2.7992051094770432E-2</v>
      </c>
      <c r="J20" s="261">
        <v>0.65161734819412231</v>
      </c>
      <c r="K20" s="11">
        <v>1.6999103827401996E-3</v>
      </c>
      <c r="L20"/>
      <c r="M20" s="256">
        <v>0.26612880825996399</v>
      </c>
      <c r="N20" s="14">
        <v>2.1447261795401573E-2</v>
      </c>
      <c r="O20" s="17">
        <v>2.8839398175477982E-2</v>
      </c>
      <c r="P20" s="13">
        <v>6.4897988922894001E-3</v>
      </c>
      <c r="Q20" s="12">
        <v>8.1544835120439529E-3</v>
      </c>
      <c r="R20" s="18">
        <v>3.8520857691764832E-2</v>
      </c>
      <c r="S20" s="242">
        <v>0.25936070084571838</v>
      </c>
      <c r="T20" s="22">
        <v>1.2288820929825306E-2</v>
      </c>
      <c r="U20" s="242">
        <v>0.26227769255638123</v>
      </c>
      <c r="V20" s="257">
        <v>0.26833999156951904</v>
      </c>
      <c r="W20" s="133">
        <v>0.1380000114440918</v>
      </c>
      <c r="X20"/>
      <c r="Y20"/>
      <c r="Z20"/>
      <c r="AA20" s="227">
        <v>0.11466266959905624</v>
      </c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0.25</v>
      </c>
      <c r="C21">
        <v>0.20411975681781769</v>
      </c>
      <c r="D21"/>
      <c r="E21"/>
      <c r="F21"/>
      <c r="G21"/>
      <c r="H21"/>
      <c r="I21" s="17">
        <v>3.1438027508556843E-3</v>
      </c>
      <c r="J21"/>
      <c r="K21"/>
      <c r="L21"/>
      <c r="M21"/>
      <c r="N21"/>
      <c r="O21"/>
      <c r="P21"/>
      <c r="Q21"/>
      <c r="R21"/>
      <c r="S21"/>
      <c r="T21" s="211">
        <v>2.6069773361086845E-2</v>
      </c>
      <c r="U21"/>
      <c r="V21"/>
      <c r="W21"/>
      <c r="X21" s="102">
        <v>1.666666567325592E-2</v>
      </c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25</v>
      </c>
      <c r="C22">
        <v>1.2445360422134399</v>
      </c>
      <c r="D22"/>
      <c r="E22"/>
      <c r="F22"/>
      <c r="G22"/>
      <c r="H22" s="22">
        <v>0.12413347512483597</v>
      </c>
      <c r="I22" s="11">
        <v>2.2189730778336525E-2</v>
      </c>
      <c r="J22" s="63">
        <v>0.52643811702728271</v>
      </c>
      <c r="K22"/>
      <c r="L22" s="15">
        <v>0.38917508721351624</v>
      </c>
      <c r="M22" s="211">
        <v>2.573967456817627</v>
      </c>
      <c r="N22" s="13">
        <v>3.710150346159935E-2</v>
      </c>
      <c r="O22"/>
      <c r="P22"/>
      <c r="Q22" s="11">
        <v>1.2224984355270863E-2</v>
      </c>
      <c r="R22" s="13">
        <v>6.5544605255126953E-2</v>
      </c>
      <c r="S22" s="269">
        <v>10.96315860748291</v>
      </c>
      <c r="T22" s="11">
        <v>1.672789640724659E-2</v>
      </c>
      <c r="U22" s="11">
        <v>2.4342264980077744E-2</v>
      </c>
      <c r="V22" s="16">
        <v>0.34726566076278687</v>
      </c>
      <c r="W22" s="239">
        <v>2.1133072376251221</v>
      </c>
      <c r="X22"/>
      <c r="Y22" s="62">
        <v>1.3750002384185791</v>
      </c>
      <c r="Z22"/>
      <c r="AA22"/>
      <c r="AB22" s="69">
        <v>1.75312340259552</v>
      </c>
      <c r="AC22"/>
      <c r="AD22" s="256">
        <v>2.9160845279693604</v>
      </c>
      <c r="AE22"/>
      <c r="AF22" s="20">
        <v>0.49567821621894836</v>
      </c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2.4600000381469727</v>
      </c>
      <c r="C23">
        <v>0.1502055823802948</v>
      </c>
      <c r="D23"/>
      <c r="E23"/>
      <c r="F23"/>
      <c r="G23"/>
      <c r="H23" s="20">
        <v>4.8537645488977432E-2</v>
      </c>
      <c r="I23" s="13">
        <v>6.3101416453719139E-3</v>
      </c>
      <c r="J23"/>
      <c r="K23"/>
      <c r="L23"/>
      <c r="M23" s="241">
        <v>0.2683870792388916</v>
      </c>
      <c r="N23"/>
      <c r="O23"/>
      <c r="P23"/>
      <c r="Q23"/>
      <c r="R23" s="14">
        <v>2.4774419143795967E-2</v>
      </c>
      <c r="S23"/>
      <c r="T23" s="253">
        <v>1.0988548994064331</v>
      </c>
      <c r="U23" s="237">
        <v>0.63771349191665649</v>
      </c>
      <c r="V23" s="132">
        <v>7.2418645024299622E-2</v>
      </c>
      <c r="W23" s="210">
        <v>0.11017704755067825</v>
      </c>
      <c r="X23" s="18">
        <v>4.1816011071205139E-2</v>
      </c>
      <c r="Y23"/>
      <c r="Z23"/>
      <c r="AA23"/>
      <c r="AB23"/>
      <c r="AC23" s="11">
        <v>8.0504018114879727E-4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1.9129999876022339</v>
      </c>
      <c r="C24">
        <v>0.1913001537322998</v>
      </c>
      <c r="D24"/>
      <c r="E24"/>
      <c r="F24"/>
      <c r="G24"/>
      <c r="H24" s="22">
        <v>1.1357010342180729E-2</v>
      </c>
      <c r="I24" s="11">
        <v>6.1519554583355784E-4</v>
      </c>
      <c r="J24"/>
      <c r="K24"/>
      <c r="L24"/>
      <c r="M24" s="74">
        <v>0.32184058427810669</v>
      </c>
      <c r="N24"/>
      <c r="O24"/>
      <c r="P24" s="11">
        <v>9.8967495432589203E-5</v>
      </c>
      <c r="Q24"/>
      <c r="R24" s="12">
        <v>9.061676450073719E-3</v>
      </c>
      <c r="S24"/>
      <c r="T24" s="13">
        <v>5.1014679484069347E-3</v>
      </c>
      <c r="U24" s="222">
        <v>0.30733725428581238</v>
      </c>
      <c r="V24" s="255">
        <v>0.18639247119426727</v>
      </c>
      <c r="W24" s="265">
        <v>0.79057496786117554</v>
      </c>
      <c r="X24" s="21">
        <v>1.4350245706737041E-2</v>
      </c>
      <c r="Y24"/>
      <c r="Z24"/>
      <c r="AA24" s="232">
        <v>7.4970006942749023E-2</v>
      </c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1.6950000524520874</v>
      </c>
      <c r="C25">
        <v>0.1694999486207962</v>
      </c>
      <c r="D25"/>
      <c r="E25"/>
      <c r="F25"/>
      <c r="G25"/>
      <c r="H25"/>
      <c r="I25"/>
      <c r="J25"/>
      <c r="K25"/>
      <c r="L25"/>
      <c r="M25"/>
      <c r="N25"/>
      <c r="O25" s="13">
        <v>2.2960745263844728E-3</v>
      </c>
      <c r="P25" s="12">
        <v>5.8824461884796619E-3</v>
      </c>
      <c r="Q25"/>
      <c r="R25" s="11">
        <v>9.6008807304315269E-5</v>
      </c>
      <c r="S25"/>
      <c r="T25" s="66">
        <v>0.15510259568691254</v>
      </c>
      <c r="U25" s="12">
        <v>5.348429549485445E-3</v>
      </c>
      <c r="V25" s="26">
        <v>6.1040367931127548E-2</v>
      </c>
      <c r="W25"/>
      <c r="X25" s="12">
        <v>5.6393533013761044E-3</v>
      </c>
      <c r="Y25"/>
      <c r="Z25"/>
      <c r="AA25" s="263">
        <v>0.38580772280693054</v>
      </c>
      <c r="AB25"/>
      <c r="AC25" s="13">
        <v>2.8951631393283606E-3</v>
      </c>
      <c r="AD25" s="260">
        <v>0.32035791873931885</v>
      </c>
      <c r="AE25"/>
      <c r="AF25"/>
      <c r="AG25"/>
      <c r="AH25"/>
      <c r="AI25" s="259">
        <v>0.22995994985103607</v>
      </c>
      <c r="AJ25" s="262">
        <v>0.35107409954071045</v>
      </c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0.49000000953674316</v>
      </c>
      <c r="C26">
        <v>4.8999983817338943E-2</v>
      </c>
      <c r="D26"/>
      <c r="E26"/>
      <c r="F26"/>
      <c r="G26"/>
      <c r="H26"/>
      <c r="I26" s="22">
        <v>3.1745096202939749E-3</v>
      </c>
      <c r="J26"/>
      <c r="K26"/>
      <c r="L26"/>
      <c r="M26"/>
      <c r="N26"/>
      <c r="O26" s="230">
        <v>0.21143771708011627</v>
      </c>
      <c r="P26"/>
      <c r="Q26" s="11">
        <v>3.0059769051149487E-4</v>
      </c>
      <c r="R26" s="63">
        <v>1.0314644314348698E-2</v>
      </c>
      <c r="S26"/>
      <c r="T26" s="222">
        <v>7.897321879863739E-2</v>
      </c>
      <c r="U26" s="224">
        <v>0.11492104083299637</v>
      </c>
      <c r="V26"/>
      <c r="W26"/>
      <c r="X26" s="210">
        <v>2.187829278409481E-2</v>
      </c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1.8200000524520874</v>
      </c>
      <c r="C27">
        <v>9.0937428176403046E-2</v>
      </c>
      <c r="D27"/>
      <c r="E27"/>
      <c r="F27" s="11">
        <v>4.7117096983129159E-5</v>
      </c>
      <c r="G27"/>
      <c r="H27" s="21">
        <v>1.4724457636475563E-2</v>
      </c>
      <c r="I27" s="11">
        <v>2.3928185692057014E-4</v>
      </c>
      <c r="J27" s="20">
        <v>3.4173879772424698E-2</v>
      </c>
      <c r="K27"/>
      <c r="L27"/>
      <c r="M27" s="226">
        <v>5.9367537498474121E-2</v>
      </c>
      <c r="N27" s="11">
        <v>6.7336240317672491E-4</v>
      </c>
      <c r="O27" s="225">
        <v>4.4467117637395859E-2</v>
      </c>
      <c r="P27" s="13">
        <v>1.9888386595994234E-3</v>
      </c>
      <c r="Q27" s="11">
        <v>1.35947106173262E-4</v>
      </c>
      <c r="R27" s="14">
        <v>1.6413398087024689E-2</v>
      </c>
      <c r="S27" s="213">
        <v>0.12563391029834747</v>
      </c>
      <c r="T27" s="212">
        <v>0.17328929901123047</v>
      </c>
      <c r="U27" s="27">
        <v>8.662288635969162E-2</v>
      </c>
      <c r="V27" s="17">
        <v>2.1969035267829895E-2</v>
      </c>
      <c r="W27" s="259">
        <v>0.24510559439659119</v>
      </c>
      <c r="X27" s="13">
        <v>2.1142286714166403E-3</v>
      </c>
      <c r="Y27"/>
      <c r="Z27"/>
      <c r="AA27" s="231">
        <v>0.72205144166946411</v>
      </c>
      <c r="AB27"/>
      <c r="AC27" s="11">
        <v>8.1406098615843803E-5</v>
      </c>
      <c r="AD27" s="72">
        <v>0.17294998466968536</v>
      </c>
      <c r="AE27"/>
      <c r="AF27"/>
      <c r="AG27"/>
      <c r="AH27"/>
      <c r="AI27" s="12">
        <v>7.0139719173312187E-3</v>
      </c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0.45300000905990601</v>
      </c>
      <c r="C28">
        <v>0.18349491059780121</v>
      </c>
      <c r="D28"/>
      <c r="E28"/>
      <c r="F28"/>
      <c r="G28"/>
      <c r="H28" s="16">
        <v>6.0159945860505104E-3</v>
      </c>
      <c r="I28"/>
      <c r="J28"/>
      <c r="K28" s="21">
        <v>3.6046244204044342E-3</v>
      </c>
      <c r="L28"/>
      <c r="M28" s="243">
        <v>0.25988450646400452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7.9999998211860657E-2</v>
      </c>
      <c r="C29">
        <v>7.9999998211860657E-2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4</v>
      </c>
      <c r="C30">
        <v>0.29860472679138184</v>
      </c>
      <c r="D30"/>
      <c r="E30"/>
      <c r="F30" s="11">
        <v>2.3027376300888136E-5</v>
      </c>
      <c r="G30"/>
      <c r="H30" s="21">
        <v>2.8348797932267189E-2</v>
      </c>
      <c r="I30" s="11">
        <v>1.4174956595525146E-4</v>
      </c>
      <c r="J30" s="13">
        <v>1.0490313172340393E-2</v>
      </c>
      <c r="K30"/>
      <c r="L30" s="11">
        <v>1.3673428911715746E-3</v>
      </c>
      <c r="M30"/>
      <c r="N30" s="11">
        <v>1.7095586517825723E-3</v>
      </c>
      <c r="O30" s="11">
        <v>2.8848133515566587E-3</v>
      </c>
      <c r="P30" s="11">
        <v>9.1213913401588798E-4</v>
      </c>
      <c r="Q30" s="11">
        <v>4.0267248550662771E-5</v>
      </c>
      <c r="R30" s="13">
        <v>4.7592641785740852E-3</v>
      </c>
      <c r="S30" s="255">
        <v>0.39414161443710327</v>
      </c>
      <c r="T30" s="12">
        <v>1.821945421397686E-2</v>
      </c>
      <c r="U30" s="21">
        <v>2.9078520834445953E-2</v>
      </c>
      <c r="V30" s="132">
        <v>0.11875607818365097</v>
      </c>
      <c r="W30" s="273">
        <v>2.4551920890808105</v>
      </c>
      <c r="X30"/>
      <c r="Y30"/>
      <c r="Z30"/>
      <c r="AA30" s="21">
        <v>3.0846647918224335E-2</v>
      </c>
      <c r="AB30"/>
      <c r="AC30"/>
      <c r="AD30" s="267">
        <v>0.60448366403579712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50</v>
      </c>
      <c r="C31">
        <v>2.4999351501464844</v>
      </c>
      <c r="D31"/>
      <c r="E31"/>
      <c r="F31"/>
      <c r="G31"/>
      <c r="H31" s="13">
        <v>5.6256946176290512E-2</v>
      </c>
      <c r="I31"/>
      <c r="J31"/>
      <c r="K31"/>
      <c r="L31"/>
      <c r="M31" s="13">
        <v>7.2907187044620514E-2</v>
      </c>
      <c r="N31"/>
      <c r="O31"/>
      <c r="P31" s="11">
        <v>8.2727230619639158E-4</v>
      </c>
      <c r="Q31" s="11">
        <v>2.445535734295845E-3</v>
      </c>
      <c r="R31" s="13">
        <v>4.9507725983858109E-2</v>
      </c>
      <c r="S31" s="13">
        <v>0.13170807063579559</v>
      </c>
      <c r="T31"/>
      <c r="U31" s="13">
        <v>9.1012738645076752E-2</v>
      </c>
      <c r="V31" s="22">
        <v>0.33049765229225159</v>
      </c>
      <c r="W31" s="102">
        <v>3.2882580757141113</v>
      </c>
      <c r="X31"/>
      <c r="Y31" s="276">
        <v>26.143815994262695</v>
      </c>
      <c r="Z31"/>
      <c r="AA31"/>
      <c r="AB31" s="133">
        <v>3.0697007179260254</v>
      </c>
      <c r="AC31"/>
      <c r="AD31" s="26">
        <v>1.78410804271698</v>
      </c>
      <c r="AE31" s="14">
        <v>0.51680517196655273</v>
      </c>
      <c r="AF31" s="13">
        <v>0.11231999844312668</v>
      </c>
      <c r="AG31" s="272">
        <v>7.324033260345459</v>
      </c>
      <c r="AH31"/>
      <c r="AI31"/>
      <c r="AJ31" s="249">
        <v>4.5258564949035645</v>
      </c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0.18999999761581421</v>
      </c>
      <c r="C32">
        <v>6.623540073633194E-2</v>
      </c>
      <c r="D32"/>
      <c r="E32"/>
      <c r="F32"/>
      <c r="G32"/>
      <c r="H32"/>
      <c r="I32" s="12">
        <v>6.9139793049544096E-4</v>
      </c>
      <c r="J32"/>
      <c r="K32"/>
      <c r="L32"/>
      <c r="M32"/>
      <c r="N32"/>
      <c r="O32"/>
      <c r="P32" s="12">
        <v>9.2688569566234946E-4</v>
      </c>
      <c r="Q32"/>
      <c r="R32" s="12">
        <v>8.112347568385303E-4</v>
      </c>
      <c r="S32"/>
      <c r="T32" s="251">
        <v>5.7333704084157944E-2</v>
      </c>
      <c r="U32" s="214">
        <v>4.4496767222881317E-2</v>
      </c>
      <c r="V32" s="16">
        <v>2.6449537836015224E-3</v>
      </c>
      <c r="W32" s="239">
        <v>1.6096033155918121E-2</v>
      </c>
      <c r="X32" s="12">
        <v>7.6362525578588247E-4</v>
      </c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4</v>
      </c>
      <c r="C33">
        <v>0.19946193695068359</v>
      </c>
      <c r="D33"/>
      <c r="E33"/>
      <c r="F33"/>
      <c r="G33"/>
      <c r="H33" s="13">
        <v>9.3225911259651184E-3</v>
      </c>
      <c r="I33" s="11">
        <v>7.06991006154567E-4</v>
      </c>
      <c r="J33" s="17">
        <v>4.7207407653331757E-2</v>
      </c>
      <c r="K33"/>
      <c r="L33"/>
      <c r="M33"/>
      <c r="N33" s="22">
        <v>2.2900024428963661E-2</v>
      </c>
      <c r="O33" s="11">
        <v>7.4744480662047863E-4</v>
      </c>
      <c r="P33" s="11">
        <v>1.6247823077719659E-4</v>
      </c>
      <c r="Q33" s="11">
        <v>9.1811269521713257E-4</v>
      </c>
      <c r="R33" s="13">
        <v>9.7355889156460762E-3</v>
      </c>
      <c r="S33" s="268">
        <v>1.0799795389175415</v>
      </c>
      <c r="T33" s="22">
        <v>2.0100599154829979E-2</v>
      </c>
      <c r="U33" s="22">
        <v>2.0718885585665703E-2</v>
      </c>
      <c r="V33" s="25">
        <v>0.30368849635124207</v>
      </c>
      <c r="W33" s="270">
        <v>1.5659607648849487</v>
      </c>
      <c r="X33"/>
      <c r="Y33"/>
      <c r="Z33"/>
      <c r="AA33" s="12">
        <v>1.7582964152097702E-2</v>
      </c>
      <c r="AB33"/>
      <c r="AC33"/>
      <c r="AD33" s="266">
        <v>0.70080602169036865</v>
      </c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0.25</v>
      </c>
      <c r="C34">
        <v>0.19212420284748077</v>
      </c>
      <c r="D34"/>
      <c r="E34"/>
      <c r="F34"/>
      <c r="G34"/>
      <c r="H34" s="16">
        <v>3.5517679061740637E-3</v>
      </c>
      <c r="I34"/>
      <c r="J34"/>
      <c r="K34"/>
      <c r="L34"/>
      <c r="M34"/>
      <c r="N34"/>
      <c r="O34"/>
      <c r="P34"/>
      <c r="Q34"/>
      <c r="R34"/>
      <c r="S34"/>
      <c r="T34" s="232">
        <v>9.5725348219275475E-3</v>
      </c>
      <c r="U34"/>
      <c r="V34" s="21">
        <v>1.987227238714695E-3</v>
      </c>
      <c r="W34" s="247">
        <v>2.0155660808086395E-2</v>
      </c>
      <c r="X34"/>
      <c r="Y34"/>
      <c r="Z34"/>
      <c r="AA34" s="249">
        <v>2.2608606144785881E-2</v>
      </c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0.25420999526977539</v>
      </c>
      <c r="C35">
        <v>0.22214524447917938</v>
      </c>
      <c r="D35" s="15">
        <v>4.1481493972241879E-3</v>
      </c>
      <c r="E35" s="12">
        <v>1.2304099509492517E-3</v>
      </c>
      <c r="F35"/>
      <c r="G35" s="229">
        <v>2.6686185970902443E-2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80</v>
      </c>
      <c r="C36">
        <v>3.9999961853027344</v>
      </c>
      <c r="D36"/>
      <c r="E36"/>
      <c r="F36"/>
      <c r="G36"/>
      <c r="H36"/>
      <c r="I36"/>
      <c r="J36"/>
      <c r="K36"/>
      <c r="L36"/>
      <c r="M36"/>
      <c r="N36"/>
      <c r="O36" s="11">
        <v>5.6595745263621211E-4</v>
      </c>
      <c r="P36"/>
      <c r="Q36"/>
      <c r="R36"/>
      <c r="S36"/>
      <c r="T36"/>
      <c r="U36" s="11">
        <v>1.1073971167206764E-2</v>
      </c>
      <c r="V36" s="11">
        <v>3.1596153974533081E-2</v>
      </c>
      <c r="W36" s="13">
        <v>0.19228041172027588</v>
      </c>
      <c r="X36" s="11">
        <v>1.2162845581769943E-2</v>
      </c>
      <c r="Y36"/>
      <c r="Z36" s="17">
        <v>0.95995473861694336</v>
      </c>
      <c r="AA36"/>
      <c r="AB36" s="271">
        <v>11.890663146972656</v>
      </c>
      <c r="AC36" s="11">
        <v>1.8732689786702394E-3</v>
      </c>
      <c r="AD36" s="64">
        <v>3.3165194988250732</v>
      </c>
      <c r="AE36"/>
      <c r="AF36" s="12">
        <v>0.33824664354324341</v>
      </c>
      <c r="AG36" s="236">
        <v>14.703997611999512</v>
      </c>
      <c r="AH36" s="274">
        <v>34.12982177734375</v>
      </c>
      <c r="AI36"/>
      <c r="AJ36" s="242">
        <v>9.0862760543823242</v>
      </c>
      <c r="AK36" s="15">
        <v>1.3249683380126953</v>
      </c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0.81420999765396118</v>
      </c>
      <c r="C37">
        <v>0.46818223595619202</v>
      </c>
      <c r="D37" s="22">
        <v>4.1448133997619152E-3</v>
      </c>
      <c r="E37" s="13">
        <v>8.0997101031243801E-4</v>
      </c>
      <c r="F37"/>
      <c r="G37" s="225">
        <v>1.9675428047776222E-2</v>
      </c>
      <c r="H37"/>
      <c r="I37"/>
      <c r="J37"/>
      <c r="K37" s="210">
        <v>3.6136895418167114E-2</v>
      </c>
      <c r="L37"/>
      <c r="M37" s="244">
        <v>0.2852606475353241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0.30000001192092896</v>
      </c>
      <c r="C38">
        <v>0.20898066461086273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 s="11">
        <v>1.0671837117115501E-5</v>
      </c>
      <c r="U38"/>
      <c r="V38" s="22">
        <v>1.4769590925425291E-3</v>
      </c>
      <c r="W38" s="14">
        <v>2.8762009460479021E-3</v>
      </c>
      <c r="X38"/>
      <c r="Y38"/>
      <c r="Z38"/>
      <c r="AA38" s="18">
        <v>5.4890797473490238E-3</v>
      </c>
      <c r="AB38"/>
      <c r="AC38"/>
      <c r="AD38" s="21">
        <v>2.2696445230394602E-3</v>
      </c>
      <c r="AE38"/>
      <c r="AF38"/>
      <c r="AG38" s="219">
        <v>6.088995561003685E-2</v>
      </c>
      <c r="AH38"/>
      <c r="AI38" s="21">
        <v>2.3709191009402275E-3</v>
      </c>
      <c r="AJ38" s="27">
        <v>1.4016322791576385E-2</v>
      </c>
      <c r="AK38"/>
      <c r="AL38" s="22">
        <v>1.5240003122016788E-3</v>
      </c>
      <c r="AM38"/>
      <c r="AN38" s="11">
        <v>9.558965393807739E-5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4.429999828338623</v>
      </c>
      <c r="C39">
        <v>2.0667028427124023</v>
      </c>
      <c r="D39"/>
      <c r="E39"/>
      <c r="F39"/>
      <c r="G39"/>
      <c r="H39"/>
      <c r="I39" s="11">
        <v>1.5612071365467273E-5</v>
      </c>
      <c r="J39"/>
      <c r="K39"/>
      <c r="L39"/>
      <c r="M39"/>
      <c r="N39"/>
      <c r="O39"/>
      <c r="P39" s="11">
        <v>2.6999041438102722E-4</v>
      </c>
      <c r="Q39"/>
      <c r="R39" s="11">
        <v>4.0581505163572729E-4</v>
      </c>
      <c r="S39"/>
      <c r="T39" s="12">
        <v>1.5405983664095402E-2</v>
      </c>
      <c r="U39" s="11">
        <v>1.8839187396224588E-4</v>
      </c>
      <c r="V39" s="21">
        <v>3.5834532231092453E-2</v>
      </c>
      <c r="W39" s="226">
        <v>0.15047058463096619</v>
      </c>
      <c r="X39" s="11">
        <v>5.7108799228444695E-4</v>
      </c>
      <c r="Y39"/>
      <c r="Z39"/>
      <c r="AA39" s="133">
        <v>0.27179208397865295</v>
      </c>
      <c r="AB39"/>
      <c r="AC39" s="11">
        <v>1.0994563344866037E-3</v>
      </c>
      <c r="AD39" s="67">
        <v>0.22568428516387939</v>
      </c>
      <c r="AE39" s="12">
        <v>1.7651058733463287E-2</v>
      </c>
      <c r="AF39"/>
      <c r="AG39" s="275">
        <v>1.1918737888336182</v>
      </c>
      <c r="AH39"/>
      <c r="AI39" s="226">
        <v>0.15067477524280548</v>
      </c>
      <c r="AJ39" s="26">
        <v>0.15457694232463837</v>
      </c>
      <c r="AK39"/>
      <c r="AL39"/>
      <c r="AM39"/>
      <c r="AN39" s="226">
        <v>0.14678297936916351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1.5729999542236328</v>
      </c>
      <c r="C40">
        <v>0.69437026977539062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232">
        <v>6.1675213277339935E-2</v>
      </c>
      <c r="W40"/>
      <c r="X40"/>
      <c r="Y40"/>
      <c r="Z40"/>
      <c r="AA40" s="264">
        <v>0.25728139281272888</v>
      </c>
      <c r="AB40"/>
      <c r="AC40"/>
      <c r="AD40"/>
      <c r="AE40"/>
      <c r="AF40"/>
      <c r="AG40" s="222">
        <v>0.25325274467468262</v>
      </c>
      <c r="AH40"/>
      <c r="AI40" s="15">
        <v>2.3628976196050644E-2</v>
      </c>
      <c r="AJ40" s="74">
        <v>0.26604408025741577</v>
      </c>
      <c r="AK40"/>
      <c r="AL40" s="14">
        <v>1.6747254878282547E-2</v>
      </c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112.65000152587891</v>
      </c>
      <c r="C41">
        <v>36.433502197265625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 s="22">
        <v>0.627280592918396</v>
      </c>
      <c r="Z41" s="21">
        <v>0.94956845045089722</v>
      </c>
      <c r="AA41"/>
      <c r="AB41" s="102">
        <v>7.458836555480957</v>
      </c>
      <c r="AC41"/>
      <c r="AD41" s="14">
        <v>1.1929587125778198</v>
      </c>
      <c r="AE41"/>
      <c r="AF41"/>
      <c r="AG41"/>
      <c r="AH41" s="277">
        <v>53.198448181152344</v>
      </c>
      <c r="AI41"/>
      <c r="AJ41"/>
      <c r="AK41"/>
      <c r="AL41"/>
      <c r="AM41" s="242">
        <v>12.789403915405273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/>
      <c r="C42">
        <v>0.53300595283508301</v>
      </c>
      <c r="D42"/>
      <c r="E42"/>
      <c r="F42"/>
      <c r="G42"/>
      <c r="H42"/>
      <c r="I42" s="9">
        <v>5.2815888077020645E-2</v>
      </c>
      <c r="J42" s="9">
        <v>0.4457278847694397</v>
      </c>
      <c r="K42"/>
      <c r="L42"/>
      <c r="M42"/>
      <c r="N42" s="9">
        <v>6.3698157668113708E-2</v>
      </c>
      <c r="O42"/>
      <c r="P42" s="9">
        <v>6.7264556884765625E-2</v>
      </c>
      <c r="Q42" s="9">
        <v>2.3964045569300652E-2</v>
      </c>
      <c r="R42" s="9">
        <v>1.9067762419581413E-2</v>
      </c>
      <c r="S42" s="9">
        <v>0.115403912961483</v>
      </c>
      <c r="T42"/>
      <c r="U42" s="9">
        <v>7.9666595458984375</v>
      </c>
      <c r="V42" s="9">
        <v>5.9099040031433105</v>
      </c>
      <c r="W42" s="9">
        <v>88.83685302734375</v>
      </c>
      <c r="X42" s="9">
        <v>0.40016663074493408</v>
      </c>
      <c r="Y42" s="9">
        <v>5.4546146392822266</v>
      </c>
      <c r="Z42" s="9">
        <v>20.673589706420898</v>
      </c>
      <c r="AA42" s="9">
        <v>60.340671539306641</v>
      </c>
      <c r="AB42" s="9">
        <v>108.14443969726562</v>
      </c>
      <c r="AC42" s="9">
        <v>2.0057332515716553</v>
      </c>
      <c r="AD42" s="9">
        <v>156.83428955078125</v>
      </c>
      <c r="AE42" s="9">
        <v>12.929834365844727</v>
      </c>
      <c r="AF42" s="9">
        <v>17.844638824462891</v>
      </c>
      <c r="AG42" s="9">
        <v>197.04330444335938</v>
      </c>
      <c r="AH42" s="9">
        <v>409.2188720703125</v>
      </c>
      <c r="AI42"/>
      <c r="AJ42" s="9">
        <v>187.385498046875</v>
      </c>
      <c r="AK42" s="9">
        <v>120.73707580566406</v>
      </c>
      <c r="AL42"/>
      <c r="AM42" s="9">
        <v>1023.15234375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/>
      <c r="C43">
        <v>0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1.332031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31.3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83" t="s">
        <v>192</v>
      </c>
      <c r="E5">
        <v>4</v>
      </c>
      <c r="F5">
        <v>3.24</v>
      </c>
      <c r="G5">
        <v>4</v>
      </c>
      <c r="H5" s="184" t="s">
        <v>192</v>
      </c>
      <c r="J5" s="55"/>
      <c r="K5" s="56"/>
    </row>
    <row r="6" spans="1:12" ht="14" thickBot="1" x14ac:dyDescent="0.2">
      <c r="A6" s="39" t="s">
        <v>121</v>
      </c>
      <c r="D6" s="183" t="s">
        <v>193</v>
      </c>
      <c r="E6">
        <v>5</v>
      </c>
      <c r="F6">
        <v>3.24</v>
      </c>
      <c r="G6">
        <v>5</v>
      </c>
      <c r="H6" s="184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83" t="s">
        <v>194</v>
      </c>
      <c r="E7">
        <v>6</v>
      </c>
      <c r="F7">
        <v>3.24</v>
      </c>
      <c r="G7">
        <v>6</v>
      </c>
      <c r="H7" s="184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83" t="s">
        <v>195</v>
      </c>
      <c r="E8">
        <v>7</v>
      </c>
      <c r="F8">
        <v>3.14</v>
      </c>
      <c r="G8">
        <v>7</v>
      </c>
      <c r="H8" s="184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83" t="s">
        <v>196</v>
      </c>
      <c r="E9">
        <v>8</v>
      </c>
      <c r="F9">
        <v>3.04</v>
      </c>
      <c r="G9">
        <v>8</v>
      </c>
      <c r="H9" s="184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83" t="s">
        <v>197</v>
      </c>
      <c r="E10">
        <v>9</v>
      </c>
      <c r="F10">
        <v>3.24</v>
      </c>
      <c r="G10">
        <v>9</v>
      </c>
      <c r="H10" s="184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83" t="s">
        <v>198</v>
      </c>
      <c r="E11">
        <v>10</v>
      </c>
      <c r="F11">
        <v>3.24</v>
      </c>
      <c r="G11">
        <v>10</v>
      </c>
      <c r="H11" s="184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83" t="s">
        <v>199</v>
      </c>
      <c r="E12">
        <v>11</v>
      </c>
      <c r="F12">
        <v>3.16</v>
      </c>
      <c r="G12">
        <v>11</v>
      </c>
      <c r="H12" s="184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83" t="s">
        <v>200</v>
      </c>
      <c r="E13">
        <v>12</v>
      </c>
      <c r="F13">
        <v>3.13</v>
      </c>
      <c r="G13">
        <v>12</v>
      </c>
      <c r="H13" s="184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83" t="s">
        <v>201</v>
      </c>
      <c r="E14">
        <v>13</v>
      </c>
      <c r="F14">
        <v>3.24</v>
      </c>
      <c r="G14">
        <v>13</v>
      </c>
      <c r="H14" s="184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83" t="s">
        <v>202</v>
      </c>
      <c r="E15">
        <v>14</v>
      </c>
      <c r="F15">
        <v>3.24</v>
      </c>
      <c r="G15">
        <v>14</v>
      </c>
      <c r="H15" s="184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83" t="s">
        <v>203</v>
      </c>
      <c r="E16">
        <v>15</v>
      </c>
      <c r="F16">
        <v>3.24</v>
      </c>
      <c r="G16">
        <v>15</v>
      </c>
      <c r="H16" s="184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83" t="s">
        <v>204</v>
      </c>
      <c r="E17">
        <v>16</v>
      </c>
      <c r="F17">
        <v>3.04</v>
      </c>
      <c r="G17">
        <v>16</v>
      </c>
      <c r="H17" s="184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83" t="s">
        <v>205</v>
      </c>
      <c r="E18">
        <v>17</v>
      </c>
      <c r="F18">
        <v>3.24</v>
      </c>
      <c r="G18">
        <v>17</v>
      </c>
      <c r="H18" s="184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83" t="s">
        <v>206</v>
      </c>
      <c r="E19">
        <v>18</v>
      </c>
      <c r="F19">
        <v>3.14</v>
      </c>
      <c r="G19">
        <v>18</v>
      </c>
      <c r="H19" s="184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83" t="s">
        <v>207</v>
      </c>
      <c r="E20">
        <v>19</v>
      </c>
      <c r="F20">
        <v>3.24</v>
      </c>
      <c r="G20">
        <v>19</v>
      </c>
      <c r="H20" s="184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83" t="s">
        <v>208</v>
      </c>
      <c r="E21">
        <v>20</v>
      </c>
      <c r="F21">
        <v>3.24</v>
      </c>
      <c r="G21">
        <v>20</v>
      </c>
      <c r="H21" s="184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83" t="s">
        <v>209</v>
      </c>
      <c r="E22">
        <v>21</v>
      </c>
      <c r="F22">
        <v>3.21</v>
      </c>
      <c r="G22">
        <v>21</v>
      </c>
      <c r="H22" s="184" t="s">
        <v>209</v>
      </c>
    </row>
    <row r="23" spans="1:12" x14ac:dyDescent="0.15">
      <c r="A23" s="34" t="s">
        <v>129</v>
      </c>
      <c r="B23" s="42">
        <v>4</v>
      </c>
      <c r="C23" s="36"/>
      <c r="D23" s="183" t="s">
        <v>210</v>
      </c>
      <c r="E23">
        <v>22</v>
      </c>
      <c r="F23">
        <v>3.21</v>
      </c>
      <c r="G23">
        <v>22</v>
      </c>
      <c r="H23" s="184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83" t="s">
        <v>211</v>
      </c>
      <c r="E24">
        <v>23</v>
      </c>
      <c r="F24">
        <v>3.21</v>
      </c>
      <c r="G24">
        <v>23</v>
      </c>
      <c r="H24" s="184" t="s">
        <v>211</v>
      </c>
    </row>
    <row r="25" spans="1:12" x14ac:dyDescent="0.15">
      <c r="A25" s="34" t="s">
        <v>70</v>
      </c>
      <c r="B25" s="42">
        <v>4.2</v>
      </c>
      <c r="C25" s="36"/>
      <c r="D25" s="183" t="s">
        <v>212</v>
      </c>
      <c r="E25">
        <v>24</v>
      </c>
      <c r="F25">
        <v>3.11</v>
      </c>
      <c r="G25">
        <v>24</v>
      </c>
      <c r="H25" s="184" t="s">
        <v>212</v>
      </c>
    </row>
    <row r="26" spans="1:12" x14ac:dyDescent="0.15">
      <c r="A26" s="34" t="s">
        <v>123</v>
      </c>
      <c r="B26" s="42">
        <v>4.3</v>
      </c>
      <c r="C26" s="36"/>
      <c r="D26" s="183" t="s">
        <v>213</v>
      </c>
      <c r="E26">
        <v>25</v>
      </c>
      <c r="F26">
        <v>3.21</v>
      </c>
      <c r="G26">
        <v>25</v>
      </c>
      <c r="H26" s="184" t="s">
        <v>213</v>
      </c>
    </row>
    <row r="27" spans="1:12" x14ac:dyDescent="0.15">
      <c r="A27" s="34" t="s">
        <v>125</v>
      </c>
      <c r="B27" s="42">
        <v>6.1</v>
      </c>
      <c r="D27" s="183" t="s">
        <v>214</v>
      </c>
      <c r="E27">
        <v>26</v>
      </c>
      <c r="F27">
        <v>3.21</v>
      </c>
      <c r="G27">
        <v>26</v>
      </c>
      <c r="H27" s="184" t="s">
        <v>214</v>
      </c>
    </row>
    <row r="28" spans="1:12" x14ac:dyDescent="0.15">
      <c r="A28" s="34" t="s">
        <v>124</v>
      </c>
      <c r="B28" s="42">
        <v>6.2</v>
      </c>
      <c r="D28" s="183" t="s">
        <v>215</v>
      </c>
      <c r="E28">
        <v>27</v>
      </c>
      <c r="F28">
        <v>3.21</v>
      </c>
      <c r="G28">
        <v>27</v>
      </c>
      <c r="H28" s="184" t="s">
        <v>215</v>
      </c>
    </row>
    <row r="29" spans="1:12" x14ac:dyDescent="0.15">
      <c r="A29" s="34" t="s">
        <v>44</v>
      </c>
      <c r="B29" s="42">
        <v>5</v>
      </c>
      <c r="D29" s="183" t="s">
        <v>216</v>
      </c>
      <c r="E29">
        <v>28</v>
      </c>
      <c r="F29">
        <v>3.21</v>
      </c>
      <c r="G29">
        <v>28</v>
      </c>
      <c r="H29" s="184" t="s">
        <v>216</v>
      </c>
    </row>
    <row r="30" spans="1:12" x14ac:dyDescent="0.15">
      <c r="A30" s="34" t="s">
        <v>73</v>
      </c>
      <c r="B30" s="42">
        <v>7</v>
      </c>
      <c r="D30" s="183" t="s">
        <v>217</v>
      </c>
      <c r="E30">
        <v>29</v>
      </c>
      <c r="F30">
        <v>3.01</v>
      </c>
      <c r="G30">
        <v>29</v>
      </c>
      <c r="H30" s="184" t="s">
        <v>217</v>
      </c>
    </row>
    <row r="31" spans="1:12" x14ac:dyDescent="0.15">
      <c r="A31" s="34" t="s">
        <v>169</v>
      </c>
      <c r="B31" s="42">
        <v>3.14</v>
      </c>
      <c r="D31" s="183" t="s">
        <v>218</v>
      </c>
      <c r="E31">
        <v>30</v>
      </c>
      <c r="F31">
        <v>3.14</v>
      </c>
      <c r="G31">
        <v>30</v>
      </c>
      <c r="H31" s="184" t="s">
        <v>218</v>
      </c>
    </row>
    <row r="32" spans="1:12" ht="12" customHeight="1" thickBot="1" x14ac:dyDescent="0.2">
      <c r="A32" s="40" t="s">
        <v>170</v>
      </c>
      <c r="B32" s="43">
        <v>9</v>
      </c>
      <c r="D32" s="183" t="s">
        <v>219</v>
      </c>
      <c r="E32">
        <v>31</v>
      </c>
      <c r="F32">
        <v>3.21</v>
      </c>
      <c r="G32">
        <v>31</v>
      </c>
      <c r="H32" s="184" t="s">
        <v>219</v>
      </c>
    </row>
    <row r="33" spans="4:8" customFormat="1" ht="12" customHeight="1" x14ac:dyDescent="0.15">
      <c r="D33" s="183" t="s">
        <v>220</v>
      </c>
      <c r="E33">
        <v>32</v>
      </c>
      <c r="F33">
        <v>3.01</v>
      </c>
      <c r="G33">
        <v>32</v>
      </c>
      <c r="H33" s="184" t="s">
        <v>220</v>
      </c>
    </row>
    <row r="34" spans="4:8" customFormat="1" ht="12" customHeight="1" x14ac:dyDescent="0.15">
      <c r="D34" s="183" t="s">
        <v>221</v>
      </c>
      <c r="E34">
        <v>33</v>
      </c>
      <c r="F34">
        <v>3.11</v>
      </c>
      <c r="G34">
        <v>33</v>
      </c>
      <c r="H34" s="184" t="s">
        <v>221</v>
      </c>
    </row>
    <row r="35" spans="4:8" customFormat="1" x14ac:dyDescent="0.15">
      <c r="D35" s="183" t="s">
        <v>222</v>
      </c>
      <c r="E35">
        <v>34</v>
      </c>
      <c r="F35">
        <v>3.21</v>
      </c>
      <c r="G35">
        <v>34</v>
      </c>
      <c r="H35" s="184" t="s">
        <v>222</v>
      </c>
    </row>
    <row r="36" spans="4:8" customFormat="1" x14ac:dyDescent="0.15">
      <c r="D36" s="183" t="s">
        <v>223</v>
      </c>
      <c r="E36">
        <v>35</v>
      </c>
      <c r="F36">
        <v>3.21</v>
      </c>
      <c r="G36">
        <v>35</v>
      </c>
      <c r="H36" s="184" t="s">
        <v>223</v>
      </c>
    </row>
    <row r="37" spans="4:8" customFormat="1" ht="12" customHeight="1" x14ac:dyDescent="0.15">
      <c r="D37" s="183" t="s">
        <v>224</v>
      </c>
      <c r="E37">
        <v>36</v>
      </c>
      <c r="F37">
        <v>3.21</v>
      </c>
      <c r="G37">
        <v>36</v>
      </c>
      <c r="H37" s="184" t="s">
        <v>224</v>
      </c>
    </row>
    <row r="38" spans="4:8" customFormat="1" x14ac:dyDescent="0.15">
      <c r="D38" s="183" t="s">
        <v>225</v>
      </c>
      <c r="E38">
        <v>37</v>
      </c>
      <c r="F38">
        <v>3.14</v>
      </c>
      <c r="G38">
        <v>37</v>
      </c>
      <c r="H38" s="184" t="s">
        <v>225</v>
      </c>
    </row>
    <row r="39" spans="4:8" customFormat="1" x14ac:dyDescent="0.15">
      <c r="D39" s="183" t="s">
        <v>226</v>
      </c>
      <c r="E39">
        <v>38</v>
      </c>
      <c r="F39">
        <v>3.21</v>
      </c>
      <c r="G39">
        <v>38</v>
      </c>
      <c r="H39" s="184" t="s">
        <v>226</v>
      </c>
    </row>
    <row r="40" spans="4:8" customFormat="1" x14ac:dyDescent="0.15">
      <c r="D40" s="183" t="s">
        <v>227</v>
      </c>
      <c r="E40">
        <v>39</v>
      </c>
      <c r="F40">
        <v>3.14</v>
      </c>
      <c r="G40">
        <v>39</v>
      </c>
      <c r="H40" s="184" t="s">
        <v>227</v>
      </c>
    </row>
    <row r="41" spans="4:8" customFormat="1" x14ac:dyDescent="0.15">
      <c r="D41" s="183" t="s">
        <v>228</v>
      </c>
      <c r="E41">
        <v>40</v>
      </c>
      <c r="F41">
        <v>2.2200000000000002</v>
      </c>
      <c r="G41">
        <v>40</v>
      </c>
      <c r="H41" s="184" t="s">
        <v>228</v>
      </c>
    </row>
    <row r="42" spans="4:8" customFormat="1" x14ac:dyDescent="0.15">
      <c r="D42" s="183" t="s">
        <v>229</v>
      </c>
      <c r="E42">
        <v>41</v>
      </c>
      <c r="F42">
        <v>2.2200000000000002</v>
      </c>
      <c r="G42">
        <v>41</v>
      </c>
      <c r="H42" s="184" t="s">
        <v>229</v>
      </c>
    </row>
    <row r="43" spans="4:8" customFormat="1" x14ac:dyDescent="0.15">
      <c r="D43" s="183" t="s">
        <v>230</v>
      </c>
      <c r="E43">
        <v>42</v>
      </c>
      <c r="F43">
        <v>2.2200000000000002</v>
      </c>
      <c r="G43">
        <v>42</v>
      </c>
      <c r="H43" s="184" t="s">
        <v>230</v>
      </c>
    </row>
    <row r="44" spans="4:8" customFormat="1" x14ac:dyDescent="0.15">
      <c r="D44" s="183" t="s">
        <v>231</v>
      </c>
      <c r="E44">
        <v>43</v>
      </c>
      <c r="F44">
        <v>2.1</v>
      </c>
      <c r="G44">
        <v>43</v>
      </c>
      <c r="H44" s="184" t="s">
        <v>231</v>
      </c>
    </row>
    <row r="45" spans="4:8" customFormat="1" x14ac:dyDescent="0.15">
      <c r="D45" s="183" t="s">
        <v>232</v>
      </c>
      <c r="E45">
        <v>44</v>
      </c>
      <c r="F45">
        <v>4.0999999999999996</v>
      </c>
      <c r="G45">
        <v>44</v>
      </c>
      <c r="H45" s="184" t="s">
        <v>232</v>
      </c>
    </row>
    <row r="46" spans="4:8" customFormat="1" x14ac:dyDescent="0.15">
      <c r="D46" s="183" t="s">
        <v>233</v>
      </c>
      <c r="E46">
        <v>45</v>
      </c>
      <c r="F46">
        <v>4.3</v>
      </c>
      <c r="G46">
        <v>45</v>
      </c>
      <c r="H46" s="184" t="s">
        <v>233</v>
      </c>
    </row>
    <row r="47" spans="4:8" customFormat="1" x14ac:dyDescent="0.15">
      <c r="D47" s="183" t="s">
        <v>234</v>
      </c>
      <c r="E47">
        <v>46</v>
      </c>
      <c r="F47">
        <v>5</v>
      </c>
      <c r="G47">
        <v>46</v>
      </c>
      <c r="H47" s="184" t="s">
        <v>234</v>
      </c>
    </row>
    <row r="48" spans="4:8" customFormat="1" x14ac:dyDescent="0.15">
      <c r="D48" s="183" t="s">
        <v>138</v>
      </c>
      <c r="E48">
        <v>47</v>
      </c>
      <c r="F48">
        <v>6.1</v>
      </c>
      <c r="G48">
        <v>47</v>
      </c>
      <c r="H48" s="184" t="s">
        <v>138</v>
      </c>
    </row>
    <row r="49" spans="4:8" customFormat="1" x14ac:dyDescent="0.15">
      <c r="D49" s="183" t="s">
        <v>45</v>
      </c>
      <c r="E49">
        <v>48</v>
      </c>
      <c r="F49">
        <v>6.2</v>
      </c>
      <c r="G49">
        <v>48</v>
      </c>
      <c r="H49" s="184" t="s">
        <v>45</v>
      </c>
    </row>
    <row r="50" spans="4:8" customFormat="1" ht="12" customHeight="1" x14ac:dyDescent="0.15"/>
    <row r="51" spans="4:8" customFormat="1" x14ac:dyDescent="0.15"/>
    <row r="52" spans="4:8" customFormat="1" ht="12" customHeight="1" x14ac:dyDescent="0.15"/>
    <row r="53" spans="4:8" customFormat="1" x14ac:dyDescent="0.15"/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6.5" style="80" bestFit="1" customWidth="1"/>
    <col min="2" max="2" width="13.83203125" style="79" customWidth="1"/>
    <col min="3" max="3" width="16.5" style="79" customWidth="1"/>
    <col min="4" max="4" width="9.83203125" style="79" customWidth="1"/>
    <col min="5" max="5" width="13.83203125" style="79" customWidth="1"/>
    <col min="6" max="6" width="31.33203125" style="79" bestFit="1" customWidth="1"/>
    <col min="7" max="9" width="2.33203125" style="79" customWidth="1"/>
    <col min="10" max="10" width="2.33203125" style="79" bestFit="1" customWidth="1"/>
    <col min="11" max="15" width="2.33203125" style="79" customWidth="1"/>
    <col min="16" max="16" width="2.33203125" style="70" customWidth="1"/>
    <col min="17" max="17" width="2.33203125" style="79" customWidth="1"/>
    <col min="18" max="18" width="2.33203125" style="71" customWidth="1"/>
    <col min="19" max="16384" width="11.5" style="79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1" t="s">
        <v>48</v>
      </c>
      <c r="L1" s="71"/>
      <c r="M1" s="81" t="s">
        <v>119</v>
      </c>
      <c r="N1" s="71"/>
      <c r="O1" s="81" t="s">
        <v>49</v>
      </c>
      <c r="P1" s="73"/>
      <c r="Q1" s="81" t="s">
        <v>50</v>
      </c>
      <c r="R1" s="68" t="s">
        <v>154</v>
      </c>
    </row>
    <row r="2" spans="1:23" ht="15" customHeight="1" x14ac:dyDescent="0.15">
      <c r="A2" s="81" t="s">
        <v>51</v>
      </c>
      <c r="B2" s="82">
        <v>0.5</v>
      </c>
      <c r="C2" s="80" t="s">
        <v>52</v>
      </c>
      <c r="D2" s="83"/>
      <c r="F2" s="1"/>
      <c r="G2" s="84"/>
      <c r="H2" s="84"/>
      <c r="I2" s="84" t="s">
        <v>133</v>
      </c>
      <c r="J2" s="84" t="s">
        <v>133</v>
      </c>
      <c r="K2" s="84" t="s">
        <v>52</v>
      </c>
      <c r="L2" s="84" t="s">
        <v>53</v>
      </c>
      <c r="M2" s="84" t="s">
        <v>52</v>
      </c>
      <c r="N2" s="84" t="s">
        <v>53</v>
      </c>
      <c r="O2" s="84" t="s">
        <v>52</v>
      </c>
      <c r="P2" s="85" t="s">
        <v>53</v>
      </c>
      <c r="Q2" s="84"/>
      <c r="R2" s="86" t="s">
        <v>155</v>
      </c>
    </row>
    <row r="3" spans="1:23" ht="15" customHeight="1" thickBot="1" x14ac:dyDescent="0.2">
      <c r="A3" s="81" t="s">
        <v>54</v>
      </c>
      <c r="B3" s="87">
        <v>0.5</v>
      </c>
      <c r="C3" s="80" t="s">
        <v>53</v>
      </c>
      <c r="D3" s="83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9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9">
        <v>0</v>
      </c>
      <c r="R4" s="104">
        <v>0</v>
      </c>
    </row>
    <row r="5" spans="1:23" ht="15" customHeight="1" x14ac:dyDescent="0.15">
      <c r="A5" s="81" t="s">
        <v>55</v>
      </c>
      <c r="B5" s="88">
        <v>0.5</v>
      </c>
      <c r="C5" s="80" t="s">
        <v>52</v>
      </c>
      <c r="D5" s="83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9">
        <v>0</v>
      </c>
      <c r="R5" s="104">
        <v>0</v>
      </c>
    </row>
    <row r="6" spans="1:23" ht="15" customHeight="1" thickBot="1" x14ac:dyDescent="0.2">
      <c r="A6" s="81"/>
      <c r="B6" s="89">
        <v>0.5</v>
      </c>
      <c r="C6" s="80" t="s">
        <v>53</v>
      </c>
      <c r="D6" s="83"/>
      <c r="F6" s="185" t="s">
        <v>192</v>
      </c>
      <c r="G6" s="79">
        <v>0</v>
      </c>
      <c r="H6" s="79">
        <v>0</v>
      </c>
      <c r="I6" s="79">
        <v>0</v>
      </c>
      <c r="J6" s="79">
        <v>0</v>
      </c>
      <c r="K6" s="79">
        <v>1</v>
      </c>
      <c r="L6" s="79">
        <v>0</v>
      </c>
      <c r="M6" s="79">
        <v>1</v>
      </c>
      <c r="N6" s="79">
        <v>0</v>
      </c>
      <c r="O6" s="79">
        <v>1</v>
      </c>
      <c r="P6" s="70">
        <v>0</v>
      </c>
      <c r="Q6" s="79">
        <v>0</v>
      </c>
      <c r="R6" s="71">
        <v>1</v>
      </c>
      <c r="S6"/>
      <c r="T6"/>
    </row>
    <row r="7" spans="1:23" ht="15" customHeight="1" thickBot="1" x14ac:dyDescent="0.2">
      <c r="F7" s="185" t="s">
        <v>193</v>
      </c>
      <c r="G7" s="79">
        <v>0</v>
      </c>
      <c r="H7" s="79">
        <v>0</v>
      </c>
      <c r="I7" s="79">
        <v>0</v>
      </c>
      <c r="J7" s="79">
        <v>0</v>
      </c>
      <c r="K7" s="79">
        <v>1</v>
      </c>
      <c r="L7" s="79">
        <v>0</v>
      </c>
      <c r="M7" s="79">
        <v>1</v>
      </c>
      <c r="N7" s="79">
        <v>0</v>
      </c>
      <c r="O7" s="79">
        <v>1</v>
      </c>
      <c r="P7" s="70">
        <v>0</v>
      </c>
      <c r="Q7" s="79">
        <v>0</v>
      </c>
      <c r="R7" s="71">
        <v>1</v>
      </c>
      <c r="S7"/>
      <c r="T7"/>
    </row>
    <row r="8" spans="1:23" ht="15" customHeight="1" x14ac:dyDescent="0.15">
      <c r="A8" s="81" t="s">
        <v>56</v>
      </c>
      <c r="B8" s="88">
        <v>0.46578244826847615</v>
      </c>
      <c r="C8" s="186" t="s">
        <v>228</v>
      </c>
      <c r="D8" s="83" t="s">
        <v>160</v>
      </c>
      <c r="F8" s="185" t="s">
        <v>194</v>
      </c>
      <c r="G8" s="79">
        <v>0</v>
      </c>
      <c r="H8" s="79">
        <v>0</v>
      </c>
      <c r="I8" s="79">
        <v>0</v>
      </c>
      <c r="J8" s="79">
        <v>0</v>
      </c>
      <c r="K8" s="79">
        <v>1</v>
      </c>
      <c r="L8" s="79">
        <v>0</v>
      </c>
      <c r="M8" s="79">
        <v>1</v>
      </c>
      <c r="N8" s="79">
        <v>0</v>
      </c>
      <c r="O8" s="79">
        <v>1</v>
      </c>
      <c r="P8" s="70">
        <v>0</v>
      </c>
      <c r="Q8" s="79">
        <v>0</v>
      </c>
      <c r="R8" s="71">
        <v>1</v>
      </c>
      <c r="S8"/>
      <c r="T8"/>
      <c r="W8"/>
    </row>
    <row r="9" spans="1:23" ht="15" customHeight="1" x14ac:dyDescent="0.15">
      <c r="A9" s="118" t="s">
        <v>168</v>
      </c>
      <c r="B9" s="90">
        <v>0.11339457723035448</v>
      </c>
      <c r="C9" s="186" t="s">
        <v>229</v>
      </c>
      <c r="D9" s="83" t="s">
        <v>160</v>
      </c>
      <c r="F9" s="185" t="s">
        <v>195</v>
      </c>
      <c r="G9" s="79">
        <v>0</v>
      </c>
      <c r="H9" s="79">
        <v>0</v>
      </c>
      <c r="I9" s="79">
        <v>0</v>
      </c>
      <c r="J9" s="79">
        <v>0</v>
      </c>
      <c r="K9" s="79">
        <v>1</v>
      </c>
      <c r="L9" s="79">
        <v>0</v>
      </c>
      <c r="M9" s="79">
        <v>1</v>
      </c>
      <c r="N9" s="79">
        <v>0</v>
      </c>
      <c r="O9" s="79">
        <v>1</v>
      </c>
      <c r="P9" s="70">
        <v>0</v>
      </c>
      <c r="Q9" s="79">
        <v>0</v>
      </c>
      <c r="R9" s="71">
        <v>1</v>
      </c>
      <c r="S9"/>
      <c r="T9"/>
      <c r="W9"/>
    </row>
    <row r="10" spans="1:23" ht="15" customHeight="1" x14ac:dyDescent="0.15">
      <c r="B10" s="90">
        <v>1.1697104735525347E-2</v>
      </c>
      <c r="C10" s="186" t="s">
        <v>230</v>
      </c>
      <c r="D10" s="83" t="s">
        <v>160</v>
      </c>
      <c r="F10" s="185" t="s">
        <v>196</v>
      </c>
      <c r="G10" s="79">
        <v>0</v>
      </c>
      <c r="H10" s="79">
        <v>0</v>
      </c>
      <c r="I10" s="79">
        <v>0</v>
      </c>
      <c r="J10" s="79">
        <v>0</v>
      </c>
      <c r="K10" s="79">
        <v>1</v>
      </c>
      <c r="L10" s="79">
        <v>0</v>
      </c>
      <c r="M10" s="79">
        <v>1</v>
      </c>
      <c r="N10" s="79">
        <v>0</v>
      </c>
      <c r="O10" s="79">
        <v>1</v>
      </c>
      <c r="P10" s="70">
        <v>0</v>
      </c>
      <c r="Q10" s="79">
        <v>0</v>
      </c>
      <c r="R10" s="71">
        <v>1</v>
      </c>
      <c r="S10"/>
      <c r="T10"/>
      <c r="W10"/>
    </row>
    <row r="11" spans="1:23" ht="15" customHeight="1" x14ac:dyDescent="0.15">
      <c r="A11" s="81"/>
      <c r="B11" s="90">
        <v>0.40912586976564397</v>
      </c>
      <c r="C11" s="186" t="s">
        <v>231</v>
      </c>
      <c r="D11" s="83" t="s">
        <v>160</v>
      </c>
      <c r="F11" s="185" t="s">
        <v>197</v>
      </c>
      <c r="G11" s="79">
        <v>0</v>
      </c>
      <c r="H11" s="79">
        <v>0</v>
      </c>
      <c r="I11" s="79">
        <v>0</v>
      </c>
      <c r="J11" s="79">
        <v>0</v>
      </c>
      <c r="K11" s="79">
        <v>1</v>
      </c>
      <c r="L11" s="79">
        <v>0</v>
      </c>
      <c r="M11" s="79">
        <v>1</v>
      </c>
      <c r="N11" s="79">
        <v>0</v>
      </c>
      <c r="O11" s="79">
        <v>1</v>
      </c>
      <c r="P11" s="70">
        <v>0</v>
      </c>
      <c r="Q11" s="79">
        <v>0</v>
      </c>
      <c r="R11" s="71">
        <v>1</v>
      </c>
      <c r="S11"/>
      <c r="T11"/>
      <c r="W11"/>
    </row>
    <row r="12" spans="1:23" ht="15" customHeight="1" x14ac:dyDescent="0.15">
      <c r="B12" s="90"/>
      <c r="C12" s="93"/>
      <c r="D12" s="83" t="s">
        <v>160</v>
      </c>
      <c r="F12" s="185" t="s">
        <v>198</v>
      </c>
      <c r="G12" s="79">
        <v>0</v>
      </c>
      <c r="H12" s="79">
        <v>0</v>
      </c>
      <c r="I12" s="79">
        <v>0</v>
      </c>
      <c r="J12" s="79">
        <v>0</v>
      </c>
      <c r="K12" s="79">
        <v>1</v>
      </c>
      <c r="L12" s="79">
        <v>0</v>
      </c>
      <c r="M12" s="79">
        <v>1</v>
      </c>
      <c r="N12" s="79">
        <v>0</v>
      </c>
      <c r="O12" s="79">
        <v>1</v>
      </c>
      <c r="P12" s="70">
        <v>0</v>
      </c>
      <c r="Q12" s="79">
        <v>0</v>
      </c>
      <c r="R12" s="71">
        <v>1</v>
      </c>
      <c r="S12"/>
      <c r="T12"/>
      <c r="W12"/>
    </row>
    <row r="13" spans="1:23" ht="15" customHeight="1" x14ac:dyDescent="0.15">
      <c r="B13" s="90"/>
      <c r="C13" s="93"/>
      <c r="D13" s="83" t="s">
        <v>160</v>
      </c>
      <c r="F13" s="185" t="s">
        <v>199</v>
      </c>
      <c r="G13" s="79">
        <v>0</v>
      </c>
      <c r="H13" s="79">
        <v>0</v>
      </c>
      <c r="I13" s="79">
        <v>0</v>
      </c>
      <c r="J13" s="79">
        <v>0</v>
      </c>
      <c r="K13" s="79">
        <v>1</v>
      </c>
      <c r="L13" s="79">
        <v>0</v>
      </c>
      <c r="M13" s="79">
        <v>1</v>
      </c>
      <c r="N13" s="79">
        <v>0</v>
      </c>
      <c r="O13" s="79">
        <v>1</v>
      </c>
      <c r="P13" s="70">
        <v>0</v>
      </c>
      <c r="Q13" s="79">
        <v>0</v>
      </c>
      <c r="R13" s="71">
        <v>1</v>
      </c>
      <c r="S13"/>
      <c r="T13"/>
      <c r="W13"/>
    </row>
    <row r="14" spans="1:23" ht="15" customHeight="1" x14ac:dyDescent="0.15">
      <c r="B14" s="90"/>
      <c r="C14" s="78"/>
      <c r="D14" s="83" t="s">
        <v>160</v>
      </c>
      <c r="F14" s="185" t="s">
        <v>200</v>
      </c>
      <c r="G14" s="79">
        <v>0</v>
      </c>
      <c r="H14" s="79">
        <v>0</v>
      </c>
      <c r="I14" s="79">
        <v>0</v>
      </c>
      <c r="J14" s="79">
        <v>0</v>
      </c>
      <c r="K14" s="79">
        <v>1</v>
      </c>
      <c r="L14" s="79">
        <v>0</v>
      </c>
      <c r="M14" s="79">
        <v>1</v>
      </c>
      <c r="N14" s="79">
        <v>0</v>
      </c>
      <c r="O14" s="79">
        <v>1</v>
      </c>
      <c r="P14" s="70">
        <v>0</v>
      </c>
      <c r="Q14" s="79">
        <v>0</v>
      </c>
      <c r="R14" s="71">
        <v>1</v>
      </c>
      <c r="S14"/>
      <c r="T14"/>
      <c r="W14"/>
    </row>
    <row r="15" spans="1:23" ht="15" customHeight="1" x14ac:dyDescent="0.15">
      <c r="B15" s="90"/>
      <c r="C15" s="78"/>
      <c r="D15" s="83" t="s">
        <v>160</v>
      </c>
      <c r="F15" s="185" t="s">
        <v>201</v>
      </c>
      <c r="G15" s="79">
        <v>0</v>
      </c>
      <c r="H15" s="79">
        <v>0</v>
      </c>
      <c r="I15" s="79">
        <v>0</v>
      </c>
      <c r="J15" s="79">
        <v>0</v>
      </c>
      <c r="K15" s="79">
        <v>1</v>
      </c>
      <c r="L15" s="79">
        <v>0</v>
      </c>
      <c r="M15" s="79">
        <v>1</v>
      </c>
      <c r="N15" s="79">
        <v>0</v>
      </c>
      <c r="O15" s="79">
        <v>1</v>
      </c>
      <c r="P15" s="70">
        <v>0</v>
      </c>
      <c r="Q15" s="79">
        <v>0</v>
      </c>
      <c r="R15" s="71">
        <v>1</v>
      </c>
      <c r="S15"/>
      <c r="T15"/>
      <c r="W15"/>
    </row>
    <row r="16" spans="1:23" ht="15" customHeight="1" x14ac:dyDescent="0.15">
      <c r="B16" s="90"/>
      <c r="C16" s="78"/>
      <c r="D16" s="83" t="s">
        <v>160</v>
      </c>
      <c r="F16" s="185" t="s">
        <v>202</v>
      </c>
      <c r="G16" s="79">
        <v>0</v>
      </c>
      <c r="H16" s="79">
        <v>0</v>
      </c>
      <c r="I16" s="79">
        <v>0</v>
      </c>
      <c r="J16" s="79">
        <v>0</v>
      </c>
      <c r="K16" s="79">
        <v>1</v>
      </c>
      <c r="L16" s="79">
        <v>0</v>
      </c>
      <c r="M16" s="79">
        <v>1</v>
      </c>
      <c r="N16" s="79">
        <v>0</v>
      </c>
      <c r="O16" s="79">
        <v>1</v>
      </c>
      <c r="P16" s="70">
        <v>0</v>
      </c>
      <c r="Q16" s="79">
        <v>0</v>
      </c>
      <c r="R16" s="71">
        <v>1</v>
      </c>
      <c r="S16"/>
      <c r="T16"/>
    </row>
    <row r="17" spans="1:20" ht="15" customHeight="1" thickBot="1" x14ac:dyDescent="0.2">
      <c r="B17" s="89"/>
      <c r="C17" s="78"/>
      <c r="D17" s="83" t="s">
        <v>160</v>
      </c>
      <c r="F17" s="185" t="s">
        <v>203</v>
      </c>
      <c r="G17" s="79">
        <v>0</v>
      </c>
      <c r="H17" s="79">
        <v>0</v>
      </c>
      <c r="I17" s="79">
        <v>0</v>
      </c>
      <c r="J17" s="79">
        <v>0</v>
      </c>
      <c r="K17" s="79">
        <v>1</v>
      </c>
      <c r="L17" s="79">
        <v>0</v>
      </c>
      <c r="M17" s="79">
        <v>1</v>
      </c>
      <c r="N17" s="79">
        <v>0</v>
      </c>
      <c r="O17" s="79">
        <v>1</v>
      </c>
      <c r="P17" s="70">
        <v>0</v>
      </c>
      <c r="Q17" s="79">
        <v>0</v>
      </c>
      <c r="R17" s="71">
        <v>1</v>
      </c>
      <c r="S17"/>
      <c r="T17"/>
    </row>
    <row r="18" spans="1:20" ht="15" customHeight="1" thickBot="1" x14ac:dyDescent="0.2">
      <c r="B18" s="91"/>
      <c r="F18" s="185" t="s">
        <v>204</v>
      </c>
      <c r="G18" s="79">
        <v>0</v>
      </c>
      <c r="H18" s="79">
        <v>0</v>
      </c>
      <c r="I18" s="79">
        <v>0</v>
      </c>
      <c r="J18" s="79">
        <v>0</v>
      </c>
      <c r="K18" s="79">
        <v>1</v>
      </c>
      <c r="L18" s="79">
        <v>0</v>
      </c>
      <c r="M18" s="79">
        <v>1</v>
      </c>
      <c r="N18" s="79">
        <v>0</v>
      </c>
      <c r="O18" s="79">
        <v>1</v>
      </c>
      <c r="P18" s="70">
        <v>0</v>
      </c>
      <c r="Q18" s="79">
        <v>0</v>
      </c>
      <c r="R18" s="71">
        <v>1</v>
      </c>
      <c r="S18"/>
      <c r="T18"/>
    </row>
    <row r="19" spans="1:20" ht="15" customHeight="1" x14ac:dyDescent="0.15">
      <c r="A19" s="81" t="s">
        <v>57</v>
      </c>
      <c r="B19" s="88">
        <v>0.46578244826847615</v>
      </c>
      <c r="C19" s="187" t="s">
        <v>228</v>
      </c>
      <c r="D19" s="83" t="s">
        <v>160</v>
      </c>
      <c r="F19" s="185" t="s">
        <v>205</v>
      </c>
      <c r="G19" s="79">
        <v>0</v>
      </c>
      <c r="H19" s="79">
        <v>0</v>
      </c>
      <c r="I19" s="79">
        <v>0</v>
      </c>
      <c r="J19" s="79">
        <v>0</v>
      </c>
      <c r="K19" s="79">
        <v>1</v>
      </c>
      <c r="L19" s="79">
        <v>0</v>
      </c>
      <c r="M19" s="79">
        <v>1</v>
      </c>
      <c r="N19" s="79">
        <v>0</v>
      </c>
      <c r="O19" s="79">
        <v>1</v>
      </c>
      <c r="P19" s="70">
        <v>0</v>
      </c>
      <c r="Q19" s="79">
        <v>0</v>
      </c>
      <c r="R19" s="71">
        <v>1</v>
      </c>
      <c r="S19"/>
      <c r="T19"/>
    </row>
    <row r="20" spans="1:20" ht="15" customHeight="1" x14ac:dyDescent="0.15">
      <c r="A20" s="118" t="s">
        <v>168</v>
      </c>
      <c r="B20" s="90">
        <v>0.11339457723035448</v>
      </c>
      <c r="C20" s="187" t="s">
        <v>229</v>
      </c>
      <c r="D20" s="83" t="s">
        <v>160</v>
      </c>
      <c r="F20" s="185" t="s">
        <v>206</v>
      </c>
      <c r="G20" s="79">
        <v>0</v>
      </c>
      <c r="H20" s="79">
        <v>0</v>
      </c>
      <c r="I20" s="79">
        <v>0</v>
      </c>
      <c r="J20" s="79">
        <v>0</v>
      </c>
      <c r="K20" s="79">
        <v>1</v>
      </c>
      <c r="L20" s="79">
        <v>0</v>
      </c>
      <c r="M20" s="79">
        <v>1</v>
      </c>
      <c r="N20" s="79">
        <v>0</v>
      </c>
      <c r="O20" s="79">
        <v>1</v>
      </c>
      <c r="P20" s="70">
        <v>0</v>
      </c>
      <c r="Q20" s="79">
        <v>0</v>
      </c>
      <c r="R20" s="71">
        <v>1</v>
      </c>
      <c r="S20"/>
      <c r="T20"/>
    </row>
    <row r="21" spans="1:20" ht="15" customHeight="1" x14ac:dyDescent="0.15">
      <c r="B21" s="90">
        <v>1.1697104735525347E-2</v>
      </c>
      <c r="C21" s="187" t="s">
        <v>230</v>
      </c>
      <c r="D21" s="83" t="s">
        <v>160</v>
      </c>
      <c r="F21" s="185" t="s">
        <v>207</v>
      </c>
      <c r="G21" s="79">
        <v>0</v>
      </c>
      <c r="H21" s="79">
        <v>0</v>
      </c>
      <c r="I21" s="79">
        <v>0</v>
      </c>
      <c r="J21" s="79">
        <v>0</v>
      </c>
      <c r="K21" s="79">
        <v>1</v>
      </c>
      <c r="L21" s="79">
        <v>0</v>
      </c>
      <c r="M21" s="79">
        <v>1</v>
      </c>
      <c r="N21" s="79">
        <v>0</v>
      </c>
      <c r="O21" s="79">
        <v>1</v>
      </c>
      <c r="P21" s="70">
        <v>0</v>
      </c>
      <c r="Q21" s="79">
        <v>0</v>
      </c>
      <c r="R21" s="71">
        <v>1</v>
      </c>
      <c r="S21"/>
      <c r="T21"/>
    </row>
    <row r="22" spans="1:20" ht="15" customHeight="1" x14ac:dyDescent="0.15">
      <c r="A22" s="79"/>
      <c r="B22" s="90">
        <v>0.40912586976564397</v>
      </c>
      <c r="C22" s="187" t="s">
        <v>231</v>
      </c>
      <c r="D22" s="83" t="s">
        <v>160</v>
      </c>
      <c r="F22" s="185" t="s">
        <v>208</v>
      </c>
      <c r="G22" s="79">
        <v>0</v>
      </c>
      <c r="H22" s="79">
        <v>0</v>
      </c>
      <c r="I22" s="79">
        <v>0</v>
      </c>
      <c r="J22" s="79">
        <v>0</v>
      </c>
      <c r="K22" s="79">
        <v>1</v>
      </c>
      <c r="L22" s="79">
        <v>0</v>
      </c>
      <c r="M22" s="79">
        <v>1</v>
      </c>
      <c r="N22" s="79">
        <v>0</v>
      </c>
      <c r="O22" s="79">
        <v>1</v>
      </c>
      <c r="P22" s="70">
        <v>0</v>
      </c>
      <c r="Q22" s="79">
        <v>0</v>
      </c>
      <c r="R22" s="71">
        <v>1</v>
      </c>
      <c r="S22"/>
      <c r="T22"/>
    </row>
    <row r="23" spans="1:20" ht="15" customHeight="1" x14ac:dyDescent="0.15">
      <c r="A23" s="79"/>
      <c r="B23" s="90"/>
      <c r="C23" s="93"/>
      <c r="D23" s="83" t="s">
        <v>160</v>
      </c>
      <c r="F23" s="185" t="s">
        <v>209</v>
      </c>
      <c r="G23" s="79">
        <v>0</v>
      </c>
      <c r="H23" s="79">
        <v>0</v>
      </c>
      <c r="I23" s="79">
        <v>0</v>
      </c>
      <c r="J23" s="79">
        <v>0</v>
      </c>
      <c r="K23" s="79">
        <v>1</v>
      </c>
      <c r="L23" s="79">
        <v>0</v>
      </c>
      <c r="M23" s="79">
        <v>1</v>
      </c>
      <c r="N23" s="79">
        <v>0</v>
      </c>
      <c r="O23" s="79">
        <v>1</v>
      </c>
      <c r="P23" s="70">
        <v>0</v>
      </c>
      <c r="Q23" s="79">
        <v>0</v>
      </c>
      <c r="R23" s="71">
        <v>1</v>
      </c>
      <c r="S23"/>
      <c r="T23"/>
    </row>
    <row r="24" spans="1:20" ht="15" customHeight="1" x14ac:dyDescent="0.15">
      <c r="A24" s="79"/>
      <c r="B24" s="90"/>
      <c r="C24" s="93"/>
      <c r="D24" s="83" t="s">
        <v>160</v>
      </c>
      <c r="F24" s="185" t="s">
        <v>210</v>
      </c>
      <c r="G24" s="79">
        <v>0</v>
      </c>
      <c r="H24" s="79">
        <v>0</v>
      </c>
      <c r="I24" s="79">
        <v>0</v>
      </c>
      <c r="J24" s="79">
        <v>0</v>
      </c>
      <c r="K24" s="79">
        <v>1</v>
      </c>
      <c r="L24" s="79">
        <v>0</v>
      </c>
      <c r="M24" s="79">
        <v>1</v>
      </c>
      <c r="N24" s="79">
        <v>0</v>
      </c>
      <c r="O24" s="79">
        <v>1</v>
      </c>
      <c r="P24" s="70">
        <v>0</v>
      </c>
      <c r="Q24" s="79">
        <v>0</v>
      </c>
      <c r="R24" s="71">
        <v>1</v>
      </c>
      <c r="S24"/>
      <c r="T24"/>
    </row>
    <row r="25" spans="1:20" ht="15" customHeight="1" x14ac:dyDescent="0.15">
      <c r="A25" s="79"/>
      <c r="B25" s="90"/>
      <c r="C25" s="78"/>
      <c r="D25" s="83" t="s">
        <v>160</v>
      </c>
      <c r="F25" s="185" t="s">
        <v>211</v>
      </c>
      <c r="G25" s="79">
        <v>0</v>
      </c>
      <c r="H25" s="79">
        <v>0</v>
      </c>
      <c r="I25" s="79">
        <v>0</v>
      </c>
      <c r="J25" s="79">
        <v>0</v>
      </c>
      <c r="K25" s="79">
        <v>1</v>
      </c>
      <c r="L25" s="79">
        <v>0</v>
      </c>
      <c r="M25" s="79">
        <v>1</v>
      </c>
      <c r="N25" s="79">
        <v>0</v>
      </c>
      <c r="O25" s="79">
        <v>1</v>
      </c>
      <c r="P25" s="70">
        <v>0</v>
      </c>
      <c r="Q25" s="79">
        <v>0</v>
      </c>
      <c r="R25" s="71">
        <v>1</v>
      </c>
      <c r="S25"/>
      <c r="T25"/>
    </row>
    <row r="26" spans="1:20" ht="15" customHeight="1" x14ac:dyDescent="0.15">
      <c r="B26" s="90"/>
      <c r="C26" s="78"/>
      <c r="D26" s="83" t="s">
        <v>160</v>
      </c>
      <c r="F26" s="185" t="s">
        <v>212</v>
      </c>
      <c r="G26" s="79">
        <v>0</v>
      </c>
      <c r="H26" s="79">
        <v>0</v>
      </c>
      <c r="I26" s="79">
        <v>0</v>
      </c>
      <c r="J26" s="79">
        <v>0</v>
      </c>
      <c r="K26" s="79">
        <v>1</v>
      </c>
      <c r="L26" s="79">
        <v>0</v>
      </c>
      <c r="M26" s="79">
        <v>1</v>
      </c>
      <c r="N26" s="79">
        <v>0</v>
      </c>
      <c r="O26" s="79">
        <v>1</v>
      </c>
      <c r="P26" s="70">
        <v>0</v>
      </c>
      <c r="Q26" s="79">
        <v>0</v>
      </c>
      <c r="R26" s="71">
        <v>1</v>
      </c>
      <c r="S26"/>
      <c r="T26"/>
    </row>
    <row r="27" spans="1:20" ht="15" customHeight="1" x14ac:dyDescent="0.15">
      <c r="B27" s="90"/>
      <c r="C27" s="78"/>
      <c r="D27" s="83" t="s">
        <v>160</v>
      </c>
      <c r="F27" s="185" t="s">
        <v>213</v>
      </c>
      <c r="G27" s="79">
        <v>0</v>
      </c>
      <c r="H27" s="79">
        <v>0</v>
      </c>
      <c r="I27" s="79">
        <v>0</v>
      </c>
      <c r="J27" s="79">
        <v>0</v>
      </c>
      <c r="K27" s="79">
        <v>1</v>
      </c>
      <c r="L27" s="79">
        <v>0</v>
      </c>
      <c r="M27" s="79">
        <v>1</v>
      </c>
      <c r="N27" s="79">
        <v>0</v>
      </c>
      <c r="O27" s="79">
        <v>1</v>
      </c>
      <c r="P27" s="70">
        <v>0</v>
      </c>
      <c r="Q27" s="79">
        <v>0</v>
      </c>
      <c r="R27" s="71">
        <v>1</v>
      </c>
      <c r="S27"/>
      <c r="T27"/>
    </row>
    <row r="28" spans="1:20" ht="15" customHeight="1" thickBot="1" x14ac:dyDescent="0.2">
      <c r="B28" s="89"/>
      <c r="C28" s="78"/>
      <c r="D28" s="83" t="s">
        <v>160</v>
      </c>
      <c r="F28" s="185" t="s">
        <v>214</v>
      </c>
      <c r="G28" s="79">
        <v>0</v>
      </c>
      <c r="H28" s="79">
        <v>0</v>
      </c>
      <c r="I28" s="79">
        <v>0</v>
      </c>
      <c r="J28" s="79">
        <v>0</v>
      </c>
      <c r="K28" s="79">
        <v>1</v>
      </c>
      <c r="L28" s="79">
        <v>0</v>
      </c>
      <c r="M28" s="79">
        <v>1</v>
      </c>
      <c r="N28" s="79">
        <v>0</v>
      </c>
      <c r="O28" s="79">
        <v>1</v>
      </c>
      <c r="P28" s="70">
        <v>0</v>
      </c>
      <c r="Q28" s="79">
        <v>0</v>
      </c>
      <c r="R28" s="71">
        <v>1</v>
      </c>
      <c r="S28"/>
      <c r="T28"/>
    </row>
    <row r="29" spans="1:20" ht="15" customHeight="1" x14ac:dyDescent="0.15">
      <c r="F29" s="185" t="s">
        <v>215</v>
      </c>
      <c r="G29" s="79">
        <v>0</v>
      </c>
      <c r="H29" s="79">
        <v>0</v>
      </c>
      <c r="I29" s="79">
        <v>0</v>
      </c>
      <c r="J29" s="79">
        <v>0</v>
      </c>
      <c r="K29" s="79">
        <v>1</v>
      </c>
      <c r="L29" s="79">
        <v>0</v>
      </c>
      <c r="M29" s="79">
        <v>1</v>
      </c>
      <c r="N29" s="79">
        <v>0</v>
      </c>
      <c r="O29" s="79">
        <v>1</v>
      </c>
      <c r="P29" s="70">
        <v>0</v>
      </c>
      <c r="Q29" s="79">
        <v>0</v>
      </c>
      <c r="R29" s="71">
        <v>1</v>
      </c>
      <c r="S29"/>
      <c r="T29"/>
    </row>
    <row r="30" spans="1:20" ht="15" customHeight="1" x14ac:dyDescent="0.15">
      <c r="F30" s="185" t="s">
        <v>216</v>
      </c>
      <c r="G30" s="79">
        <v>0</v>
      </c>
      <c r="H30" s="79">
        <v>0</v>
      </c>
      <c r="I30" s="79">
        <v>0</v>
      </c>
      <c r="J30" s="79">
        <v>0</v>
      </c>
      <c r="K30" s="79">
        <v>1</v>
      </c>
      <c r="L30" s="79">
        <v>0</v>
      </c>
      <c r="M30" s="79">
        <v>1</v>
      </c>
      <c r="N30" s="79">
        <v>0</v>
      </c>
      <c r="O30" s="79">
        <v>1</v>
      </c>
      <c r="P30" s="70">
        <v>0</v>
      </c>
      <c r="Q30" s="79">
        <v>0</v>
      </c>
      <c r="R30" s="71">
        <v>1</v>
      </c>
      <c r="S30"/>
      <c r="T30"/>
    </row>
    <row r="31" spans="1:20" ht="15" customHeight="1" x14ac:dyDescent="0.15">
      <c r="A31" s="119"/>
      <c r="B31" s="127" t="s">
        <v>17</v>
      </c>
      <c r="C31" s="127" t="s">
        <v>1</v>
      </c>
      <c r="D31" s="127" t="s">
        <v>161</v>
      </c>
      <c r="E31" s="128" t="s">
        <v>163</v>
      </c>
      <c r="F31" s="185" t="s">
        <v>217</v>
      </c>
      <c r="G31" s="79">
        <v>0</v>
      </c>
      <c r="H31" s="79">
        <v>0</v>
      </c>
      <c r="I31" s="79">
        <v>0</v>
      </c>
      <c r="J31" s="79">
        <v>0</v>
      </c>
      <c r="K31" s="79">
        <v>1</v>
      </c>
      <c r="L31" s="79">
        <v>0</v>
      </c>
      <c r="M31" s="79">
        <v>1</v>
      </c>
      <c r="N31" s="79">
        <v>0</v>
      </c>
      <c r="O31" s="79">
        <v>1</v>
      </c>
      <c r="P31" s="70">
        <v>0</v>
      </c>
      <c r="Q31" s="79">
        <v>0</v>
      </c>
      <c r="R31" s="71">
        <v>1</v>
      </c>
      <c r="S31"/>
      <c r="T31"/>
    </row>
    <row r="32" spans="1:20" ht="15" customHeight="1" x14ac:dyDescent="0.15">
      <c r="A32" s="188" t="s">
        <v>228</v>
      </c>
      <c r="B32" s="91">
        <v>8550</v>
      </c>
      <c r="C32" s="91">
        <v>0.3</v>
      </c>
      <c r="D32" s="91">
        <v>2565</v>
      </c>
      <c r="E32" s="120">
        <v>0.46578244826847615</v>
      </c>
      <c r="F32" s="185" t="s">
        <v>218</v>
      </c>
      <c r="G32" s="79">
        <v>0</v>
      </c>
      <c r="H32" s="79">
        <v>0</v>
      </c>
      <c r="I32" s="79">
        <v>0</v>
      </c>
      <c r="J32" s="79">
        <v>0</v>
      </c>
      <c r="K32" s="79">
        <v>1</v>
      </c>
      <c r="L32" s="79">
        <v>0</v>
      </c>
      <c r="M32" s="79">
        <v>1</v>
      </c>
      <c r="N32" s="79">
        <v>0</v>
      </c>
      <c r="O32" s="79">
        <v>1</v>
      </c>
      <c r="P32" s="70">
        <v>0</v>
      </c>
      <c r="Q32" s="79">
        <v>0</v>
      </c>
      <c r="R32" s="71">
        <v>1</v>
      </c>
      <c r="S32"/>
      <c r="T32"/>
    </row>
    <row r="33" spans="1:20" ht="15" customHeight="1" x14ac:dyDescent="0.15">
      <c r="A33" s="188" t="s">
        <v>229</v>
      </c>
      <c r="B33" s="91">
        <v>140.959</v>
      </c>
      <c r="C33" s="91">
        <v>4.43</v>
      </c>
      <c r="D33" s="91">
        <v>624.44836999999995</v>
      </c>
      <c r="E33" s="120">
        <v>0.11339457723035448</v>
      </c>
      <c r="F33" s="185" t="s">
        <v>219</v>
      </c>
      <c r="G33" s="79">
        <v>0</v>
      </c>
      <c r="H33" s="79">
        <v>0</v>
      </c>
      <c r="I33" s="79">
        <v>0</v>
      </c>
      <c r="J33" s="79">
        <v>0</v>
      </c>
      <c r="K33" s="79">
        <v>1</v>
      </c>
      <c r="L33" s="79">
        <v>0</v>
      </c>
      <c r="M33" s="79">
        <v>1</v>
      </c>
      <c r="N33" s="79">
        <v>0</v>
      </c>
      <c r="O33" s="79">
        <v>1</v>
      </c>
      <c r="P33" s="70">
        <v>0</v>
      </c>
      <c r="Q33" s="79">
        <v>0</v>
      </c>
      <c r="R33" s="71">
        <v>1</v>
      </c>
      <c r="S33"/>
      <c r="T33"/>
    </row>
    <row r="34" spans="1:20" ht="15" customHeight="1" x14ac:dyDescent="0.15">
      <c r="A34" s="188" t="s">
        <v>230</v>
      </c>
      <c r="B34" s="91">
        <v>40.950000000000003</v>
      </c>
      <c r="C34" s="91">
        <v>1.573</v>
      </c>
      <c r="D34" s="91">
        <v>64.414349999999999</v>
      </c>
      <c r="E34" s="120">
        <v>1.1697104735525347E-2</v>
      </c>
      <c r="F34" s="185" t="s">
        <v>220</v>
      </c>
      <c r="G34" s="79">
        <v>0</v>
      </c>
      <c r="H34" s="79">
        <v>0</v>
      </c>
      <c r="I34" s="79">
        <v>0</v>
      </c>
      <c r="J34" s="79">
        <v>0</v>
      </c>
      <c r="K34" s="79">
        <v>1</v>
      </c>
      <c r="L34" s="79">
        <v>0</v>
      </c>
      <c r="M34" s="79">
        <v>1</v>
      </c>
      <c r="N34" s="79">
        <v>0</v>
      </c>
      <c r="O34" s="79">
        <v>1</v>
      </c>
      <c r="P34" s="70">
        <v>0</v>
      </c>
      <c r="Q34" s="79">
        <v>0</v>
      </c>
      <c r="R34" s="71">
        <v>1</v>
      </c>
      <c r="S34"/>
      <c r="T34"/>
    </row>
    <row r="35" spans="1:20" ht="15" customHeight="1" x14ac:dyDescent="0.15">
      <c r="A35" s="188" t="s">
        <v>231</v>
      </c>
      <c r="B35" s="91">
        <v>20</v>
      </c>
      <c r="C35" s="91">
        <v>112.65</v>
      </c>
      <c r="D35" s="91">
        <v>2253</v>
      </c>
      <c r="E35" s="120">
        <v>0.40912586976564397</v>
      </c>
      <c r="F35" s="185" t="s">
        <v>221</v>
      </c>
      <c r="G35" s="79">
        <v>0</v>
      </c>
      <c r="H35" s="79">
        <v>0</v>
      </c>
      <c r="I35" s="79">
        <v>0</v>
      </c>
      <c r="J35" s="79">
        <v>0</v>
      </c>
      <c r="K35" s="79">
        <v>1</v>
      </c>
      <c r="L35" s="79">
        <v>0</v>
      </c>
      <c r="M35" s="79">
        <v>1</v>
      </c>
      <c r="N35" s="79">
        <v>0</v>
      </c>
      <c r="O35" s="79">
        <v>1</v>
      </c>
      <c r="P35" s="70">
        <v>0</v>
      </c>
      <c r="Q35" s="79">
        <v>0</v>
      </c>
      <c r="R35" s="71">
        <v>1</v>
      </c>
      <c r="S35"/>
      <c r="T35"/>
    </row>
    <row r="36" spans="1:20" ht="15" customHeight="1" x14ac:dyDescent="0.15">
      <c r="A36" s="121"/>
      <c r="B36" s="91"/>
      <c r="C36" s="91"/>
      <c r="D36" s="91"/>
      <c r="E36" s="120"/>
      <c r="F36" s="185" t="s">
        <v>222</v>
      </c>
      <c r="G36" s="79">
        <v>0</v>
      </c>
      <c r="H36" s="79">
        <v>0</v>
      </c>
      <c r="I36" s="79">
        <v>0</v>
      </c>
      <c r="J36" s="79">
        <v>0</v>
      </c>
      <c r="K36" s="79">
        <v>1</v>
      </c>
      <c r="L36" s="79">
        <v>0</v>
      </c>
      <c r="M36" s="79">
        <v>1</v>
      </c>
      <c r="N36" s="79">
        <v>0</v>
      </c>
      <c r="O36" s="79">
        <v>1</v>
      </c>
      <c r="P36" s="70">
        <v>0</v>
      </c>
      <c r="Q36" s="79">
        <v>0</v>
      </c>
      <c r="R36" s="71">
        <v>1</v>
      </c>
      <c r="S36"/>
      <c r="T36"/>
    </row>
    <row r="37" spans="1:20" ht="15" customHeight="1" x14ac:dyDescent="0.15">
      <c r="A37" s="121"/>
      <c r="B37" s="91"/>
      <c r="C37" s="91"/>
      <c r="D37" s="91"/>
      <c r="E37" s="120"/>
      <c r="F37" s="185" t="s">
        <v>223</v>
      </c>
      <c r="G37" s="79">
        <v>0</v>
      </c>
      <c r="H37" s="79">
        <v>0</v>
      </c>
      <c r="I37" s="79">
        <v>0</v>
      </c>
      <c r="J37" s="79">
        <v>0</v>
      </c>
      <c r="K37" s="79">
        <v>1</v>
      </c>
      <c r="L37" s="79">
        <v>0</v>
      </c>
      <c r="M37" s="79">
        <v>1</v>
      </c>
      <c r="N37" s="79">
        <v>0</v>
      </c>
      <c r="O37" s="79">
        <v>1</v>
      </c>
      <c r="P37" s="70">
        <v>0</v>
      </c>
      <c r="Q37" s="79">
        <v>0</v>
      </c>
      <c r="R37" s="71">
        <v>1</v>
      </c>
      <c r="S37"/>
      <c r="T37"/>
    </row>
    <row r="38" spans="1:20" ht="15" customHeight="1" x14ac:dyDescent="0.15">
      <c r="A38" s="122"/>
      <c r="B38" s="91"/>
      <c r="C38" s="91"/>
      <c r="D38" s="91"/>
      <c r="E38" s="120"/>
      <c r="F38" s="185" t="s">
        <v>224</v>
      </c>
      <c r="G38" s="79">
        <v>0</v>
      </c>
      <c r="H38" s="79">
        <v>0</v>
      </c>
      <c r="I38" s="79">
        <v>0</v>
      </c>
      <c r="J38" s="79">
        <v>0</v>
      </c>
      <c r="K38" s="79">
        <v>1</v>
      </c>
      <c r="L38" s="79">
        <v>0</v>
      </c>
      <c r="M38" s="79">
        <v>1</v>
      </c>
      <c r="N38" s="79">
        <v>0</v>
      </c>
      <c r="O38" s="79">
        <v>1</v>
      </c>
      <c r="P38" s="70">
        <v>0</v>
      </c>
      <c r="Q38" s="79">
        <v>0</v>
      </c>
      <c r="R38" s="71">
        <v>1</v>
      </c>
      <c r="S38"/>
      <c r="T38"/>
    </row>
    <row r="39" spans="1:20" ht="15" customHeight="1" x14ac:dyDescent="0.15">
      <c r="A39" s="122"/>
      <c r="B39" s="91"/>
      <c r="C39" s="91"/>
      <c r="D39" s="91"/>
      <c r="E39" s="120"/>
      <c r="F39" s="185" t="s">
        <v>225</v>
      </c>
      <c r="G39" s="79">
        <v>0</v>
      </c>
      <c r="H39" s="79">
        <v>0</v>
      </c>
      <c r="I39" s="79">
        <v>0</v>
      </c>
      <c r="J39" s="79">
        <v>0</v>
      </c>
      <c r="K39" s="79">
        <v>1</v>
      </c>
      <c r="L39" s="79">
        <v>0</v>
      </c>
      <c r="M39" s="79">
        <v>1</v>
      </c>
      <c r="N39" s="79">
        <v>0</v>
      </c>
      <c r="O39" s="79">
        <v>1</v>
      </c>
      <c r="P39" s="70">
        <v>0</v>
      </c>
      <c r="Q39" s="79">
        <v>0</v>
      </c>
      <c r="R39" s="71">
        <v>1</v>
      </c>
      <c r="S39"/>
      <c r="T39"/>
    </row>
    <row r="40" spans="1:20" ht="15" customHeight="1" x14ac:dyDescent="0.15">
      <c r="A40" s="122"/>
      <c r="B40" s="91"/>
      <c r="C40" s="91"/>
      <c r="D40" s="91"/>
      <c r="E40" s="120"/>
      <c r="F40" s="185" t="s">
        <v>226</v>
      </c>
      <c r="G40" s="79">
        <v>0</v>
      </c>
      <c r="H40" s="79">
        <v>0</v>
      </c>
      <c r="I40" s="79">
        <v>0</v>
      </c>
      <c r="J40" s="79">
        <v>0</v>
      </c>
      <c r="K40" s="79">
        <v>1</v>
      </c>
      <c r="L40" s="79">
        <v>0</v>
      </c>
      <c r="M40" s="79">
        <v>1</v>
      </c>
      <c r="N40" s="79">
        <v>0</v>
      </c>
      <c r="O40" s="79">
        <v>1</v>
      </c>
      <c r="P40" s="70">
        <v>0</v>
      </c>
      <c r="Q40" s="79">
        <v>0</v>
      </c>
      <c r="R40" s="71">
        <v>1</v>
      </c>
      <c r="S40"/>
      <c r="T40"/>
    </row>
    <row r="41" spans="1:20" ht="15" customHeight="1" thickBot="1" x14ac:dyDescent="0.2">
      <c r="A41" s="122"/>
      <c r="B41" s="91"/>
      <c r="C41" s="91"/>
      <c r="D41" s="92"/>
      <c r="E41" s="123"/>
      <c r="F41" s="185" t="s">
        <v>227</v>
      </c>
      <c r="G41" s="79">
        <v>0</v>
      </c>
      <c r="H41" s="79">
        <v>0</v>
      </c>
      <c r="I41" s="79">
        <v>0</v>
      </c>
      <c r="J41" s="79">
        <v>0</v>
      </c>
      <c r="K41" s="79">
        <v>1</v>
      </c>
      <c r="L41" s="79">
        <v>0</v>
      </c>
      <c r="M41" s="79">
        <v>1</v>
      </c>
      <c r="N41" s="79">
        <v>0</v>
      </c>
      <c r="O41" s="79">
        <v>1</v>
      </c>
      <c r="P41" s="70">
        <v>0</v>
      </c>
      <c r="Q41" s="79">
        <v>0</v>
      </c>
      <c r="R41" s="71">
        <v>1</v>
      </c>
      <c r="S41"/>
      <c r="T41"/>
    </row>
    <row r="42" spans="1:20" ht="15" customHeight="1" x14ac:dyDescent="0.15">
      <c r="A42" s="124"/>
      <c r="B42" s="125"/>
      <c r="C42" s="125" t="s">
        <v>162</v>
      </c>
      <c r="D42" s="125">
        <f>SUM(D32:D41)</f>
        <v>5506.8627200000001</v>
      </c>
      <c r="E42" s="126">
        <f>SUM(E32:E41)</f>
        <v>1</v>
      </c>
      <c r="F42" s="185" t="s">
        <v>228</v>
      </c>
      <c r="G42" s="79">
        <v>0</v>
      </c>
      <c r="H42" s="79">
        <v>0</v>
      </c>
      <c r="I42" s="79">
        <v>0</v>
      </c>
      <c r="J42" s="79">
        <v>0</v>
      </c>
      <c r="K42" s="79">
        <v>0</v>
      </c>
      <c r="L42" s="79">
        <v>0</v>
      </c>
      <c r="M42" s="79">
        <v>1</v>
      </c>
      <c r="N42" s="79">
        <v>0</v>
      </c>
      <c r="O42" s="79">
        <v>0</v>
      </c>
      <c r="P42" s="70">
        <v>0</v>
      </c>
      <c r="Q42" s="79">
        <v>0</v>
      </c>
      <c r="R42" s="71">
        <v>1</v>
      </c>
      <c r="S42"/>
      <c r="T42"/>
    </row>
    <row r="43" spans="1:20" ht="15" customHeight="1" x14ac:dyDescent="0.15">
      <c r="A43" s="79"/>
      <c r="F43" s="185" t="s">
        <v>229</v>
      </c>
      <c r="G43" s="79">
        <v>0</v>
      </c>
      <c r="H43" s="79">
        <v>0</v>
      </c>
      <c r="I43" s="79">
        <v>0</v>
      </c>
      <c r="J43" s="79">
        <v>0</v>
      </c>
      <c r="K43" s="79">
        <v>0</v>
      </c>
      <c r="L43" s="79">
        <v>0</v>
      </c>
      <c r="M43" s="79">
        <v>1</v>
      </c>
      <c r="N43" s="79">
        <v>0</v>
      </c>
      <c r="O43" s="79">
        <v>0</v>
      </c>
      <c r="P43" s="70">
        <v>0</v>
      </c>
      <c r="Q43" s="79">
        <v>0</v>
      </c>
      <c r="R43" s="71">
        <v>1</v>
      </c>
      <c r="S43"/>
      <c r="T43"/>
    </row>
    <row r="44" spans="1:20" ht="15" customHeight="1" x14ac:dyDescent="0.15">
      <c r="A44" s="79"/>
      <c r="F44" s="185" t="s">
        <v>230</v>
      </c>
      <c r="G44" s="79">
        <v>0</v>
      </c>
      <c r="H44" s="79">
        <v>0</v>
      </c>
      <c r="I44" s="79">
        <v>0</v>
      </c>
      <c r="J44" s="79">
        <v>0</v>
      </c>
      <c r="K44" s="79">
        <v>0</v>
      </c>
      <c r="L44" s="79">
        <v>0</v>
      </c>
      <c r="M44" s="79">
        <v>1</v>
      </c>
      <c r="N44" s="79">
        <v>0</v>
      </c>
      <c r="O44" s="79">
        <v>0</v>
      </c>
      <c r="P44" s="70">
        <v>0</v>
      </c>
      <c r="Q44" s="79">
        <v>0</v>
      </c>
      <c r="R44" s="71">
        <v>1</v>
      </c>
    </row>
    <row r="45" spans="1:20" ht="15" customHeight="1" x14ac:dyDescent="0.15">
      <c r="A45" s="79"/>
      <c r="F45" s="185" t="s">
        <v>231</v>
      </c>
      <c r="G45" s="79">
        <v>0</v>
      </c>
      <c r="H45" s="79">
        <v>0</v>
      </c>
      <c r="I45" s="79">
        <v>0</v>
      </c>
      <c r="J45" s="79">
        <v>0</v>
      </c>
      <c r="K45" s="79">
        <v>0</v>
      </c>
      <c r="L45" s="79">
        <v>0</v>
      </c>
      <c r="M45" s="79">
        <v>1</v>
      </c>
      <c r="N45" s="79">
        <v>0</v>
      </c>
      <c r="O45" s="79">
        <v>0</v>
      </c>
      <c r="P45" s="70">
        <v>0</v>
      </c>
      <c r="Q45" s="79">
        <v>0</v>
      </c>
      <c r="R45" s="71">
        <v>1</v>
      </c>
    </row>
    <row r="46" spans="1:20" ht="15" customHeight="1" x14ac:dyDescent="0.15">
      <c r="A46" s="79"/>
      <c r="F46" s="185" t="s">
        <v>232</v>
      </c>
      <c r="G46" s="79">
        <v>0</v>
      </c>
      <c r="H46" s="79">
        <v>0</v>
      </c>
      <c r="I46" s="79">
        <v>0</v>
      </c>
      <c r="J46" s="79">
        <v>0</v>
      </c>
      <c r="K46" s="79">
        <v>0</v>
      </c>
      <c r="L46" s="79">
        <v>1</v>
      </c>
      <c r="M46" s="79">
        <v>0</v>
      </c>
      <c r="N46" s="79">
        <v>1</v>
      </c>
      <c r="O46" s="79">
        <v>0</v>
      </c>
      <c r="P46" s="70">
        <v>1</v>
      </c>
      <c r="Q46" s="79">
        <v>0</v>
      </c>
      <c r="R46" s="71">
        <v>1</v>
      </c>
    </row>
    <row r="47" spans="1:20" ht="15" customHeight="1" x14ac:dyDescent="0.15">
      <c r="A47" s="79"/>
      <c r="F47" s="185" t="s">
        <v>233</v>
      </c>
      <c r="G47" s="79">
        <v>0</v>
      </c>
      <c r="H47" s="79">
        <v>0</v>
      </c>
      <c r="I47" s="79">
        <v>0</v>
      </c>
      <c r="J47" s="79">
        <v>0</v>
      </c>
      <c r="K47" s="79">
        <v>0</v>
      </c>
      <c r="L47" s="79">
        <v>1</v>
      </c>
      <c r="M47" s="79">
        <v>0</v>
      </c>
      <c r="N47" s="79">
        <v>1</v>
      </c>
      <c r="O47" s="79">
        <v>0</v>
      </c>
      <c r="P47" s="70">
        <v>1</v>
      </c>
      <c r="Q47" s="79">
        <v>0</v>
      </c>
      <c r="R47" s="71">
        <v>1</v>
      </c>
    </row>
    <row r="48" spans="1:20" ht="15" customHeight="1" x14ac:dyDescent="0.15">
      <c r="A48" s="79"/>
      <c r="F48" s="185" t="s">
        <v>234</v>
      </c>
      <c r="G48" s="79">
        <v>0</v>
      </c>
      <c r="H48" s="79">
        <v>0</v>
      </c>
      <c r="I48" s="79">
        <v>0</v>
      </c>
      <c r="J48" s="79">
        <v>0</v>
      </c>
      <c r="K48" s="79">
        <v>0</v>
      </c>
      <c r="L48" s="79">
        <v>1</v>
      </c>
      <c r="M48" s="79">
        <v>0</v>
      </c>
      <c r="N48" s="79">
        <v>0</v>
      </c>
      <c r="O48" s="79">
        <v>0</v>
      </c>
      <c r="P48" s="70">
        <v>0</v>
      </c>
      <c r="Q48" s="79">
        <v>0</v>
      </c>
      <c r="R48" s="71">
        <v>1</v>
      </c>
    </row>
    <row r="49" spans="6:18" s="79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9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9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9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9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9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9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9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9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9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9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9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9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9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9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9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9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9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9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9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9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9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9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9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9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9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9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9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9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9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9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9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9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9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9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9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9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9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9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9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9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9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9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9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9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9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9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9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9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9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9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9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9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9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9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9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9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9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9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9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9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9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9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9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9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9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9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9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9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9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9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9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9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9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9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9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9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9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9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9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9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9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9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9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9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9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9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9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9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9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9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9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9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9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9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9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9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9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9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9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9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9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9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9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9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9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9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9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9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9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9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9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9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9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9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9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9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9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9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Y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1.33203125" bestFit="1" customWidth="1"/>
    <col min="2" max="2" width="2.33203125" style="104" customWidth="1"/>
    <col min="3" max="5" width="7.83203125" style="104" customWidth="1"/>
    <col min="6" max="8" width="8.83203125" style="6"/>
    <col min="9" max="9" width="21.5" style="6" customWidth="1"/>
    <col min="10" max="10" width="5.5" style="6" customWidth="1"/>
    <col min="11" max="11" width="19" style="6" customWidth="1"/>
    <col min="12" max="12" width="21.5" style="6" customWidth="1"/>
    <col min="13" max="13" width="24" style="6" customWidth="1"/>
    <col min="14" max="14" width="26.5" style="6" customWidth="1"/>
    <col min="15" max="15" width="19.5" style="6" customWidth="1"/>
    <col min="16" max="16" width="8.5" style="6" customWidth="1"/>
    <col min="17" max="17" width="12" style="6" customWidth="1"/>
    <col min="18" max="18" width="18.1640625" style="6" customWidth="1"/>
    <col min="19" max="19" width="8.5" style="6" customWidth="1"/>
    <col min="20" max="20" width="10.1640625" style="6" customWidth="1"/>
    <col min="21" max="21" width="11.5" style="6" customWidth="1"/>
    <col min="22" max="22" width="7.1640625" style="6" customWidth="1"/>
    <col min="23" max="23" width="31.33203125" style="6" customWidth="1"/>
    <col min="24" max="24" width="10.1640625" style="6" customWidth="1"/>
    <col min="25" max="25" width="8.6640625" style="6" customWidth="1"/>
    <col min="26" max="26" width="6.1640625" style="6" customWidth="1"/>
    <col min="27" max="27" width="9.5" style="6" customWidth="1"/>
    <col min="28" max="28" width="9.33203125" style="6" customWidth="1"/>
    <col min="29" max="29" width="16.5" style="6" customWidth="1"/>
    <col min="30" max="30" width="7.83203125" style="6" customWidth="1"/>
    <col min="31" max="31" width="10.83203125" style="6" customWidth="1"/>
    <col min="32" max="32" width="13.33203125" style="6" customWidth="1"/>
    <col min="33" max="33" width="12.5" style="6" customWidth="1"/>
    <col min="34" max="34" width="10.5" style="6" customWidth="1"/>
    <col min="35" max="35" width="7.33203125" style="6" customWidth="1"/>
    <col min="36" max="36" width="10.6640625" style="6" customWidth="1"/>
    <col min="37" max="37" width="16.6640625" style="6" customWidth="1"/>
    <col min="38" max="38" width="16.5" style="6" customWidth="1"/>
    <col min="39" max="39" width="11.1640625" customWidth="1"/>
    <col min="40" max="40" width="10.5" customWidth="1"/>
    <col min="41" max="42" width="14.33203125" customWidth="1"/>
    <col min="43" max="43" width="11.5" customWidth="1"/>
    <col min="44" max="44" width="16.33203125" customWidth="1"/>
    <col min="45" max="45" width="9.5" customWidth="1"/>
    <col min="46" max="46" width="16.5" customWidth="1"/>
    <col min="47" max="47" width="14.5" customWidth="1"/>
    <col min="48" max="48" width="13.1640625" customWidth="1"/>
    <col min="49" max="49" width="7.6640625" customWidth="1"/>
    <col min="50" max="50" width="21.6640625" customWidth="1"/>
    <col min="51" max="51" width="11.6640625" customWidth="1"/>
    <col min="81" max="81" width="22.1640625" bestFit="1" customWidth="1"/>
  </cols>
  <sheetData>
    <row r="1" spans="1:51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90" t="s">
        <v>192</v>
      </c>
      <c r="J1" s="190" t="s">
        <v>193</v>
      </c>
      <c r="K1" s="190" t="s">
        <v>194</v>
      </c>
      <c r="L1" s="190" t="s">
        <v>195</v>
      </c>
      <c r="M1" s="190" t="s">
        <v>196</v>
      </c>
      <c r="N1" s="190" t="s">
        <v>197</v>
      </c>
      <c r="O1" s="190" t="s">
        <v>198</v>
      </c>
      <c r="P1" s="190" t="s">
        <v>199</v>
      </c>
      <c r="Q1" s="190" t="s">
        <v>200</v>
      </c>
      <c r="R1" s="190" t="s">
        <v>201</v>
      </c>
      <c r="S1" s="190" t="s">
        <v>202</v>
      </c>
      <c r="T1" s="190" t="s">
        <v>203</v>
      </c>
      <c r="U1" s="190" t="s">
        <v>204</v>
      </c>
      <c r="V1" s="190" t="s">
        <v>205</v>
      </c>
      <c r="W1" s="190" t="s">
        <v>206</v>
      </c>
      <c r="X1" s="190" t="s">
        <v>207</v>
      </c>
      <c r="Y1" s="190" t="s">
        <v>208</v>
      </c>
      <c r="Z1" s="190" t="s">
        <v>209</v>
      </c>
      <c r="AA1" s="190" t="s">
        <v>210</v>
      </c>
      <c r="AB1" s="190" t="s">
        <v>211</v>
      </c>
      <c r="AC1" s="190" t="s">
        <v>212</v>
      </c>
      <c r="AD1" s="190" t="s">
        <v>213</v>
      </c>
      <c r="AE1" s="190" t="s">
        <v>214</v>
      </c>
      <c r="AF1" s="190" t="s">
        <v>215</v>
      </c>
      <c r="AG1" s="190" t="s">
        <v>216</v>
      </c>
      <c r="AH1" s="190" t="s">
        <v>217</v>
      </c>
      <c r="AI1" s="190" t="s">
        <v>218</v>
      </c>
      <c r="AJ1" s="190" t="s">
        <v>219</v>
      </c>
      <c r="AK1" s="190" t="s">
        <v>220</v>
      </c>
      <c r="AL1" s="190" t="s">
        <v>221</v>
      </c>
      <c r="AM1" s="190" t="s">
        <v>222</v>
      </c>
      <c r="AN1" s="190" t="s">
        <v>223</v>
      </c>
      <c r="AO1" s="190" t="s">
        <v>224</v>
      </c>
      <c r="AP1" s="190" t="s">
        <v>225</v>
      </c>
      <c r="AQ1" s="190" t="s">
        <v>226</v>
      </c>
      <c r="AR1" s="190" t="s">
        <v>227</v>
      </c>
      <c r="AS1" s="190" t="s">
        <v>228</v>
      </c>
      <c r="AT1" s="190" t="s">
        <v>229</v>
      </c>
      <c r="AU1" s="190" t="s">
        <v>230</v>
      </c>
      <c r="AV1" s="190" t="s">
        <v>231</v>
      </c>
      <c r="AW1" s="190" t="s">
        <v>232</v>
      </c>
      <c r="AX1" s="190" t="s">
        <v>233</v>
      </c>
      <c r="AY1" s="190" t="s">
        <v>234</v>
      </c>
    </row>
    <row r="2" spans="1:51" x14ac:dyDescent="0.15">
      <c r="A2" t="s">
        <v>38</v>
      </c>
      <c r="B2" s="10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1" x14ac:dyDescent="0.15">
      <c r="A3" t="s">
        <v>40</v>
      </c>
      <c r="B3" s="10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1" x14ac:dyDescent="0.15">
      <c r="A4" t="s">
        <v>41</v>
      </c>
      <c r="B4" s="10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1" x14ac:dyDescent="0.15">
      <c r="A5" s="189" t="s">
        <v>192</v>
      </c>
      <c r="B5" s="10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1" x14ac:dyDescent="0.15">
      <c r="A6" s="189" t="s">
        <v>193</v>
      </c>
      <c r="B6" s="10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1" x14ac:dyDescent="0.15">
      <c r="A7" s="189" t="s">
        <v>194</v>
      </c>
      <c r="B7" s="10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1" x14ac:dyDescent="0.15">
      <c r="A8" s="189" t="s">
        <v>195</v>
      </c>
      <c r="B8" s="10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1" x14ac:dyDescent="0.15">
      <c r="A9" s="189" t="s">
        <v>196</v>
      </c>
      <c r="B9" s="10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1" x14ac:dyDescent="0.15">
      <c r="A10" s="189" t="s">
        <v>197</v>
      </c>
      <c r="B10" s="10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1" x14ac:dyDescent="0.15">
      <c r="A11" s="189" t="s">
        <v>198</v>
      </c>
      <c r="B11" s="10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1" x14ac:dyDescent="0.15">
      <c r="A12" s="189" t="s">
        <v>199</v>
      </c>
      <c r="B12" s="10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1" x14ac:dyDescent="0.15">
      <c r="A13" s="189" t="s">
        <v>200</v>
      </c>
      <c r="B13" s="10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1" x14ac:dyDescent="0.15">
      <c r="A14" s="189" t="s">
        <v>201</v>
      </c>
      <c r="B14" s="10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1" x14ac:dyDescent="0.15">
      <c r="A15" s="189" t="s">
        <v>202</v>
      </c>
      <c r="B15" s="10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1" x14ac:dyDescent="0.15">
      <c r="A16" s="189" t="s">
        <v>203</v>
      </c>
      <c r="B16" s="10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9" t="s">
        <v>204</v>
      </c>
      <c r="B17" s="10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9" t="s">
        <v>205</v>
      </c>
      <c r="B18" s="10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9" t="s">
        <v>206</v>
      </c>
      <c r="B19" s="10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9" t="s">
        <v>207</v>
      </c>
      <c r="B20" s="10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9" t="s">
        <v>208</v>
      </c>
      <c r="B21" s="10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9" t="s">
        <v>209</v>
      </c>
      <c r="B22" s="10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9" t="s">
        <v>210</v>
      </c>
      <c r="B23" s="10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9" t="s">
        <v>211</v>
      </c>
      <c r="B24" s="10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9" t="s">
        <v>212</v>
      </c>
      <c r="B25" s="10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9" t="s">
        <v>213</v>
      </c>
      <c r="B26" s="10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89" t="s">
        <v>214</v>
      </c>
      <c r="B27" s="10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89" t="s">
        <v>215</v>
      </c>
      <c r="B28" s="10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89" t="s">
        <v>216</v>
      </c>
      <c r="B29" s="10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89" t="s">
        <v>217</v>
      </c>
      <c r="B30" s="10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89" t="s">
        <v>218</v>
      </c>
      <c r="B31" s="10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89" t="s">
        <v>219</v>
      </c>
      <c r="B32" s="10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89" t="s">
        <v>220</v>
      </c>
      <c r="B33" s="10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89" t="s">
        <v>221</v>
      </c>
      <c r="B34" s="10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89" t="s">
        <v>222</v>
      </c>
      <c r="B35" s="10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89" t="s">
        <v>223</v>
      </c>
      <c r="B36" s="104">
        <v>0</v>
      </c>
      <c r="C36"/>
      <c r="D36"/>
    </row>
    <row r="37" spans="1:38" ht="15" customHeight="1" x14ac:dyDescent="0.15">
      <c r="A37" s="189" t="s">
        <v>224</v>
      </c>
      <c r="B37" s="104">
        <v>0</v>
      </c>
      <c r="C37"/>
      <c r="D37"/>
    </row>
    <row r="38" spans="1:38" ht="15" customHeight="1" x14ac:dyDescent="0.15">
      <c r="A38" s="189" t="s">
        <v>225</v>
      </c>
      <c r="B38" s="104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89" t="s">
        <v>226</v>
      </c>
      <c r="B39" s="104">
        <v>0</v>
      </c>
      <c r="C39"/>
      <c r="D39"/>
    </row>
    <row r="40" spans="1:38" ht="15" customHeight="1" x14ac:dyDescent="0.15">
      <c r="A40" s="189" t="s">
        <v>227</v>
      </c>
      <c r="B40" s="104">
        <v>0</v>
      </c>
      <c r="C40"/>
      <c r="D40"/>
    </row>
    <row r="41" spans="1:38" ht="15" customHeight="1" x14ac:dyDescent="0.15">
      <c r="A41" s="189" t="s">
        <v>228</v>
      </c>
      <c r="B41" s="104">
        <v>0</v>
      </c>
      <c r="C41"/>
      <c r="D41"/>
    </row>
    <row r="42" spans="1:38" ht="15" customHeight="1" x14ac:dyDescent="0.15">
      <c r="A42" s="189" t="s">
        <v>229</v>
      </c>
      <c r="B42" s="104">
        <v>0</v>
      </c>
    </row>
    <row r="43" spans="1:38" ht="15" customHeight="1" x14ac:dyDescent="0.15">
      <c r="A43" s="189" t="s">
        <v>230</v>
      </c>
      <c r="B43" s="104">
        <v>0</v>
      </c>
    </row>
    <row r="44" spans="1:38" ht="15" customHeight="1" x14ac:dyDescent="0.15">
      <c r="A44" s="189" t="s">
        <v>231</v>
      </c>
      <c r="B44" s="104">
        <v>0</v>
      </c>
    </row>
    <row r="45" spans="1:38" ht="15" customHeight="1" x14ac:dyDescent="0.15">
      <c r="A45" s="189" t="s">
        <v>232</v>
      </c>
      <c r="B45" s="104">
        <v>0</v>
      </c>
    </row>
    <row r="46" spans="1:38" ht="15" customHeight="1" x14ac:dyDescent="0.15">
      <c r="A46" s="189" t="s">
        <v>233</v>
      </c>
      <c r="B46" s="104">
        <v>0</v>
      </c>
    </row>
    <row r="47" spans="1:38" ht="15" customHeight="1" x14ac:dyDescent="0.15">
      <c r="A47" s="189" t="s">
        <v>234</v>
      </c>
      <c r="B47" s="104">
        <v>0</v>
      </c>
    </row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2022-10-23T22:11:05Z</dcterms:modified>
</cp:coreProperties>
</file>