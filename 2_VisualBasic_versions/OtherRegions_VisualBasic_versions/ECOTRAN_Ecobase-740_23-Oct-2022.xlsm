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35F9CC8A-456A-5949-B655-1642B9BE2A48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Main!$C$2:$N$101</definedName>
    <definedName name="matDetritus">Detritus!$C$2:$E$101</definedName>
    <definedName name="matDiet">Diets!$B$2:$BW$78</definedName>
    <definedName name="matDiscards">Discards!$C$2:$Z$77</definedName>
    <definedName name="matFishery">Fishing!$C$2:$Z$77</definedName>
    <definedName name="matFishing">Fishing!#REF!</definedName>
    <definedName name="matMort">Mortalities!$A$1:$CY$77</definedName>
    <definedName name="matOut">MainOutputs!$A$2:$I$101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2" i="1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<sst xmlns="http://schemas.openxmlformats.org/spreadsheetml/2006/main" count="2205" uniqueCount="322">
  <si>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</si>
  <si>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</si>
  <si>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</si>
  <si>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</si>
  <si>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</si>
  <si>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</si>
  <si>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</si>
  <si>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</si>
  <si>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</si>
  <si>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</si>
  <si>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</si>
  <si>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</si>
  <si>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</si>
  <si>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</si>
  <si>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</si>
  <si>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</si>
  <si>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</si>
  <si>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</si>
  <si>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</si>
  <si>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</si>
  <si>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</si>
  <si>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</si>
  <si>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</si>
  <si>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</si>
  <si>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</si>
  <si>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</si>
  <si>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</si>
  <si>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</si>
  <si>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</si>
  <si>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</si>
  <si>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</si>
  <si>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</si>
  <si>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</si>
  <si>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</si>
  <si>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</si>
  <si>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</si>
  <si>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</si>
  <si>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</si>
  <si>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</si>
  <si>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</si>
  <si>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</si>
  <si>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</si>
  <si>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</si>
  <si>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</si>
  <si>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</si>
  <si>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</si>
  <si>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</si>
  <si>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</si>
  <si>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</si>
  <si>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</si>
  <si>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</si>
  <si>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</si>
  <si>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</si>
  <si>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</si>
  <si>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</si>
  <si>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</si>
  <si>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</si>
  <si>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</si>
  <si>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</si>
  <si>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</si>
  <si>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</si>
  <si>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</si>
  <si>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</si>
  <si>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</si>
  <si>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</si>
  <si>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</si>
  <si>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</si>
  <si>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</si>
  <si>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</si>
  <si>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</si>
  <si>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</si>
  <si>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</si>
  <si>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</si>
  <si>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</si>
  <si>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</si>
  <si>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</si>
  <si>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</si>
  <si>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</si>
  <si>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</si>
  <si>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</si>
  <si>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</si>
  <si>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</si>
  <si>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</si>
  <si>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</si>
  <si>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</si>
  <si>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</si>
  <si>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</si>
  <si>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</si>
  <si>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</si>
  <si>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</si>
  <si>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</si>
  <si>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</si>
  <si>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</si>
  <si>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</si>
  <si>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</si>
  <si>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</si>
  <si>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</si>
  <si>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</si>
  <si>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</si>
  <si>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</si>
  <si>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</si>
  <si>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</si>
  <si>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</si>
  <si>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</si>
  <si>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</si>
  <si>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</si>
  <si>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</si>
  <si>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</si>
  <si>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</si>
  <si>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</si>
  <si>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</si>
  <si>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</si>
  <si>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</si>
  <si>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</si>
  <si>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</si>
  <si>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</si>
  <si>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</si>
  <si>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</si>
  <si>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</si>
  <si>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</si>
  <si>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</si>
  <si>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</si>
  <si>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</si>
  <si>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</si>
  <si>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</si>
  <si>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</si>
  <si>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</si>
  <si>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</si>
  <si>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</si>
  <si>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</si>
  <si>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</si>
  <si>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</si>
  <si>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</si>
  <si>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</si>
  <si>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</si>
  <si>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</si>
  <si>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</si>
  <si>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</si>
  <si>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</si>
  <si>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</si>
  <si>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</si>
  <si>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</si>
  <si>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</si>
  <si>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</si>
  <si>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</si>
  <si>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</si>
  <si>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</si>
  <si>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</si>
  <si>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</si>
  <si>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</si>
  <si>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</si>
  <si>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</si>
  <si>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</si>
  <si>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</si>
  <si>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</si>
  <si>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</si>
  <si>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</si>
  <si>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</si>
  <si>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</si>
  <si>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</si>
  <si>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</si>
  <si>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</si>
  <si>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</si>
  <si>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</si>
  <si>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</si>
  <si>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</si>
  <si>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</si>
  <si>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</si>
  <si>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</si>
  <si>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</si>
  <si>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</si>
  <si>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</si>
  <si>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</si>
  <si>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</si>
  <si>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</si>
  <si>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</si>
  <si>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</si>
  <si>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</si>
  <si>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</si>
  <si>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</si>
  <si>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</si>
  <si>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</si>
  <si>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</si>
  <si>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</si>
  <si>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</si>
  <si>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Northern Gulf of Mexico</t>
  </si>
  <si>
    <t>United States</t>
  </si>
  <si>
    <t>BOX(-97.9190225028247 24.9186805078953,-80.8143115160008 30.7743473322134)</t>
  </si>
  <si>
    <t>Coastal &amp;amp; Pelagic</t>
  </si>
  <si>
    <t>WetWeight</t>
  </si>
  <si>
    <t>Mass-balanced Ecopath model (“nGoM Ecopath”) which integrated ecosystem stressors, indirect effects of fishing (e.g. bycatch), and predator-prey dynamics from a meta-analysis of diets</t>
  </si>
  <si>
    <t>Progress towards a next-generation fisheries ecosystem model for the northern Gulf of Mexico</t>
  </si>
  <si>
    <t>https://doi.org/10.1016/j.ecolmodel.2016.11.001</t>
  </si>
  <si>
    <t>DOL</t>
  </si>
  <si>
    <t>SBD</t>
  </si>
  <si>
    <t>TUR</t>
  </si>
  <si>
    <t>BKT</t>
  </si>
  <si>
    <t>DUS</t>
  </si>
  <si>
    <t>SNB</t>
  </si>
  <si>
    <t>LCS</t>
  </si>
  <si>
    <t>LOS</t>
  </si>
  <si>
    <t>ASN</t>
  </si>
  <si>
    <t>SCS</t>
  </si>
  <si>
    <t>YFT</t>
  </si>
  <si>
    <t>BFT</t>
  </si>
  <si>
    <t>TUN</t>
  </si>
  <si>
    <t>BIL</t>
  </si>
  <si>
    <t>SWO</t>
  </si>
  <si>
    <t>PCP</t>
  </si>
  <si>
    <t>AMB</t>
  </si>
  <si>
    <t>COB</t>
  </si>
  <si>
    <t>KM0</t>
  </si>
  <si>
    <t>KM3</t>
  </si>
  <si>
    <t>SM0</t>
  </si>
  <si>
    <t>SM3</t>
  </si>
  <si>
    <t>RAY</t>
  </si>
  <si>
    <t>GGR0</t>
  </si>
  <si>
    <t>GGR1</t>
  </si>
  <si>
    <t>GGR3</t>
  </si>
  <si>
    <t>RGR0</t>
  </si>
  <si>
    <t>RGR1</t>
  </si>
  <si>
    <t>RGR3</t>
  </si>
  <si>
    <t>BGR0</t>
  </si>
  <si>
    <t>BGR1</t>
  </si>
  <si>
    <t>BGR3</t>
  </si>
  <si>
    <t>YEG0</t>
  </si>
  <si>
    <t>YEG1</t>
  </si>
  <si>
    <t>YEG3</t>
  </si>
  <si>
    <t>GOL</t>
  </si>
  <si>
    <t>DWG</t>
  </si>
  <si>
    <t>SWG</t>
  </si>
  <si>
    <t>RSN0</t>
  </si>
  <si>
    <t>RSN6</t>
  </si>
  <si>
    <t>VSN</t>
  </si>
  <si>
    <t>MSN</t>
  </si>
  <si>
    <t>OSN</t>
  </si>
  <si>
    <t>CoP</t>
  </si>
  <si>
    <t>ST</t>
  </si>
  <si>
    <t>OcP</t>
  </si>
  <si>
    <t>BeP</t>
  </si>
  <si>
    <t>ReP</t>
  </si>
  <si>
    <t>ReIF</t>
  </si>
  <si>
    <t>DCIF</t>
  </si>
  <si>
    <t>RD</t>
  </si>
  <si>
    <t>BCIF</t>
  </si>
  <si>
    <t>TLF</t>
  </si>
  <si>
    <t>GTR</t>
  </si>
  <si>
    <t>CoO</t>
  </si>
  <si>
    <t>ReO</t>
  </si>
  <si>
    <t>SRF</t>
  </si>
  <si>
    <t>LOP</t>
  </si>
  <si>
    <t>OPL</t>
  </si>
  <si>
    <t>SHS</t>
  </si>
  <si>
    <t>MEN</t>
  </si>
  <si>
    <t>ASK</t>
  </si>
  <si>
    <t>MUL</t>
  </si>
  <si>
    <t>BUT</t>
  </si>
  <si>
    <t>CPH</t>
  </si>
  <si>
    <t>SHP</t>
  </si>
  <si>
    <t>CRB</t>
  </si>
  <si>
    <t>SEP</t>
  </si>
  <si>
    <t>MEP</t>
  </si>
  <si>
    <t>ZOO</t>
  </si>
  <si>
    <t>INF</t>
  </si>
  <si>
    <t>ALG</t>
  </si>
  <si>
    <t>SGR</t>
  </si>
  <si>
    <t>PHY</t>
  </si>
  <si>
    <t>Detritus</t>
  </si>
  <si>
    <t>detritus_TerminalBenthic</t>
  </si>
  <si>
    <t>Bottom longline (shark)</t>
  </si>
  <si>
    <t>Mexican fishery (shark)</t>
  </si>
  <si>
    <t>Pelagic longline (shark)</t>
  </si>
  <si>
    <t>Recreational fishery (shark)</t>
  </si>
  <si>
    <t>Gill net</t>
  </si>
  <si>
    <t>Purse seine</t>
  </si>
  <si>
    <t>Longline - fish</t>
  </si>
  <si>
    <t>Handline</t>
  </si>
  <si>
    <t>Fish traps/pots</t>
  </si>
  <si>
    <t>Crab traps/pots</t>
  </si>
  <si>
    <t>Lobster traps/pots</t>
  </si>
  <si>
    <t>Shrimp trawl</t>
  </si>
  <si>
    <t>Fish trawl</t>
  </si>
  <si>
    <t>Haul seine</t>
  </si>
  <si>
    <t>Cast net</t>
  </si>
  <si>
    <t>Diving</t>
  </si>
  <si>
    <t>Dredge</t>
  </si>
  <si>
    <t>Other</t>
  </si>
  <si>
    <t>Recr headboat</t>
  </si>
  <si>
    <t>Recr charterboat</t>
  </si>
  <si>
    <t>Recr private</t>
  </si>
  <si>
    <t>Recr shore</t>
  </si>
  <si>
    <t>Recr combined</t>
  </si>
  <si>
    <t>HAB fleet</t>
  </si>
  <si>
    <t>Import</t>
  </si>
  <si>
    <t>export</t>
  </si>
  <si>
    <t>sum</t>
  </si>
  <si>
    <t>TOTAL</t>
  </si>
  <si>
    <t>F Bottom longline (shark)</t>
  </si>
  <si>
    <t>F Mexican fishery (shark)</t>
  </si>
  <si>
    <t>F Pelagic longline (shark)</t>
  </si>
  <si>
    <t>F Recreational fishery (shark)</t>
  </si>
  <si>
    <t>F Gill net</t>
  </si>
  <si>
    <t>F Purse seine</t>
  </si>
  <si>
    <t>F Longline - fish</t>
  </si>
  <si>
    <t>F Handline</t>
  </si>
  <si>
    <t>F Fish traps/pots</t>
  </si>
  <si>
    <t>F Crab traps/pots</t>
  </si>
  <si>
    <t>F Lobster traps/pots</t>
  </si>
  <si>
    <t>F Shrimp trawl</t>
  </si>
  <si>
    <t>F Fish trawl</t>
  </si>
  <si>
    <t>F Haul seine</t>
  </si>
  <si>
    <t>F Cast net</t>
  </si>
  <si>
    <t>F Diving</t>
  </si>
  <si>
    <t>F Dredge</t>
  </si>
  <si>
    <t>F Other</t>
  </si>
  <si>
    <t>F Recr headboat</t>
  </si>
  <si>
    <t>F Recr charterboat</t>
  </si>
  <si>
    <t>F Recr private</t>
  </si>
  <si>
    <t>F Recr shore</t>
  </si>
  <si>
    <t>F Recr combined</t>
  </si>
  <si>
    <t>F HAB fleet</t>
  </si>
  <si>
    <t>original ba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</si>
</sst>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3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FF8A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5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8" fillId="235" borderId="0" xfId="0" applyFont="1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4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14">
        <v>740</v>
      </c>
      <c r="D53" s="114"/>
    </row>
    <row r="54" spans="2:4" x14ac:dyDescent="0.15">
      <c r="B54" s="180" t="s">
        <v>172</v>
      </c>
      <c r="C54" s="180" t="s">
        <v>185</v>
      </c>
      <c r="D54" s="114"/>
    </row>
    <row r="55" spans="2:4" x14ac:dyDescent="0.15">
      <c r="B55" s="180" t="s">
        <v>173</v>
      </c>
      <c r="C55" s="180" t="s">
        <v>186</v>
      </c>
      <c r="D55" s="114"/>
    </row>
    <row r="56" spans="2:4" x14ac:dyDescent="0.15">
      <c r="B56" s="180" t="s">
        <v>174</v>
      </c>
      <c r="C56" s="114">
        <v>310000</v>
      </c>
      <c r="D56" s="114"/>
    </row>
    <row r="57" spans="2:4" x14ac:dyDescent="0.15">
      <c r="B57" s="180" t="s">
        <v>175</v>
      </c>
      <c r="C57" s="180" t="s">
        <v>187</v>
      </c>
      <c r="D57" s="114"/>
    </row>
    <row r="58" spans="2:4" x14ac:dyDescent="0.15">
      <c r="B58" s="180" t="s">
        <v>176</v>
      </c>
      <c r="C58" s="180" t="s">
        <v>188</v>
      </c>
      <c r="D58" s="114"/>
    </row>
    <row r="59" spans="2:4" x14ac:dyDescent="0.15">
      <c r="B59" s="180" t="s">
        <v>177</v>
      </c>
      <c r="C59" s="180" t="s">
        <v>189</v>
      </c>
      <c r="D59" s="114"/>
    </row>
    <row r="60" spans="2:4" x14ac:dyDescent="0.15">
      <c r="B60" s="180" t="s">
        <v>178</v>
      </c>
      <c r="C60" s="180" t="s">
        <v>190</v>
      </c>
      <c r="D60" s="114"/>
    </row>
    <row r="61" spans="2:4" x14ac:dyDescent="0.15">
      <c r="B61" s="180" t="s">
        <v>179</v>
      </c>
      <c r="C61" s="114">
        <v>75</v>
      </c>
      <c r="D61" s="114"/>
    </row>
    <row r="62" spans="2:4" x14ac:dyDescent="0.15">
      <c r="B62" s="180" t="s">
        <v>180</v>
      </c>
      <c r="C62" s="114">
        <v>24</v>
      </c>
      <c r="D62" s="114"/>
    </row>
    <row r="63" spans="2:4" x14ac:dyDescent="0.15">
      <c r="B63" s="180" t="s">
        <v>181</v>
      </c>
      <c r="C63" s="114">
        <v>2005</v>
      </c>
      <c r="D63" s="114"/>
    </row>
    <row r="64" spans="2:4" x14ac:dyDescent="0.15">
      <c r="B64" s="180" t="s">
        <v>182</v>
      </c>
      <c r="C64" s="114">
        <v>4</v>
      </c>
      <c r="D64" s="114"/>
    </row>
    <row r="65" spans="2:4" x14ac:dyDescent="0.15">
      <c r="B65" s="180" t="s">
        <v>183</v>
      </c>
      <c r="C65" s="180" t="s">
        <v>191</v>
      </c>
      <c r="D65" s="114"/>
    </row>
    <row r="66" spans="2:4" x14ac:dyDescent="0.15">
      <c r="B66" s="180" t="s">
        <v>184</v>
      </c>
      <c r="C66" s="180" t="s">
        <v>192</v>
      </c>
      <c r="D66" s="114"/>
    </row>
    <row r="67" spans="2:4" x14ac:dyDescent="0.15">
      <c r="B67" s="114"/>
      <c r="C67" s="114"/>
      <c r="D67" s="114"/>
    </row>
    <row r="68" spans="2:4" x14ac:dyDescent="0.15">
      <c r="B68" s="114"/>
      <c r="C68" s="114"/>
      <c r="D68" s="11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55" activePane="bottomLeft" state="frozenSplit"/>
      <selection activeCell="E1" sqref="E1"/>
      <selection pane="bottomLeft" activeCell="A75" sqref="A75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3.83203125" style="83" bestFit="1" customWidth="1"/>
    <col min="6" max="6" width="2.33203125" style="83" bestFit="1" customWidth="1"/>
    <col min="7" max="7" width="13.83203125" style="83" bestFit="1" customWidth="1"/>
    <col min="8" max="8" width="5.83203125" style="83" customWidth="1"/>
    <col min="9" max="9" width="10.83203125" style="83" customWidth="1"/>
    <col min="10" max="10" width="12.83203125" style="83" customWidth="1"/>
    <col min="11" max="11" width="13.83203125" style="83" customWidth="1"/>
    <col min="12" max="12" width="12.83203125" style="83" customWidth="1"/>
    <col min="13" max="13" width="3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81" t="s">
        <v>193</v>
      </c>
      <c r="F2" s="83">
        <v>0</v>
      </c>
      <c r="G2" s="83">
        <v>1.559E-2</v>
      </c>
      <c r="H2" s="83">
        <v>0.16</v>
      </c>
      <c r="I2" s="6">
        <v>40</v>
      </c>
      <c r="J2" s="6">
        <v>0.95285683899999996</v>
      </c>
      <c r="K2" s="6">
        <v>3.9999997200000003E-3</v>
      </c>
      <c r="L2" s="6">
        <v>0</v>
      </c>
      <c r="M2" s="83">
        <v>0.2</v>
      </c>
      <c r="N2" s="83">
        <v>0</v>
      </c>
    </row>
    <row r="3" spans="1:46" ht="15" customHeight="1" x14ac:dyDescent="0.15">
      <c r="A3" s="1" t="s">
        <v>9</v>
      </c>
      <c r="B3" s="4">
        <v>74</v>
      </c>
      <c r="C3" s="83">
        <v>2</v>
      </c>
      <c r="D3"/>
      <c r="E3" s="181" t="s">
        <v>194</v>
      </c>
      <c r="F3" s="83">
        <v>0</v>
      </c>
      <c r="G3" s="83">
        <v>1.193E-2</v>
      </c>
      <c r="H3" s="83">
        <v>0.25</v>
      </c>
      <c r="I3" s="83">
        <v>33</v>
      </c>
      <c r="J3" s="83">
        <v>0.93478539999999999</v>
      </c>
      <c r="K3" s="83">
        <v>7.5757580000000001E-3</v>
      </c>
      <c r="L3" s="83">
        <v>0</v>
      </c>
      <c r="M3" s="83">
        <v>0.2</v>
      </c>
      <c r="N3" s="83">
        <v>0</v>
      </c>
    </row>
    <row r="4" spans="1:46" ht="15" customHeight="1" x14ac:dyDescent="0.15">
      <c r="A4" s="1" t="s">
        <v>10</v>
      </c>
      <c r="B4" s="4">
        <v>2</v>
      </c>
      <c r="C4" s="83">
        <v>3</v>
      </c>
      <c r="D4"/>
      <c r="E4" s="181" t="s">
        <v>195</v>
      </c>
      <c r="F4" s="83">
        <v>0</v>
      </c>
      <c r="G4" s="83">
        <v>1.281E-2</v>
      </c>
      <c r="H4" s="83">
        <v>0.31</v>
      </c>
      <c r="I4" s="83">
        <v>3.1</v>
      </c>
      <c r="J4" s="83">
        <v>0.64948640000000002</v>
      </c>
      <c r="K4" s="83">
        <v>0.1</v>
      </c>
      <c r="L4" s="83">
        <v>0</v>
      </c>
      <c r="M4" s="83">
        <v>0.2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24</v>
      </c>
      <c r="C5" s="83">
        <v>4</v>
      </c>
      <c r="D5"/>
      <c r="E5" s="181" t="s">
        <v>196</v>
      </c>
      <c r="F5" s="83">
        <v>0</v>
      </c>
      <c r="G5" s="83">
        <v>2.1999999999999999E-2</v>
      </c>
      <c r="H5" s="83">
        <v>0.45</v>
      </c>
      <c r="I5" s="83">
        <v>2</v>
      </c>
      <c r="J5" s="83">
        <v>0.95434725300000001</v>
      </c>
      <c r="K5" s="83">
        <v>0.22500000000000001</v>
      </c>
      <c r="L5" s="83">
        <v>0</v>
      </c>
      <c r="M5" s="83">
        <v>0.2</v>
      </c>
      <c r="N5" s="83">
        <v>0</v>
      </c>
      <c r="P5" s="73"/>
      <c r="Q5" s="73"/>
      <c r="R5" s="73"/>
    </row>
    <row r="6" spans="1:46" ht="15" customHeight="1" thickBot="1" x14ac:dyDescent="0.2">
      <c r="B6" s="1"/>
      <c r="C6" s="83">
        <v>5</v>
      </c>
      <c r="D6"/>
      <c r="E6" s="181" t="s">
        <v>197</v>
      </c>
      <c r="F6" s="83">
        <v>0</v>
      </c>
      <c r="G6" s="83">
        <v>1.0999999999999999E-2</v>
      </c>
      <c r="H6" s="83">
        <v>0.38500000000000001</v>
      </c>
      <c r="I6" s="83">
        <v>2</v>
      </c>
      <c r="J6" s="83">
        <v>0.89092709999999997</v>
      </c>
      <c r="K6" s="83">
        <v>0.1925</v>
      </c>
      <c r="L6" s="83">
        <v>0</v>
      </c>
      <c r="M6" s="83">
        <v>0.2</v>
      </c>
      <c r="N6" s="83">
        <v>0</v>
      </c>
      <c r="P6" s="73"/>
      <c r="Q6" s="73"/>
      <c r="R6" s="73"/>
      <c r="W6" s="36" t="s">
        <v>31</v>
      </c>
      <c r="X6" s="52">
        <f>MAX(MainOutputs!G:G)</f>
        <v>0.9994925856590271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2283</v>
      </c>
      <c r="C7" s="83">
        <v>6</v>
      </c>
      <c r="D7"/>
      <c r="E7" s="181" t="s">
        <v>198</v>
      </c>
      <c r="F7" s="83">
        <v>0</v>
      </c>
      <c r="G7" s="83">
        <v>1.38E-2</v>
      </c>
      <c r="H7" s="83">
        <v>0.28000000000000003</v>
      </c>
      <c r="I7" s="83">
        <v>2.6</v>
      </c>
      <c r="J7" s="83">
        <v>0.92321470000000005</v>
      </c>
      <c r="K7" s="83">
        <v>0.107692309</v>
      </c>
      <c r="L7" s="83">
        <v>0</v>
      </c>
      <c r="M7" s="83">
        <v>0.2</v>
      </c>
      <c r="N7" s="83">
        <v>0</v>
      </c>
      <c r="P7" s="73"/>
      <c r="Q7" s="73"/>
      <c r="R7" s="73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666</v>
      </c>
      <c r="C8" s="83">
        <v>7</v>
      </c>
      <c r="D8"/>
      <c r="E8" s="181" t="s">
        <v>199</v>
      </c>
      <c r="F8" s="83">
        <v>0</v>
      </c>
      <c r="G8" s="83">
        <v>1.6799999999999999E-2</v>
      </c>
      <c r="H8" s="83">
        <v>0.37</v>
      </c>
      <c r="I8" s="83">
        <v>2.1</v>
      </c>
      <c r="J8" s="83">
        <v>0.98961353299999999</v>
      </c>
      <c r="K8" s="83">
        <v>0.17619048100000001</v>
      </c>
      <c r="L8" s="83">
        <v>0</v>
      </c>
      <c r="M8" s="83">
        <v>0.2</v>
      </c>
      <c r="N8" s="83">
        <v>0</v>
      </c>
      <c r="P8" s="73"/>
      <c r="Q8" s="73"/>
      <c r="R8" s="73"/>
    </row>
    <row r="9" spans="1:46" ht="15" customHeight="1" x14ac:dyDescent="0.15">
      <c r="B9" s="1"/>
      <c r="C9" s="83">
        <v>8</v>
      </c>
      <c r="D9"/>
      <c r="E9" s="181" t="s">
        <v>200</v>
      </c>
      <c r="F9" s="83">
        <v>0</v>
      </c>
      <c r="G9" s="83">
        <v>6.0699999999999999E-3</v>
      </c>
      <c r="H9" s="83">
        <v>0.27</v>
      </c>
      <c r="I9" s="83">
        <v>1.8</v>
      </c>
      <c r="J9" s="83">
        <v>0.9965543</v>
      </c>
      <c r="K9" s="83">
        <v>0.15</v>
      </c>
      <c r="L9" s="83">
        <v>0</v>
      </c>
      <c r="M9" s="83">
        <v>0.2</v>
      </c>
      <c r="N9" s="83">
        <v>0</v>
      </c>
      <c r="P9" s="73"/>
      <c r="Q9" s="73"/>
      <c r="R9" s="73"/>
    </row>
    <row r="10" spans="1:46" ht="15" customHeight="1" x14ac:dyDescent="0.15">
      <c r="B10" s="1"/>
      <c r="C10" s="83">
        <v>9</v>
      </c>
      <c r="D10"/>
      <c r="E10" s="181" t="s">
        <v>201</v>
      </c>
      <c r="F10" s="83">
        <v>0</v>
      </c>
      <c r="G10" s="83">
        <v>3.8199999999999998E-2</v>
      </c>
      <c r="H10" s="83">
        <v>0.65</v>
      </c>
      <c r="I10" s="83">
        <v>5.3</v>
      </c>
      <c r="J10" s="83">
        <v>0.89549939999999995</v>
      </c>
      <c r="K10" s="83">
        <v>0.122641504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81" t="s">
        <v>202</v>
      </c>
      <c r="F11" s="83">
        <v>0</v>
      </c>
      <c r="G11" s="83">
        <v>6.9199999999999998E-2</v>
      </c>
      <c r="H11" s="83">
        <v>0.83</v>
      </c>
      <c r="I11" s="83">
        <v>5</v>
      </c>
      <c r="J11" s="83">
        <v>0.97863185399999997</v>
      </c>
      <c r="K11" s="83">
        <v>0.16600000000000001</v>
      </c>
      <c r="L11" s="83">
        <v>0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81" t="s">
        <v>203</v>
      </c>
      <c r="F12" s="83">
        <v>0</v>
      </c>
      <c r="G12" s="83">
        <v>1.0500000000000001E-2</v>
      </c>
      <c r="H12" s="83">
        <v>0.71499999999999997</v>
      </c>
      <c r="I12" s="83">
        <v>5.2</v>
      </c>
      <c r="J12" s="83">
        <v>0.99613863199999997</v>
      </c>
      <c r="K12" s="83">
        <v>0.13750000000000001</v>
      </c>
      <c r="L12" s="83">
        <v>0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81" t="s">
        <v>204</v>
      </c>
      <c r="F13" s="83">
        <v>0</v>
      </c>
      <c r="G13" s="83">
        <v>9.7699999999999992E-3</v>
      </c>
      <c r="H13" s="83">
        <v>0.94</v>
      </c>
      <c r="I13" s="83">
        <v>3.4</v>
      </c>
      <c r="J13" s="83">
        <v>0.99296580000000001</v>
      </c>
      <c r="K13" s="83">
        <v>0.27647057200000003</v>
      </c>
      <c r="L13" s="83">
        <v>0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81" t="s">
        <v>205</v>
      </c>
      <c r="F14" s="83">
        <v>0</v>
      </c>
      <c r="G14" s="83">
        <v>1.4800000000000001E-2</v>
      </c>
      <c r="H14" s="83">
        <v>0.93</v>
      </c>
      <c r="I14" s="83">
        <v>5</v>
      </c>
      <c r="J14" s="83">
        <v>0.96087884899999998</v>
      </c>
      <c r="K14" s="83">
        <v>0.186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81" t="s">
        <v>206</v>
      </c>
      <c r="F15" s="83">
        <v>0</v>
      </c>
      <c r="G15" s="83">
        <v>5.1999999999999998E-3</v>
      </c>
      <c r="H15" s="83">
        <v>0.38</v>
      </c>
      <c r="I15" s="83">
        <v>3.5</v>
      </c>
      <c r="J15" s="83">
        <v>0.99347084799999996</v>
      </c>
      <c r="K15" s="83">
        <v>0.108571425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81" t="s">
        <v>207</v>
      </c>
      <c r="F16" s="83">
        <v>0</v>
      </c>
      <c r="G16" s="83">
        <v>1.9400000000000001E-2</v>
      </c>
      <c r="H16" s="83">
        <v>0.81</v>
      </c>
      <c r="I16" s="83">
        <v>3.2</v>
      </c>
      <c r="J16" s="83">
        <v>0.99121373899999998</v>
      </c>
      <c r="K16" s="83">
        <v>0.253124982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81" t="s">
        <v>208</v>
      </c>
      <c r="F17" s="83">
        <v>0</v>
      </c>
      <c r="G17" s="83">
        <v>0.112</v>
      </c>
      <c r="H17" s="83">
        <v>1.8</v>
      </c>
      <c r="I17" s="83">
        <v>6</v>
      </c>
      <c r="J17" s="83">
        <v>0.99280566000000003</v>
      </c>
      <c r="K17" s="83">
        <v>0.299999982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81" t="s">
        <v>209</v>
      </c>
      <c r="F18" s="83">
        <v>0</v>
      </c>
      <c r="G18" s="83">
        <v>5.1900000000000002E-2</v>
      </c>
      <c r="H18" s="83">
        <v>1.1000000000000001</v>
      </c>
      <c r="I18" s="83">
        <v>3.6</v>
      </c>
      <c r="J18" s="83">
        <v>0.94128840000000003</v>
      </c>
      <c r="K18" s="83">
        <v>0.30555558199999999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81" t="s">
        <v>210</v>
      </c>
      <c r="F19" s="83">
        <v>0</v>
      </c>
      <c r="G19" s="83">
        <v>4.2000000000000003E-2</v>
      </c>
      <c r="H19" s="83">
        <v>0.9</v>
      </c>
      <c r="I19" s="83">
        <v>3.8</v>
      </c>
      <c r="J19" s="83">
        <v>0.88028600000000001</v>
      </c>
      <c r="K19" s="83">
        <v>0.2368421</v>
      </c>
      <c r="L19" s="83">
        <v>0</v>
      </c>
      <c r="M19" s="83">
        <v>0.2</v>
      </c>
      <c r="N19" s="83">
        <v>0</v>
      </c>
      <c r="P19" s="356" t="s">
        <v>321</v>
      </c>
    </row>
    <row r="20" spans="1:22" ht="15" customHeight="1" thickBot="1" x14ac:dyDescent="0.2">
      <c r="C20" s="83">
        <v>19</v>
      </c>
      <c r="D20"/>
      <c r="E20" s="181" t="s">
        <v>211</v>
      </c>
      <c r="F20" s="83">
        <v>0</v>
      </c>
      <c r="G20" s="83">
        <v>1.10381E-3</v>
      </c>
      <c r="H20" s="83">
        <v>1.4</v>
      </c>
      <c r="I20" s="83">
        <v>12.119832000000001</v>
      </c>
      <c r="J20" s="83">
        <v>0.43814662100000001</v>
      </c>
      <c r="K20" s="83">
        <v>0.11551315299999999</v>
      </c>
      <c r="L20" s="356">
        <v>0</v>
      </c>
      <c r="M20" s="83">
        <v>0.2</v>
      </c>
      <c r="N20" s="83">
        <v>0</v>
      </c>
      <c r="P20" s="356">
        <v>0.05</v>
      </c>
    </row>
    <row r="21" spans="1:22" ht="15" customHeight="1" thickBot="1" x14ac:dyDescent="0.2">
      <c r="A21" s="47" t="s">
        <v>137</v>
      </c>
      <c r="B21" s="101"/>
      <c r="C21" s="83">
        <v>20</v>
      </c>
      <c r="D21"/>
      <c r="E21" s="181" t="s">
        <v>212</v>
      </c>
      <c r="F21" s="83">
        <v>0</v>
      </c>
      <c r="G21" s="83">
        <v>3.0700000000000002E-2</v>
      </c>
      <c r="H21" s="83">
        <v>0.9</v>
      </c>
      <c r="I21" s="83">
        <v>3.5</v>
      </c>
      <c r="J21" s="83">
        <v>0.89926289999999998</v>
      </c>
      <c r="K21" s="83">
        <v>0.25714284199999998</v>
      </c>
      <c r="L21" s="356">
        <v>0</v>
      </c>
      <c r="M21" s="83">
        <v>0.2</v>
      </c>
      <c r="N21" s="83">
        <v>0</v>
      </c>
      <c r="P21" s="356">
        <v>0.05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81" t="s">
        <v>213</v>
      </c>
      <c r="F22" s="83">
        <v>0</v>
      </c>
      <c r="G22" s="83">
        <v>1.1642319999999999E-2</v>
      </c>
      <c r="H22" s="83">
        <v>2</v>
      </c>
      <c r="I22" s="83">
        <v>14.66938</v>
      </c>
      <c r="J22" s="83">
        <v>0.77935469999999996</v>
      </c>
      <c r="K22" s="83">
        <v>0.13633841299999999</v>
      </c>
      <c r="L22" s="356">
        <v>0</v>
      </c>
      <c r="M22" s="83">
        <v>0.2</v>
      </c>
      <c r="N22" s="83">
        <v>0</v>
      </c>
      <c r="P22" s="356">
        <v>7.5999999999999998E-2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81" t="s">
        <v>214</v>
      </c>
      <c r="F23" s="83">
        <v>0</v>
      </c>
      <c r="G23" s="83">
        <v>9.9500000000000005E-2</v>
      </c>
      <c r="H23" s="83">
        <v>1.2</v>
      </c>
      <c r="I23" s="83">
        <v>5.4</v>
      </c>
      <c r="J23" s="83">
        <v>0.87959039999999999</v>
      </c>
      <c r="K23" s="83">
        <v>0.222222224</v>
      </c>
      <c r="L23" s="356">
        <v>0</v>
      </c>
      <c r="M23" s="83">
        <v>0.2</v>
      </c>
      <c r="N23" s="83">
        <v>0</v>
      </c>
      <c r="P23" s="356">
        <v>7.5999999999999998E-2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81" t="s">
        <v>215</v>
      </c>
      <c r="F24" s="83">
        <v>0</v>
      </c>
      <c r="G24" s="83">
        <v>0.13650000000000001</v>
      </c>
      <c r="H24" s="83">
        <v>1.1000000000000001</v>
      </c>
      <c r="I24" s="83">
        <v>7.8</v>
      </c>
      <c r="J24" s="83">
        <v>0.93664503099999996</v>
      </c>
      <c r="K24" s="83">
        <v>0.141025648</v>
      </c>
      <c r="L24" s="356">
        <v>0</v>
      </c>
      <c r="M24" s="83">
        <v>0.2</v>
      </c>
      <c r="N24" s="83">
        <v>0</v>
      </c>
      <c r="P24" s="356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81" t="s">
        <v>216</v>
      </c>
      <c r="F25" s="83">
        <v>0</v>
      </c>
      <c r="G25" s="83">
        <v>3.1596655E-3</v>
      </c>
      <c r="H25" s="83">
        <v>1.9</v>
      </c>
      <c r="I25" s="83">
        <v>19.405105599999999</v>
      </c>
      <c r="J25" s="83">
        <v>0.20146739999999999</v>
      </c>
      <c r="K25" s="83">
        <v>9.7912379999999993E-2</v>
      </c>
      <c r="L25" s="356">
        <v>0</v>
      </c>
      <c r="M25" s="83">
        <v>0.2</v>
      </c>
      <c r="N25" s="83">
        <v>0</v>
      </c>
      <c r="P25" s="356">
        <v>0.1</v>
      </c>
    </row>
    <row r="26" spans="1:22" ht="15" customHeight="1" x14ac:dyDescent="0.15">
      <c r="A26" s="106" t="s">
        <v>140</v>
      </c>
      <c r="C26" s="83">
        <v>25</v>
      </c>
      <c r="D26"/>
      <c r="E26" s="181" t="s">
        <v>217</v>
      </c>
      <c r="F26" s="83">
        <v>0</v>
      </c>
      <c r="G26" s="83">
        <v>3.3352118E-2</v>
      </c>
      <c r="H26" s="83">
        <v>1</v>
      </c>
      <c r="I26" s="83">
        <v>6.9429790000000002</v>
      </c>
      <c r="J26" s="83">
        <v>0.45889809999999998</v>
      </c>
      <c r="K26" s="83">
        <v>0.14403039200000001</v>
      </c>
      <c r="L26" s="356">
        <v>0</v>
      </c>
      <c r="M26" s="83">
        <v>0.2</v>
      </c>
      <c r="N26" s="83">
        <v>0</v>
      </c>
      <c r="P26" s="356">
        <v>0.1</v>
      </c>
    </row>
    <row r="27" spans="1:22" ht="15" customHeight="1" x14ac:dyDescent="0.15">
      <c r="C27" s="83">
        <v>26</v>
      </c>
      <c r="D27"/>
      <c r="E27" s="181" t="s">
        <v>218</v>
      </c>
      <c r="F27" s="83">
        <v>0</v>
      </c>
      <c r="G27" s="83">
        <v>6.9699999999999998E-2</v>
      </c>
      <c r="H27" s="83">
        <v>0.61</v>
      </c>
      <c r="I27" s="83">
        <v>3.2</v>
      </c>
      <c r="J27" s="83">
        <v>0.51226514599999995</v>
      </c>
      <c r="K27" s="83">
        <v>0.19062499999999999</v>
      </c>
      <c r="L27" s="356">
        <v>0</v>
      </c>
      <c r="M27" s="83">
        <v>0.2</v>
      </c>
      <c r="N27" s="83">
        <v>0</v>
      </c>
      <c r="P27" s="356">
        <v>0.1</v>
      </c>
    </row>
    <row r="28" spans="1:22" ht="15" customHeight="1" x14ac:dyDescent="0.15">
      <c r="C28" s="83">
        <v>27</v>
      </c>
      <c r="D28"/>
      <c r="E28" s="181" t="s">
        <v>219</v>
      </c>
      <c r="F28" s="83">
        <v>0</v>
      </c>
      <c r="G28" s="83">
        <v>2.3141605799999999E-3</v>
      </c>
      <c r="H28" s="83">
        <v>1.8</v>
      </c>
      <c r="I28" s="83">
        <v>18.240359999999999</v>
      </c>
      <c r="J28" s="83">
        <v>0.19438530000000001</v>
      </c>
      <c r="K28" s="83">
        <v>9.8682259999999994E-2</v>
      </c>
      <c r="L28" s="356">
        <v>0</v>
      </c>
      <c r="M28" s="83">
        <v>0.2</v>
      </c>
      <c r="N28" s="83">
        <v>0</v>
      </c>
      <c r="P28" s="356">
        <v>0.05</v>
      </c>
    </row>
    <row r="29" spans="1:22" customFormat="1" ht="15" customHeight="1" x14ac:dyDescent="0.15">
      <c r="C29" s="83">
        <v>28</v>
      </c>
      <c r="E29" s="181" t="s">
        <v>220</v>
      </c>
      <c r="F29" s="83">
        <v>0</v>
      </c>
      <c r="G29" s="83">
        <v>3.1025605299999998E-2</v>
      </c>
      <c r="H29" s="83">
        <v>0.8</v>
      </c>
      <c r="I29" s="83">
        <v>6.5504794100000003</v>
      </c>
      <c r="J29" s="83">
        <v>0.51456380000000002</v>
      </c>
      <c r="K29" s="83">
        <v>0.12212846400000001</v>
      </c>
      <c r="L29" s="356">
        <v>0</v>
      </c>
      <c r="M29" s="83">
        <v>0.2</v>
      </c>
      <c r="N29" s="83">
        <v>0</v>
      </c>
      <c r="P29" s="356">
        <v>0.05</v>
      </c>
    </row>
    <row r="30" spans="1:22" customFormat="1" ht="15" customHeight="1" x14ac:dyDescent="0.15">
      <c r="C30" s="83">
        <v>29</v>
      </c>
      <c r="E30" s="181" t="s">
        <v>221</v>
      </c>
      <c r="F30" s="83">
        <v>0</v>
      </c>
      <c r="G30" s="83">
        <v>0.1065</v>
      </c>
      <c r="H30" s="83">
        <v>0.5</v>
      </c>
      <c r="I30" s="83">
        <v>3.1</v>
      </c>
      <c r="J30" s="83">
        <v>0.38601464000000002</v>
      </c>
      <c r="K30" s="83">
        <v>0.16129033300000001</v>
      </c>
      <c r="L30" s="356">
        <v>0</v>
      </c>
      <c r="M30" s="83">
        <v>0.2</v>
      </c>
      <c r="N30" s="83">
        <v>0</v>
      </c>
      <c r="P30" s="356">
        <v>5.00000045E-2</v>
      </c>
    </row>
    <row r="31" spans="1:22" customFormat="1" ht="15" customHeight="1" x14ac:dyDescent="0.15">
      <c r="C31" s="83">
        <v>30</v>
      </c>
      <c r="E31" s="181" t="s">
        <v>222</v>
      </c>
      <c r="F31" s="83">
        <v>0</v>
      </c>
      <c r="G31" s="83">
        <v>2.3355440000000002E-3</v>
      </c>
      <c r="H31" s="83">
        <v>2</v>
      </c>
      <c r="I31" s="83">
        <v>17.033668500000001</v>
      </c>
      <c r="J31" s="83">
        <v>0.21184103200000001</v>
      </c>
      <c r="K31" s="83">
        <v>0.11741451899999999</v>
      </c>
      <c r="L31" s="356">
        <v>0</v>
      </c>
      <c r="M31" s="83">
        <v>0.2</v>
      </c>
      <c r="N31" s="83">
        <v>0</v>
      </c>
      <c r="P31" s="356">
        <v>2.99999975E-2</v>
      </c>
    </row>
    <row r="32" spans="1:22" customFormat="1" ht="15" customHeight="1" x14ac:dyDescent="0.15">
      <c r="C32" s="83">
        <v>31</v>
      </c>
      <c r="E32" s="181" t="s">
        <v>223</v>
      </c>
      <c r="F32" s="83">
        <v>0</v>
      </c>
      <c r="G32" s="83">
        <v>2.6652889999999999E-2</v>
      </c>
      <c r="H32" s="83">
        <v>0.9</v>
      </c>
      <c r="I32" s="83">
        <v>6.1505246199999997</v>
      </c>
      <c r="J32" s="83">
        <v>0.49413564799999998</v>
      </c>
      <c r="K32" s="83">
        <v>0.146328971</v>
      </c>
      <c r="L32" s="356">
        <v>0</v>
      </c>
      <c r="M32" s="83">
        <v>0.2</v>
      </c>
      <c r="N32" s="83">
        <v>0</v>
      </c>
      <c r="P32" s="356">
        <v>0.03</v>
      </c>
    </row>
    <row r="33" spans="3:16" customFormat="1" ht="15" customHeight="1" x14ac:dyDescent="0.15">
      <c r="C33" s="83">
        <v>32</v>
      </c>
      <c r="E33" s="181" t="s">
        <v>224</v>
      </c>
      <c r="F33" s="83">
        <v>0</v>
      </c>
      <c r="G33" s="83">
        <v>8.6681999999999995E-2</v>
      </c>
      <c r="H33" s="83">
        <v>0.5</v>
      </c>
      <c r="I33" s="83">
        <v>2.9</v>
      </c>
      <c r="J33" s="83">
        <v>0.124549747</v>
      </c>
      <c r="K33" s="83">
        <v>0.17241378099999999</v>
      </c>
      <c r="L33" s="356">
        <v>0</v>
      </c>
      <c r="M33" s="83">
        <v>0.2</v>
      </c>
      <c r="N33" s="83">
        <v>0</v>
      </c>
      <c r="P33" s="356">
        <v>0.03</v>
      </c>
    </row>
    <row r="34" spans="3:16" customFormat="1" ht="15" customHeight="1" x14ac:dyDescent="0.15">
      <c r="C34" s="83">
        <v>33</v>
      </c>
      <c r="E34" s="181" t="s">
        <v>225</v>
      </c>
      <c r="F34" s="83">
        <v>0</v>
      </c>
      <c r="G34" s="83">
        <v>3.22780875E-3</v>
      </c>
      <c r="H34" s="83">
        <v>3</v>
      </c>
      <c r="I34" s="83">
        <v>23.9810467</v>
      </c>
      <c r="J34" s="83">
        <v>0.25416213300000001</v>
      </c>
      <c r="K34" s="83">
        <v>0.12509880000000001</v>
      </c>
      <c r="L34" s="356">
        <v>0</v>
      </c>
      <c r="M34" s="83">
        <v>0.2</v>
      </c>
      <c r="N34" s="83">
        <v>0</v>
      </c>
      <c r="P34" s="356">
        <v>0.01</v>
      </c>
    </row>
    <row r="35" spans="3:16" customFormat="1" ht="15" customHeight="1" x14ac:dyDescent="0.15">
      <c r="C35" s="83">
        <v>34</v>
      </c>
      <c r="E35" s="181" t="s">
        <v>226</v>
      </c>
      <c r="F35" s="83">
        <v>0</v>
      </c>
      <c r="G35" s="83">
        <v>2.2966045899999999E-2</v>
      </c>
      <c r="H35" s="83">
        <v>1.2</v>
      </c>
      <c r="I35" s="83">
        <v>7.9701585799999997</v>
      </c>
      <c r="J35" s="83">
        <v>0.61801729999999999</v>
      </c>
      <c r="K35" s="83">
        <v>0.150561631</v>
      </c>
      <c r="L35" s="356">
        <v>0</v>
      </c>
      <c r="M35" s="83">
        <v>0.2</v>
      </c>
      <c r="N35" s="83">
        <v>0</v>
      </c>
      <c r="P35" s="356">
        <v>0.01</v>
      </c>
    </row>
    <row r="36" spans="3:16" customFormat="1" ht="15" customHeight="1" x14ac:dyDescent="0.15">
      <c r="C36" s="83">
        <v>35</v>
      </c>
      <c r="E36" s="181" t="s">
        <v>227</v>
      </c>
      <c r="F36" s="83">
        <v>0</v>
      </c>
      <c r="G36" s="83">
        <v>8.8410000000000002E-2</v>
      </c>
      <c r="H36" s="83">
        <v>0.5</v>
      </c>
      <c r="I36" s="83">
        <v>3.1</v>
      </c>
      <c r="J36" s="83">
        <v>0.110659227</v>
      </c>
      <c r="K36" s="83">
        <v>0.16129033300000001</v>
      </c>
      <c r="L36" s="356">
        <v>0</v>
      </c>
      <c r="M36" s="83">
        <v>0.2</v>
      </c>
      <c r="N36" s="83">
        <v>0</v>
      </c>
      <c r="P36" s="356">
        <v>0.01</v>
      </c>
    </row>
    <row r="37" spans="3:16" customFormat="1" ht="15" customHeight="1" x14ac:dyDescent="0.15">
      <c r="C37" s="83">
        <v>36</v>
      </c>
      <c r="E37" s="181" t="s">
        <v>228</v>
      </c>
      <c r="F37" s="83">
        <v>0</v>
      </c>
      <c r="G37" s="83">
        <v>8.9844260000000002E-3</v>
      </c>
      <c r="H37" s="83">
        <v>0.41799999999999998</v>
      </c>
      <c r="I37" s="83">
        <v>3.8</v>
      </c>
      <c r="J37" s="83">
        <v>0.66549783900000004</v>
      </c>
      <c r="K37" s="83">
        <v>0.110000007</v>
      </c>
      <c r="L37" s="356">
        <v>0</v>
      </c>
      <c r="M37" s="83">
        <v>0.2</v>
      </c>
      <c r="N37" s="83">
        <v>0</v>
      </c>
      <c r="P37" s="356">
        <v>0</v>
      </c>
    </row>
    <row r="38" spans="3:16" customFormat="1" ht="15" customHeight="1" x14ac:dyDescent="0.15">
      <c r="C38" s="83">
        <v>37</v>
      </c>
      <c r="E38" s="181" t="s">
        <v>229</v>
      </c>
      <c r="F38" s="83">
        <v>0</v>
      </c>
      <c r="G38" s="83">
        <v>1.091E-2</v>
      </c>
      <c r="H38" s="83">
        <v>0.6</v>
      </c>
      <c r="I38" s="83">
        <v>4</v>
      </c>
      <c r="J38" s="83">
        <v>0.40413534600000001</v>
      </c>
      <c r="K38" s="83">
        <v>0.15</v>
      </c>
      <c r="L38" s="356">
        <v>0</v>
      </c>
      <c r="M38" s="83">
        <v>0.2</v>
      </c>
      <c r="N38" s="83">
        <v>0</v>
      </c>
      <c r="P38" s="356">
        <v>0</v>
      </c>
    </row>
    <row r="39" spans="3:16" customFormat="1" ht="15" customHeight="1" x14ac:dyDescent="0.15">
      <c r="C39" s="83">
        <v>38</v>
      </c>
      <c r="E39" s="181" t="s">
        <v>230</v>
      </c>
      <c r="F39" s="83">
        <v>0</v>
      </c>
      <c r="G39" s="83">
        <v>1.7968965699999999E-2</v>
      </c>
      <c r="H39" s="83">
        <v>0.8</v>
      </c>
      <c r="I39" s="83">
        <v>6.2</v>
      </c>
      <c r="J39" s="83">
        <v>0.82055049999999996</v>
      </c>
      <c r="K39" s="83">
        <v>0.129032269</v>
      </c>
      <c r="L39" s="356">
        <v>0</v>
      </c>
      <c r="M39" s="83">
        <v>0.2</v>
      </c>
      <c r="N39" s="83">
        <v>0</v>
      </c>
      <c r="P39" s="356">
        <v>0</v>
      </c>
    </row>
    <row r="40" spans="3:16" customFormat="1" ht="15" customHeight="1" x14ac:dyDescent="0.15">
      <c r="C40" s="83">
        <v>39</v>
      </c>
      <c r="E40" s="181" t="s">
        <v>231</v>
      </c>
      <c r="F40" s="83">
        <v>0</v>
      </c>
      <c r="G40" s="83">
        <v>1.8885139099999999E-3</v>
      </c>
      <c r="H40" s="83">
        <v>1.7</v>
      </c>
      <c r="I40" s="83">
        <v>13.5</v>
      </c>
      <c r="J40" s="83">
        <v>0.51449469999999997</v>
      </c>
      <c r="K40" s="83">
        <v>0.12592592799999999</v>
      </c>
      <c r="L40" s="356">
        <v>0</v>
      </c>
      <c r="M40" s="83">
        <v>0.2</v>
      </c>
      <c r="N40" s="83">
        <v>0</v>
      </c>
      <c r="P40" s="356">
        <v>0.08</v>
      </c>
    </row>
    <row r="41" spans="3:16" customFormat="1" ht="15" customHeight="1" x14ac:dyDescent="0.15">
      <c r="C41" s="83">
        <v>40</v>
      </c>
      <c r="E41" s="181" t="s">
        <v>232</v>
      </c>
      <c r="F41" s="83">
        <v>0</v>
      </c>
      <c r="G41" s="83">
        <v>7.4499999999999997E-2</v>
      </c>
      <c r="H41" s="83">
        <v>0.7</v>
      </c>
      <c r="I41" s="83">
        <v>3.4780645400000001</v>
      </c>
      <c r="J41" s="83">
        <v>0.60517895200000005</v>
      </c>
      <c r="K41" s="83">
        <v>0.201261356</v>
      </c>
      <c r="L41" s="356">
        <v>0</v>
      </c>
      <c r="M41" s="83">
        <v>0.2</v>
      </c>
      <c r="N41" s="83">
        <v>0</v>
      </c>
      <c r="P41" s="356">
        <v>0.08</v>
      </c>
    </row>
    <row r="42" spans="3:16" customFormat="1" ht="15" customHeight="1" x14ac:dyDescent="0.15">
      <c r="C42" s="83">
        <v>41</v>
      </c>
      <c r="E42" s="181" t="s">
        <v>233</v>
      </c>
      <c r="F42" s="83">
        <v>0</v>
      </c>
      <c r="G42" s="83">
        <v>8.6900000000000005E-2</v>
      </c>
      <c r="H42" s="83">
        <v>1.2</v>
      </c>
      <c r="I42" s="83">
        <v>11.5</v>
      </c>
      <c r="J42" s="83">
        <v>0.69639759999999995</v>
      </c>
      <c r="K42" s="83">
        <v>0.104347833</v>
      </c>
      <c r="L42" s="83">
        <v>0</v>
      </c>
      <c r="M42" s="83">
        <v>0.2</v>
      </c>
      <c r="N42" s="83">
        <v>0</v>
      </c>
    </row>
    <row r="43" spans="3:16" customFormat="1" ht="15" customHeight="1" x14ac:dyDescent="0.15">
      <c r="C43" s="83">
        <v>42</v>
      </c>
      <c r="E43" s="181" t="s">
        <v>234</v>
      </c>
      <c r="F43" s="83">
        <v>0</v>
      </c>
      <c r="G43" s="83">
        <v>7.7250630000000001E-2</v>
      </c>
      <c r="H43" s="83">
        <v>1.2</v>
      </c>
      <c r="I43" s="83">
        <v>11.3</v>
      </c>
      <c r="J43" s="83">
        <v>0.20596500000000001</v>
      </c>
      <c r="K43" s="83">
        <v>0.10619468999999999</v>
      </c>
      <c r="L43" s="83">
        <v>0</v>
      </c>
      <c r="M43" s="83">
        <v>0.2</v>
      </c>
      <c r="N43" s="83">
        <v>0</v>
      </c>
    </row>
    <row r="44" spans="3:16" customFormat="1" ht="15" customHeight="1" x14ac:dyDescent="0.15">
      <c r="C44" s="83">
        <v>43</v>
      </c>
      <c r="E44" s="181" t="s">
        <v>235</v>
      </c>
      <c r="F44" s="83">
        <v>0</v>
      </c>
      <c r="G44" s="83">
        <v>0.19750000000000001</v>
      </c>
      <c r="H44" s="83">
        <v>1.8</v>
      </c>
      <c r="I44" s="83">
        <v>11.8</v>
      </c>
      <c r="J44" s="83">
        <v>0.38281100000000001</v>
      </c>
      <c r="K44" s="83">
        <v>0.15254236800000001</v>
      </c>
      <c r="L44" s="83">
        <v>0</v>
      </c>
      <c r="M44" s="83">
        <v>0.2</v>
      </c>
      <c r="N44" s="83">
        <v>0</v>
      </c>
    </row>
    <row r="45" spans="3:16" customFormat="1" ht="15" customHeight="1" x14ac:dyDescent="0.15">
      <c r="C45" s="83">
        <v>44</v>
      </c>
      <c r="E45" s="181" t="s">
        <v>236</v>
      </c>
      <c r="F45" s="83">
        <v>0</v>
      </c>
      <c r="G45" s="83">
        <v>7.5399999999999995E-2</v>
      </c>
      <c r="H45" s="83">
        <v>1.65</v>
      </c>
      <c r="I45" s="83">
        <v>9.5</v>
      </c>
      <c r="J45" s="83">
        <v>0.93253169999999996</v>
      </c>
      <c r="K45" s="83">
        <v>0.17368421000000001</v>
      </c>
      <c r="L45" s="83">
        <v>0</v>
      </c>
      <c r="M45" s="83">
        <v>0.2</v>
      </c>
      <c r="N45" s="83">
        <v>0</v>
      </c>
    </row>
    <row r="46" spans="3:16" customFormat="1" ht="15" customHeight="1" x14ac:dyDescent="0.15">
      <c r="C46" s="83">
        <v>45</v>
      </c>
      <c r="E46" s="181" t="s">
        <v>237</v>
      </c>
      <c r="F46" s="83">
        <v>0</v>
      </c>
      <c r="G46" s="83">
        <v>0.24149999999999999</v>
      </c>
      <c r="H46" s="83">
        <v>1.8</v>
      </c>
      <c r="I46" s="83">
        <v>10.199999999999999</v>
      </c>
      <c r="J46" s="83">
        <v>0.65634006300000003</v>
      </c>
      <c r="K46" s="83">
        <v>0.17647060000000001</v>
      </c>
      <c r="L46" s="83">
        <v>0</v>
      </c>
      <c r="M46" s="83">
        <v>0.2</v>
      </c>
      <c r="N46" s="83">
        <v>0</v>
      </c>
    </row>
    <row r="47" spans="3:16" customFormat="1" ht="15" customHeight="1" x14ac:dyDescent="0.15">
      <c r="C47" s="83">
        <v>46</v>
      </c>
      <c r="E47" s="181" t="s">
        <v>238</v>
      </c>
      <c r="F47" s="83">
        <v>0</v>
      </c>
      <c r="G47" s="83">
        <v>0.11749999999999999</v>
      </c>
      <c r="H47" s="83">
        <v>1.34</v>
      </c>
      <c r="I47" s="83">
        <v>6.2</v>
      </c>
      <c r="J47" s="83">
        <v>0.99348264900000005</v>
      </c>
      <c r="K47" s="83">
        <v>0.21612904999999999</v>
      </c>
      <c r="L47" s="83">
        <v>0</v>
      </c>
      <c r="M47" s="83">
        <v>0.2</v>
      </c>
      <c r="N47" s="83">
        <v>0</v>
      </c>
    </row>
    <row r="48" spans="3:16" customFormat="1" ht="15" customHeight="1" x14ac:dyDescent="0.15">
      <c r="C48" s="83">
        <v>47</v>
      </c>
      <c r="E48" s="181" t="s">
        <v>239</v>
      </c>
      <c r="F48" s="83">
        <v>0</v>
      </c>
      <c r="G48" s="83">
        <v>0.13500000000000001</v>
      </c>
      <c r="H48" s="83">
        <v>1.54</v>
      </c>
      <c r="I48" s="83">
        <v>6.2</v>
      </c>
      <c r="J48" s="83">
        <v>0.98104375600000004</v>
      </c>
      <c r="K48" s="83">
        <v>0.2483871</v>
      </c>
      <c r="L48" s="83">
        <v>0</v>
      </c>
      <c r="M48" s="83">
        <v>0.2</v>
      </c>
      <c r="N48" s="83">
        <v>0</v>
      </c>
    </row>
    <row r="49" spans="3:14" customFormat="1" ht="15" customHeight="1" x14ac:dyDescent="0.15">
      <c r="C49" s="83">
        <v>48</v>
      </c>
      <c r="E49" s="181" t="s">
        <v>240</v>
      </c>
      <c r="F49" s="83">
        <v>0</v>
      </c>
      <c r="G49" s="83">
        <v>0.10879999999999999</v>
      </c>
      <c r="H49" s="83">
        <v>1.32</v>
      </c>
      <c r="I49" s="83">
        <v>7</v>
      </c>
      <c r="J49" s="83">
        <v>0.63565766800000001</v>
      </c>
      <c r="K49" s="83">
        <v>0.18857143800000001</v>
      </c>
      <c r="L49" s="83">
        <v>0</v>
      </c>
      <c r="M49" s="83">
        <v>0.2</v>
      </c>
      <c r="N49" s="83">
        <v>0</v>
      </c>
    </row>
    <row r="50" spans="3:14" customFormat="1" ht="15" customHeight="1" x14ac:dyDescent="0.15">
      <c r="C50" s="83">
        <v>49</v>
      </c>
      <c r="E50" s="181" t="s">
        <v>241</v>
      </c>
      <c r="F50" s="83">
        <v>0</v>
      </c>
      <c r="G50" s="83">
        <v>0.56499999999999995</v>
      </c>
      <c r="H50" s="83">
        <v>2.8</v>
      </c>
      <c r="I50" s="83">
        <v>12.5</v>
      </c>
      <c r="J50" s="83">
        <v>0.57826820000000001</v>
      </c>
      <c r="K50" s="83">
        <v>0.22399999200000001</v>
      </c>
      <c r="L50" s="83">
        <v>0</v>
      </c>
      <c r="M50" s="83">
        <v>0.2</v>
      </c>
      <c r="N50" s="83">
        <v>0</v>
      </c>
    </row>
    <row r="51" spans="3:14" customFormat="1" ht="15" customHeight="1" x14ac:dyDescent="0.15">
      <c r="C51" s="83">
        <v>50</v>
      </c>
      <c r="E51" s="181" t="s">
        <v>242</v>
      </c>
      <c r="F51" s="83">
        <v>0</v>
      </c>
      <c r="G51" s="83">
        <v>1.085</v>
      </c>
      <c r="H51" s="83">
        <v>3</v>
      </c>
      <c r="I51" s="83">
        <v>14.2</v>
      </c>
      <c r="J51" s="83">
        <v>0.54749020000000004</v>
      </c>
      <c r="K51" s="83">
        <v>0.2112676</v>
      </c>
      <c r="L51" s="83">
        <v>0</v>
      </c>
      <c r="M51" s="83">
        <v>0.2</v>
      </c>
      <c r="N51" s="83">
        <v>0</v>
      </c>
    </row>
    <row r="52" spans="3:14" customFormat="1" ht="15" customHeight="1" x14ac:dyDescent="0.15">
      <c r="C52" s="83">
        <v>51</v>
      </c>
      <c r="E52" s="181" t="s">
        <v>243</v>
      </c>
      <c r="F52" s="83">
        <v>0</v>
      </c>
      <c r="G52" s="83">
        <v>0.14000000000000001</v>
      </c>
      <c r="H52" s="83">
        <v>1.6</v>
      </c>
      <c r="I52" s="83">
        <v>8.5</v>
      </c>
      <c r="J52" s="83">
        <v>0.26696234899999999</v>
      </c>
      <c r="K52" s="83">
        <v>0.18823529999999999</v>
      </c>
      <c r="L52" s="83">
        <v>0</v>
      </c>
      <c r="M52" s="83">
        <v>0.2</v>
      </c>
      <c r="N52" s="83">
        <v>0</v>
      </c>
    </row>
    <row r="53" spans="3:14" customFormat="1" ht="15" customHeight="1" x14ac:dyDescent="0.15">
      <c r="C53" s="83">
        <v>52</v>
      </c>
      <c r="E53" s="181" t="s">
        <v>244</v>
      </c>
      <c r="F53" s="83">
        <v>0</v>
      </c>
      <c r="G53" s="83">
        <v>1.0255000000000001</v>
      </c>
      <c r="H53" s="83">
        <v>3.1</v>
      </c>
      <c r="I53" s="83">
        <v>15.6</v>
      </c>
      <c r="J53" s="83">
        <v>0.40216311799999999</v>
      </c>
      <c r="K53" s="83">
        <v>0.19871793700000001</v>
      </c>
      <c r="L53" s="83">
        <v>0</v>
      </c>
      <c r="M53" s="83">
        <v>0.2</v>
      </c>
      <c r="N53" s="83">
        <v>0</v>
      </c>
    </row>
    <row r="54" spans="3:14" customFormat="1" ht="15" customHeight="1" x14ac:dyDescent="0.15">
      <c r="C54" s="83">
        <v>53</v>
      </c>
      <c r="E54" s="181" t="s">
        <v>245</v>
      </c>
      <c r="F54" s="83">
        <v>0</v>
      </c>
      <c r="G54" s="83">
        <v>8.5900000000000004E-2</v>
      </c>
      <c r="H54" s="83">
        <v>1.8</v>
      </c>
      <c r="I54" s="83">
        <v>10</v>
      </c>
      <c r="J54" s="83">
        <v>8.9260359999999997E-2</v>
      </c>
      <c r="K54" s="83">
        <v>0.179999992</v>
      </c>
      <c r="L54" s="83">
        <v>0</v>
      </c>
      <c r="M54" s="83">
        <v>0.2</v>
      </c>
      <c r="N54" s="83">
        <v>0</v>
      </c>
    </row>
    <row r="55" spans="3:14" customFormat="1" ht="15" customHeight="1" x14ac:dyDescent="0.15">
      <c r="C55" s="83">
        <v>54</v>
      </c>
      <c r="E55" s="181" t="s">
        <v>246</v>
      </c>
      <c r="F55" s="83">
        <v>0</v>
      </c>
      <c r="G55" s="83">
        <v>8.9200000000000002E-2</v>
      </c>
      <c r="H55" s="83">
        <v>2</v>
      </c>
      <c r="I55" s="83">
        <v>15.1</v>
      </c>
      <c r="J55" s="83">
        <v>0.1041803</v>
      </c>
      <c r="K55" s="83">
        <v>0.13245032700000001</v>
      </c>
      <c r="L55" s="83">
        <v>0</v>
      </c>
      <c r="M55" s="83">
        <v>0.2</v>
      </c>
      <c r="N55" s="83">
        <v>0</v>
      </c>
    </row>
    <row r="56" spans="3:14" customFormat="1" ht="15" customHeight="1" x14ac:dyDescent="0.15">
      <c r="C56" s="83">
        <v>55</v>
      </c>
      <c r="E56" s="181" t="s">
        <v>247</v>
      </c>
      <c r="F56" s="83">
        <v>0</v>
      </c>
      <c r="G56" s="83">
        <v>0.35</v>
      </c>
      <c r="H56" s="83">
        <v>2.6</v>
      </c>
      <c r="I56" s="83">
        <v>17.600000000000001</v>
      </c>
      <c r="J56" s="83">
        <v>0.92284154900000004</v>
      </c>
      <c r="K56" s="83">
        <v>0.147727266</v>
      </c>
      <c r="L56" s="83">
        <v>0</v>
      </c>
      <c r="M56" s="83">
        <v>0.2</v>
      </c>
      <c r="N56" s="83">
        <v>0</v>
      </c>
    </row>
    <row r="57" spans="3:14" customFormat="1" ht="15" customHeight="1" x14ac:dyDescent="0.15">
      <c r="C57" s="83">
        <v>56</v>
      </c>
      <c r="E57" s="181" t="s">
        <v>248</v>
      </c>
      <c r="F57" s="83">
        <v>0</v>
      </c>
      <c r="G57" s="83">
        <v>0.32</v>
      </c>
      <c r="H57" s="83">
        <v>2.7</v>
      </c>
      <c r="I57" s="83">
        <v>22.2</v>
      </c>
      <c r="J57" s="83">
        <v>0.95248909999999998</v>
      </c>
      <c r="K57" s="83">
        <v>0.121621616</v>
      </c>
      <c r="L57" s="83">
        <v>0</v>
      </c>
      <c r="M57" s="83">
        <v>0.2</v>
      </c>
      <c r="N57" s="83">
        <v>0</v>
      </c>
    </row>
    <row r="58" spans="3:14" customFormat="1" ht="15" customHeight="1" x14ac:dyDescent="0.15">
      <c r="C58" s="83">
        <v>57</v>
      </c>
      <c r="E58" s="181" t="s">
        <v>249</v>
      </c>
      <c r="F58" s="83">
        <v>0</v>
      </c>
      <c r="G58" s="83">
        <v>0.22900000000000001</v>
      </c>
      <c r="H58" s="83">
        <v>2.7</v>
      </c>
      <c r="I58" s="83">
        <v>11.7</v>
      </c>
      <c r="J58" s="83">
        <v>0.71613305800000004</v>
      </c>
      <c r="K58" s="83">
        <v>0.23076923199999999</v>
      </c>
      <c r="L58" s="83">
        <v>0</v>
      </c>
      <c r="M58" s="83">
        <v>0.2</v>
      </c>
      <c r="N58" s="83">
        <v>0</v>
      </c>
    </row>
    <row r="59" spans="3:14" customFormat="1" ht="15" customHeight="1" x14ac:dyDescent="0.15">
      <c r="C59" s="83">
        <v>58</v>
      </c>
      <c r="E59" s="181" t="s">
        <v>250</v>
      </c>
      <c r="F59" s="83">
        <v>0</v>
      </c>
      <c r="G59" s="83">
        <v>0.154</v>
      </c>
      <c r="H59" s="83">
        <v>0.6</v>
      </c>
      <c r="I59" s="83">
        <v>11</v>
      </c>
      <c r="J59" s="83">
        <v>0.22101639200000001</v>
      </c>
      <c r="K59" s="83">
        <v>5.4545459999999997E-2</v>
      </c>
      <c r="L59" s="83">
        <v>0</v>
      </c>
      <c r="M59" s="83">
        <v>0.2</v>
      </c>
      <c r="N59" s="83">
        <v>0</v>
      </c>
    </row>
    <row r="60" spans="3:14" customFormat="1" ht="15" customHeight="1" x14ac:dyDescent="0.15">
      <c r="C60" s="83">
        <v>59</v>
      </c>
      <c r="E60" s="181" t="s">
        <v>251</v>
      </c>
      <c r="F60" s="83">
        <v>0</v>
      </c>
      <c r="G60" s="83">
        <v>0.32</v>
      </c>
      <c r="H60" s="83">
        <v>2.4</v>
      </c>
      <c r="I60" s="83">
        <v>11.7</v>
      </c>
      <c r="J60" s="83">
        <v>0.816846132</v>
      </c>
      <c r="K60" s="83">
        <v>0.205128223</v>
      </c>
      <c r="L60" s="83">
        <v>0</v>
      </c>
      <c r="M60" s="83">
        <v>0.2</v>
      </c>
      <c r="N60" s="83">
        <v>0</v>
      </c>
    </row>
    <row r="61" spans="3:14" customFormat="1" ht="15" customHeight="1" x14ac:dyDescent="0.15">
      <c r="C61" s="83">
        <v>60</v>
      </c>
      <c r="E61" s="181" t="s">
        <v>252</v>
      </c>
      <c r="F61" s="83">
        <v>0</v>
      </c>
      <c r="G61" s="83">
        <v>1.1000000000000001</v>
      </c>
      <c r="H61" s="83">
        <v>2.65</v>
      </c>
      <c r="I61" s="83">
        <v>12.1</v>
      </c>
      <c r="J61" s="83">
        <v>0.64030545900000002</v>
      </c>
      <c r="K61" s="83">
        <v>0.21900826700000001</v>
      </c>
      <c r="L61" s="83">
        <v>0</v>
      </c>
      <c r="M61" s="83">
        <v>0.2</v>
      </c>
      <c r="N61" s="83">
        <v>0</v>
      </c>
    </row>
    <row r="62" spans="3:14" customFormat="1" ht="15" customHeight="1" x14ac:dyDescent="0.15">
      <c r="C62" s="83">
        <v>61</v>
      </c>
      <c r="E62" s="181" t="s">
        <v>253</v>
      </c>
      <c r="F62" s="83">
        <v>0</v>
      </c>
      <c r="G62" s="83">
        <v>1.07</v>
      </c>
      <c r="H62" s="83">
        <v>2.7</v>
      </c>
      <c r="I62" s="83">
        <v>13.9</v>
      </c>
      <c r="J62" s="83">
        <v>0.71499869999999999</v>
      </c>
      <c r="K62" s="83">
        <v>0.19424460800000001</v>
      </c>
      <c r="L62" s="83">
        <v>0</v>
      </c>
      <c r="M62" s="83">
        <v>0.2</v>
      </c>
      <c r="N62" s="83">
        <v>0</v>
      </c>
    </row>
    <row r="63" spans="3:14" customFormat="1" ht="15" customHeight="1" x14ac:dyDescent="0.15">
      <c r="C63" s="83">
        <v>62</v>
      </c>
      <c r="E63" s="181" t="s">
        <v>254</v>
      </c>
      <c r="F63" s="83">
        <v>0</v>
      </c>
      <c r="G63" s="83">
        <v>1.3979999999999999</v>
      </c>
      <c r="H63" s="83">
        <v>3.5</v>
      </c>
      <c r="I63" s="83">
        <v>15.9</v>
      </c>
      <c r="J63" s="83">
        <v>0.40362690000000001</v>
      </c>
      <c r="K63" s="83">
        <v>0.22012580000000001</v>
      </c>
      <c r="L63" s="83">
        <v>0</v>
      </c>
      <c r="M63" s="83">
        <v>0.2</v>
      </c>
      <c r="N63" s="83">
        <v>0</v>
      </c>
    </row>
    <row r="64" spans="3:14" customFormat="1" ht="15" customHeight="1" x14ac:dyDescent="0.15">
      <c r="C64" s="83">
        <v>63</v>
      </c>
      <c r="E64" s="181" t="s">
        <v>255</v>
      </c>
      <c r="F64" s="83">
        <v>0</v>
      </c>
      <c r="G64" s="83">
        <v>0.55000000000000004</v>
      </c>
      <c r="H64" s="83">
        <v>3.1</v>
      </c>
      <c r="I64" s="83">
        <v>19.399999999999999</v>
      </c>
      <c r="J64" s="83">
        <v>0.26504972599999999</v>
      </c>
      <c r="K64" s="83">
        <v>0.15979380900000001</v>
      </c>
      <c r="L64" s="83">
        <v>0</v>
      </c>
      <c r="M64" s="83">
        <v>0.2</v>
      </c>
      <c r="N64" s="83">
        <v>0</v>
      </c>
    </row>
    <row r="65" spans="3:14" customFormat="1" ht="15" customHeight="1" x14ac:dyDescent="0.15">
      <c r="C65" s="83">
        <v>64</v>
      </c>
      <c r="E65" s="181" t="s">
        <v>256</v>
      </c>
      <c r="F65" s="83">
        <v>0</v>
      </c>
      <c r="G65" s="83">
        <v>0.495</v>
      </c>
      <c r="H65" s="83">
        <v>3.5</v>
      </c>
      <c r="I65" s="83">
        <v>12.5</v>
      </c>
      <c r="J65" s="83">
        <v>9.0483149999999998E-2</v>
      </c>
      <c r="K65" s="83">
        <v>0.28000000000000003</v>
      </c>
      <c r="L65" s="83">
        <v>0</v>
      </c>
      <c r="M65" s="83">
        <v>0.2</v>
      </c>
      <c r="N65" s="83">
        <v>0</v>
      </c>
    </row>
    <row r="66" spans="3:14" customFormat="1" ht="15" customHeight="1" x14ac:dyDescent="0.15">
      <c r="C66" s="83">
        <v>65</v>
      </c>
      <c r="E66" s="181" t="s">
        <v>257</v>
      </c>
      <c r="F66" s="83">
        <v>0</v>
      </c>
      <c r="G66" s="83">
        <v>1.38</v>
      </c>
      <c r="H66" s="83">
        <v>3.5</v>
      </c>
      <c r="I66" s="83">
        <v>13.7</v>
      </c>
      <c r="J66" s="83">
        <v>0.99616616999999996</v>
      </c>
      <c r="K66" s="83">
        <v>0.25547444800000002</v>
      </c>
      <c r="L66" s="83">
        <v>0</v>
      </c>
      <c r="M66" s="83">
        <v>0.2</v>
      </c>
      <c r="N66" s="83">
        <v>0</v>
      </c>
    </row>
    <row r="67" spans="3:14" customFormat="1" ht="15" customHeight="1" x14ac:dyDescent="0.15">
      <c r="C67" s="83">
        <v>66</v>
      </c>
      <c r="E67" s="181" t="s">
        <v>258</v>
      </c>
      <c r="F67" s="83">
        <v>0</v>
      </c>
      <c r="G67" s="83">
        <v>2.4</v>
      </c>
      <c r="H67" s="83">
        <v>3.8</v>
      </c>
      <c r="I67" s="83">
        <v>19.2</v>
      </c>
      <c r="J67" s="83">
        <v>0.91290289999999996</v>
      </c>
      <c r="K67" s="83">
        <v>0.197916657</v>
      </c>
      <c r="L67" s="83">
        <v>0</v>
      </c>
      <c r="M67" s="83">
        <v>0.2</v>
      </c>
      <c r="N67" s="83">
        <v>0</v>
      </c>
    </row>
    <row r="68" spans="3:14" customFormat="1" ht="15" customHeight="1" x14ac:dyDescent="0.15">
      <c r="C68" s="83">
        <v>67</v>
      </c>
      <c r="E68" s="181" t="s">
        <v>259</v>
      </c>
      <c r="F68" s="83">
        <v>0</v>
      </c>
      <c r="G68" s="83">
        <v>2.2200000000000002</v>
      </c>
      <c r="H68" s="83">
        <v>3</v>
      </c>
      <c r="I68" s="83">
        <v>10.5</v>
      </c>
      <c r="J68" s="83">
        <v>0.99493229999999999</v>
      </c>
      <c r="K68" s="83">
        <v>0.28571429999999998</v>
      </c>
      <c r="L68" s="83">
        <v>0</v>
      </c>
      <c r="M68" s="83">
        <v>0.2</v>
      </c>
      <c r="N68" s="83">
        <v>0</v>
      </c>
    </row>
    <row r="69" spans="3:14" customFormat="1" ht="15" customHeight="1" x14ac:dyDescent="0.15">
      <c r="C69" s="83">
        <v>68</v>
      </c>
      <c r="E69" s="181" t="s">
        <v>260</v>
      </c>
      <c r="F69" s="83">
        <v>0</v>
      </c>
      <c r="G69" s="83">
        <v>20</v>
      </c>
      <c r="H69" s="83">
        <v>5</v>
      </c>
      <c r="I69" s="83">
        <v>17</v>
      </c>
      <c r="J69" s="83">
        <v>0.54282403000000001</v>
      </c>
      <c r="K69" s="83">
        <v>0.29411765899999998</v>
      </c>
      <c r="L69" s="83">
        <v>0</v>
      </c>
      <c r="M69" s="83">
        <v>0.2</v>
      </c>
      <c r="N69" s="83">
        <v>0</v>
      </c>
    </row>
    <row r="70" spans="3:14" customFormat="1" ht="15" customHeight="1" x14ac:dyDescent="0.15">
      <c r="C70" s="83">
        <v>69</v>
      </c>
      <c r="E70" s="181" t="s">
        <v>261</v>
      </c>
      <c r="F70" s="83">
        <v>0</v>
      </c>
      <c r="G70" s="83">
        <v>15</v>
      </c>
      <c r="H70" s="83">
        <v>6</v>
      </c>
      <c r="I70" s="83">
        <v>27</v>
      </c>
      <c r="J70" s="83">
        <v>0.98863469999999998</v>
      </c>
      <c r="K70" s="83">
        <v>0.222222224</v>
      </c>
      <c r="L70" s="83">
        <v>0</v>
      </c>
      <c r="M70" s="83">
        <v>0.2</v>
      </c>
      <c r="N70" s="83">
        <v>0</v>
      </c>
    </row>
    <row r="71" spans="3:14" customFormat="1" ht="15" customHeight="1" x14ac:dyDescent="0.15">
      <c r="C71" s="83">
        <v>70</v>
      </c>
      <c r="E71" s="181" t="s">
        <v>262</v>
      </c>
      <c r="F71" s="83">
        <v>0</v>
      </c>
      <c r="G71" s="83">
        <v>13</v>
      </c>
      <c r="H71" s="83">
        <v>10</v>
      </c>
      <c r="I71" s="83">
        <v>40</v>
      </c>
      <c r="J71" s="83">
        <v>0.99948749999999997</v>
      </c>
      <c r="K71" s="83">
        <v>0.25</v>
      </c>
      <c r="L71" s="83">
        <v>0</v>
      </c>
      <c r="M71" s="83">
        <v>0.2</v>
      </c>
      <c r="N71" s="83">
        <v>0</v>
      </c>
    </row>
    <row r="72" spans="3:14" customFormat="1" ht="15" customHeight="1" x14ac:dyDescent="0.15">
      <c r="C72" s="83">
        <v>71</v>
      </c>
      <c r="E72" s="181" t="s">
        <v>263</v>
      </c>
      <c r="F72" s="83">
        <v>0</v>
      </c>
      <c r="G72" s="83">
        <v>18.5</v>
      </c>
      <c r="H72" s="83">
        <v>6</v>
      </c>
      <c r="I72" s="83">
        <v>22</v>
      </c>
      <c r="J72" s="83">
        <v>0.97515976400000004</v>
      </c>
      <c r="K72" s="83">
        <v>0.27272728099999999</v>
      </c>
      <c r="L72" s="83">
        <v>0</v>
      </c>
      <c r="M72" s="83">
        <v>0.2</v>
      </c>
      <c r="N72" s="83">
        <v>0</v>
      </c>
    </row>
    <row r="73" spans="3:14" customFormat="1" ht="15" customHeight="1" x14ac:dyDescent="0.15">
      <c r="C73" s="83">
        <v>72</v>
      </c>
      <c r="E73" s="181" t="s">
        <v>264</v>
      </c>
      <c r="F73" s="83">
        <v>1</v>
      </c>
      <c r="G73" s="83">
        <v>29.8</v>
      </c>
      <c r="H73" s="83">
        <v>27.5</v>
      </c>
      <c r="I73" s="83">
        <v>0</v>
      </c>
      <c r="J73" s="83">
        <v>8.3422330000000003E-2</v>
      </c>
      <c r="K73" s="83">
        <v>0</v>
      </c>
      <c r="L73" s="83">
        <v>0</v>
      </c>
      <c r="M73" s="83">
        <v>0</v>
      </c>
      <c r="N73" s="83">
        <v>0</v>
      </c>
    </row>
    <row r="74" spans="3:14" customFormat="1" ht="15" customHeight="1" x14ac:dyDescent="0.15">
      <c r="C74" s="83">
        <v>73</v>
      </c>
      <c r="E74" s="181" t="s">
        <v>265</v>
      </c>
      <c r="F74" s="83">
        <v>1</v>
      </c>
      <c r="G74" s="83">
        <v>150</v>
      </c>
      <c r="H74" s="83">
        <v>25</v>
      </c>
      <c r="I74" s="83">
        <v>0</v>
      </c>
      <c r="J74" s="83">
        <v>1.04047228E-2</v>
      </c>
      <c r="K74" s="83">
        <v>0</v>
      </c>
      <c r="L74" s="83">
        <v>0</v>
      </c>
      <c r="M74" s="83">
        <v>0</v>
      </c>
      <c r="N74" s="83">
        <v>0</v>
      </c>
    </row>
    <row r="75" spans="3:14" customFormat="1" ht="15" customHeight="1" x14ac:dyDescent="0.15">
      <c r="C75" s="83">
        <v>74</v>
      </c>
      <c r="E75" s="181" t="s">
        <v>266</v>
      </c>
      <c r="F75" s="83">
        <v>1</v>
      </c>
      <c r="G75" s="83">
        <v>25</v>
      </c>
      <c r="H75" s="83">
        <v>160</v>
      </c>
      <c r="I75" s="83">
        <v>0</v>
      </c>
      <c r="J75" s="83">
        <v>0.20754292599999999</v>
      </c>
      <c r="K75" s="83">
        <v>0</v>
      </c>
      <c r="L75" s="83">
        <v>0</v>
      </c>
      <c r="M75" s="83">
        <v>0</v>
      </c>
      <c r="N75" s="83">
        <v>0</v>
      </c>
    </row>
    <row r="76" spans="3:14" customFormat="1" ht="15" customHeight="1" x14ac:dyDescent="0.15">
      <c r="C76" s="83">
        <v>75</v>
      </c>
      <c r="E76" s="181" t="s">
        <v>267</v>
      </c>
      <c r="F76" s="83">
        <v>2</v>
      </c>
      <c r="G76" s="83">
        <v>100</v>
      </c>
      <c r="H76" s="83">
        <v>0</v>
      </c>
      <c r="I76" s="83">
        <v>0</v>
      </c>
      <c r="J76" s="83">
        <v>0</v>
      </c>
      <c r="K76" s="83">
        <v>0</v>
      </c>
      <c r="L76" s="83">
        <v>0</v>
      </c>
      <c r="M76" s="83">
        <v>0</v>
      </c>
      <c r="N76" s="83">
        <v>0</v>
      </c>
    </row>
    <row r="77" spans="3:14" customFormat="1" ht="15" customHeight="1" x14ac:dyDescent="0.15">
      <c r="C77" s="83">
        <v>76</v>
      </c>
      <c r="E77" s="181" t="s">
        <v>268</v>
      </c>
      <c r="F77" s="83">
        <v>2</v>
      </c>
      <c r="G77" s="83">
        <v>5</v>
      </c>
      <c r="H77" s="83">
        <v>0</v>
      </c>
      <c r="I77" s="83">
        <v>0</v>
      </c>
      <c r="J77" s="83">
        <v>0</v>
      </c>
      <c r="K77" s="83">
        <v>0</v>
      </c>
      <c r="L77" s="83">
        <v>0</v>
      </c>
      <c r="M77" s="83">
        <v>0</v>
      </c>
      <c r="N77" s="83">
        <v>0</v>
      </c>
    </row>
    <row r="78" spans="3:14" customFormat="1" ht="15" customHeight="1" x14ac:dyDescent="0.15">
      <c r="C78" s="83">
        <v>77</v>
      </c>
      <c r="E78" s="181" t="s">
        <v>269</v>
      </c>
      <c r="F78" s="83">
        <v>3</v>
      </c>
      <c r="G78" s="83">
        <v>0</v>
      </c>
      <c r="H78" s="83">
        <v>0</v>
      </c>
      <c r="I78" s="83">
        <v>0</v>
      </c>
      <c r="J78" s="83">
        <v>0</v>
      </c>
      <c r="K78" s="83">
        <v>0</v>
      </c>
      <c r="L78" s="83">
        <v>0</v>
      </c>
      <c r="M78" s="83">
        <v>0</v>
      </c>
      <c r="N78" s="83">
        <v>0</v>
      </c>
    </row>
    <row r="79" spans="3:14" customFormat="1" ht="15" customHeight="1" x14ac:dyDescent="0.15">
      <c r="C79" s="83">
        <v>78</v>
      </c>
      <c r="E79" s="181" t="s">
        <v>270</v>
      </c>
      <c r="F79" s="83">
        <v>3</v>
      </c>
      <c r="G79" s="83">
        <v>0</v>
      </c>
      <c r="H79" s="83">
        <v>0</v>
      </c>
      <c r="I79" s="83">
        <v>0</v>
      </c>
      <c r="J79" s="83">
        <v>0</v>
      </c>
      <c r="K79" s="83">
        <v>0</v>
      </c>
      <c r="L79" s="83">
        <v>0</v>
      </c>
      <c r="M79" s="83">
        <v>0</v>
      </c>
      <c r="N79" s="83">
        <v>0</v>
      </c>
    </row>
    <row r="80" spans="3:14" customFormat="1" ht="15" customHeight="1" x14ac:dyDescent="0.15">
      <c r="C80" s="83">
        <v>79</v>
      </c>
      <c r="E80" s="181" t="s">
        <v>271</v>
      </c>
      <c r="F80" s="83">
        <v>3</v>
      </c>
      <c r="G80" s="83">
        <v>0</v>
      </c>
      <c r="H80" s="83">
        <v>0</v>
      </c>
      <c r="I80" s="83">
        <v>0</v>
      </c>
      <c r="J80" s="83">
        <v>0</v>
      </c>
      <c r="K80" s="83">
        <v>0</v>
      </c>
      <c r="L80" s="83">
        <v>0</v>
      </c>
      <c r="M80" s="83">
        <v>0</v>
      </c>
      <c r="N80" s="83">
        <v>0</v>
      </c>
    </row>
    <row r="81" spans="3:14" customFormat="1" ht="15" customHeight="1" x14ac:dyDescent="0.15">
      <c r="C81" s="83">
        <v>80</v>
      </c>
      <c r="E81" s="181" t="s">
        <v>272</v>
      </c>
      <c r="F81" s="83">
        <v>3</v>
      </c>
      <c r="G81" s="83">
        <v>0</v>
      </c>
      <c r="H81" s="83">
        <v>0</v>
      </c>
      <c r="I81" s="83">
        <v>0</v>
      </c>
      <c r="J81" s="83">
        <v>0</v>
      </c>
      <c r="K81" s="83">
        <v>0</v>
      </c>
      <c r="L81" s="83">
        <v>0</v>
      </c>
      <c r="M81" s="83">
        <v>0</v>
      </c>
      <c r="N81" s="83">
        <v>0</v>
      </c>
    </row>
    <row r="82" spans="3:14" customFormat="1" ht="15" customHeight="1" x14ac:dyDescent="0.15">
      <c r="C82" s="83">
        <v>81</v>
      </c>
      <c r="E82" s="181" t="s">
        <v>273</v>
      </c>
      <c r="F82" s="83">
        <v>3</v>
      </c>
      <c r="G82" s="83">
        <v>0</v>
      </c>
      <c r="H82" s="83">
        <v>0</v>
      </c>
      <c r="I82" s="83">
        <v>0</v>
      </c>
      <c r="J82" s="83">
        <v>0</v>
      </c>
      <c r="K82" s="83">
        <v>0</v>
      </c>
      <c r="L82" s="83">
        <v>0</v>
      </c>
      <c r="M82" s="83">
        <v>0</v>
      </c>
      <c r="N82" s="83">
        <v>0</v>
      </c>
    </row>
    <row r="83" spans="3:14" customFormat="1" ht="15" customHeight="1" x14ac:dyDescent="0.15">
      <c r="C83" s="83">
        <v>82</v>
      </c>
      <c r="E83" s="181" t="s">
        <v>274</v>
      </c>
      <c r="F83" s="83">
        <v>3</v>
      </c>
      <c r="G83" s="83">
        <v>0</v>
      </c>
      <c r="H83" s="83">
        <v>0</v>
      </c>
      <c r="I83" s="83">
        <v>0</v>
      </c>
      <c r="J83" s="83">
        <v>0</v>
      </c>
      <c r="K83" s="83">
        <v>0</v>
      </c>
      <c r="L83" s="83">
        <v>0</v>
      </c>
      <c r="M83" s="83">
        <v>0</v>
      </c>
      <c r="N83" s="83">
        <v>0</v>
      </c>
    </row>
    <row r="84" spans="3:14" customFormat="1" ht="15" customHeight="1" x14ac:dyDescent="0.15">
      <c r="C84" s="83">
        <v>83</v>
      </c>
      <c r="E84" s="181" t="s">
        <v>275</v>
      </c>
      <c r="F84" s="83">
        <v>3</v>
      </c>
      <c r="G84" s="83">
        <v>0</v>
      </c>
      <c r="H84" s="83">
        <v>0</v>
      </c>
      <c r="I84" s="83">
        <v>0</v>
      </c>
      <c r="J84" s="83">
        <v>0</v>
      </c>
      <c r="K84" s="83">
        <v>0</v>
      </c>
      <c r="L84" s="83">
        <v>0</v>
      </c>
      <c r="M84" s="83">
        <v>0</v>
      </c>
      <c r="N84" s="83">
        <v>0</v>
      </c>
    </row>
    <row r="85" spans="3:14" customFormat="1" ht="15" customHeight="1" x14ac:dyDescent="0.15">
      <c r="C85" s="83">
        <v>84</v>
      </c>
      <c r="E85" s="181" t="s">
        <v>276</v>
      </c>
      <c r="F85" s="83">
        <v>3</v>
      </c>
      <c r="G85" s="83">
        <v>0</v>
      </c>
      <c r="H85" s="83">
        <v>0</v>
      </c>
      <c r="I85" s="83">
        <v>0</v>
      </c>
      <c r="J85" s="83">
        <v>0</v>
      </c>
      <c r="K85" s="83">
        <v>0</v>
      </c>
      <c r="L85" s="83">
        <v>0</v>
      </c>
      <c r="M85" s="83">
        <v>0</v>
      </c>
      <c r="N85" s="83">
        <v>0</v>
      </c>
    </row>
    <row r="86" spans="3:14" customFormat="1" ht="15" customHeight="1" x14ac:dyDescent="0.15">
      <c r="C86" s="83">
        <v>85</v>
      </c>
      <c r="E86" s="181" t="s">
        <v>277</v>
      </c>
      <c r="F86" s="83">
        <v>3</v>
      </c>
      <c r="G86" s="83">
        <v>0</v>
      </c>
      <c r="H86" s="83">
        <v>0</v>
      </c>
      <c r="I86" s="83">
        <v>0</v>
      </c>
      <c r="J86" s="83">
        <v>0</v>
      </c>
      <c r="K86" s="83">
        <v>0</v>
      </c>
      <c r="L86" s="83">
        <v>0</v>
      </c>
      <c r="M86" s="83">
        <v>0</v>
      </c>
      <c r="N86" s="83">
        <v>0</v>
      </c>
    </row>
    <row r="87" spans="3:14" customFormat="1" ht="15" customHeight="1" x14ac:dyDescent="0.15">
      <c r="C87" s="83">
        <v>86</v>
      </c>
      <c r="E87" s="181" t="s">
        <v>278</v>
      </c>
      <c r="F87" s="83">
        <v>3</v>
      </c>
      <c r="G87" s="83">
        <v>0</v>
      </c>
      <c r="H87" s="83">
        <v>0</v>
      </c>
      <c r="I87" s="83">
        <v>0</v>
      </c>
      <c r="J87" s="83">
        <v>0</v>
      </c>
      <c r="K87" s="83">
        <v>0</v>
      </c>
      <c r="L87" s="83">
        <v>0</v>
      </c>
      <c r="M87" s="83">
        <v>0</v>
      </c>
      <c r="N87" s="83">
        <v>0</v>
      </c>
    </row>
    <row r="88" spans="3:14" customFormat="1" ht="15" customHeight="1" x14ac:dyDescent="0.15">
      <c r="C88" s="83">
        <v>87</v>
      </c>
      <c r="E88" s="181" t="s">
        <v>279</v>
      </c>
      <c r="F88" s="83">
        <v>3</v>
      </c>
      <c r="G88" s="83">
        <v>0</v>
      </c>
      <c r="H88" s="83">
        <v>0</v>
      </c>
      <c r="I88" s="83">
        <v>0</v>
      </c>
      <c r="J88" s="83">
        <v>0</v>
      </c>
      <c r="K88" s="83">
        <v>0</v>
      </c>
      <c r="L88" s="83">
        <v>0</v>
      </c>
      <c r="M88" s="83">
        <v>0</v>
      </c>
      <c r="N88" s="83">
        <v>0</v>
      </c>
    </row>
    <row r="89" spans="3:14" customFormat="1" ht="15" customHeight="1" x14ac:dyDescent="0.15">
      <c r="C89" s="83">
        <v>88</v>
      </c>
      <c r="E89" s="181" t="s">
        <v>280</v>
      </c>
      <c r="F89" s="83">
        <v>3</v>
      </c>
      <c r="G89" s="83">
        <v>0</v>
      </c>
      <c r="H89" s="83">
        <v>0</v>
      </c>
      <c r="I89" s="83">
        <v>0</v>
      </c>
      <c r="J89" s="83">
        <v>0</v>
      </c>
      <c r="K89" s="83">
        <v>0</v>
      </c>
      <c r="L89" s="83">
        <v>0</v>
      </c>
      <c r="M89" s="83">
        <v>0</v>
      </c>
      <c r="N89" s="83">
        <v>0</v>
      </c>
    </row>
    <row r="90" spans="3:14" customFormat="1" ht="15" customHeight="1" x14ac:dyDescent="0.15">
      <c r="C90" s="83">
        <v>89</v>
      </c>
      <c r="E90" s="181" t="s">
        <v>281</v>
      </c>
      <c r="F90" s="83">
        <v>3</v>
      </c>
      <c r="G90" s="83">
        <v>0</v>
      </c>
      <c r="H90" s="83">
        <v>0</v>
      </c>
      <c r="I90" s="83">
        <v>0</v>
      </c>
      <c r="J90" s="83">
        <v>0</v>
      </c>
      <c r="K90" s="83">
        <v>0</v>
      </c>
      <c r="L90" s="83">
        <v>0</v>
      </c>
      <c r="M90" s="83">
        <v>0</v>
      </c>
      <c r="N90" s="83">
        <v>0</v>
      </c>
    </row>
    <row r="91" spans="3:14" customFormat="1" ht="15" customHeight="1" x14ac:dyDescent="0.15">
      <c r="C91" s="83">
        <v>90</v>
      </c>
      <c r="E91" s="181" t="s">
        <v>282</v>
      </c>
      <c r="F91" s="83">
        <v>3</v>
      </c>
      <c r="G91" s="83">
        <v>0</v>
      </c>
      <c r="H91" s="83">
        <v>0</v>
      </c>
      <c r="I91" s="83">
        <v>0</v>
      </c>
      <c r="J91" s="83">
        <v>0</v>
      </c>
      <c r="K91" s="83">
        <v>0</v>
      </c>
      <c r="L91" s="83">
        <v>0</v>
      </c>
      <c r="M91" s="83">
        <v>0</v>
      </c>
      <c r="N91" s="83">
        <v>0</v>
      </c>
    </row>
    <row r="92" spans="3:14" customFormat="1" ht="15" customHeight="1" x14ac:dyDescent="0.15">
      <c r="C92" s="83">
        <v>91</v>
      </c>
      <c r="E92" s="181" t="s">
        <v>283</v>
      </c>
      <c r="F92" s="83">
        <v>3</v>
      </c>
      <c r="G92" s="83">
        <v>0</v>
      </c>
      <c r="H92" s="83">
        <v>0</v>
      </c>
      <c r="I92" s="83">
        <v>0</v>
      </c>
      <c r="J92" s="83">
        <v>0</v>
      </c>
      <c r="K92" s="83">
        <v>0</v>
      </c>
      <c r="L92" s="83">
        <v>0</v>
      </c>
      <c r="M92" s="83">
        <v>0</v>
      </c>
      <c r="N92" s="83">
        <v>0</v>
      </c>
    </row>
    <row r="93" spans="3:14" customFormat="1" ht="15" customHeight="1" x14ac:dyDescent="0.15">
      <c r="C93" s="83">
        <v>92</v>
      </c>
      <c r="E93" s="181" t="s">
        <v>284</v>
      </c>
      <c r="F93" s="83">
        <v>3</v>
      </c>
      <c r="G93" s="83">
        <v>0</v>
      </c>
      <c r="H93" s="83">
        <v>0</v>
      </c>
      <c r="I93" s="83">
        <v>0</v>
      </c>
      <c r="J93" s="83">
        <v>0</v>
      </c>
      <c r="K93" s="83">
        <v>0</v>
      </c>
      <c r="L93" s="83">
        <v>0</v>
      </c>
      <c r="M93" s="83">
        <v>0</v>
      </c>
      <c r="N93" s="83">
        <v>0</v>
      </c>
    </row>
    <row r="94" spans="3:14" customFormat="1" ht="15" customHeight="1" x14ac:dyDescent="0.15">
      <c r="C94" s="83">
        <v>93</v>
      </c>
      <c r="E94" s="181" t="s">
        <v>285</v>
      </c>
      <c r="F94" s="83">
        <v>3</v>
      </c>
      <c r="G94" s="83">
        <v>0</v>
      </c>
      <c r="H94" s="83">
        <v>0</v>
      </c>
      <c r="I94" s="83">
        <v>0</v>
      </c>
      <c r="J94" s="83">
        <v>0</v>
      </c>
      <c r="K94" s="83">
        <v>0</v>
      </c>
      <c r="L94" s="83">
        <v>0</v>
      </c>
      <c r="M94" s="83">
        <v>0</v>
      </c>
      <c r="N94" s="83">
        <v>0</v>
      </c>
    </row>
    <row r="95" spans="3:14" customFormat="1" ht="15" customHeight="1" x14ac:dyDescent="0.15">
      <c r="C95" s="83">
        <v>94</v>
      </c>
      <c r="E95" s="181" t="s">
        <v>286</v>
      </c>
      <c r="F95" s="83">
        <v>3</v>
      </c>
      <c r="G95" s="83">
        <v>0</v>
      </c>
      <c r="H95" s="83">
        <v>0</v>
      </c>
      <c r="I95" s="83">
        <v>0</v>
      </c>
      <c r="J95" s="83">
        <v>0</v>
      </c>
      <c r="K95" s="83">
        <v>0</v>
      </c>
      <c r="L95" s="83">
        <v>0</v>
      </c>
      <c r="M95" s="83">
        <v>0</v>
      </c>
      <c r="N95" s="83">
        <v>0</v>
      </c>
    </row>
    <row r="96" spans="3:14" customFormat="1" ht="15" customHeight="1" x14ac:dyDescent="0.15">
      <c r="C96" s="83">
        <v>95</v>
      </c>
      <c r="E96" s="181" t="s">
        <v>287</v>
      </c>
      <c r="F96" s="83">
        <v>3</v>
      </c>
      <c r="G96" s="83">
        <v>0</v>
      </c>
      <c r="H96" s="83">
        <v>0</v>
      </c>
      <c r="I96" s="83">
        <v>0</v>
      </c>
      <c r="J96" s="83">
        <v>0</v>
      </c>
      <c r="K96" s="83">
        <v>0</v>
      </c>
      <c r="L96" s="83">
        <v>0</v>
      </c>
      <c r="M96" s="83">
        <v>0</v>
      </c>
      <c r="N96" s="83">
        <v>0</v>
      </c>
    </row>
    <row r="97" spans="3:14" customFormat="1" ht="15" customHeight="1" x14ac:dyDescent="0.15">
      <c r="C97" s="83">
        <v>96</v>
      </c>
      <c r="E97" s="181" t="s">
        <v>288</v>
      </c>
      <c r="F97" s="83">
        <v>3</v>
      </c>
      <c r="G97" s="83">
        <v>0</v>
      </c>
      <c r="H97" s="83">
        <v>0</v>
      </c>
      <c r="I97" s="83">
        <v>0</v>
      </c>
      <c r="J97" s="83">
        <v>0</v>
      </c>
      <c r="K97" s="83">
        <v>0</v>
      </c>
      <c r="L97" s="83">
        <v>0</v>
      </c>
      <c r="M97" s="83">
        <v>0</v>
      </c>
      <c r="N97" s="83">
        <v>0</v>
      </c>
    </row>
    <row r="98" spans="3:14" customFormat="1" ht="15" customHeight="1" x14ac:dyDescent="0.15">
      <c r="C98" s="83">
        <v>97</v>
      </c>
      <c r="E98" s="181" t="s">
        <v>289</v>
      </c>
      <c r="F98" s="83">
        <v>3</v>
      </c>
      <c r="G98" s="83">
        <v>0</v>
      </c>
      <c r="H98" s="83">
        <v>0</v>
      </c>
      <c r="I98" s="83">
        <v>0</v>
      </c>
      <c r="J98" s="83">
        <v>0</v>
      </c>
      <c r="K98" s="83">
        <v>0</v>
      </c>
      <c r="L98" s="83">
        <v>0</v>
      </c>
      <c r="M98" s="83">
        <v>0</v>
      </c>
      <c r="N98" s="83">
        <v>0</v>
      </c>
    </row>
    <row r="99" spans="3:14" customFormat="1" ht="15" customHeight="1" x14ac:dyDescent="0.15">
      <c r="C99" s="83">
        <v>98</v>
      </c>
      <c r="E99" s="181" t="s">
        <v>290</v>
      </c>
      <c r="F99" s="83">
        <v>3</v>
      </c>
      <c r="G99" s="83">
        <v>0</v>
      </c>
      <c r="H99" s="83">
        <v>0</v>
      </c>
      <c r="I99" s="83">
        <v>0</v>
      </c>
      <c r="J99" s="83">
        <v>0</v>
      </c>
      <c r="K99" s="83">
        <v>0</v>
      </c>
      <c r="L99" s="83">
        <v>0</v>
      </c>
      <c r="M99" s="83">
        <v>0</v>
      </c>
      <c r="N99" s="83">
        <v>0</v>
      </c>
    </row>
    <row r="100" spans="3:14" customFormat="1" ht="15" customHeight="1" x14ac:dyDescent="0.15">
      <c r="C100" s="83">
        <v>99</v>
      </c>
      <c r="E100" s="181" t="s">
        <v>291</v>
      </c>
      <c r="F100" s="83">
        <v>3</v>
      </c>
      <c r="G100" s="83">
        <v>0</v>
      </c>
      <c r="H100" s="83">
        <v>0</v>
      </c>
      <c r="I100" s="83">
        <v>0</v>
      </c>
      <c r="J100" s="83">
        <v>0</v>
      </c>
      <c r="K100" s="83">
        <v>0</v>
      </c>
      <c r="L100" s="83">
        <v>0</v>
      </c>
      <c r="M100" s="83">
        <v>0</v>
      </c>
      <c r="N100" s="83">
        <v>0</v>
      </c>
    </row>
    <row r="101" spans="3:14" customFormat="1" ht="15" customHeight="1" x14ac:dyDescent="0.15">
      <c r="C101" s="83">
        <v>100</v>
      </c>
      <c r="E101" s="181" t="s">
        <v>292</v>
      </c>
      <c r="F101" s="83">
        <v>3</v>
      </c>
      <c r="G101" s="83">
        <v>0</v>
      </c>
      <c r="H101" s="83">
        <v>0</v>
      </c>
      <c r="I101" s="83">
        <v>0</v>
      </c>
      <c r="J101" s="83">
        <v>0</v>
      </c>
      <c r="K101" s="83">
        <v>0</v>
      </c>
      <c r="L101" s="83">
        <v>0</v>
      </c>
      <c r="M101" s="83">
        <v>0</v>
      </c>
      <c r="N101" s="83">
        <v>0</v>
      </c>
    </row>
    <row r="102" spans="3:14" customFormat="1" ht="15" customHeight="1" x14ac:dyDescent="0.15"/>
    <row r="103" spans="3:14" customFormat="1" ht="15" customHeight="1" x14ac:dyDescent="0.15"/>
    <row r="104" spans="3:14" customFormat="1" ht="15" customHeight="1" x14ac:dyDescent="0.15"/>
    <row r="105" spans="3:14" customFormat="1" ht="15" customHeight="1" x14ac:dyDescent="0.15"/>
    <row r="106" spans="3:14" customFormat="1" ht="15" customHeight="1" x14ac:dyDescent="0.15"/>
    <row r="107" spans="3:14" customFormat="1" ht="15" customHeight="1" x14ac:dyDescent="0.15"/>
    <row r="108" spans="3:14" customFormat="1" ht="15" customHeight="1" x14ac:dyDescent="0.15"/>
    <row r="109" spans="3:14" customFormat="1" ht="15" customHeight="1" x14ac:dyDescent="0.15"/>
    <row r="110" spans="3:14" customFormat="1" ht="15" customHeight="1" x14ac:dyDescent="0.15"/>
    <row r="111" spans="3:14" customFormat="1" ht="15" customHeight="1" x14ac:dyDescent="0.15"/>
    <row r="112" spans="3:14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Y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7" bestFit="1" customWidth="1"/>
    <col min="2" max="2" width="8.83203125" style="147" bestFit="1" customWidth="1"/>
    <col min="3" max="22" width="15.83203125" style="147" bestFit="1" customWidth="1"/>
    <col min="23" max="23" width="15.5" style="147" bestFit="1" customWidth="1"/>
    <col min="24" max="29" width="15.83203125" style="147" bestFit="1" customWidth="1"/>
    <col min="30" max="51" width="15.83203125" style="147" customWidth="1"/>
    <col min="52" max="52" width="14.83203125" style="147" customWidth="1"/>
    <col min="53" max="54" width="15.83203125" style="147" customWidth="1"/>
    <col min="55" max="55" width="13.83203125" style="147" customWidth="1"/>
    <col min="56" max="57" width="14.83203125" style="147" customWidth="1"/>
    <col min="58" max="60" width="13.83203125" style="147" customWidth="1"/>
    <col min="61" max="61" width="15.5" style="147" customWidth="1"/>
    <col min="62" max="62" width="13.83203125" style="147" customWidth="1"/>
    <col min="63" max="63" width="14.83203125" style="147" customWidth="1"/>
    <col min="64" max="65" width="13.83203125" style="147" customWidth="1"/>
    <col min="66" max="66" width="15.83203125" style="147" customWidth="1"/>
    <col min="67" max="67" width="6.83203125" style="147" customWidth="1"/>
    <col min="68" max="70" width="15.83203125" style="147" customWidth="1"/>
    <col min="71" max="71" width="12.83203125" style="147" customWidth="1"/>
    <col min="72" max="72" width="15.83203125" style="147" customWidth="1"/>
    <col min="73" max="77" width="2.33203125" style="147" customWidth="1"/>
    <col min="78" max="16384" width="8.83203125" style="147"/>
  </cols>
  <sheetData>
    <row r="1" spans="1:77" x14ac:dyDescent="0.15">
      <c r="A1" s="146" t="s">
        <v>19</v>
      </c>
      <c r="B1" s="183" t="s">
        <v>193</v>
      </c>
      <c r="C1" s="183" t="s">
        <v>194</v>
      </c>
      <c r="D1" s="183" t="s">
        <v>195</v>
      </c>
      <c r="E1" s="183" t="s">
        <v>196</v>
      </c>
      <c r="F1" s="183" t="s">
        <v>197</v>
      </c>
      <c r="G1" s="183" t="s">
        <v>198</v>
      </c>
      <c r="H1" s="183" t="s">
        <v>199</v>
      </c>
      <c r="I1" s="183" t="s">
        <v>200</v>
      </c>
      <c r="J1" s="183" t="s">
        <v>201</v>
      </c>
      <c r="K1" s="183" t="s">
        <v>202</v>
      </c>
      <c r="L1" s="183" t="s">
        <v>203</v>
      </c>
      <c r="M1" s="183" t="s">
        <v>204</v>
      </c>
      <c r="N1" s="183" t="s">
        <v>205</v>
      </c>
      <c r="O1" s="183" t="s">
        <v>206</v>
      </c>
      <c r="P1" s="183" t="s">
        <v>207</v>
      </c>
      <c r="Q1" s="183" t="s">
        <v>208</v>
      </c>
      <c r="R1" s="183" t="s">
        <v>209</v>
      </c>
      <c r="S1" s="183" t="s">
        <v>210</v>
      </c>
      <c r="T1" s="183" t="s">
        <v>211</v>
      </c>
      <c r="U1" s="183" t="s">
        <v>212</v>
      </c>
      <c r="V1" s="183" t="s">
        <v>213</v>
      </c>
      <c r="W1" s="183" t="s">
        <v>214</v>
      </c>
      <c r="X1" s="183" t="s">
        <v>215</v>
      </c>
      <c r="Y1" s="183" t="s">
        <v>216</v>
      </c>
      <c r="Z1" s="183" t="s">
        <v>217</v>
      </c>
      <c r="AA1" s="183" t="s">
        <v>218</v>
      </c>
      <c r="AB1" s="183" t="s">
        <v>219</v>
      </c>
      <c r="AC1" s="183" t="s">
        <v>220</v>
      </c>
      <c r="AD1" s="183" t="s">
        <v>221</v>
      </c>
      <c r="AE1" s="183" t="s">
        <v>222</v>
      </c>
      <c r="AF1" s="183" t="s">
        <v>223</v>
      </c>
      <c r="AG1" s="183" t="s">
        <v>224</v>
      </c>
      <c r="AH1" s="183" t="s">
        <v>225</v>
      </c>
      <c r="AI1" s="183" t="s">
        <v>226</v>
      </c>
      <c r="AJ1" s="183" t="s">
        <v>227</v>
      </c>
      <c r="AK1" s="183" t="s">
        <v>228</v>
      </c>
      <c r="AL1" s="183" t="s">
        <v>229</v>
      </c>
      <c r="AM1" s="183" t="s">
        <v>230</v>
      </c>
      <c r="AN1" s="183" t="s">
        <v>231</v>
      </c>
      <c r="AO1" s="183" t="s">
        <v>232</v>
      </c>
      <c r="AP1" s="183" t="s">
        <v>233</v>
      </c>
      <c r="AQ1" s="183" t="s">
        <v>234</v>
      </c>
      <c r="AR1" s="183" t="s">
        <v>235</v>
      </c>
      <c r="AS1" s="183" t="s">
        <v>236</v>
      </c>
      <c r="AT1" s="183" t="s">
        <v>237</v>
      </c>
      <c r="AU1" s="183" t="s">
        <v>238</v>
      </c>
      <c r="AV1" s="183" t="s">
        <v>239</v>
      </c>
      <c r="AW1" s="183" t="s">
        <v>240</v>
      </c>
      <c r="AX1" s="183" t="s">
        <v>241</v>
      </c>
      <c r="AY1" s="183" t="s">
        <v>242</v>
      </c>
      <c r="AZ1" s="183" t="s">
        <v>243</v>
      </c>
      <c r="BA1" s="183" t="s">
        <v>244</v>
      </c>
      <c r="BB1" s="183" t="s">
        <v>245</v>
      </c>
      <c r="BC1" s="183" t="s">
        <v>246</v>
      </c>
      <c r="BD1" s="183" t="s">
        <v>247</v>
      </c>
      <c r="BE1" s="183" t="s">
        <v>248</v>
      </c>
      <c r="BF1" s="183" t="s">
        <v>249</v>
      </c>
      <c r="BG1" s="183" t="s">
        <v>250</v>
      </c>
      <c r="BH1" s="183" t="s">
        <v>251</v>
      </c>
      <c r="BI1" s="183" t="s">
        <v>252</v>
      </c>
      <c r="BJ1" s="183" t="s">
        <v>253</v>
      </c>
      <c r="BK1" s="183" t="s">
        <v>254</v>
      </c>
      <c r="BL1" s="183" t="s">
        <v>255</v>
      </c>
      <c r="BM1" s="183" t="s">
        <v>256</v>
      </c>
      <c r="BN1" s="183" t="s">
        <v>257</v>
      </c>
      <c r="BO1" s="183" t="s">
        <v>258</v>
      </c>
      <c r="BP1" s="183" t="s">
        <v>259</v>
      </c>
      <c r="BQ1" s="183" t="s">
        <v>260</v>
      </c>
      <c r="BR1" s="183" t="s">
        <v>261</v>
      </c>
      <c r="BS1" s="183" t="s">
        <v>262</v>
      </c>
      <c r="BT1" s="183" t="s">
        <v>263</v>
      </c>
      <c r="BU1" s="183" t="s">
        <v>264</v>
      </c>
      <c r="BV1" s="183" t="s">
        <v>265</v>
      </c>
      <c r="BW1" s="183" t="s">
        <v>266</v>
      </c>
      <c r="BX1" s="183" t="s">
        <v>267</v>
      </c>
      <c r="BY1" s="183" t="s">
        <v>268</v>
      </c>
    </row>
    <row r="2" spans="1:77" customFormat="1" x14ac:dyDescent="0.15">
      <c r="A2" s="182" t="s">
        <v>193</v>
      </c>
      <c r="B2" s="147">
        <v>0</v>
      </c>
      <c r="C2" s="147">
        <v>0</v>
      </c>
      <c r="D2" s="147">
        <v>0</v>
      </c>
      <c r="E2" s="147">
        <v>1.1589876455167816E-2</v>
      </c>
      <c r="F2" s="147">
        <v>1.5186692504171968E-2</v>
      </c>
      <c r="G2" s="147">
        <v>1.1950480084848409E-2</v>
      </c>
      <c r="H2" s="147">
        <v>1.2620170153966076E-2</v>
      </c>
      <c r="I2" s="147">
        <v>1.2615363590000683E-2</v>
      </c>
      <c r="J2" s="147">
        <v>0</v>
      </c>
      <c r="K2" s="147">
        <v>0</v>
      </c>
      <c r="L2" s="147">
        <v>0</v>
      </c>
      <c r="M2" s="147">
        <v>0</v>
      </c>
      <c r="N2" s="147">
        <v>7.0390011330371226E-3</v>
      </c>
      <c r="O2" s="147">
        <v>0</v>
      </c>
      <c r="P2" s="147">
        <v>0</v>
      </c>
      <c r="Q2" s="147">
        <v>0</v>
      </c>
      <c r="R2" s="147">
        <v>0</v>
      </c>
      <c r="S2" s="147">
        <v>0</v>
      </c>
      <c r="T2" s="147">
        <v>0</v>
      </c>
      <c r="U2" s="147">
        <v>0</v>
      </c>
      <c r="V2" s="147">
        <v>0</v>
      </c>
      <c r="W2" s="147">
        <v>0</v>
      </c>
      <c r="X2" s="147">
        <v>0</v>
      </c>
      <c r="Y2" s="147">
        <v>0</v>
      </c>
      <c r="Z2" s="147">
        <v>0</v>
      </c>
      <c r="AA2" s="147">
        <v>0</v>
      </c>
      <c r="AB2" s="147">
        <v>0</v>
      </c>
      <c r="AC2" s="147">
        <v>0</v>
      </c>
      <c r="AD2" s="147">
        <v>0</v>
      </c>
      <c r="AE2" s="147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47">
        <v>0</v>
      </c>
      <c r="AL2" s="147">
        <v>0</v>
      </c>
      <c r="AM2" s="147">
        <v>0</v>
      </c>
      <c r="AN2" s="147">
        <v>0</v>
      </c>
      <c r="AO2" s="147">
        <v>0</v>
      </c>
      <c r="AP2" s="147">
        <v>0</v>
      </c>
      <c r="AQ2" s="147">
        <v>0</v>
      </c>
      <c r="AR2" s="147">
        <v>0</v>
      </c>
      <c r="AS2" s="147">
        <v>0</v>
      </c>
      <c r="AT2" s="147">
        <v>0</v>
      </c>
      <c r="AU2" s="147">
        <v>0</v>
      </c>
      <c r="AV2" s="147">
        <v>0</v>
      </c>
      <c r="AW2" s="147">
        <v>0</v>
      </c>
      <c r="AX2" s="147">
        <v>0</v>
      </c>
      <c r="AY2" s="147">
        <v>0</v>
      </c>
      <c r="AZ2" s="147">
        <v>0</v>
      </c>
      <c r="BA2" s="147">
        <v>0</v>
      </c>
      <c r="BB2" s="147">
        <v>0</v>
      </c>
      <c r="BC2" s="147">
        <v>0</v>
      </c>
      <c r="BD2" s="147">
        <v>0</v>
      </c>
      <c r="BE2" s="147">
        <v>0</v>
      </c>
      <c r="BF2" s="147">
        <v>0</v>
      </c>
      <c r="BG2" s="147">
        <v>0</v>
      </c>
      <c r="BH2" s="147">
        <v>0</v>
      </c>
      <c r="BI2" s="147">
        <v>0</v>
      </c>
      <c r="BJ2" s="147">
        <v>0</v>
      </c>
      <c r="BK2" s="147">
        <v>0</v>
      </c>
      <c r="BL2" s="147">
        <v>0</v>
      </c>
      <c r="BM2" s="147">
        <v>0</v>
      </c>
      <c r="BN2" s="147">
        <v>0</v>
      </c>
      <c r="BO2" s="147">
        <v>0</v>
      </c>
      <c r="BP2" s="147">
        <v>0</v>
      </c>
      <c r="BQ2" s="147">
        <v>0</v>
      </c>
      <c r="BR2" s="147">
        <v>0</v>
      </c>
      <c r="BS2" s="147">
        <v>0</v>
      </c>
      <c r="BT2" s="147">
        <v>0</v>
      </c>
      <c r="BU2" s="147">
        <v>0</v>
      </c>
      <c r="BV2" s="147">
        <v>0</v>
      </c>
      <c r="BW2" s="147">
        <v>0</v>
      </c>
      <c r="BX2" s="147">
        <v>0</v>
      </c>
      <c r="BY2" s="147">
        <v>0</v>
      </c>
    </row>
    <row r="3" spans="1:77" customFormat="1" x14ac:dyDescent="0.15">
      <c r="A3" s="182" t="s">
        <v>194</v>
      </c>
      <c r="B3" s="147">
        <v>0</v>
      </c>
      <c r="C3" s="147">
        <v>6.1071738484267998E-3</v>
      </c>
      <c r="D3" s="147">
        <v>0</v>
      </c>
      <c r="E3" s="147">
        <v>0</v>
      </c>
      <c r="F3" s="147">
        <v>1.5450099902509869E-6</v>
      </c>
      <c r="G3" s="147">
        <v>0</v>
      </c>
      <c r="H3" s="147">
        <v>8.9882991096572485E-3</v>
      </c>
      <c r="I3" s="147">
        <v>5.4285458235722606E-3</v>
      </c>
      <c r="J3" s="147">
        <v>0</v>
      </c>
      <c r="K3" s="147">
        <v>0</v>
      </c>
      <c r="L3" s="147">
        <v>0</v>
      </c>
      <c r="M3" s="147">
        <v>0</v>
      </c>
      <c r="N3" s="147">
        <v>0</v>
      </c>
      <c r="O3" s="147">
        <v>0</v>
      </c>
      <c r="P3" s="147">
        <v>0</v>
      </c>
      <c r="Q3" s="147">
        <v>0</v>
      </c>
      <c r="R3" s="147">
        <v>0</v>
      </c>
      <c r="S3" s="147">
        <v>0</v>
      </c>
      <c r="T3" s="147">
        <v>0</v>
      </c>
      <c r="U3" s="147">
        <v>0</v>
      </c>
      <c r="V3" s="147">
        <v>0</v>
      </c>
      <c r="W3" s="147">
        <v>0</v>
      </c>
      <c r="X3" s="147">
        <v>0</v>
      </c>
      <c r="Y3" s="147">
        <v>0</v>
      </c>
      <c r="Z3" s="147">
        <v>0</v>
      </c>
      <c r="AA3" s="147">
        <v>0</v>
      </c>
      <c r="AB3" s="147">
        <v>0</v>
      </c>
      <c r="AC3" s="147">
        <v>0</v>
      </c>
      <c r="AD3" s="147">
        <v>0</v>
      </c>
      <c r="AE3" s="147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47">
        <v>0</v>
      </c>
      <c r="AL3" s="147">
        <v>0</v>
      </c>
      <c r="AM3" s="147">
        <v>0</v>
      </c>
      <c r="AN3" s="147">
        <v>0</v>
      </c>
      <c r="AO3" s="147">
        <v>0</v>
      </c>
      <c r="AP3" s="147">
        <v>0</v>
      </c>
      <c r="AQ3" s="147">
        <v>0</v>
      </c>
      <c r="AR3" s="147">
        <v>0</v>
      </c>
      <c r="AS3" s="147">
        <v>0</v>
      </c>
      <c r="AT3" s="147">
        <v>0</v>
      </c>
      <c r="AU3" s="147">
        <v>0</v>
      </c>
      <c r="AV3" s="147">
        <v>0</v>
      </c>
      <c r="AW3" s="147">
        <v>0</v>
      </c>
      <c r="AX3" s="147">
        <v>0</v>
      </c>
      <c r="AY3" s="147">
        <v>0</v>
      </c>
      <c r="AZ3" s="147">
        <v>0</v>
      </c>
      <c r="BA3" s="147">
        <v>0</v>
      </c>
      <c r="BB3" s="147">
        <v>0</v>
      </c>
      <c r="BC3" s="147">
        <v>0</v>
      </c>
      <c r="BD3" s="147">
        <v>0</v>
      </c>
      <c r="BE3" s="147">
        <v>0</v>
      </c>
      <c r="BF3" s="147">
        <v>0</v>
      </c>
      <c r="BG3" s="147">
        <v>0</v>
      </c>
      <c r="BH3" s="147">
        <v>0</v>
      </c>
      <c r="BI3" s="147">
        <v>0</v>
      </c>
      <c r="BJ3" s="147">
        <v>0</v>
      </c>
      <c r="BK3" s="147">
        <v>0</v>
      </c>
      <c r="BL3" s="147">
        <v>0</v>
      </c>
      <c r="BM3" s="147">
        <v>0</v>
      </c>
      <c r="BN3" s="147">
        <v>0</v>
      </c>
      <c r="BO3" s="147">
        <v>0</v>
      </c>
      <c r="BP3" s="147">
        <v>0</v>
      </c>
      <c r="BQ3" s="147">
        <v>0</v>
      </c>
      <c r="BR3" s="147">
        <v>0</v>
      </c>
      <c r="BS3" s="147">
        <v>0</v>
      </c>
      <c r="BT3" s="147">
        <v>0</v>
      </c>
      <c r="BU3" s="147">
        <v>0</v>
      </c>
      <c r="BV3" s="147">
        <v>0</v>
      </c>
      <c r="BW3" s="147">
        <v>0</v>
      </c>
      <c r="BX3" s="147">
        <v>0</v>
      </c>
      <c r="BY3" s="147">
        <v>0</v>
      </c>
    </row>
    <row r="4" spans="1:77" customFormat="1" x14ac:dyDescent="0.15">
      <c r="A4" s="182" t="s">
        <v>195</v>
      </c>
      <c r="B4" s="147">
        <v>0</v>
      </c>
      <c r="C4" s="147">
        <v>0</v>
      </c>
      <c r="D4" s="147">
        <v>0</v>
      </c>
      <c r="E4" s="147">
        <v>0</v>
      </c>
      <c r="F4" s="147">
        <v>1.0218853035519036E-2</v>
      </c>
      <c r="G4" s="147">
        <v>0</v>
      </c>
      <c r="H4" s="147">
        <v>9.8059351196324081E-3</v>
      </c>
      <c r="I4" s="147">
        <v>5.4332238234202261E-3</v>
      </c>
      <c r="J4" s="147">
        <v>0</v>
      </c>
      <c r="K4" s="147">
        <v>0</v>
      </c>
      <c r="L4" s="147">
        <v>0</v>
      </c>
      <c r="M4" s="147">
        <v>0</v>
      </c>
      <c r="N4" s="147">
        <v>0</v>
      </c>
      <c r="O4" s="147">
        <v>8.6884720078196243E-3</v>
      </c>
      <c r="P4" s="147">
        <v>0</v>
      </c>
      <c r="Q4" s="147">
        <v>0</v>
      </c>
      <c r="R4" s="147">
        <v>0</v>
      </c>
      <c r="S4" s="147">
        <v>0</v>
      </c>
      <c r="T4" s="147">
        <v>0</v>
      </c>
      <c r="U4" s="147">
        <v>0</v>
      </c>
      <c r="V4" s="147">
        <v>0</v>
      </c>
      <c r="W4" s="147">
        <v>0</v>
      </c>
      <c r="X4" s="147">
        <v>0</v>
      </c>
      <c r="Y4" s="147">
        <v>0</v>
      </c>
      <c r="Z4" s="147">
        <v>0</v>
      </c>
      <c r="AA4" s="147">
        <v>0</v>
      </c>
      <c r="AB4" s="147">
        <v>0</v>
      </c>
      <c r="AC4" s="147">
        <v>0</v>
      </c>
      <c r="AD4" s="147">
        <v>0</v>
      </c>
      <c r="AE4" s="147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47">
        <v>3.7534600775089508E-2</v>
      </c>
      <c r="AL4" s="147">
        <v>0</v>
      </c>
      <c r="AM4" s="147">
        <v>0</v>
      </c>
      <c r="AN4" s="147">
        <v>0</v>
      </c>
      <c r="AO4" s="147">
        <v>0</v>
      </c>
      <c r="AP4" s="147">
        <v>0</v>
      </c>
      <c r="AQ4" s="147">
        <v>0</v>
      </c>
      <c r="AR4" s="147">
        <v>0</v>
      </c>
      <c r="AS4" s="147">
        <v>0</v>
      </c>
      <c r="AT4" s="147">
        <v>0</v>
      </c>
      <c r="AU4" s="147">
        <v>0</v>
      </c>
      <c r="AV4" s="147">
        <v>0</v>
      </c>
      <c r="AW4" s="147">
        <v>0</v>
      </c>
      <c r="AX4" s="147">
        <v>0</v>
      </c>
      <c r="AY4" s="147">
        <v>0</v>
      </c>
      <c r="AZ4" s="147">
        <v>0</v>
      </c>
      <c r="BA4" s="147">
        <v>0</v>
      </c>
      <c r="BB4" s="147">
        <v>0</v>
      </c>
      <c r="BC4" s="147">
        <v>0</v>
      </c>
      <c r="BD4" s="147">
        <v>0</v>
      </c>
      <c r="BE4" s="147">
        <v>0</v>
      </c>
      <c r="BF4" s="147">
        <v>0</v>
      </c>
      <c r="BG4" s="147">
        <v>0</v>
      </c>
      <c r="BH4" s="147">
        <v>0</v>
      </c>
      <c r="BI4" s="147">
        <v>0</v>
      </c>
      <c r="BJ4" s="147">
        <v>0</v>
      </c>
      <c r="BK4" s="147">
        <v>0</v>
      </c>
      <c r="BL4" s="147">
        <v>0</v>
      </c>
      <c r="BM4" s="147">
        <v>0</v>
      </c>
      <c r="BN4" s="147">
        <v>0</v>
      </c>
      <c r="BO4" s="147">
        <v>0</v>
      </c>
      <c r="BP4" s="147">
        <v>0</v>
      </c>
      <c r="BQ4" s="147">
        <v>0</v>
      </c>
      <c r="BR4" s="147">
        <v>0</v>
      </c>
      <c r="BS4" s="147">
        <v>0</v>
      </c>
      <c r="BT4" s="147">
        <v>0</v>
      </c>
      <c r="BU4" s="147">
        <v>0</v>
      </c>
      <c r="BV4" s="147">
        <v>0</v>
      </c>
      <c r="BW4" s="147">
        <v>0</v>
      </c>
      <c r="BX4" s="147">
        <v>0</v>
      </c>
      <c r="BY4" s="147">
        <v>0</v>
      </c>
    </row>
    <row r="5" spans="1:77" customFormat="1" x14ac:dyDescent="0.15">
      <c r="A5" s="182" t="s">
        <v>196</v>
      </c>
      <c r="B5" s="147">
        <v>0</v>
      </c>
      <c r="C5" s="147">
        <v>0</v>
      </c>
      <c r="D5" s="147">
        <v>0</v>
      </c>
      <c r="E5" s="147">
        <v>2.331936011100016E-3</v>
      </c>
      <c r="F5" s="147">
        <v>1.2893279018643409E-2</v>
      </c>
      <c r="G5" s="147">
        <v>2.5186530178824369E-3</v>
      </c>
      <c r="H5" s="147">
        <v>1.3107544859912047E-2</v>
      </c>
      <c r="I5" s="147">
        <v>6.305672795065634E-3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0</v>
      </c>
      <c r="Q5" s="147">
        <v>0</v>
      </c>
      <c r="R5" s="147">
        <v>0</v>
      </c>
      <c r="S5" s="147">
        <v>0</v>
      </c>
      <c r="T5" s="147">
        <v>0</v>
      </c>
      <c r="U5" s="147">
        <v>0</v>
      </c>
      <c r="V5" s="147">
        <v>0</v>
      </c>
      <c r="W5" s="147">
        <v>0</v>
      </c>
      <c r="X5" s="147">
        <v>0</v>
      </c>
      <c r="Y5" s="147">
        <v>0</v>
      </c>
      <c r="Z5" s="147">
        <v>0</v>
      </c>
      <c r="AA5" s="147">
        <v>0</v>
      </c>
      <c r="AB5" s="147">
        <v>0</v>
      </c>
      <c r="AC5" s="147">
        <v>0</v>
      </c>
      <c r="AD5" s="147">
        <v>0</v>
      </c>
      <c r="AE5" s="147">
        <v>0</v>
      </c>
      <c r="AF5" s="147">
        <v>0</v>
      </c>
      <c r="AG5" s="147">
        <v>0</v>
      </c>
      <c r="AH5" s="147">
        <v>0</v>
      </c>
      <c r="AI5" s="147">
        <v>0</v>
      </c>
      <c r="AJ5" s="147">
        <v>0</v>
      </c>
      <c r="AK5" s="147">
        <v>0</v>
      </c>
      <c r="AL5" s="147">
        <v>0</v>
      </c>
      <c r="AM5" s="147">
        <v>0</v>
      </c>
      <c r="AN5" s="147">
        <v>0</v>
      </c>
      <c r="AO5" s="147">
        <v>0</v>
      </c>
      <c r="AP5" s="147">
        <v>0</v>
      </c>
      <c r="AQ5" s="147">
        <v>0</v>
      </c>
      <c r="AR5" s="147">
        <v>0</v>
      </c>
      <c r="AS5" s="147">
        <v>0</v>
      </c>
      <c r="AT5" s="147">
        <v>0</v>
      </c>
      <c r="AU5" s="147">
        <v>0</v>
      </c>
      <c r="AV5" s="147">
        <v>0</v>
      </c>
      <c r="AW5" s="147">
        <v>0</v>
      </c>
      <c r="AX5" s="147">
        <v>0</v>
      </c>
      <c r="AY5" s="147">
        <v>0</v>
      </c>
      <c r="AZ5" s="147">
        <v>0</v>
      </c>
      <c r="BA5" s="147">
        <v>0</v>
      </c>
      <c r="BB5" s="147">
        <v>0</v>
      </c>
      <c r="BC5" s="147">
        <v>0</v>
      </c>
      <c r="BD5" s="147">
        <v>0</v>
      </c>
      <c r="BE5" s="147">
        <v>0</v>
      </c>
      <c r="BF5" s="147">
        <v>0</v>
      </c>
      <c r="BG5" s="147">
        <v>0</v>
      </c>
      <c r="BH5" s="147">
        <v>0</v>
      </c>
      <c r="BI5" s="147">
        <v>0</v>
      </c>
      <c r="BJ5" s="147">
        <v>0</v>
      </c>
      <c r="BK5" s="147">
        <v>0</v>
      </c>
      <c r="BL5" s="147">
        <v>0</v>
      </c>
      <c r="BM5" s="147">
        <v>0</v>
      </c>
      <c r="BN5" s="147">
        <v>0</v>
      </c>
      <c r="BO5" s="147">
        <v>0</v>
      </c>
      <c r="BP5" s="147">
        <v>0</v>
      </c>
      <c r="BQ5" s="147">
        <v>0</v>
      </c>
      <c r="BR5" s="147">
        <v>0</v>
      </c>
      <c r="BS5" s="147">
        <v>0</v>
      </c>
      <c r="BT5" s="147">
        <v>0</v>
      </c>
      <c r="BU5" s="147">
        <v>0</v>
      </c>
      <c r="BV5" s="147">
        <v>0</v>
      </c>
      <c r="BW5" s="147">
        <v>0</v>
      </c>
      <c r="BX5" s="147">
        <v>0</v>
      </c>
      <c r="BY5" s="147">
        <v>0</v>
      </c>
    </row>
    <row r="6" spans="1:77" customFormat="1" x14ac:dyDescent="0.15">
      <c r="A6" s="182" t="s">
        <v>197</v>
      </c>
      <c r="B6" s="147">
        <v>0</v>
      </c>
      <c r="C6" s="147">
        <v>0</v>
      </c>
      <c r="D6" s="147">
        <v>0</v>
      </c>
      <c r="E6" s="147">
        <v>5.0320650239526303E-2</v>
      </c>
      <c r="F6" s="147">
        <v>1.5829689900114657E-2</v>
      </c>
      <c r="G6" s="147">
        <v>1.5097416107191657E-2</v>
      </c>
      <c r="H6" s="147">
        <v>1.1480665940064125E-2</v>
      </c>
      <c r="I6" s="147">
        <v>5.9332448071695437E-3</v>
      </c>
      <c r="J6" s="147">
        <v>0</v>
      </c>
      <c r="K6" s="147">
        <v>0</v>
      </c>
      <c r="L6" s="147">
        <v>0</v>
      </c>
      <c r="M6" s="147">
        <v>0</v>
      </c>
      <c r="N6" s="147">
        <v>0</v>
      </c>
      <c r="O6" s="147">
        <v>0</v>
      </c>
      <c r="P6" s="147">
        <v>0</v>
      </c>
      <c r="Q6" s="147">
        <v>0</v>
      </c>
      <c r="R6" s="147">
        <v>0</v>
      </c>
      <c r="S6" s="147">
        <v>0</v>
      </c>
      <c r="T6" s="147">
        <v>0</v>
      </c>
      <c r="U6" s="147">
        <v>0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7">
        <v>0</v>
      </c>
      <c r="AB6" s="147">
        <v>0</v>
      </c>
      <c r="AC6" s="147">
        <v>0</v>
      </c>
      <c r="AD6" s="147">
        <v>0</v>
      </c>
      <c r="AE6" s="147">
        <v>0</v>
      </c>
      <c r="AF6" s="147">
        <v>0</v>
      </c>
      <c r="AG6" s="147">
        <v>0</v>
      </c>
      <c r="AH6" s="147">
        <v>0</v>
      </c>
      <c r="AI6" s="147">
        <v>0</v>
      </c>
      <c r="AJ6" s="147">
        <v>0</v>
      </c>
      <c r="AK6" s="147">
        <v>0</v>
      </c>
      <c r="AL6" s="147">
        <v>0</v>
      </c>
      <c r="AM6" s="147">
        <v>0</v>
      </c>
      <c r="AN6" s="147">
        <v>0</v>
      </c>
      <c r="AO6" s="147">
        <v>0</v>
      </c>
      <c r="AP6" s="147">
        <v>0</v>
      </c>
      <c r="AQ6" s="147">
        <v>0</v>
      </c>
      <c r="AR6" s="147">
        <v>0</v>
      </c>
      <c r="AS6" s="147">
        <v>0</v>
      </c>
      <c r="AT6" s="147">
        <v>0</v>
      </c>
      <c r="AU6" s="147">
        <v>0</v>
      </c>
      <c r="AV6" s="147">
        <v>0</v>
      </c>
      <c r="AW6" s="147">
        <v>0</v>
      </c>
      <c r="AX6" s="147">
        <v>0</v>
      </c>
      <c r="AY6" s="147">
        <v>0</v>
      </c>
      <c r="AZ6" s="147">
        <v>0</v>
      </c>
      <c r="BA6" s="147">
        <v>0</v>
      </c>
      <c r="BB6" s="147">
        <v>0</v>
      </c>
      <c r="BC6" s="147">
        <v>0</v>
      </c>
      <c r="BD6" s="147">
        <v>0</v>
      </c>
      <c r="BE6" s="147">
        <v>0</v>
      </c>
      <c r="BF6" s="147">
        <v>0</v>
      </c>
      <c r="BG6" s="147">
        <v>0</v>
      </c>
      <c r="BH6" s="147">
        <v>0</v>
      </c>
      <c r="BI6" s="147">
        <v>0</v>
      </c>
      <c r="BJ6" s="147">
        <v>0</v>
      </c>
      <c r="BK6" s="147">
        <v>0</v>
      </c>
      <c r="BL6" s="147">
        <v>0</v>
      </c>
      <c r="BM6" s="147">
        <v>0</v>
      </c>
      <c r="BN6" s="147">
        <v>0</v>
      </c>
      <c r="BO6" s="147">
        <v>0</v>
      </c>
      <c r="BP6" s="147">
        <v>0</v>
      </c>
      <c r="BQ6" s="147">
        <v>0</v>
      </c>
      <c r="BR6" s="147">
        <v>0</v>
      </c>
      <c r="BS6" s="147">
        <v>0</v>
      </c>
      <c r="BT6" s="147">
        <v>0</v>
      </c>
      <c r="BU6" s="147">
        <v>0</v>
      </c>
      <c r="BV6" s="147">
        <v>0</v>
      </c>
      <c r="BW6" s="147">
        <v>0</v>
      </c>
      <c r="BX6" s="147">
        <v>0</v>
      </c>
      <c r="BY6" s="147">
        <v>0</v>
      </c>
    </row>
    <row r="7" spans="1:77" customFormat="1" x14ac:dyDescent="0.15">
      <c r="A7" s="182" t="s">
        <v>198</v>
      </c>
      <c r="B7" s="147">
        <v>0</v>
      </c>
      <c r="C7" s="147">
        <v>0</v>
      </c>
      <c r="D7" s="147">
        <v>0</v>
      </c>
      <c r="E7" s="147">
        <v>1.4627600069627379E-3</v>
      </c>
      <c r="F7" s="147">
        <v>8.087601948967231E-3</v>
      </c>
      <c r="G7" s="147">
        <v>1.5798820112171623E-3</v>
      </c>
      <c r="H7" s="147">
        <v>1.1552680140942698E-2</v>
      </c>
      <c r="I7" s="147">
        <v>5.5046598210985555E-4</v>
      </c>
      <c r="J7" s="147">
        <v>0</v>
      </c>
      <c r="K7" s="147">
        <v>0</v>
      </c>
      <c r="L7" s="147">
        <v>0</v>
      </c>
      <c r="M7" s="147">
        <v>0</v>
      </c>
      <c r="N7" s="147">
        <v>0</v>
      </c>
      <c r="O7" s="147">
        <v>0</v>
      </c>
      <c r="P7" s="147">
        <v>0</v>
      </c>
      <c r="Q7" s="147">
        <v>0</v>
      </c>
      <c r="R7" s="147">
        <v>0</v>
      </c>
      <c r="S7" s="147">
        <v>0</v>
      </c>
      <c r="T7" s="147">
        <v>0</v>
      </c>
      <c r="U7" s="147">
        <v>0</v>
      </c>
      <c r="V7" s="147">
        <v>0</v>
      </c>
      <c r="W7" s="147">
        <v>0</v>
      </c>
      <c r="X7" s="147">
        <v>0</v>
      </c>
      <c r="Y7" s="147">
        <v>0</v>
      </c>
      <c r="Z7" s="147">
        <v>0</v>
      </c>
      <c r="AA7" s="147">
        <v>0</v>
      </c>
      <c r="AB7" s="147">
        <v>0</v>
      </c>
      <c r="AC7" s="147">
        <v>0</v>
      </c>
      <c r="AD7" s="147">
        <v>0</v>
      </c>
      <c r="AE7" s="147">
        <v>0</v>
      </c>
      <c r="AF7" s="147">
        <v>0</v>
      </c>
      <c r="AG7" s="147">
        <v>0</v>
      </c>
      <c r="AH7" s="147">
        <v>0</v>
      </c>
      <c r="AI7" s="147">
        <v>0</v>
      </c>
      <c r="AJ7" s="147">
        <v>0</v>
      </c>
      <c r="AK7" s="147">
        <v>0</v>
      </c>
      <c r="AL7" s="147">
        <v>0</v>
      </c>
      <c r="AM7" s="147">
        <v>0</v>
      </c>
      <c r="AN7" s="147">
        <v>0</v>
      </c>
      <c r="AO7" s="147">
        <v>0</v>
      </c>
      <c r="AP7" s="147">
        <v>0</v>
      </c>
      <c r="AQ7" s="147">
        <v>0</v>
      </c>
      <c r="AR7" s="147">
        <v>0</v>
      </c>
      <c r="AS7" s="147">
        <v>0</v>
      </c>
      <c r="AT7" s="147">
        <v>0</v>
      </c>
      <c r="AU7" s="147">
        <v>0</v>
      </c>
      <c r="AV7" s="147">
        <v>0</v>
      </c>
      <c r="AW7" s="147">
        <v>0</v>
      </c>
      <c r="AX7" s="147">
        <v>0</v>
      </c>
      <c r="AY7" s="147">
        <v>0</v>
      </c>
      <c r="AZ7" s="147">
        <v>0</v>
      </c>
      <c r="BA7" s="147">
        <v>0</v>
      </c>
      <c r="BB7" s="147">
        <v>0</v>
      </c>
      <c r="BC7" s="147">
        <v>0</v>
      </c>
      <c r="BD7" s="147">
        <v>0</v>
      </c>
      <c r="BE7" s="147">
        <v>0</v>
      </c>
      <c r="BF7" s="147">
        <v>0</v>
      </c>
      <c r="BG7" s="147">
        <v>0</v>
      </c>
      <c r="BH7" s="147">
        <v>0</v>
      </c>
      <c r="BI7" s="147">
        <v>0</v>
      </c>
      <c r="BJ7" s="147">
        <v>0</v>
      </c>
      <c r="BK7" s="147">
        <v>0</v>
      </c>
      <c r="BL7" s="147">
        <v>0</v>
      </c>
      <c r="BM7" s="147">
        <v>0</v>
      </c>
      <c r="BN7" s="147">
        <v>0</v>
      </c>
      <c r="BO7" s="147">
        <v>0</v>
      </c>
      <c r="BP7" s="147">
        <v>0</v>
      </c>
      <c r="BQ7" s="147">
        <v>0</v>
      </c>
      <c r="BR7" s="147">
        <v>0</v>
      </c>
      <c r="BS7" s="147">
        <v>0</v>
      </c>
      <c r="BT7" s="147">
        <v>0</v>
      </c>
      <c r="BU7" s="147">
        <v>0</v>
      </c>
      <c r="BV7" s="147">
        <v>0</v>
      </c>
      <c r="BW7" s="147">
        <v>0</v>
      </c>
      <c r="BX7" s="147">
        <v>0</v>
      </c>
      <c r="BY7" s="147">
        <v>0</v>
      </c>
    </row>
    <row r="8" spans="1:77" customFormat="1" x14ac:dyDescent="0.15">
      <c r="A8" s="182" t="s">
        <v>199</v>
      </c>
      <c r="B8" s="147">
        <v>0</v>
      </c>
      <c r="C8" s="147">
        <v>0</v>
      </c>
      <c r="D8" s="147">
        <v>0</v>
      </c>
      <c r="E8" s="147">
        <v>2.5632364822010062E-2</v>
      </c>
      <c r="F8" s="147">
        <v>2.7009444129570407E-2</v>
      </c>
      <c r="G8" s="147">
        <v>1.9233350136556788E-3</v>
      </c>
      <c r="H8" s="147">
        <v>1.2345046850609573E-2</v>
      </c>
      <c r="I8" s="147">
        <v>6.0984908017990488E-3</v>
      </c>
      <c r="J8" s="147">
        <v>0</v>
      </c>
      <c r="K8" s="147">
        <v>0</v>
      </c>
      <c r="L8" s="147">
        <v>5.641938921577049E-3</v>
      </c>
      <c r="M8" s="147">
        <v>0</v>
      </c>
      <c r="N8" s="147">
        <v>0</v>
      </c>
      <c r="O8" s="147">
        <v>0</v>
      </c>
      <c r="P8" s="147">
        <v>0</v>
      </c>
      <c r="Q8" s="147">
        <v>0</v>
      </c>
      <c r="R8" s="147">
        <v>0</v>
      </c>
      <c r="S8" s="147">
        <v>0</v>
      </c>
      <c r="T8" s="147">
        <v>0</v>
      </c>
      <c r="U8" s="147">
        <v>0</v>
      </c>
      <c r="V8" s="147">
        <v>0</v>
      </c>
      <c r="W8" s="147">
        <v>0</v>
      </c>
      <c r="X8" s="147">
        <v>0</v>
      </c>
      <c r="Y8" s="147">
        <v>0</v>
      </c>
      <c r="Z8" s="147">
        <v>0</v>
      </c>
      <c r="AA8" s="147">
        <v>0</v>
      </c>
      <c r="AB8" s="147">
        <v>0</v>
      </c>
      <c r="AC8" s="147">
        <v>0</v>
      </c>
      <c r="AD8" s="147">
        <v>0</v>
      </c>
      <c r="AE8" s="147">
        <v>0</v>
      </c>
      <c r="AF8" s="147">
        <v>0</v>
      </c>
      <c r="AG8" s="147">
        <v>0</v>
      </c>
      <c r="AH8" s="147">
        <v>0</v>
      </c>
      <c r="AI8" s="147">
        <v>0</v>
      </c>
      <c r="AJ8" s="147">
        <v>0</v>
      </c>
      <c r="AK8" s="147">
        <v>0</v>
      </c>
      <c r="AL8" s="147">
        <v>0</v>
      </c>
      <c r="AM8" s="147">
        <v>0</v>
      </c>
      <c r="AN8" s="147">
        <v>0</v>
      </c>
      <c r="AO8" s="147">
        <v>0</v>
      </c>
      <c r="AP8" s="147">
        <v>0</v>
      </c>
      <c r="AQ8" s="147">
        <v>0</v>
      </c>
      <c r="AR8" s="147">
        <v>0</v>
      </c>
      <c r="AS8" s="147">
        <v>0</v>
      </c>
      <c r="AT8" s="147">
        <v>0</v>
      </c>
      <c r="AU8" s="147">
        <v>0</v>
      </c>
      <c r="AV8" s="147">
        <v>0</v>
      </c>
      <c r="AW8" s="147">
        <v>0</v>
      </c>
      <c r="AX8" s="147">
        <v>0</v>
      </c>
      <c r="AY8" s="147">
        <v>0</v>
      </c>
      <c r="AZ8" s="147">
        <v>0</v>
      </c>
      <c r="BA8" s="147">
        <v>0</v>
      </c>
      <c r="BB8" s="147">
        <v>0</v>
      </c>
      <c r="BC8" s="147">
        <v>0</v>
      </c>
      <c r="BD8" s="147">
        <v>0</v>
      </c>
      <c r="BE8" s="147">
        <v>0</v>
      </c>
      <c r="BF8" s="147">
        <v>0</v>
      </c>
      <c r="BG8" s="147">
        <v>0</v>
      </c>
      <c r="BH8" s="147">
        <v>0</v>
      </c>
      <c r="BI8" s="147">
        <v>0</v>
      </c>
      <c r="BJ8" s="147">
        <v>0</v>
      </c>
      <c r="BK8" s="147">
        <v>0</v>
      </c>
      <c r="BL8" s="147">
        <v>0</v>
      </c>
      <c r="BM8" s="147">
        <v>0</v>
      </c>
      <c r="BN8" s="147">
        <v>0</v>
      </c>
      <c r="BO8" s="147">
        <v>0</v>
      </c>
      <c r="BP8" s="147">
        <v>0</v>
      </c>
      <c r="BQ8" s="147">
        <v>0</v>
      </c>
      <c r="BR8" s="147">
        <v>0</v>
      </c>
      <c r="BS8" s="147">
        <v>0</v>
      </c>
      <c r="BT8" s="147">
        <v>0</v>
      </c>
      <c r="BU8" s="147">
        <v>0</v>
      </c>
      <c r="BV8" s="147">
        <v>0</v>
      </c>
      <c r="BW8" s="147">
        <v>0</v>
      </c>
      <c r="BX8" s="147">
        <v>0</v>
      </c>
      <c r="BY8" s="147">
        <v>0</v>
      </c>
    </row>
    <row r="9" spans="1:77" customFormat="1" x14ac:dyDescent="0.15">
      <c r="A9" s="182" t="s">
        <v>200</v>
      </c>
      <c r="B9" s="147">
        <v>0</v>
      </c>
      <c r="C9" s="147">
        <v>0</v>
      </c>
      <c r="D9" s="147">
        <v>0</v>
      </c>
      <c r="E9" s="147">
        <v>0</v>
      </c>
      <c r="F9" s="147">
        <v>1.4383579909239611E-3</v>
      </c>
      <c r="G9" s="147">
        <v>7.5216100534034329E-4</v>
      </c>
      <c r="H9" s="147">
        <v>1.0781001431528218E-2</v>
      </c>
      <c r="I9" s="147">
        <v>1.2286104800701593E-2</v>
      </c>
      <c r="J9" s="147">
        <v>0</v>
      </c>
      <c r="K9" s="147">
        <v>0</v>
      </c>
      <c r="L9" s="147">
        <v>0</v>
      </c>
      <c r="M9" s="147">
        <v>0</v>
      </c>
      <c r="N9" s="147">
        <v>0</v>
      </c>
      <c r="O9" s="147">
        <v>0</v>
      </c>
      <c r="P9" s="147">
        <v>0</v>
      </c>
      <c r="Q9" s="147">
        <v>0</v>
      </c>
      <c r="R9" s="147">
        <v>0</v>
      </c>
      <c r="S9" s="147">
        <v>0</v>
      </c>
      <c r="T9" s="147">
        <v>0</v>
      </c>
      <c r="U9" s="147">
        <v>0</v>
      </c>
      <c r="V9" s="147">
        <v>0</v>
      </c>
      <c r="W9" s="147">
        <v>0</v>
      </c>
      <c r="X9" s="147">
        <v>0</v>
      </c>
      <c r="Y9" s="147">
        <v>0</v>
      </c>
      <c r="Z9" s="147">
        <v>0</v>
      </c>
      <c r="AA9" s="147">
        <v>0</v>
      </c>
      <c r="AB9" s="147">
        <v>0</v>
      </c>
      <c r="AC9" s="147">
        <v>0</v>
      </c>
      <c r="AD9" s="147">
        <v>0</v>
      </c>
      <c r="AE9" s="147">
        <v>0</v>
      </c>
      <c r="AF9" s="147">
        <v>0</v>
      </c>
      <c r="AG9" s="147">
        <v>0</v>
      </c>
      <c r="AH9" s="147">
        <v>0</v>
      </c>
      <c r="AI9" s="147">
        <v>0</v>
      </c>
      <c r="AJ9" s="147">
        <v>0</v>
      </c>
      <c r="AK9" s="147">
        <v>0</v>
      </c>
      <c r="AL9" s="147">
        <v>0</v>
      </c>
      <c r="AM9" s="147">
        <v>0</v>
      </c>
      <c r="AN9" s="147">
        <v>0</v>
      </c>
      <c r="AO9" s="147">
        <v>0</v>
      </c>
      <c r="AP9" s="147">
        <v>0</v>
      </c>
      <c r="AQ9" s="147">
        <v>0</v>
      </c>
      <c r="AR9" s="147">
        <v>0</v>
      </c>
      <c r="AS9" s="147">
        <v>0</v>
      </c>
      <c r="AT9" s="147">
        <v>0</v>
      </c>
      <c r="AU9" s="147">
        <v>0</v>
      </c>
      <c r="AV9" s="147">
        <v>0</v>
      </c>
      <c r="AW9" s="147">
        <v>0</v>
      </c>
      <c r="AX9" s="147">
        <v>0</v>
      </c>
      <c r="AY9" s="147">
        <v>0</v>
      </c>
      <c r="AZ9" s="147">
        <v>0</v>
      </c>
      <c r="BA9" s="147">
        <v>0</v>
      </c>
      <c r="BB9" s="147">
        <v>0</v>
      </c>
      <c r="BC9" s="147">
        <v>0</v>
      </c>
      <c r="BD9" s="147">
        <v>0</v>
      </c>
      <c r="BE9" s="147">
        <v>0</v>
      </c>
      <c r="BF9" s="147">
        <v>0</v>
      </c>
      <c r="BG9" s="147">
        <v>0</v>
      </c>
      <c r="BH9" s="147">
        <v>0</v>
      </c>
      <c r="BI9" s="147">
        <v>0</v>
      </c>
      <c r="BJ9" s="147">
        <v>0</v>
      </c>
      <c r="BK9" s="147">
        <v>0</v>
      </c>
      <c r="BL9" s="147">
        <v>0</v>
      </c>
      <c r="BM9" s="147">
        <v>0</v>
      </c>
      <c r="BN9" s="147">
        <v>0</v>
      </c>
      <c r="BO9" s="147">
        <v>0</v>
      </c>
      <c r="BP9" s="147">
        <v>0</v>
      </c>
      <c r="BQ9" s="147">
        <v>0</v>
      </c>
      <c r="BR9" s="147">
        <v>0</v>
      </c>
      <c r="BS9" s="147">
        <v>0</v>
      </c>
      <c r="BT9" s="147">
        <v>0</v>
      </c>
      <c r="BU9" s="147">
        <v>0</v>
      </c>
      <c r="BV9" s="147">
        <v>0</v>
      </c>
      <c r="BW9" s="147">
        <v>0</v>
      </c>
      <c r="BX9" s="147">
        <v>0</v>
      </c>
      <c r="BY9" s="147">
        <v>0</v>
      </c>
    </row>
    <row r="10" spans="1:77" customFormat="1" x14ac:dyDescent="0.15">
      <c r="A10" s="182" t="s">
        <v>201</v>
      </c>
      <c r="B10" s="147">
        <v>1.0638000000000002E-2</v>
      </c>
      <c r="C10" s="147">
        <v>0</v>
      </c>
      <c r="D10" s="147">
        <v>5.7031249600781259E-3</v>
      </c>
      <c r="E10" s="147">
        <v>2.1544734102552938E-2</v>
      </c>
      <c r="F10" s="147">
        <v>8.3630559472291175E-3</v>
      </c>
      <c r="G10" s="147">
        <v>4.3732980310504169E-3</v>
      </c>
      <c r="H10" s="147">
        <v>1.3823269068643883E-2</v>
      </c>
      <c r="I10" s="147">
        <v>6.9520977740568221E-3</v>
      </c>
      <c r="J10" s="147">
        <v>6.2588480234706803E-3</v>
      </c>
      <c r="K10" s="147">
        <v>1.5426929111415928E-2</v>
      </c>
      <c r="L10" s="147">
        <v>0</v>
      </c>
      <c r="M10" s="147">
        <v>0</v>
      </c>
      <c r="N10" s="147">
        <v>0</v>
      </c>
      <c r="O10" s="147">
        <v>0</v>
      </c>
      <c r="P10" s="147">
        <v>0</v>
      </c>
      <c r="Q10" s="147">
        <v>0</v>
      </c>
      <c r="R10" s="147">
        <v>0</v>
      </c>
      <c r="S10" s="147">
        <v>0</v>
      </c>
      <c r="T10" s="147">
        <v>0</v>
      </c>
      <c r="U10" s="147">
        <v>0</v>
      </c>
      <c r="V10" s="147">
        <v>0</v>
      </c>
      <c r="W10" s="147">
        <v>0</v>
      </c>
      <c r="X10" s="147">
        <v>0</v>
      </c>
      <c r="Y10" s="147">
        <v>0</v>
      </c>
      <c r="Z10" s="147">
        <v>0</v>
      </c>
      <c r="AA10" s="147">
        <v>5.8807800641005013E-4</v>
      </c>
      <c r="AB10" s="147">
        <v>0</v>
      </c>
      <c r="AC10" s="147">
        <v>0</v>
      </c>
      <c r="AD10" s="147">
        <v>1.446179999132292E-3</v>
      </c>
      <c r="AE10" s="147">
        <v>0</v>
      </c>
      <c r="AF10" s="147">
        <v>0</v>
      </c>
      <c r="AG10" s="147">
        <v>1.3763340265632469E-3</v>
      </c>
      <c r="AH10" s="147">
        <v>0</v>
      </c>
      <c r="AI10" s="147">
        <v>0</v>
      </c>
      <c r="AJ10" s="147">
        <v>1.5657000124160011E-4</v>
      </c>
      <c r="AK10" s="147">
        <v>1.7526000361911908E-4</v>
      </c>
      <c r="AL10" s="147">
        <v>0</v>
      </c>
      <c r="AM10" s="147">
        <v>0</v>
      </c>
      <c r="AN10" s="147">
        <v>0</v>
      </c>
      <c r="AO10" s="147">
        <v>0</v>
      </c>
      <c r="AP10" s="147">
        <v>0</v>
      </c>
      <c r="AQ10" s="147">
        <v>0</v>
      </c>
      <c r="AR10" s="147">
        <v>0</v>
      </c>
      <c r="AS10" s="147">
        <v>0</v>
      </c>
      <c r="AT10" s="147">
        <v>0</v>
      </c>
      <c r="AU10" s="147">
        <v>0</v>
      </c>
      <c r="AV10" s="147">
        <v>0</v>
      </c>
      <c r="AW10" s="147">
        <v>0</v>
      </c>
      <c r="AX10" s="147">
        <v>0</v>
      </c>
      <c r="AY10" s="147">
        <v>0</v>
      </c>
      <c r="AZ10" s="147">
        <v>0</v>
      </c>
      <c r="BA10" s="147">
        <v>0</v>
      </c>
      <c r="BB10" s="147">
        <v>0</v>
      </c>
      <c r="BC10" s="147">
        <v>0</v>
      </c>
      <c r="BD10" s="147">
        <v>0</v>
      </c>
      <c r="BE10" s="147">
        <v>0</v>
      </c>
      <c r="BF10" s="147">
        <v>0</v>
      </c>
      <c r="BG10" s="147">
        <v>0</v>
      </c>
      <c r="BH10" s="147">
        <v>0</v>
      </c>
      <c r="BI10" s="147">
        <v>0</v>
      </c>
      <c r="BJ10" s="147">
        <v>0</v>
      </c>
      <c r="BK10" s="147">
        <v>0</v>
      </c>
      <c r="BL10" s="147">
        <v>0</v>
      </c>
      <c r="BM10" s="147">
        <v>0</v>
      </c>
      <c r="BN10" s="147">
        <v>0</v>
      </c>
      <c r="BO10" s="147">
        <v>0</v>
      </c>
      <c r="BP10" s="147">
        <v>0</v>
      </c>
      <c r="BQ10" s="147">
        <v>0</v>
      </c>
      <c r="BR10" s="147">
        <v>0</v>
      </c>
      <c r="BS10" s="147">
        <v>0</v>
      </c>
      <c r="BT10" s="147">
        <v>0</v>
      </c>
      <c r="BU10" s="147">
        <v>0</v>
      </c>
      <c r="BV10" s="147">
        <v>0</v>
      </c>
      <c r="BW10" s="147">
        <v>0</v>
      </c>
      <c r="BX10" s="147">
        <v>0</v>
      </c>
      <c r="BY10" s="147">
        <v>0</v>
      </c>
    </row>
    <row r="11" spans="1:77" customFormat="1" x14ac:dyDescent="0.15">
      <c r="A11" s="182" t="s">
        <v>202</v>
      </c>
      <c r="B11" s="147">
        <v>3.9578000000000009E-2</v>
      </c>
      <c r="C11" s="147">
        <v>0</v>
      </c>
      <c r="D11" s="147">
        <v>1.0182019928725861E-2</v>
      </c>
      <c r="E11" s="147">
        <v>2.472329151768287E-2</v>
      </c>
      <c r="F11" s="147">
        <v>5.3308589663622799E-2</v>
      </c>
      <c r="G11" s="147">
        <v>1.9957690141699604E-2</v>
      </c>
      <c r="H11" s="147">
        <v>2.4903150303818435E-2</v>
      </c>
      <c r="I11" s="147">
        <v>8.1692267345001308E-3</v>
      </c>
      <c r="J11" s="147">
        <v>1.1174174041903153E-2</v>
      </c>
      <c r="K11" s="147">
        <v>1.5460350011440657E-2</v>
      </c>
      <c r="L11" s="147">
        <v>0</v>
      </c>
      <c r="M11" s="147">
        <v>1.6448190277480971E-3</v>
      </c>
      <c r="N11" s="147">
        <v>0</v>
      </c>
      <c r="O11" s="147">
        <v>0</v>
      </c>
      <c r="P11" s="147">
        <v>1.8512187964655917E-2</v>
      </c>
      <c r="Q11" s="147">
        <v>0</v>
      </c>
      <c r="R11" s="147">
        <v>0</v>
      </c>
      <c r="S11" s="147">
        <v>2.3409176804830296E-2</v>
      </c>
      <c r="T11" s="147">
        <v>0</v>
      </c>
      <c r="U11" s="147">
        <v>0</v>
      </c>
      <c r="V11" s="147">
        <v>0</v>
      </c>
      <c r="W11" s="147">
        <v>0</v>
      </c>
      <c r="X11" s="147">
        <v>0</v>
      </c>
      <c r="Y11" s="147">
        <v>0</v>
      </c>
      <c r="Z11" s="147">
        <v>0</v>
      </c>
      <c r="AA11" s="147">
        <v>1.049920011444128E-3</v>
      </c>
      <c r="AB11" s="147">
        <v>0</v>
      </c>
      <c r="AC11" s="147">
        <v>0</v>
      </c>
      <c r="AD11" s="147">
        <v>2.5819239984508457E-3</v>
      </c>
      <c r="AE11" s="147">
        <v>0</v>
      </c>
      <c r="AF11" s="147">
        <v>0</v>
      </c>
      <c r="AG11" s="147">
        <v>2.4572250474244437E-3</v>
      </c>
      <c r="AH11" s="147">
        <v>0</v>
      </c>
      <c r="AI11" s="147">
        <v>0</v>
      </c>
      <c r="AJ11" s="147">
        <v>2.7953100221668085E-4</v>
      </c>
      <c r="AK11" s="147">
        <v>3.1289900646136448E-4</v>
      </c>
      <c r="AL11" s="147">
        <v>0</v>
      </c>
      <c r="AM11" s="147">
        <v>0</v>
      </c>
      <c r="AN11" s="147">
        <v>0</v>
      </c>
      <c r="AO11" s="147">
        <v>0</v>
      </c>
      <c r="AP11" s="147">
        <v>0</v>
      </c>
      <c r="AQ11" s="147">
        <v>0</v>
      </c>
      <c r="AR11" s="147">
        <v>0</v>
      </c>
      <c r="AS11" s="147">
        <v>0</v>
      </c>
      <c r="AT11" s="147">
        <v>0</v>
      </c>
      <c r="AU11" s="147">
        <v>1.3158921167102697E-2</v>
      </c>
      <c r="AV11" s="147">
        <v>0</v>
      </c>
      <c r="AW11" s="147">
        <v>0</v>
      </c>
      <c r="AX11" s="147">
        <v>0</v>
      </c>
      <c r="AY11" s="147">
        <v>0</v>
      </c>
      <c r="AZ11" s="147">
        <v>0</v>
      </c>
      <c r="BA11" s="147">
        <v>0</v>
      </c>
      <c r="BB11" s="147">
        <v>9.3339198739920818E-4</v>
      </c>
      <c r="BC11" s="147">
        <v>0</v>
      </c>
      <c r="BD11" s="147">
        <v>0</v>
      </c>
      <c r="BE11" s="147">
        <v>0</v>
      </c>
      <c r="BF11" s="147">
        <v>0</v>
      </c>
      <c r="BG11" s="147">
        <v>0</v>
      </c>
      <c r="BH11" s="147">
        <v>0</v>
      </c>
      <c r="BI11" s="147">
        <v>0</v>
      </c>
      <c r="BJ11" s="147">
        <v>0</v>
      </c>
      <c r="BK11" s="147">
        <v>0</v>
      </c>
      <c r="BL11" s="147">
        <v>0</v>
      </c>
      <c r="BM11" s="147">
        <v>0</v>
      </c>
      <c r="BN11" s="147">
        <v>0</v>
      </c>
      <c r="BO11" s="147">
        <v>0</v>
      </c>
      <c r="BP11" s="147">
        <v>0</v>
      </c>
      <c r="BQ11" s="147">
        <v>0</v>
      </c>
      <c r="BR11" s="147">
        <v>0</v>
      </c>
      <c r="BS11" s="147">
        <v>0</v>
      </c>
      <c r="BT11" s="147">
        <v>0</v>
      </c>
      <c r="BU11" s="147">
        <v>0</v>
      </c>
      <c r="BV11" s="147">
        <v>0</v>
      </c>
      <c r="BW11" s="147">
        <v>0</v>
      </c>
      <c r="BX11" s="147">
        <v>0</v>
      </c>
      <c r="BY11" s="147">
        <v>0</v>
      </c>
    </row>
    <row r="12" spans="1:77" customFormat="1" x14ac:dyDescent="0.15">
      <c r="A12" s="182" t="s">
        <v>203</v>
      </c>
      <c r="B12" s="147">
        <v>0</v>
      </c>
      <c r="C12" s="147">
        <v>0</v>
      </c>
      <c r="D12" s="147">
        <v>0</v>
      </c>
      <c r="E12" s="147">
        <v>1.2616547860054771E-2</v>
      </c>
      <c r="F12" s="147">
        <v>9.3295799411303494E-4</v>
      </c>
      <c r="G12" s="147">
        <v>3.6572800259666887E-4</v>
      </c>
      <c r="H12" s="147">
        <v>7.1842000876472408E-4</v>
      </c>
      <c r="I12" s="147">
        <v>5.9404278069360959E-3</v>
      </c>
      <c r="J12" s="147">
        <v>0</v>
      </c>
      <c r="K12" s="147">
        <v>0</v>
      </c>
      <c r="L12" s="147">
        <v>7.0235269023729754E-3</v>
      </c>
      <c r="M12" s="147">
        <v>4.8720600821916539E-5</v>
      </c>
      <c r="N12" s="147">
        <v>5.7238201081802006E-4</v>
      </c>
      <c r="O12" s="147">
        <v>9.5015570085514017E-3</v>
      </c>
      <c r="P12" s="147">
        <v>7.5603901897657944E-4</v>
      </c>
      <c r="Q12" s="147">
        <v>4.009170009822466E-4</v>
      </c>
      <c r="R12" s="147">
        <v>0</v>
      </c>
      <c r="S12" s="147">
        <v>7.5376600659545249E-4</v>
      </c>
      <c r="T12" s="147">
        <v>0</v>
      </c>
      <c r="U12" s="147">
        <v>5.5185200303518606E-4</v>
      </c>
      <c r="V12" s="147">
        <v>0</v>
      </c>
      <c r="W12" s="147">
        <v>0</v>
      </c>
      <c r="X12" s="147">
        <v>0</v>
      </c>
      <c r="Y12" s="147">
        <v>0</v>
      </c>
      <c r="Z12" s="147">
        <v>0</v>
      </c>
      <c r="AA12" s="147">
        <v>9.4500701030057624E-4</v>
      </c>
      <c r="AB12" s="147">
        <v>0</v>
      </c>
      <c r="AC12" s="147">
        <v>0</v>
      </c>
      <c r="AD12" s="147">
        <v>3.9750999976149396E-4</v>
      </c>
      <c r="AE12" s="147">
        <v>0</v>
      </c>
      <c r="AF12" s="147">
        <v>0</v>
      </c>
      <c r="AG12" s="147">
        <v>3.7831200730142179E-4</v>
      </c>
      <c r="AH12" s="147">
        <v>0</v>
      </c>
      <c r="AI12" s="147">
        <v>0</v>
      </c>
      <c r="AJ12" s="147">
        <v>1.2632100100172555E-5</v>
      </c>
      <c r="AK12" s="147">
        <v>1.4615500301810082E-4</v>
      </c>
      <c r="AL12" s="147">
        <v>0</v>
      </c>
      <c r="AM12" s="147">
        <v>0</v>
      </c>
      <c r="AN12" s="147">
        <v>0</v>
      </c>
      <c r="AO12" s="147">
        <v>0</v>
      </c>
      <c r="AP12" s="147">
        <v>0</v>
      </c>
      <c r="AQ12" s="147">
        <v>0</v>
      </c>
      <c r="AR12" s="147">
        <v>0</v>
      </c>
      <c r="AS12" s="147">
        <v>0</v>
      </c>
      <c r="AT12" s="147">
        <v>0</v>
      </c>
      <c r="AU12" s="147">
        <v>1.0465769973835575E-3</v>
      </c>
      <c r="AV12" s="147">
        <v>0</v>
      </c>
      <c r="AW12" s="147">
        <v>0</v>
      </c>
      <c r="AX12" s="147">
        <v>0</v>
      </c>
      <c r="AY12" s="147">
        <v>0</v>
      </c>
      <c r="AZ12" s="147">
        <v>0</v>
      </c>
      <c r="BA12" s="147">
        <v>0</v>
      </c>
      <c r="BB12" s="147">
        <v>0</v>
      </c>
      <c r="BC12" s="147">
        <v>0</v>
      </c>
      <c r="BD12" s="147">
        <v>0</v>
      </c>
      <c r="BE12" s="147">
        <v>0</v>
      </c>
      <c r="BF12" s="147">
        <v>0</v>
      </c>
      <c r="BG12" s="147">
        <v>0</v>
      </c>
      <c r="BH12" s="147">
        <v>0</v>
      </c>
      <c r="BI12" s="147">
        <v>0</v>
      </c>
      <c r="BJ12" s="147">
        <v>0</v>
      </c>
      <c r="BK12" s="147">
        <v>0</v>
      </c>
      <c r="BL12" s="147">
        <v>0</v>
      </c>
      <c r="BM12" s="147">
        <v>0</v>
      </c>
      <c r="BN12" s="147">
        <v>0</v>
      </c>
      <c r="BO12" s="147">
        <v>0</v>
      </c>
      <c r="BP12" s="147">
        <v>0</v>
      </c>
      <c r="BQ12" s="147">
        <v>0</v>
      </c>
      <c r="BR12" s="147">
        <v>0</v>
      </c>
      <c r="BS12" s="147">
        <v>0</v>
      </c>
      <c r="BT12" s="147">
        <v>0</v>
      </c>
      <c r="BU12" s="147">
        <v>0</v>
      </c>
      <c r="BV12" s="147">
        <v>0</v>
      </c>
      <c r="BW12" s="147">
        <v>0</v>
      </c>
      <c r="BX12" s="147">
        <v>0</v>
      </c>
      <c r="BY12" s="147">
        <v>0</v>
      </c>
    </row>
    <row r="13" spans="1:77" customFormat="1" x14ac:dyDescent="0.15">
      <c r="A13" s="182" t="s">
        <v>204</v>
      </c>
      <c r="B13" s="147">
        <v>0</v>
      </c>
      <c r="C13" s="147">
        <v>0</v>
      </c>
      <c r="D13" s="147">
        <v>0</v>
      </c>
      <c r="E13" s="147">
        <v>9.5556800454850378E-4</v>
      </c>
      <c r="F13" s="147">
        <v>1.0170843435821978E-2</v>
      </c>
      <c r="G13" s="147">
        <v>3.4030100241613716E-4</v>
      </c>
      <c r="H13" s="147">
        <v>6.6847300815537074E-4</v>
      </c>
      <c r="I13" s="147">
        <v>4.2026498634138796E-4</v>
      </c>
      <c r="J13" s="147">
        <v>0</v>
      </c>
      <c r="K13" s="147">
        <v>0</v>
      </c>
      <c r="L13" s="147">
        <v>1.5500979784536381E-3</v>
      </c>
      <c r="M13" s="147">
        <v>4.5333300764772782E-5</v>
      </c>
      <c r="N13" s="147">
        <v>5.3258801006591345E-4</v>
      </c>
      <c r="O13" s="147">
        <v>9.4271210084844095E-3</v>
      </c>
      <c r="P13" s="147">
        <v>7.034770176572732E-4</v>
      </c>
      <c r="Q13" s="147">
        <v>1.046679172564364E-2</v>
      </c>
      <c r="R13" s="147">
        <v>0</v>
      </c>
      <c r="S13" s="147">
        <v>7.0136100613690875E-4</v>
      </c>
      <c r="T13" s="147">
        <v>0</v>
      </c>
      <c r="U13" s="147">
        <v>5.134850028241676E-4</v>
      </c>
      <c r="V13" s="147">
        <v>0</v>
      </c>
      <c r="W13" s="147">
        <v>0</v>
      </c>
      <c r="X13" s="147">
        <v>0</v>
      </c>
      <c r="Y13" s="147">
        <v>0</v>
      </c>
      <c r="Z13" s="147">
        <v>0</v>
      </c>
      <c r="AA13" s="147">
        <v>8.7930700958444615E-4</v>
      </c>
      <c r="AB13" s="147">
        <v>0</v>
      </c>
      <c r="AC13" s="147">
        <v>0</v>
      </c>
      <c r="AD13" s="147">
        <v>3.698739997780756E-4</v>
      </c>
      <c r="AE13" s="147">
        <v>0</v>
      </c>
      <c r="AF13" s="147">
        <v>0</v>
      </c>
      <c r="AG13" s="147">
        <v>3.5201000679379311E-4</v>
      </c>
      <c r="AH13" s="147">
        <v>0</v>
      </c>
      <c r="AI13" s="147">
        <v>0</v>
      </c>
      <c r="AJ13" s="147">
        <v>1.8916000150003881E-6</v>
      </c>
      <c r="AK13" s="147">
        <v>1.3599400280827617E-4</v>
      </c>
      <c r="AL13" s="147">
        <v>0</v>
      </c>
      <c r="AM13" s="147">
        <v>0</v>
      </c>
      <c r="AN13" s="147">
        <v>0</v>
      </c>
      <c r="AO13" s="147">
        <v>0</v>
      </c>
      <c r="AP13" s="147">
        <v>0</v>
      </c>
      <c r="AQ13" s="147">
        <v>0</v>
      </c>
      <c r="AR13" s="147">
        <v>0</v>
      </c>
      <c r="AS13" s="147">
        <v>0</v>
      </c>
      <c r="AT13" s="147">
        <v>0</v>
      </c>
      <c r="AU13" s="147">
        <v>9.7381499756546256E-4</v>
      </c>
      <c r="AV13" s="147">
        <v>0</v>
      </c>
      <c r="AW13" s="147">
        <v>0</v>
      </c>
      <c r="AX13" s="147">
        <v>0</v>
      </c>
      <c r="AY13" s="147">
        <v>0</v>
      </c>
      <c r="AZ13" s="147">
        <v>0</v>
      </c>
      <c r="BA13" s="147">
        <v>0</v>
      </c>
      <c r="BB13" s="147">
        <v>0</v>
      </c>
      <c r="BC13" s="147">
        <v>0</v>
      </c>
      <c r="BD13" s="147">
        <v>0</v>
      </c>
      <c r="BE13" s="147">
        <v>0</v>
      </c>
      <c r="BF13" s="147">
        <v>0</v>
      </c>
      <c r="BG13" s="147">
        <v>0</v>
      </c>
      <c r="BH13" s="147">
        <v>0</v>
      </c>
      <c r="BI13" s="147">
        <v>0</v>
      </c>
      <c r="BJ13" s="147">
        <v>0</v>
      </c>
      <c r="BK13" s="147">
        <v>0</v>
      </c>
      <c r="BL13" s="147">
        <v>0</v>
      </c>
      <c r="BM13" s="147">
        <v>0</v>
      </c>
      <c r="BN13" s="147">
        <v>0</v>
      </c>
      <c r="BO13" s="147">
        <v>0</v>
      </c>
      <c r="BP13" s="147">
        <v>0</v>
      </c>
      <c r="BQ13" s="147">
        <v>0</v>
      </c>
      <c r="BR13" s="147">
        <v>0</v>
      </c>
      <c r="BS13" s="147">
        <v>0</v>
      </c>
      <c r="BT13" s="147">
        <v>0</v>
      </c>
      <c r="BU13" s="147">
        <v>0</v>
      </c>
      <c r="BV13" s="147">
        <v>0</v>
      </c>
      <c r="BW13" s="147">
        <v>0</v>
      </c>
      <c r="BX13" s="147">
        <v>0</v>
      </c>
      <c r="BY13" s="147">
        <v>0</v>
      </c>
    </row>
    <row r="14" spans="1:77" customFormat="1" x14ac:dyDescent="0.15">
      <c r="A14" s="182" t="s">
        <v>205</v>
      </c>
      <c r="B14" s="147">
        <v>0</v>
      </c>
      <c r="C14" s="147">
        <v>0</v>
      </c>
      <c r="D14" s="147">
        <v>0</v>
      </c>
      <c r="E14" s="147">
        <v>1.4475340068902621E-3</v>
      </c>
      <c r="F14" s="147">
        <v>1.3150269917021797E-3</v>
      </c>
      <c r="G14" s="147">
        <v>5.1550200366006437E-4</v>
      </c>
      <c r="H14" s="147">
        <v>1.0011861222144708E-2</v>
      </c>
      <c r="I14" s="147">
        <v>8.5465377222375231E-3</v>
      </c>
      <c r="J14" s="147">
        <v>0</v>
      </c>
      <c r="K14" s="147">
        <v>0</v>
      </c>
      <c r="L14" s="147">
        <v>7.763096892092953E-3</v>
      </c>
      <c r="M14" s="147">
        <v>6.8672801158510148E-5</v>
      </c>
      <c r="N14" s="147">
        <v>7.9136341495676873E-3</v>
      </c>
      <c r="O14" s="147">
        <v>1.036268940932642E-2</v>
      </c>
      <c r="P14" s="147">
        <v>1.0273910257875149E-2</v>
      </c>
      <c r="Q14" s="147">
        <v>1.0668614926138105E-2</v>
      </c>
      <c r="R14" s="147">
        <v>0</v>
      </c>
      <c r="S14" s="147">
        <v>1.0624510092964463E-3</v>
      </c>
      <c r="T14" s="147">
        <v>0</v>
      </c>
      <c r="U14" s="147">
        <v>7.7784900427816956E-4</v>
      </c>
      <c r="V14" s="147">
        <v>0</v>
      </c>
      <c r="W14" s="147">
        <v>0</v>
      </c>
      <c r="X14" s="147">
        <v>0</v>
      </c>
      <c r="Y14" s="147">
        <v>0</v>
      </c>
      <c r="Z14" s="147">
        <v>0</v>
      </c>
      <c r="AA14" s="147">
        <v>1.3320100145189089E-3</v>
      </c>
      <c r="AB14" s="147">
        <v>0</v>
      </c>
      <c r="AC14" s="147">
        <v>0</v>
      </c>
      <c r="AD14" s="147">
        <v>5.6029999966382004E-4</v>
      </c>
      <c r="AE14" s="147">
        <v>0</v>
      </c>
      <c r="AF14" s="147">
        <v>0</v>
      </c>
      <c r="AG14" s="147">
        <v>5.3324001029153231E-4</v>
      </c>
      <c r="AH14" s="147">
        <v>0</v>
      </c>
      <c r="AI14" s="147">
        <v>0</v>
      </c>
      <c r="AJ14" s="147">
        <v>2.9111400230853402E-5</v>
      </c>
      <c r="AK14" s="147">
        <v>2.0600900425408593E-4</v>
      </c>
      <c r="AL14" s="147">
        <v>0</v>
      </c>
      <c r="AM14" s="147">
        <v>0</v>
      </c>
      <c r="AN14" s="147">
        <v>0</v>
      </c>
      <c r="AO14" s="147">
        <v>0</v>
      </c>
      <c r="AP14" s="147">
        <v>0</v>
      </c>
      <c r="AQ14" s="147">
        <v>0</v>
      </c>
      <c r="AR14" s="147">
        <v>0</v>
      </c>
      <c r="AS14" s="147">
        <v>0</v>
      </c>
      <c r="AT14" s="147">
        <v>0</v>
      </c>
      <c r="AU14" s="147">
        <v>1.4751749963120625E-3</v>
      </c>
      <c r="AV14" s="147">
        <v>0</v>
      </c>
      <c r="AW14" s="147">
        <v>0</v>
      </c>
      <c r="AX14" s="147">
        <v>0</v>
      </c>
      <c r="AY14" s="147">
        <v>0</v>
      </c>
      <c r="AZ14" s="147">
        <v>0</v>
      </c>
      <c r="BA14" s="147">
        <v>0</v>
      </c>
      <c r="BB14" s="147">
        <v>0</v>
      </c>
      <c r="BC14" s="147">
        <v>0</v>
      </c>
      <c r="BD14" s="147">
        <v>0</v>
      </c>
      <c r="BE14" s="147">
        <v>0</v>
      </c>
      <c r="BF14" s="147">
        <v>0</v>
      </c>
      <c r="BG14" s="147">
        <v>0</v>
      </c>
      <c r="BH14" s="147">
        <v>0</v>
      </c>
      <c r="BI14" s="147">
        <v>0</v>
      </c>
      <c r="BJ14" s="147">
        <v>0</v>
      </c>
      <c r="BK14" s="147">
        <v>0</v>
      </c>
      <c r="BL14" s="147">
        <v>0</v>
      </c>
      <c r="BM14" s="147">
        <v>0</v>
      </c>
      <c r="BN14" s="147">
        <v>0</v>
      </c>
      <c r="BO14" s="147">
        <v>0</v>
      </c>
      <c r="BP14" s="147">
        <v>0</v>
      </c>
      <c r="BQ14" s="147">
        <v>0</v>
      </c>
      <c r="BR14" s="147">
        <v>0</v>
      </c>
      <c r="BS14" s="147">
        <v>0</v>
      </c>
      <c r="BT14" s="147">
        <v>0</v>
      </c>
      <c r="BU14" s="147">
        <v>0</v>
      </c>
      <c r="BV14" s="147">
        <v>0</v>
      </c>
      <c r="BW14" s="147">
        <v>0</v>
      </c>
      <c r="BX14" s="147">
        <v>0</v>
      </c>
      <c r="BY14" s="147">
        <v>0</v>
      </c>
    </row>
    <row r="15" spans="1:77" customFormat="1" x14ac:dyDescent="0.15">
      <c r="A15" s="182" t="s">
        <v>206</v>
      </c>
      <c r="B15" s="147">
        <v>0</v>
      </c>
      <c r="C15" s="147">
        <v>0</v>
      </c>
      <c r="D15" s="147">
        <v>0</v>
      </c>
      <c r="E15" s="147">
        <v>0</v>
      </c>
      <c r="F15" s="147">
        <v>1.9313889878129352E-3</v>
      </c>
      <c r="G15" s="147">
        <v>0</v>
      </c>
      <c r="H15" s="147">
        <v>1.9083390232817361E-3</v>
      </c>
      <c r="I15" s="147">
        <v>1.3815209551005687E-3</v>
      </c>
      <c r="J15" s="147">
        <v>0</v>
      </c>
      <c r="K15" s="147">
        <v>0</v>
      </c>
      <c r="L15" s="147">
        <v>1.1430509841115913E-3</v>
      </c>
      <c r="M15" s="147">
        <v>0</v>
      </c>
      <c r="N15" s="147">
        <v>1.8343330346688948E-3</v>
      </c>
      <c r="O15" s="147">
        <v>1.9725550017752995E-3</v>
      </c>
      <c r="P15" s="147">
        <v>0</v>
      </c>
      <c r="Q15" s="147">
        <v>2.146136005258033E-3</v>
      </c>
      <c r="R15" s="147">
        <v>0</v>
      </c>
      <c r="S15" s="147">
        <v>0</v>
      </c>
      <c r="T15" s="147">
        <v>0</v>
      </c>
      <c r="U15" s="147">
        <v>0</v>
      </c>
      <c r="V15" s="147">
        <v>0</v>
      </c>
      <c r="W15" s="147">
        <v>0</v>
      </c>
      <c r="X15" s="147">
        <v>0</v>
      </c>
      <c r="Y15" s="147">
        <v>0</v>
      </c>
      <c r="Z15" s="147">
        <v>0</v>
      </c>
      <c r="AA15" s="147">
        <v>0</v>
      </c>
      <c r="AB15" s="147">
        <v>0</v>
      </c>
      <c r="AC15" s="147">
        <v>0</v>
      </c>
      <c r="AD15" s="147">
        <v>0</v>
      </c>
      <c r="AE15" s="147">
        <v>0</v>
      </c>
      <c r="AF15" s="147">
        <v>0</v>
      </c>
      <c r="AG15" s="147">
        <v>0</v>
      </c>
      <c r="AH15" s="147">
        <v>0</v>
      </c>
      <c r="AI15" s="147">
        <v>0</v>
      </c>
      <c r="AJ15" s="147">
        <v>0</v>
      </c>
      <c r="AK15" s="147">
        <v>0</v>
      </c>
      <c r="AL15" s="147">
        <v>0</v>
      </c>
      <c r="AM15" s="147">
        <v>0</v>
      </c>
      <c r="AN15" s="147">
        <v>0</v>
      </c>
      <c r="AO15" s="147">
        <v>0</v>
      </c>
      <c r="AP15" s="147">
        <v>0</v>
      </c>
      <c r="AQ15" s="147">
        <v>0</v>
      </c>
      <c r="AR15" s="147">
        <v>0</v>
      </c>
      <c r="AS15" s="147">
        <v>0</v>
      </c>
      <c r="AT15" s="147">
        <v>0</v>
      </c>
      <c r="AU15" s="147">
        <v>0</v>
      </c>
      <c r="AV15" s="147">
        <v>0</v>
      </c>
      <c r="AW15" s="147">
        <v>0</v>
      </c>
      <c r="AX15" s="147">
        <v>0</v>
      </c>
      <c r="AY15" s="147">
        <v>0</v>
      </c>
      <c r="AZ15" s="147">
        <v>0</v>
      </c>
      <c r="BA15" s="147">
        <v>0</v>
      </c>
      <c r="BB15" s="147">
        <v>0</v>
      </c>
      <c r="BC15" s="147">
        <v>0</v>
      </c>
      <c r="BD15" s="147">
        <v>0</v>
      </c>
      <c r="BE15" s="147">
        <v>0</v>
      </c>
      <c r="BF15" s="147">
        <v>0</v>
      </c>
      <c r="BG15" s="147">
        <v>0</v>
      </c>
      <c r="BH15" s="147">
        <v>0</v>
      </c>
      <c r="BI15" s="147">
        <v>0</v>
      </c>
      <c r="BJ15" s="147">
        <v>0</v>
      </c>
      <c r="BK15" s="147">
        <v>0</v>
      </c>
      <c r="BL15" s="147">
        <v>0</v>
      </c>
      <c r="BM15" s="147">
        <v>0</v>
      </c>
      <c r="BN15" s="147">
        <v>0</v>
      </c>
      <c r="BO15" s="147">
        <v>0</v>
      </c>
      <c r="BP15" s="147">
        <v>0</v>
      </c>
      <c r="BQ15" s="147">
        <v>0</v>
      </c>
      <c r="BR15" s="147">
        <v>0</v>
      </c>
      <c r="BS15" s="147">
        <v>0</v>
      </c>
      <c r="BT15" s="147">
        <v>0</v>
      </c>
      <c r="BU15" s="147">
        <v>0</v>
      </c>
      <c r="BV15" s="147">
        <v>0</v>
      </c>
      <c r="BW15" s="147">
        <v>0</v>
      </c>
      <c r="BX15" s="147">
        <v>0</v>
      </c>
      <c r="BY15" s="147">
        <v>0</v>
      </c>
    </row>
    <row r="16" spans="1:77" customFormat="1" x14ac:dyDescent="0.15">
      <c r="A16" s="182" t="s">
        <v>207</v>
      </c>
      <c r="B16" s="147">
        <v>0</v>
      </c>
      <c r="C16" s="147">
        <v>0</v>
      </c>
      <c r="D16" s="147">
        <v>0</v>
      </c>
      <c r="E16" s="147">
        <v>0</v>
      </c>
      <c r="F16" s="147">
        <v>7.2055659545328787E-3</v>
      </c>
      <c r="G16" s="147">
        <v>0</v>
      </c>
      <c r="H16" s="147">
        <v>7.1195730868587916E-3</v>
      </c>
      <c r="I16" s="147">
        <v>1.4527340927861419E-2</v>
      </c>
      <c r="J16" s="147">
        <v>0</v>
      </c>
      <c r="K16" s="147">
        <v>0</v>
      </c>
      <c r="L16" s="147">
        <v>9.6226348662453737E-3</v>
      </c>
      <c r="M16" s="147">
        <v>0</v>
      </c>
      <c r="N16" s="147">
        <v>6.8434751293416814E-3</v>
      </c>
      <c r="O16" s="147">
        <v>1.6112817514501537E-2</v>
      </c>
      <c r="P16" s="147">
        <v>0</v>
      </c>
      <c r="Q16" s="147">
        <v>1.8099738344344359E-2</v>
      </c>
      <c r="R16" s="147">
        <v>0</v>
      </c>
      <c r="S16" s="147">
        <v>0</v>
      </c>
      <c r="T16" s="147">
        <v>0</v>
      </c>
      <c r="U16" s="147">
        <v>0</v>
      </c>
      <c r="V16" s="147">
        <v>0</v>
      </c>
      <c r="W16" s="147">
        <v>0</v>
      </c>
      <c r="X16" s="147">
        <v>0</v>
      </c>
      <c r="Y16" s="147">
        <v>0</v>
      </c>
      <c r="Z16" s="147">
        <v>0</v>
      </c>
      <c r="AA16" s="147">
        <v>0</v>
      </c>
      <c r="AB16" s="147">
        <v>0</v>
      </c>
      <c r="AC16" s="147">
        <v>0</v>
      </c>
      <c r="AD16" s="147">
        <v>0</v>
      </c>
      <c r="AE16" s="147">
        <v>0</v>
      </c>
      <c r="AF16" s="147">
        <v>0</v>
      </c>
      <c r="AG16" s="147">
        <v>0</v>
      </c>
      <c r="AH16" s="147">
        <v>0</v>
      </c>
      <c r="AI16" s="147">
        <v>0</v>
      </c>
      <c r="AJ16" s="147">
        <v>0</v>
      </c>
      <c r="AK16" s="147">
        <v>0</v>
      </c>
      <c r="AL16" s="147">
        <v>0</v>
      </c>
      <c r="AM16" s="147">
        <v>0</v>
      </c>
      <c r="AN16" s="147">
        <v>0</v>
      </c>
      <c r="AO16" s="147">
        <v>0</v>
      </c>
      <c r="AP16" s="147">
        <v>0</v>
      </c>
      <c r="AQ16" s="147">
        <v>0</v>
      </c>
      <c r="AR16" s="147">
        <v>0</v>
      </c>
      <c r="AS16" s="147">
        <v>0</v>
      </c>
      <c r="AT16" s="147">
        <v>0</v>
      </c>
      <c r="AU16" s="147">
        <v>0</v>
      </c>
      <c r="AV16" s="147">
        <v>0</v>
      </c>
      <c r="AW16" s="147">
        <v>0</v>
      </c>
      <c r="AX16" s="147">
        <v>0</v>
      </c>
      <c r="AY16" s="147">
        <v>0</v>
      </c>
      <c r="AZ16" s="147">
        <v>0</v>
      </c>
      <c r="BA16" s="147">
        <v>0</v>
      </c>
      <c r="BB16" s="147">
        <v>0</v>
      </c>
      <c r="BC16" s="147">
        <v>0</v>
      </c>
      <c r="BD16" s="147">
        <v>0</v>
      </c>
      <c r="BE16" s="147">
        <v>0</v>
      </c>
      <c r="BF16" s="147">
        <v>0</v>
      </c>
      <c r="BG16" s="147">
        <v>0</v>
      </c>
      <c r="BH16" s="147">
        <v>0</v>
      </c>
      <c r="BI16" s="147">
        <v>0</v>
      </c>
      <c r="BJ16" s="147">
        <v>0</v>
      </c>
      <c r="BK16" s="147">
        <v>0</v>
      </c>
      <c r="BL16" s="147">
        <v>0</v>
      </c>
      <c r="BM16" s="147">
        <v>0</v>
      </c>
      <c r="BN16" s="147">
        <v>0</v>
      </c>
      <c r="BO16" s="147">
        <v>0</v>
      </c>
      <c r="BP16" s="147">
        <v>0</v>
      </c>
      <c r="BQ16" s="147">
        <v>0</v>
      </c>
      <c r="BR16" s="147">
        <v>0</v>
      </c>
      <c r="BS16" s="147">
        <v>0</v>
      </c>
      <c r="BT16" s="147">
        <v>0</v>
      </c>
      <c r="BU16" s="147">
        <v>0</v>
      </c>
      <c r="BV16" s="147">
        <v>0</v>
      </c>
      <c r="BW16" s="147">
        <v>0</v>
      </c>
      <c r="BX16" s="147">
        <v>0</v>
      </c>
      <c r="BY16" s="147">
        <v>0</v>
      </c>
    </row>
    <row r="17" spans="1:77" customFormat="1" x14ac:dyDescent="0.15">
      <c r="A17" s="182" t="s">
        <v>208</v>
      </c>
      <c r="B17" s="147">
        <v>2.0870000000000003E-2</v>
      </c>
      <c r="C17" s="147">
        <v>2.1435199950906769E-2</v>
      </c>
      <c r="D17" s="147">
        <v>1.8203675572574275E-2</v>
      </c>
      <c r="E17" s="147">
        <v>3.1114807548106489E-2</v>
      </c>
      <c r="F17" s="147">
        <v>3.5247012777591347E-2</v>
      </c>
      <c r="G17" s="147">
        <v>3.2938460233863077E-2</v>
      </c>
      <c r="H17" s="147">
        <v>3.711349045278458E-2</v>
      </c>
      <c r="I17" s="147">
        <v>0.10640319054189631</v>
      </c>
      <c r="J17" s="147">
        <v>3.0000080112500302E-3</v>
      </c>
      <c r="K17" s="147">
        <v>1.7314268312812558E-2</v>
      </c>
      <c r="L17" s="147">
        <v>5.6840289209919979E-2</v>
      </c>
      <c r="M17" s="147">
        <v>5.98812810101972E-3</v>
      </c>
      <c r="N17" s="147">
        <v>2.6192684195041737E-2</v>
      </c>
      <c r="O17" s="147">
        <v>4.7412770042671491E-2</v>
      </c>
      <c r="P17" s="147">
        <v>2.973418754632811E-2</v>
      </c>
      <c r="Q17" s="147">
        <v>1.4614802835806266E-2</v>
      </c>
      <c r="R17" s="147">
        <v>5.5013042175065203E-2</v>
      </c>
      <c r="S17" s="147">
        <v>2.6251735429702685E-2</v>
      </c>
      <c r="T17" s="147">
        <v>0</v>
      </c>
      <c r="U17" s="147">
        <v>4.7180626759493451E-2</v>
      </c>
      <c r="V17" s="147">
        <v>0</v>
      </c>
      <c r="W17" s="147">
        <v>3.2849310220090376E-2</v>
      </c>
      <c r="X17" s="147">
        <v>3.1486162573249988E-4</v>
      </c>
      <c r="Y17" s="147">
        <v>0</v>
      </c>
      <c r="Z17" s="147">
        <v>0</v>
      </c>
      <c r="AA17" s="147">
        <v>4.143663545165932E-2</v>
      </c>
      <c r="AB17" s="147">
        <v>0</v>
      </c>
      <c r="AC17" s="147">
        <v>0</v>
      </c>
      <c r="AD17" s="147">
        <v>7.1362569957182454E-3</v>
      </c>
      <c r="AE17" s="147">
        <v>0</v>
      </c>
      <c r="AF17" s="147">
        <v>0</v>
      </c>
      <c r="AG17" s="147">
        <v>6.7915981310778441E-3</v>
      </c>
      <c r="AH17" s="147">
        <v>0</v>
      </c>
      <c r="AI17" s="147">
        <v>0</v>
      </c>
      <c r="AJ17" s="147">
        <v>4.3281600343223088E-4</v>
      </c>
      <c r="AK17" s="147">
        <v>4.8448101000453289E-4</v>
      </c>
      <c r="AL17" s="147">
        <v>3.9010030042911027E-3</v>
      </c>
      <c r="AM17" s="147">
        <v>5.9433429625569403E-3</v>
      </c>
      <c r="AN17" s="147">
        <v>2.6132299952961856E-2</v>
      </c>
      <c r="AO17" s="147">
        <v>0</v>
      </c>
      <c r="AP17" s="147">
        <v>3.3096385933562779E-3</v>
      </c>
      <c r="AQ17" s="147">
        <v>0</v>
      </c>
      <c r="AR17" s="147">
        <v>0</v>
      </c>
      <c r="AS17" s="147">
        <v>2.2029731507945686E-2</v>
      </c>
      <c r="AT17" s="147">
        <v>1.7547436720088004E-3</v>
      </c>
      <c r="AU17" s="147">
        <v>1.3146348267134129E-2</v>
      </c>
      <c r="AV17" s="147">
        <v>1.7111989964064822E-2</v>
      </c>
      <c r="AW17" s="147">
        <v>1.152470339769506E-2</v>
      </c>
      <c r="AX17" s="147">
        <v>9.6077813738383881E-4</v>
      </c>
      <c r="AY17" s="147">
        <v>9.5921395164830771E-6</v>
      </c>
      <c r="AZ17" s="147">
        <v>0</v>
      </c>
      <c r="BA17" s="147">
        <v>0</v>
      </c>
      <c r="BB17" s="147">
        <v>2.579828965172309E-3</v>
      </c>
      <c r="BC17" s="147">
        <v>0</v>
      </c>
      <c r="BD17" s="147">
        <v>1.1803369931540457E-3</v>
      </c>
      <c r="BE17" s="147">
        <v>0</v>
      </c>
      <c r="BF17" s="147">
        <v>0</v>
      </c>
      <c r="BG17" s="147">
        <v>0</v>
      </c>
      <c r="BH17" s="147">
        <v>0</v>
      </c>
      <c r="BI17" s="147">
        <v>1.4064338370782004E-5</v>
      </c>
      <c r="BJ17" s="147">
        <v>0</v>
      </c>
      <c r="BK17" s="147">
        <v>0</v>
      </c>
      <c r="BL17" s="147">
        <v>0</v>
      </c>
      <c r="BM17" s="147">
        <v>0</v>
      </c>
      <c r="BN17" s="147">
        <v>0</v>
      </c>
      <c r="BO17" s="147">
        <v>0</v>
      </c>
      <c r="BP17" s="147">
        <v>0</v>
      </c>
      <c r="BQ17" s="147">
        <v>0</v>
      </c>
      <c r="BR17" s="147">
        <v>0</v>
      </c>
      <c r="BS17" s="147">
        <v>0</v>
      </c>
      <c r="BT17" s="147">
        <v>0</v>
      </c>
      <c r="BU17" s="147">
        <v>0</v>
      </c>
      <c r="BV17" s="147">
        <v>0</v>
      </c>
      <c r="BW17" s="147">
        <v>0</v>
      </c>
      <c r="BX17" s="147">
        <v>0</v>
      </c>
      <c r="BY17" s="147">
        <v>0</v>
      </c>
    </row>
    <row r="18" spans="1:77" customFormat="1" x14ac:dyDescent="0.15">
      <c r="A18" s="182" t="s">
        <v>209</v>
      </c>
      <c r="B18" s="147">
        <v>3.3770000000000002E-3</v>
      </c>
      <c r="C18" s="147">
        <v>3.690186039639575E-4</v>
      </c>
      <c r="D18" s="147">
        <v>1.0421899927046702E-4</v>
      </c>
      <c r="E18" s="147">
        <v>2.8252600134482384E-4</v>
      </c>
      <c r="F18" s="147">
        <v>9.3075469412693783E-3</v>
      </c>
      <c r="G18" s="147">
        <v>2.5785100183074218E-4</v>
      </c>
      <c r="H18" s="147">
        <v>1.5329800187023563E-3</v>
      </c>
      <c r="I18" s="147">
        <v>8.8903297110642845E-4</v>
      </c>
      <c r="J18" s="147">
        <v>5.0769400190385256E-4</v>
      </c>
      <c r="K18" s="147">
        <v>3.2341200023932492E-4</v>
      </c>
      <c r="L18" s="147">
        <v>2.4146299664366436E-3</v>
      </c>
      <c r="M18" s="147">
        <v>2.9354700495213793E-5</v>
      </c>
      <c r="N18" s="147">
        <v>8.561789161817818E-3</v>
      </c>
      <c r="O18" s="147">
        <v>1.4548420013093578E-3</v>
      </c>
      <c r="P18" s="147">
        <v>2.3293100584656826E-4</v>
      </c>
      <c r="Q18" s="147">
        <v>1.4118003734589109E-2</v>
      </c>
      <c r="R18" s="147">
        <v>3.6617400183086996E-4</v>
      </c>
      <c r="S18" s="147">
        <v>1.1981230104835764E-2</v>
      </c>
      <c r="T18" s="147">
        <v>0</v>
      </c>
      <c r="U18" s="147">
        <v>2.38944001314192E-4</v>
      </c>
      <c r="V18" s="147">
        <v>0</v>
      </c>
      <c r="W18" s="147">
        <v>1.4840430099430882E-3</v>
      </c>
      <c r="X18" s="147">
        <v>3.1962574977739997E-4</v>
      </c>
      <c r="Y18" s="147">
        <v>0</v>
      </c>
      <c r="Z18" s="147">
        <v>0</v>
      </c>
      <c r="AA18" s="147">
        <v>4.9109200535290285E-4</v>
      </c>
      <c r="AB18" s="147">
        <v>0</v>
      </c>
      <c r="AC18" s="147">
        <v>0</v>
      </c>
      <c r="AD18" s="147">
        <v>1.2076739992753955E-3</v>
      </c>
      <c r="AE18" s="147">
        <v>0</v>
      </c>
      <c r="AF18" s="147">
        <v>0</v>
      </c>
      <c r="AG18" s="147">
        <v>1.1493470221823976E-3</v>
      </c>
      <c r="AH18" s="147">
        <v>0</v>
      </c>
      <c r="AI18" s="147">
        <v>0</v>
      </c>
      <c r="AJ18" s="147">
        <v>8.1400700645507561E-6</v>
      </c>
      <c r="AK18" s="147">
        <v>9.111750188157642E-6</v>
      </c>
      <c r="AL18" s="147">
        <v>6.6017000072618687E-4</v>
      </c>
      <c r="AM18" s="147">
        <v>1.005796993663479E-3</v>
      </c>
      <c r="AN18" s="147">
        <v>4.9841999910284391E-4</v>
      </c>
      <c r="AO18" s="147">
        <v>0</v>
      </c>
      <c r="AP18" s="147">
        <v>5.1985572257734567E-4</v>
      </c>
      <c r="AQ18" s="147">
        <v>0</v>
      </c>
      <c r="AR18" s="147">
        <v>0</v>
      </c>
      <c r="AS18" s="147">
        <v>1.1798800057814122E-4</v>
      </c>
      <c r="AT18" s="147">
        <v>4.6690517728969181E-4</v>
      </c>
      <c r="AU18" s="147">
        <v>3.1776499920558752E-4</v>
      </c>
      <c r="AV18" s="147">
        <v>4.9204599896670339E-4</v>
      </c>
      <c r="AW18" s="147">
        <v>6.6707399986658527E-4</v>
      </c>
      <c r="AX18" s="147">
        <v>9.6077813738383881E-4</v>
      </c>
      <c r="AY18" s="147">
        <v>9.5921395164830757E-4</v>
      </c>
      <c r="AZ18" s="147">
        <v>0</v>
      </c>
      <c r="BA18" s="147">
        <v>0</v>
      </c>
      <c r="BB18" s="147">
        <v>4.3658599410608908E-4</v>
      </c>
      <c r="BC18" s="147">
        <v>0</v>
      </c>
      <c r="BD18" s="147">
        <v>1.1803369931540457E-3</v>
      </c>
      <c r="BE18" s="147">
        <v>0</v>
      </c>
      <c r="BF18" s="147">
        <v>0</v>
      </c>
      <c r="BG18" s="147">
        <v>0</v>
      </c>
      <c r="BH18" s="147">
        <v>0</v>
      </c>
      <c r="BI18" s="147">
        <v>0</v>
      </c>
      <c r="BJ18" s="147">
        <v>0</v>
      </c>
      <c r="BK18" s="147">
        <v>0</v>
      </c>
      <c r="BL18" s="147">
        <v>0</v>
      </c>
      <c r="BM18" s="147">
        <v>0</v>
      </c>
      <c r="BN18" s="147">
        <v>0</v>
      </c>
      <c r="BO18" s="147">
        <v>0</v>
      </c>
      <c r="BP18" s="147">
        <v>0</v>
      </c>
      <c r="BQ18" s="147">
        <v>0</v>
      </c>
      <c r="BR18" s="147">
        <v>0</v>
      </c>
      <c r="BS18" s="147">
        <v>0</v>
      </c>
      <c r="BT18" s="147">
        <v>0</v>
      </c>
      <c r="BU18" s="147">
        <v>0</v>
      </c>
      <c r="BV18" s="147">
        <v>0</v>
      </c>
      <c r="BW18" s="147">
        <v>0</v>
      </c>
      <c r="BX18" s="147">
        <v>0</v>
      </c>
      <c r="BY18" s="147">
        <v>0</v>
      </c>
    </row>
    <row r="19" spans="1:77" customFormat="1" x14ac:dyDescent="0.15">
      <c r="A19" s="182" t="s">
        <v>210</v>
      </c>
      <c r="B19" s="147">
        <v>1.0100000000000002E-4</v>
      </c>
      <c r="C19" s="147">
        <v>0</v>
      </c>
      <c r="D19" s="147">
        <v>0</v>
      </c>
      <c r="E19" s="147">
        <v>1.2114700057665974E-4</v>
      </c>
      <c r="F19" s="147">
        <v>5.2389299669423508E-5</v>
      </c>
      <c r="G19" s="147">
        <v>5.9303000421051307E-5</v>
      </c>
      <c r="H19" s="147">
        <v>7.5759000924259818E-5</v>
      </c>
      <c r="I19" s="147">
        <v>2.4403599206883025E-5</v>
      </c>
      <c r="J19" s="147">
        <v>2.6028200097605753E-4</v>
      </c>
      <c r="K19" s="147">
        <v>1.1201800008289331E-4</v>
      </c>
      <c r="L19" s="147">
        <v>6.1525299144798333E-5</v>
      </c>
      <c r="M19" s="147">
        <v>7.1741301210275751E-6</v>
      </c>
      <c r="N19" s="147">
        <v>7.4672501411310292E-5</v>
      </c>
      <c r="O19" s="147">
        <v>5.8092100052282884E-5</v>
      </c>
      <c r="P19" s="147">
        <v>1.0323500259119857E-4</v>
      </c>
      <c r="Q19" s="147">
        <v>1.0976565126892584E-2</v>
      </c>
      <c r="R19" s="147">
        <v>8.5704100428520499E-5</v>
      </c>
      <c r="S19" s="147">
        <v>2.1654300189475126E-4</v>
      </c>
      <c r="T19" s="147">
        <v>0</v>
      </c>
      <c r="U19" s="147">
        <v>2.2471200123591603E-4</v>
      </c>
      <c r="V19" s="147">
        <v>0</v>
      </c>
      <c r="W19" s="147">
        <v>1.3956520093508684E-3</v>
      </c>
      <c r="X19" s="147">
        <v>1.8756811952355547E-2</v>
      </c>
      <c r="Y19" s="147">
        <v>0</v>
      </c>
      <c r="Z19" s="147">
        <v>0</v>
      </c>
      <c r="AA19" s="147">
        <v>4.6184200503407777E-4</v>
      </c>
      <c r="AB19" s="147">
        <v>0</v>
      </c>
      <c r="AC19" s="147">
        <v>0</v>
      </c>
      <c r="AD19" s="147">
        <v>1.1357439993185535E-3</v>
      </c>
      <c r="AE19" s="147">
        <v>0</v>
      </c>
      <c r="AF19" s="147">
        <v>0</v>
      </c>
      <c r="AG19" s="147">
        <v>1.0808910208611967E-3</v>
      </c>
      <c r="AH19" s="147">
        <v>0</v>
      </c>
      <c r="AI19" s="147">
        <v>0</v>
      </c>
      <c r="AJ19" s="147">
        <v>4.5086500357535951E-5</v>
      </c>
      <c r="AK19" s="147">
        <v>5.0468501042174545E-5</v>
      </c>
      <c r="AL19" s="147">
        <v>6.2084900068293388E-4</v>
      </c>
      <c r="AM19" s="147">
        <v>6.3190399601900486E-4</v>
      </c>
      <c r="AN19" s="147">
        <v>0</v>
      </c>
      <c r="AO19" s="147">
        <v>0</v>
      </c>
      <c r="AP19" s="147">
        <v>4.8889230328100415E-4</v>
      </c>
      <c r="AQ19" s="147">
        <v>0</v>
      </c>
      <c r="AR19" s="147">
        <v>0</v>
      </c>
      <c r="AS19" s="147">
        <v>0</v>
      </c>
      <c r="AT19" s="147">
        <v>0</v>
      </c>
      <c r="AU19" s="147">
        <v>1.2064299969839251E-4</v>
      </c>
      <c r="AV19" s="147">
        <v>0</v>
      </c>
      <c r="AW19" s="147">
        <v>6.273419998745316E-4</v>
      </c>
      <c r="AX19" s="147">
        <v>0</v>
      </c>
      <c r="AY19" s="147">
        <v>0</v>
      </c>
      <c r="AZ19" s="147">
        <v>0</v>
      </c>
      <c r="BA19" s="147">
        <v>0</v>
      </c>
      <c r="BB19" s="147">
        <v>4.1058299445712959E-4</v>
      </c>
      <c r="BC19" s="147">
        <v>0</v>
      </c>
      <c r="BD19" s="147">
        <v>0</v>
      </c>
      <c r="BE19" s="147">
        <v>0</v>
      </c>
      <c r="BF19" s="147">
        <v>0</v>
      </c>
      <c r="BG19" s="147">
        <v>0</v>
      </c>
      <c r="BH19" s="147">
        <v>0</v>
      </c>
      <c r="BI19" s="147">
        <v>0</v>
      </c>
      <c r="BJ19" s="147">
        <v>0</v>
      </c>
      <c r="BK19" s="147">
        <v>0</v>
      </c>
      <c r="BL19" s="147">
        <v>0</v>
      </c>
      <c r="BM19" s="147">
        <v>0</v>
      </c>
      <c r="BN19" s="147">
        <v>0</v>
      </c>
      <c r="BO19" s="147">
        <v>0</v>
      </c>
      <c r="BP19" s="147">
        <v>0</v>
      </c>
      <c r="BQ19" s="147">
        <v>0</v>
      </c>
      <c r="BR19" s="147">
        <v>0</v>
      </c>
      <c r="BS19" s="147">
        <v>0</v>
      </c>
      <c r="BT19" s="147">
        <v>0</v>
      </c>
      <c r="BU19" s="147">
        <v>0</v>
      </c>
      <c r="BV19" s="147">
        <v>0</v>
      </c>
      <c r="BW19" s="147">
        <v>0</v>
      </c>
      <c r="BX19" s="147">
        <v>0</v>
      </c>
      <c r="BY19" s="147">
        <v>0</v>
      </c>
    </row>
    <row r="20" spans="1:77" customFormat="1" x14ac:dyDescent="0.15">
      <c r="A20" s="182" t="s">
        <v>211</v>
      </c>
      <c r="B20" s="147">
        <v>1.5600000000000002E-4</v>
      </c>
      <c r="C20" s="147">
        <v>1.0216756799727257E-4</v>
      </c>
      <c r="D20" s="147">
        <v>0</v>
      </c>
      <c r="E20" s="147">
        <v>4.1670400198351115E-6</v>
      </c>
      <c r="F20" s="147">
        <v>4.9640899686765923E-5</v>
      </c>
      <c r="G20" s="147">
        <v>3.5942400255191047E-5</v>
      </c>
      <c r="H20" s="147">
        <v>9.4905401157845901E-5</v>
      </c>
      <c r="I20" s="147">
        <v>3.5547698844699785E-5</v>
      </c>
      <c r="J20" s="147">
        <v>8.9528500335731878E-6</v>
      </c>
      <c r="K20" s="147">
        <v>3.8530600028512647E-6</v>
      </c>
      <c r="L20" s="147">
        <v>1.5588199783324024E-4</v>
      </c>
      <c r="M20" s="147">
        <v>1.7206300290270288E-5</v>
      </c>
      <c r="N20" s="147">
        <v>2.3356700441441642E-5</v>
      </c>
      <c r="O20" s="147">
        <v>1.5184400013665958E-4</v>
      </c>
      <c r="P20" s="147">
        <v>3.220440080833046E-5</v>
      </c>
      <c r="Q20" s="147">
        <v>4.2184400103351778E-4</v>
      </c>
      <c r="R20" s="147">
        <v>6.67077003335385E-5</v>
      </c>
      <c r="S20" s="147">
        <v>7.4483500651730625E-6</v>
      </c>
      <c r="T20" s="147">
        <v>0</v>
      </c>
      <c r="U20" s="147">
        <v>1.059110005825105E-4</v>
      </c>
      <c r="V20" s="147">
        <v>0</v>
      </c>
      <c r="W20" s="147">
        <v>9.5239400638103992E-5</v>
      </c>
      <c r="X20" s="147">
        <v>6.0550612357288081E-5</v>
      </c>
      <c r="Y20" s="147">
        <v>0</v>
      </c>
      <c r="Z20" s="147">
        <v>0</v>
      </c>
      <c r="AA20" s="147">
        <v>9.2871801012302615E-5</v>
      </c>
      <c r="AB20" s="147">
        <v>0</v>
      </c>
      <c r="AC20" s="147">
        <v>0</v>
      </c>
      <c r="AD20" s="147">
        <v>3.9065799976560519E-5</v>
      </c>
      <c r="AE20" s="147">
        <v>0</v>
      </c>
      <c r="AF20" s="147">
        <v>0</v>
      </c>
      <c r="AG20" s="147">
        <v>3.7179100717556641E-5</v>
      </c>
      <c r="AH20" s="147">
        <v>0</v>
      </c>
      <c r="AI20" s="147">
        <v>0</v>
      </c>
      <c r="AJ20" s="147">
        <v>0</v>
      </c>
      <c r="AK20" s="147">
        <v>1.6942500349862631E-5</v>
      </c>
      <c r="AL20" s="147">
        <v>0</v>
      </c>
      <c r="AM20" s="147">
        <v>0</v>
      </c>
      <c r="AN20" s="147">
        <v>0</v>
      </c>
      <c r="AO20" s="147">
        <v>0</v>
      </c>
      <c r="AP20" s="147">
        <v>0</v>
      </c>
      <c r="AQ20" s="147">
        <v>0</v>
      </c>
      <c r="AR20" s="147">
        <v>0</v>
      </c>
      <c r="AS20" s="147">
        <v>0</v>
      </c>
      <c r="AT20" s="147">
        <v>0</v>
      </c>
      <c r="AU20" s="147">
        <v>4.1805799895485498E-5</v>
      </c>
      <c r="AV20" s="147">
        <v>0</v>
      </c>
      <c r="AW20" s="147">
        <v>2.15784999956843E-5</v>
      </c>
      <c r="AX20" s="147">
        <v>0</v>
      </c>
      <c r="AY20" s="147">
        <v>0</v>
      </c>
      <c r="AZ20" s="147">
        <v>0</v>
      </c>
      <c r="BA20" s="147">
        <v>0</v>
      </c>
      <c r="BB20" s="147">
        <v>0</v>
      </c>
      <c r="BC20" s="147">
        <v>0</v>
      </c>
      <c r="BD20" s="147">
        <v>0</v>
      </c>
      <c r="BE20" s="147">
        <v>0</v>
      </c>
      <c r="BF20" s="147">
        <v>0</v>
      </c>
      <c r="BG20" s="147">
        <v>0</v>
      </c>
      <c r="BH20" s="147">
        <v>0</v>
      </c>
      <c r="BI20" s="147">
        <v>0</v>
      </c>
      <c r="BJ20" s="147">
        <v>0</v>
      </c>
      <c r="BK20" s="147">
        <v>0</v>
      </c>
      <c r="BL20" s="147">
        <v>0</v>
      </c>
      <c r="BM20" s="147">
        <v>0</v>
      </c>
      <c r="BN20" s="147">
        <v>0</v>
      </c>
      <c r="BO20" s="147">
        <v>0</v>
      </c>
      <c r="BP20" s="147">
        <v>0</v>
      </c>
      <c r="BQ20" s="147">
        <v>0</v>
      </c>
      <c r="BR20" s="147">
        <v>0</v>
      </c>
      <c r="BS20" s="147">
        <v>0</v>
      </c>
      <c r="BT20" s="147">
        <v>0</v>
      </c>
      <c r="BU20" s="147">
        <v>0</v>
      </c>
      <c r="BV20" s="147">
        <v>0</v>
      </c>
      <c r="BW20" s="147">
        <v>0</v>
      </c>
      <c r="BX20" s="147">
        <v>0</v>
      </c>
      <c r="BY20" s="147">
        <v>0</v>
      </c>
    </row>
    <row r="21" spans="1:77" customFormat="1" x14ac:dyDescent="0.15">
      <c r="A21" s="182" t="s">
        <v>212</v>
      </c>
      <c r="B21" s="147">
        <v>4.327000000000001E-3</v>
      </c>
      <c r="C21" s="147">
        <v>0</v>
      </c>
      <c r="D21" s="147">
        <v>0</v>
      </c>
      <c r="E21" s="147">
        <v>1.1589700055166974E-4</v>
      </c>
      <c r="F21" s="147">
        <v>1.3806489912881049E-3</v>
      </c>
      <c r="G21" s="147">
        <v>9.9965700709756487E-4</v>
      </c>
      <c r="H21" s="147">
        <v>2.6395810322028886E-3</v>
      </c>
      <c r="I21" s="147">
        <v>9.8867896786793336E-4</v>
      </c>
      <c r="J21" s="147">
        <v>2.4900300093376123E-4</v>
      </c>
      <c r="K21" s="147">
        <v>1.0716400007930136E-4</v>
      </c>
      <c r="L21" s="147">
        <v>4.3355049397364809E-3</v>
      </c>
      <c r="M21" s="147">
        <v>4.7855400807320612E-4</v>
      </c>
      <c r="N21" s="147">
        <v>6.4961501227772385E-4</v>
      </c>
      <c r="O21" s="147">
        <v>4.2232010038008808E-3</v>
      </c>
      <c r="P21" s="147">
        <v>8.9569102248184473E-4</v>
      </c>
      <c r="Q21" s="147">
        <v>7.5069712683920797E-3</v>
      </c>
      <c r="R21" s="147">
        <v>1.85532400927662E-3</v>
      </c>
      <c r="S21" s="147">
        <v>2.0715900181264126E-4</v>
      </c>
      <c r="T21" s="147">
        <v>0</v>
      </c>
      <c r="U21" s="147">
        <v>2.9456670162011683E-3</v>
      </c>
      <c r="V21" s="147">
        <v>0</v>
      </c>
      <c r="W21" s="147">
        <v>2.6488680177474155E-3</v>
      </c>
      <c r="X21" s="147">
        <v>1.684079724019461E-4</v>
      </c>
      <c r="Y21" s="147">
        <v>0</v>
      </c>
      <c r="Z21" s="147">
        <v>0</v>
      </c>
      <c r="AA21" s="147">
        <v>2.5830200281549177E-3</v>
      </c>
      <c r="AB21" s="147">
        <v>0</v>
      </c>
      <c r="AC21" s="147">
        <v>0</v>
      </c>
      <c r="AD21" s="147">
        <v>1.0865279993480831E-3</v>
      </c>
      <c r="AE21" s="147">
        <v>0</v>
      </c>
      <c r="AF21" s="147">
        <v>0</v>
      </c>
      <c r="AG21" s="147">
        <v>1.034052019957204E-3</v>
      </c>
      <c r="AH21" s="147">
        <v>0</v>
      </c>
      <c r="AI21" s="147">
        <v>0</v>
      </c>
      <c r="AJ21" s="147">
        <v>0</v>
      </c>
      <c r="AK21" s="147">
        <v>4.7121600973061063E-4</v>
      </c>
      <c r="AL21" s="147">
        <v>0</v>
      </c>
      <c r="AM21" s="147">
        <v>0</v>
      </c>
      <c r="AN21" s="147">
        <v>0</v>
      </c>
      <c r="AO21" s="147">
        <v>0</v>
      </c>
      <c r="AP21" s="147">
        <v>0</v>
      </c>
      <c r="AQ21" s="147">
        <v>0</v>
      </c>
      <c r="AR21" s="147">
        <v>0</v>
      </c>
      <c r="AS21" s="147">
        <v>0</v>
      </c>
      <c r="AT21" s="147">
        <v>0</v>
      </c>
      <c r="AU21" s="147">
        <v>1.1627329970931675E-3</v>
      </c>
      <c r="AV21" s="147">
        <v>0</v>
      </c>
      <c r="AW21" s="147">
        <v>1.8411599996317682E-4</v>
      </c>
      <c r="AX21" s="147">
        <v>0</v>
      </c>
      <c r="AY21" s="147">
        <v>0</v>
      </c>
      <c r="AZ21" s="147">
        <v>0</v>
      </c>
      <c r="BA21" s="147">
        <v>0</v>
      </c>
      <c r="BB21" s="147">
        <v>0</v>
      </c>
      <c r="BC21" s="147">
        <v>0</v>
      </c>
      <c r="BD21" s="147">
        <v>0</v>
      </c>
      <c r="BE21" s="147">
        <v>0</v>
      </c>
      <c r="BF21" s="147">
        <v>0</v>
      </c>
      <c r="BG21" s="147">
        <v>0</v>
      </c>
      <c r="BH21" s="147">
        <v>0</v>
      </c>
      <c r="BI21" s="147">
        <v>0</v>
      </c>
      <c r="BJ21" s="147">
        <v>0</v>
      </c>
      <c r="BK21" s="147">
        <v>0</v>
      </c>
      <c r="BL21" s="147">
        <v>0</v>
      </c>
      <c r="BM21" s="147">
        <v>0</v>
      </c>
      <c r="BN21" s="147">
        <v>0</v>
      </c>
      <c r="BO21" s="147">
        <v>0</v>
      </c>
      <c r="BP21" s="147">
        <v>0</v>
      </c>
      <c r="BQ21" s="147">
        <v>0</v>
      </c>
      <c r="BR21" s="147">
        <v>0</v>
      </c>
      <c r="BS21" s="147">
        <v>0</v>
      </c>
      <c r="BT21" s="147">
        <v>0</v>
      </c>
      <c r="BU21" s="147">
        <v>0</v>
      </c>
      <c r="BV21" s="147">
        <v>0</v>
      </c>
      <c r="BW21" s="147">
        <v>0</v>
      </c>
      <c r="BX21" s="147">
        <v>0</v>
      </c>
      <c r="BY21" s="147">
        <v>0</v>
      </c>
    </row>
    <row r="22" spans="1:77" customFormat="1" x14ac:dyDescent="0.15">
      <c r="A22" s="182" t="s">
        <v>213</v>
      </c>
      <c r="B22" s="147">
        <v>1.7550000000000003E-3</v>
      </c>
      <c r="C22" s="147">
        <v>2.0531719000548506E-2</v>
      </c>
      <c r="D22" s="147">
        <v>0</v>
      </c>
      <c r="E22" s="147">
        <v>1.521122007240541E-3</v>
      </c>
      <c r="F22" s="147">
        <v>5.6006799646597097E-4</v>
      </c>
      <c r="G22" s="147">
        <v>4.0551700287917074E-4</v>
      </c>
      <c r="H22" s="147">
        <v>2.0108980245329561E-3</v>
      </c>
      <c r="I22" s="147">
        <v>4.0106298696545293E-4</v>
      </c>
      <c r="J22" s="147">
        <v>2.026953007601074E-3</v>
      </c>
      <c r="K22" s="147">
        <v>1.6567290012259794E-3</v>
      </c>
      <c r="L22" s="147">
        <v>1.7587229755537505E-3</v>
      </c>
      <c r="M22" s="147">
        <v>1.9412800327493941E-4</v>
      </c>
      <c r="N22" s="147">
        <v>2.6352000498052814E-4</v>
      </c>
      <c r="O22" s="147">
        <v>1.7131660015418492E-3</v>
      </c>
      <c r="P22" s="147">
        <v>3.6334200911988449E-4</v>
      </c>
      <c r="Q22" s="147">
        <v>1.8600410045571004E-3</v>
      </c>
      <c r="R22" s="147">
        <v>7.5262300376311504E-4</v>
      </c>
      <c r="S22" s="147">
        <v>1.303444011405135E-3</v>
      </c>
      <c r="T22" s="147">
        <v>0</v>
      </c>
      <c r="U22" s="147">
        <v>2.9980000164890001E-3</v>
      </c>
      <c r="V22" s="147">
        <v>0</v>
      </c>
      <c r="W22" s="147">
        <v>2.6687120178803705E-3</v>
      </c>
      <c r="X22" s="147">
        <v>2.6497312570461398E-3</v>
      </c>
      <c r="Y22" s="147">
        <v>0</v>
      </c>
      <c r="Z22" s="147">
        <v>0</v>
      </c>
      <c r="AA22" s="147">
        <v>1.0478170114212051E-3</v>
      </c>
      <c r="AB22" s="147">
        <v>0</v>
      </c>
      <c r="AC22" s="147">
        <v>0</v>
      </c>
      <c r="AD22" s="147">
        <v>4.4075599973554639E-4</v>
      </c>
      <c r="AE22" s="147">
        <v>0</v>
      </c>
      <c r="AF22" s="147">
        <v>0</v>
      </c>
      <c r="AG22" s="147">
        <v>4.1946900809575188E-4</v>
      </c>
      <c r="AH22" s="147">
        <v>0</v>
      </c>
      <c r="AI22" s="147">
        <v>0</v>
      </c>
      <c r="AJ22" s="147">
        <v>0</v>
      </c>
      <c r="AK22" s="147">
        <v>5.1135301055943966E-5</v>
      </c>
      <c r="AL22" s="147">
        <v>0</v>
      </c>
      <c r="AM22" s="147">
        <v>0</v>
      </c>
      <c r="AN22" s="147">
        <v>0</v>
      </c>
      <c r="AO22" s="147">
        <v>0</v>
      </c>
      <c r="AP22" s="147">
        <v>0</v>
      </c>
      <c r="AQ22" s="147">
        <v>0</v>
      </c>
      <c r="AR22" s="147">
        <v>0</v>
      </c>
      <c r="AS22" s="147">
        <v>4.3061200210999892E-5</v>
      </c>
      <c r="AT22" s="147">
        <v>1.7040339318823361E-4</v>
      </c>
      <c r="AU22" s="147">
        <v>4.7166899882082754E-4</v>
      </c>
      <c r="AV22" s="147">
        <v>0</v>
      </c>
      <c r="AW22" s="147">
        <v>2.434569999513086E-4</v>
      </c>
      <c r="AX22" s="147">
        <v>0</v>
      </c>
      <c r="AY22" s="147">
        <v>0</v>
      </c>
      <c r="AZ22" s="147">
        <v>0</v>
      </c>
      <c r="BA22" s="147">
        <v>0</v>
      </c>
      <c r="BB22" s="147">
        <v>0</v>
      </c>
      <c r="BC22" s="147">
        <v>0</v>
      </c>
      <c r="BD22" s="147">
        <v>0</v>
      </c>
      <c r="BE22" s="147">
        <v>0</v>
      </c>
      <c r="BF22" s="147">
        <v>0</v>
      </c>
      <c r="BG22" s="147">
        <v>0</v>
      </c>
      <c r="BH22" s="147">
        <v>0</v>
      </c>
      <c r="BI22" s="147">
        <v>0</v>
      </c>
      <c r="BJ22" s="147">
        <v>0</v>
      </c>
      <c r="BK22" s="147">
        <v>0</v>
      </c>
      <c r="BL22" s="147">
        <v>0</v>
      </c>
      <c r="BM22" s="147">
        <v>0</v>
      </c>
      <c r="BN22" s="147">
        <v>0</v>
      </c>
      <c r="BO22" s="147">
        <v>0</v>
      </c>
      <c r="BP22" s="147">
        <v>0</v>
      </c>
      <c r="BQ22" s="147">
        <v>0</v>
      </c>
      <c r="BR22" s="147">
        <v>0</v>
      </c>
      <c r="BS22" s="147">
        <v>0</v>
      </c>
      <c r="BT22" s="147">
        <v>0</v>
      </c>
      <c r="BU22" s="147">
        <v>0</v>
      </c>
      <c r="BV22" s="147">
        <v>0</v>
      </c>
      <c r="BW22" s="147">
        <v>0</v>
      </c>
      <c r="BX22" s="147">
        <v>0</v>
      </c>
      <c r="BY22" s="147">
        <v>0</v>
      </c>
    </row>
    <row r="23" spans="1:77" customFormat="1" x14ac:dyDescent="0.15">
      <c r="A23" s="182" t="s">
        <v>214</v>
      </c>
      <c r="B23" s="147">
        <v>1.5003000000000002E-2</v>
      </c>
      <c r="C23" s="147">
        <v>0</v>
      </c>
      <c r="D23" s="147">
        <v>0</v>
      </c>
      <c r="E23" s="147">
        <v>1.3000130761880623E-2</v>
      </c>
      <c r="F23" s="147">
        <v>4.7865699697967438E-3</v>
      </c>
      <c r="G23" s="147">
        <v>3.4657090246065347E-3</v>
      </c>
      <c r="H23" s="147">
        <v>1.718595020966859E-2</v>
      </c>
      <c r="I23" s="147">
        <v>3.4276488886014109E-3</v>
      </c>
      <c r="J23" s="147">
        <v>1.7323166164961872E-2</v>
      </c>
      <c r="K23" s="147">
        <v>1.4159076810477716E-2</v>
      </c>
      <c r="L23" s="147">
        <v>1.5030759191072445E-2</v>
      </c>
      <c r="M23" s="147">
        <v>1.6590970279889668E-3</v>
      </c>
      <c r="N23" s="147">
        <v>2.2521480425655984E-3</v>
      </c>
      <c r="O23" s="147">
        <v>1.4641411613177269E-2</v>
      </c>
      <c r="P23" s="147">
        <v>3.1052720779423293E-3</v>
      </c>
      <c r="Q23" s="147">
        <v>1.8581240045524038E-2</v>
      </c>
      <c r="R23" s="147">
        <v>6.4322220321611093E-3</v>
      </c>
      <c r="S23" s="147">
        <v>1.1139762697472924E-2</v>
      </c>
      <c r="T23" s="147">
        <v>0</v>
      </c>
      <c r="U23" s="147">
        <v>2.5622130140921715E-2</v>
      </c>
      <c r="V23" s="147">
        <v>0</v>
      </c>
      <c r="W23" s="147">
        <v>2.2807900152812931E-2</v>
      </c>
      <c r="X23" s="147">
        <v>2.2645680737926246E-3</v>
      </c>
      <c r="Y23" s="147">
        <v>0</v>
      </c>
      <c r="Z23" s="147">
        <v>0</v>
      </c>
      <c r="AA23" s="147">
        <v>8.955069097610251E-3</v>
      </c>
      <c r="AB23" s="147">
        <v>0</v>
      </c>
      <c r="AC23" s="147">
        <v>0</v>
      </c>
      <c r="AD23" s="147">
        <v>3.7668829977398699E-3</v>
      </c>
      <c r="AE23" s="147">
        <v>0</v>
      </c>
      <c r="AF23" s="147">
        <v>0</v>
      </c>
      <c r="AG23" s="147">
        <v>3.5849550691896331E-3</v>
      </c>
      <c r="AH23" s="147">
        <v>0</v>
      </c>
      <c r="AI23" s="147">
        <v>0</v>
      </c>
      <c r="AJ23" s="147">
        <v>0</v>
      </c>
      <c r="AK23" s="147">
        <v>4.3702300902452514E-4</v>
      </c>
      <c r="AL23" s="147">
        <v>0</v>
      </c>
      <c r="AM23" s="147">
        <v>0</v>
      </c>
      <c r="AN23" s="147">
        <v>0</v>
      </c>
      <c r="AO23" s="147">
        <v>0</v>
      </c>
      <c r="AP23" s="147">
        <v>0</v>
      </c>
      <c r="AQ23" s="147">
        <v>0</v>
      </c>
      <c r="AR23" s="147">
        <v>0</v>
      </c>
      <c r="AS23" s="147">
        <v>0</v>
      </c>
      <c r="AT23" s="147">
        <v>0</v>
      </c>
      <c r="AU23" s="147">
        <v>4.0310769899223079E-3</v>
      </c>
      <c r="AV23" s="147">
        <v>0</v>
      </c>
      <c r="AW23" s="147">
        <v>6.3831099987233782E-4</v>
      </c>
      <c r="AX23" s="147">
        <v>0</v>
      </c>
      <c r="AY23" s="147">
        <v>0</v>
      </c>
      <c r="AZ23" s="147">
        <v>0</v>
      </c>
      <c r="BA23" s="147">
        <v>0</v>
      </c>
      <c r="BB23" s="147">
        <v>0</v>
      </c>
      <c r="BC23" s="147">
        <v>0</v>
      </c>
      <c r="BD23" s="147">
        <v>0</v>
      </c>
      <c r="BE23" s="147">
        <v>0</v>
      </c>
      <c r="BF23" s="147">
        <v>0</v>
      </c>
      <c r="BG23" s="147">
        <v>0</v>
      </c>
      <c r="BH23" s="147">
        <v>0</v>
      </c>
      <c r="BI23" s="147">
        <v>0</v>
      </c>
      <c r="BJ23" s="147">
        <v>0</v>
      </c>
      <c r="BK23" s="147">
        <v>0</v>
      </c>
      <c r="BL23" s="147">
        <v>0</v>
      </c>
      <c r="BM23" s="147">
        <v>0</v>
      </c>
      <c r="BN23" s="147">
        <v>0</v>
      </c>
      <c r="BO23" s="147">
        <v>0</v>
      </c>
      <c r="BP23" s="147">
        <v>0</v>
      </c>
      <c r="BQ23" s="147">
        <v>0</v>
      </c>
      <c r="BR23" s="147">
        <v>0</v>
      </c>
      <c r="BS23" s="147">
        <v>0</v>
      </c>
      <c r="BT23" s="147">
        <v>0</v>
      </c>
      <c r="BU23" s="147">
        <v>0</v>
      </c>
      <c r="BV23" s="147">
        <v>0</v>
      </c>
      <c r="BW23" s="147">
        <v>0</v>
      </c>
      <c r="BX23" s="147">
        <v>0</v>
      </c>
      <c r="BY23" s="147">
        <v>0</v>
      </c>
    </row>
    <row r="24" spans="1:77" customFormat="1" x14ac:dyDescent="0.15">
      <c r="A24" s="182" t="s">
        <v>215</v>
      </c>
      <c r="B24" s="147">
        <v>1.1590000000000001E-2</v>
      </c>
      <c r="C24" s="147">
        <v>0</v>
      </c>
      <c r="D24" s="147">
        <v>1.7381569878329012E-3</v>
      </c>
      <c r="E24" s="147">
        <v>2.2961726509297821E-2</v>
      </c>
      <c r="F24" s="147">
        <v>3.771819976199816E-2</v>
      </c>
      <c r="G24" s="147">
        <v>2.4885120176684358E-2</v>
      </c>
      <c r="H24" s="147">
        <v>2.5959382116704462E-2</v>
      </c>
      <c r="I24" s="147">
        <v>8.6335857194084643E-3</v>
      </c>
      <c r="J24" s="147">
        <v>1.9669594273760978E-2</v>
      </c>
      <c r="K24" s="147">
        <v>1.5441562011426756E-2</v>
      </c>
      <c r="L24" s="147">
        <v>0</v>
      </c>
      <c r="M24" s="147">
        <v>2.3258000392362465E-3</v>
      </c>
      <c r="N24" s="147">
        <v>0</v>
      </c>
      <c r="O24" s="147">
        <v>0</v>
      </c>
      <c r="P24" s="147">
        <v>9.344554234548311E-3</v>
      </c>
      <c r="Q24" s="147">
        <v>0</v>
      </c>
      <c r="R24" s="147">
        <v>2.0774170103870851E-2</v>
      </c>
      <c r="S24" s="147">
        <v>2.7006652436308211E-2</v>
      </c>
      <c r="T24" s="147">
        <v>0</v>
      </c>
      <c r="U24" s="147">
        <v>0</v>
      </c>
      <c r="V24" s="147">
        <v>0</v>
      </c>
      <c r="W24" s="147">
        <v>0</v>
      </c>
      <c r="X24" s="147">
        <v>2.0030094591617538E-2</v>
      </c>
      <c r="Y24" s="147">
        <v>0</v>
      </c>
      <c r="Z24" s="147">
        <v>0</v>
      </c>
      <c r="AA24" s="147">
        <v>3.2825980357803174E-2</v>
      </c>
      <c r="AB24" s="147">
        <v>0</v>
      </c>
      <c r="AC24" s="147">
        <v>0</v>
      </c>
      <c r="AD24" s="147">
        <v>5.1676339968994194E-3</v>
      </c>
      <c r="AE24" s="147">
        <v>0</v>
      </c>
      <c r="AF24" s="147">
        <v>0</v>
      </c>
      <c r="AG24" s="147">
        <v>4.9180540949184445E-3</v>
      </c>
      <c r="AH24" s="147">
        <v>0</v>
      </c>
      <c r="AI24" s="147">
        <v>0</v>
      </c>
      <c r="AJ24" s="147">
        <v>3.1011905745924412E-2</v>
      </c>
      <c r="AK24" s="147">
        <v>4.7500503280885391E-2</v>
      </c>
      <c r="AL24" s="147">
        <v>0</v>
      </c>
      <c r="AM24" s="147">
        <v>0</v>
      </c>
      <c r="AN24" s="147">
        <v>0</v>
      </c>
      <c r="AO24" s="147">
        <v>0</v>
      </c>
      <c r="AP24" s="147">
        <v>0</v>
      </c>
      <c r="AQ24" s="147">
        <v>0</v>
      </c>
      <c r="AR24" s="147">
        <v>0</v>
      </c>
      <c r="AS24" s="147">
        <v>0</v>
      </c>
      <c r="AT24" s="147">
        <v>0</v>
      </c>
      <c r="AU24" s="147">
        <v>0</v>
      </c>
      <c r="AV24" s="147">
        <v>0</v>
      </c>
      <c r="AW24" s="147">
        <v>0</v>
      </c>
      <c r="AX24" s="147">
        <v>0</v>
      </c>
      <c r="AY24" s="147">
        <v>0</v>
      </c>
      <c r="AZ24" s="147">
        <v>0</v>
      </c>
      <c r="BA24" s="147">
        <v>0</v>
      </c>
      <c r="BB24" s="147">
        <v>0</v>
      </c>
      <c r="BC24" s="147">
        <v>0</v>
      </c>
      <c r="BD24" s="147">
        <v>0</v>
      </c>
      <c r="BE24" s="147">
        <v>0</v>
      </c>
      <c r="BF24" s="147">
        <v>0</v>
      </c>
      <c r="BG24" s="147">
        <v>0</v>
      </c>
      <c r="BH24" s="147">
        <v>0</v>
      </c>
      <c r="BI24" s="147">
        <v>0</v>
      </c>
      <c r="BJ24" s="147">
        <v>0</v>
      </c>
      <c r="BK24" s="147">
        <v>0</v>
      </c>
      <c r="BL24" s="147">
        <v>0</v>
      </c>
      <c r="BM24" s="147">
        <v>0</v>
      </c>
      <c r="BN24" s="147">
        <v>0</v>
      </c>
      <c r="BO24" s="147">
        <v>0</v>
      </c>
      <c r="BP24" s="147">
        <v>0</v>
      </c>
      <c r="BQ24" s="147">
        <v>0</v>
      </c>
      <c r="BR24" s="147">
        <v>0</v>
      </c>
      <c r="BS24" s="147">
        <v>0</v>
      </c>
      <c r="BT24" s="147">
        <v>0</v>
      </c>
      <c r="BU24" s="147">
        <v>0</v>
      </c>
      <c r="BV24" s="147">
        <v>0</v>
      </c>
      <c r="BW24" s="147">
        <v>0</v>
      </c>
      <c r="BX24" s="147">
        <v>0</v>
      </c>
      <c r="BY24" s="147">
        <v>0</v>
      </c>
    </row>
    <row r="25" spans="1:77" customFormat="1" x14ac:dyDescent="0.15">
      <c r="A25" s="182" t="s">
        <v>216</v>
      </c>
      <c r="B25" s="147">
        <v>0</v>
      </c>
      <c r="C25" s="147">
        <v>3.5317213627691538E-4</v>
      </c>
      <c r="D25" s="147">
        <v>0</v>
      </c>
      <c r="E25" s="147">
        <v>2.6282000125102325E-4</v>
      </c>
      <c r="F25" s="147">
        <v>1.1612099926727647E-4</v>
      </c>
      <c r="G25" s="147">
        <v>0</v>
      </c>
      <c r="H25" s="147">
        <v>1.1979900146154781E-4</v>
      </c>
      <c r="I25" s="147">
        <v>0</v>
      </c>
      <c r="J25" s="147">
        <v>0</v>
      </c>
      <c r="K25" s="147">
        <v>0</v>
      </c>
      <c r="L25" s="147">
        <v>0</v>
      </c>
      <c r="M25" s="147">
        <v>0</v>
      </c>
      <c r="N25" s="147">
        <v>0</v>
      </c>
      <c r="O25" s="147">
        <v>0</v>
      </c>
      <c r="P25" s="147">
        <v>0</v>
      </c>
      <c r="Q25" s="147">
        <v>1.3283700032545065E-4</v>
      </c>
      <c r="R25" s="147">
        <v>1.3512400067561999E-4</v>
      </c>
      <c r="S25" s="147">
        <v>0</v>
      </c>
      <c r="T25" s="147">
        <v>0</v>
      </c>
      <c r="U25" s="147">
        <v>2.8423800156330902E-4</v>
      </c>
      <c r="V25" s="147">
        <v>0</v>
      </c>
      <c r="W25" s="147">
        <v>0</v>
      </c>
      <c r="X25" s="147">
        <v>0</v>
      </c>
      <c r="Y25" s="147">
        <v>4.3451499865300349E-4</v>
      </c>
      <c r="Z25" s="147">
        <v>2.8319500172748946E-5</v>
      </c>
      <c r="AA25" s="147">
        <v>0</v>
      </c>
      <c r="AB25" s="147">
        <v>8.3923000461576507E-4</v>
      </c>
      <c r="AC25" s="147">
        <v>1.112820004562562E-4</v>
      </c>
      <c r="AD25" s="147">
        <v>0</v>
      </c>
      <c r="AE25" s="147">
        <v>3.6622100267341332E-4</v>
      </c>
      <c r="AF25" s="147">
        <v>5.9947699826151668E-4</v>
      </c>
      <c r="AG25" s="147">
        <v>0</v>
      </c>
      <c r="AH25" s="147">
        <v>3.8555600285311451E-4</v>
      </c>
      <c r="AI25" s="147">
        <v>8.317830132253498E-5</v>
      </c>
      <c r="AJ25" s="147">
        <v>0</v>
      </c>
      <c r="AK25" s="147">
        <v>0</v>
      </c>
      <c r="AL25" s="147">
        <v>0</v>
      </c>
      <c r="AM25" s="147">
        <v>4.2131899734569042E-4</v>
      </c>
      <c r="AN25" s="147">
        <v>2.2169299960095255E-4</v>
      </c>
      <c r="AO25" s="147">
        <v>0</v>
      </c>
      <c r="AP25" s="147">
        <v>0</v>
      </c>
      <c r="AQ25" s="147">
        <v>0</v>
      </c>
      <c r="AR25" s="147">
        <v>2.5969901460343154E-4</v>
      </c>
      <c r="AS25" s="147">
        <v>0</v>
      </c>
      <c r="AT25" s="147">
        <v>0</v>
      </c>
      <c r="AU25" s="147">
        <v>0</v>
      </c>
      <c r="AV25" s="147">
        <v>0</v>
      </c>
      <c r="AW25" s="147">
        <v>0</v>
      </c>
      <c r="AX25" s="147">
        <v>0</v>
      </c>
      <c r="AY25" s="147">
        <v>0</v>
      </c>
      <c r="AZ25" s="147">
        <v>0</v>
      </c>
      <c r="BA25" s="147">
        <v>0</v>
      </c>
      <c r="BB25" s="147">
        <v>0</v>
      </c>
      <c r="BC25" s="147">
        <v>0</v>
      </c>
      <c r="BD25" s="147">
        <v>0</v>
      </c>
      <c r="BE25" s="147">
        <v>0</v>
      </c>
      <c r="BF25" s="147">
        <v>0</v>
      </c>
      <c r="BG25" s="147">
        <v>0</v>
      </c>
      <c r="BH25" s="147">
        <v>0</v>
      </c>
      <c r="BI25" s="147">
        <v>0</v>
      </c>
      <c r="BJ25" s="147">
        <v>0</v>
      </c>
      <c r="BK25" s="147">
        <v>0</v>
      </c>
      <c r="BL25" s="147">
        <v>0</v>
      </c>
      <c r="BM25" s="147">
        <v>0</v>
      </c>
      <c r="BN25" s="147">
        <v>0</v>
      </c>
      <c r="BO25" s="147">
        <v>0</v>
      </c>
      <c r="BP25" s="147">
        <v>0</v>
      </c>
      <c r="BQ25" s="147">
        <v>0</v>
      </c>
      <c r="BR25" s="147">
        <v>0</v>
      </c>
      <c r="BS25" s="147">
        <v>0</v>
      </c>
      <c r="BT25" s="147">
        <v>0</v>
      </c>
      <c r="BU25" s="147">
        <v>0</v>
      </c>
      <c r="BV25" s="147">
        <v>0</v>
      </c>
      <c r="BW25" s="147">
        <v>0</v>
      </c>
      <c r="BX25" s="147">
        <v>0</v>
      </c>
      <c r="BY25" s="147">
        <v>0</v>
      </c>
    </row>
    <row r="26" spans="1:77" customFormat="1" x14ac:dyDescent="0.15">
      <c r="A26" s="182" t="s">
        <v>217</v>
      </c>
      <c r="B26" s="147">
        <v>0</v>
      </c>
      <c r="C26" s="147">
        <v>2.904953417095308E-3</v>
      </c>
      <c r="D26" s="147">
        <v>0</v>
      </c>
      <c r="E26" s="147">
        <v>2.1617780102900636E-3</v>
      </c>
      <c r="F26" s="147">
        <v>9.5512799397314224E-4</v>
      </c>
      <c r="G26" s="147">
        <v>0</v>
      </c>
      <c r="H26" s="147">
        <v>9.8538101202164845E-4</v>
      </c>
      <c r="I26" s="147">
        <v>0</v>
      </c>
      <c r="J26" s="147">
        <v>0</v>
      </c>
      <c r="K26" s="147">
        <v>0</v>
      </c>
      <c r="L26" s="147">
        <v>3.6977899486007195E-4</v>
      </c>
      <c r="M26" s="147">
        <v>9.1433101542476417E-5</v>
      </c>
      <c r="N26" s="147">
        <v>4.7534800898407748E-4</v>
      </c>
      <c r="O26" s="147">
        <v>9.534130008580716E-4</v>
      </c>
      <c r="P26" s="147">
        <v>0</v>
      </c>
      <c r="Q26" s="147">
        <v>1.0926260026769337E-3</v>
      </c>
      <c r="R26" s="147">
        <v>1.111435005557175E-3</v>
      </c>
      <c r="S26" s="147">
        <v>1.5260690133531037E-3</v>
      </c>
      <c r="T26" s="147">
        <v>0</v>
      </c>
      <c r="U26" s="147">
        <v>2.3379460128587033E-3</v>
      </c>
      <c r="V26" s="147">
        <v>0</v>
      </c>
      <c r="W26" s="147">
        <v>0</v>
      </c>
      <c r="X26" s="147">
        <v>0</v>
      </c>
      <c r="Y26" s="147">
        <v>0</v>
      </c>
      <c r="Z26" s="147">
        <v>2.3293700142091567E-4</v>
      </c>
      <c r="AA26" s="147">
        <v>2.2835480248906727E-3</v>
      </c>
      <c r="AB26" s="147">
        <v>0</v>
      </c>
      <c r="AC26" s="147">
        <v>9.1532600375283664E-4</v>
      </c>
      <c r="AD26" s="147">
        <v>2.0076669987953997E-3</v>
      </c>
      <c r="AE26" s="147">
        <v>0</v>
      </c>
      <c r="AF26" s="147">
        <v>4.930882985700439E-3</v>
      </c>
      <c r="AG26" s="147">
        <v>1.9107030368765686E-3</v>
      </c>
      <c r="AH26" s="147">
        <v>0</v>
      </c>
      <c r="AI26" s="147">
        <v>6.8416801087827124E-4</v>
      </c>
      <c r="AJ26" s="147">
        <v>8.7220200691656187E-5</v>
      </c>
      <c r="AK26" s="147">
        <v>2.2964100474208676E-4</v>
      </c>
      <c r="AL26" s="147">
        <v>1.0974820012072302E-3</v>
      </c>
      <c r="AM26" s="147">
        <v>3.4654819781674644E-3</v>
      </c>
      <c r="AN26" s="147">
        <v>1.8234979967177033E-3</v>
      </c>
      <c r="AO26" s="147">
        <v>2.5761309935596727E-3</v>
      </c>
      <c r="AP26" s="147">
        <v>0</v>
      </c>
      <c r="AQ26" s="147">
        <v>1.7341044158066781E-3</v>
      </c>
      <c r="AR26" s="147">
        <v>2.6534138485002478E-3</v>
      </c>
      <c r="AS26" s="147">
        <v>0</v>
      </c>
      <c r="AT26" s="147">
        <v>0</v>
      </c>
      <c r="AU26" s="147">
        <v>0</v>
      </c>
      <c r="AV26" s="147">
        <v>0</v>
      </c>
      <c r="AW26" s="147">
        <v>0</v>
      </c>
      <c r="AX26" s="147">
        <v>0</v>
      </c>
      <c r="AY26" s="147">
        <v>0</v>
      </c>
      <c r="AZ26" s="147">
        <v>0</v>
      </c>
      <c r="BA26" s="147">
        <v>0</v>
      </c>
      <c r="BB26" s="147">
        <v>7.2579199020180807E-4</v>
      </c>
      <c r="BC26" s="147">
        <v>0</v>
      </c>
      <c r="BD26" s="147">
        <v>0</v>
      </c>
      <c r="BE26" s="147">
        <v>0</v>
      </c>
      <c r="BF26" s="147">
        <v>0</v>
      </c>
      <c r="BG26" s="147">
        <v>0</v>
      </c>
      <c r="BH26" s="147">
        <v>0</v>
      </c>
      <c r="BI26" s="147">
        <v>0</v>
      </c>
      <c r="BJ26" s="147">
        <v>0</v>
      </c>
      <c r="BK26" s="147">
        <v>0</v>
      </c>
      <c r="BL26" s="147">
        <v>0</v>
      </c>
      <c r="BM26" s="147">
        <v>0</v>
      </c>
      <c r="BN26" s="147">
        <v>0</v>
      </c>
      <c r="BO26" s="147">
        <v>0</v>
      </c>
      <c r="BP26" s="147">
        <v>0</v>
      </c>
      <c r="BQ26" s="147">
        <v>0</v>
      </c>
      <c r="BR26" s="147">
        <v>0</v>
      </c>
      <c r="BS26" s="147">
        <v>0</v>
      </c>
      <c r="BT26" s="147">
        <v>0</v>
      </c>
      <c r="BU26" s="147">
        <v>0</v>
      </c>
      <c r="BV26" s="147">
        <v>0</v>
      </c>
      <c r="BW26" s="147">
        <v>0</v>
      </c>
      <c r="BX26" s="147">
        <v>0</v>
      </c>
      <c r="BY26" s="147">
        <v>0</v>
      </c>
    </row>
    <row r="27" spans="1:77" customFormat="1" x14ac:dyDescent="0.15">
      <c r="A27" s="182" t="s">
        <v>218</v>
      </c>
      <c r="B27" s="147">
        <v>0</v>
      </c>
      <c r="C27" s="147">
        <v>0</v>
      </c>
      <c r="D27" s="147">
        <v>0</v>
      </c>
      <c r="E27" s="147">
        <v>2.4336200115840315E-3</v>
      </c>
      <c r="F27" s="147">
        <v>1.075234993215267E-3</v>
      </c>
      <c r="G27" s="147">
        <v>0</v>
      </c>
      <c r="H27" s="147">
        <v>1.1092920135333626E-3</v>
      </c>
      <c r="I27" s="147">
        <v>0</v>
      </c>
      <c r="J27" s="147">
        <v>0</v>
      </c>
      <c r="K27" s="147">
        <v>0</v>
      </c>
      <c r="L27" s="147">
        <v>4.1627899421372194E-4</v>
      </c>
      <c r="M27" s="147">
        <v>1.0293100173644598E-4</v>
      </c>
      <c r="N27" s="147">
        <v>5.3512301011382501E-4</v>
      </c>
      <c r="O27" s="147">
        <v>1.0733040009659736E-3</v>
      </c>
      <c r="P27" s="147">
        <v>0</v>
      </c>
      <c r="Q27" s="147">
        <v>1.2300230030135564E-3</v>
      </c>
      <c r="R27" s="147">
        <v>1.251197006255985E-3</v>
      </c>
      <c r="S27" s="147">
        <v>1.7179710150322463E-3</v>
      </c>
      <c r="T27" s="147">
        <v>0</v>
      </c>
      <c r="U27" s="147">
        <v>2.6319410144756755E-3</v>
      </c>
      <c r="V27" s="147">
        <v>0</v>
      </c>
      <c r="W27" s="147">
        <v>0</v>
      </c>
      <c r="X27" s="147">
        <v>0</v>
      </c>
      <c r="Y27" s="147">
        <v>0</v>
      </c>
      <c r="Z27" s="147">
        <v>0</v>
      </c>
      <c r="AA27" s="147">
        <v>2.5707030280206628E-3</v>
      </c>
      <c r="AB27" s="147">
        <v>0</v>
      </c>
      <c r="AC27" s="147">
        <v>0</v>
      </c>
      <c r="AD27" s="147">
        <v>2.2601299986439219E-3</v>
      </c>
      <c r="AE27" s="147">
        <v>0</v>
      </c>
      <c r="AF27" s="147">
        <v>0</v>
      </c>
      <c r="AG27" s="147">
        <v>2.1509730415137799E-3</v>
      </c>
      <c r="AH27" s="147">
        <v>0</v>
      </c>
      <c r="AI27" s="147">
        <v>0</v>
      </c>
      <c r="AJ27" s="147">
        <v>8.7220200691656187E-5</v>
      </c>
      <c r="AK27" s="147">
        <v>2.5851800533839683E-4</v>
      </c>
      <c r="AL27" s="147">
        <v>0</v>
      </c>
      <c r="AM27" s="147">
        <v>0</v>
      </c>
      <c r="AN27" s="147">
        <v>0</v>
      </c>
      <c r="AO27" s="147">
        <v>0</v>
      </c>
      <c r="AP27" s="147">
        <v>0</v>
      </c>
      <c r="AQ27" s="147">
        <v>0</v>
      </c>
      <c r="AR27" s="147">
        <v>0</v>
      </c>
      <c r="AS27" s="147">
        <v>0</v>
      </c>
      <c r="AT27" s="147">
        <v>0</v>
      </c>
      <c r="AU27" s="147">
        <v>0</v>
      </c>
      <c r="AV27" s="147">
        <v>0</v>
      </c>
      <c r="AW27" s="147">
        <v>0</v>
      </c>
      <c r="AX27" s="147">
        <v>0</v>
      </c>
      <c r="AY27" s="147">
        <v>0</v>
      </c>
      <c r="AZ27" s="147">
        <v>0</v>
      </c>
      <c r="BA27" s="147">
        <v>0</v>
      </c>
      <c r="BB27" s="147">
        <v>8.1705998896969018E-4</v>
      </c>
      <c r="BC27" s="147">
        <v>0</v>
      </c>
      <c r="BD27" s="147">
        <v>0</v>
      </c>
      <c r="BE27" s="147">
        <v>0</v>
      </c>
      <c r="BF27" s="147">
        <v>0</v>
      </c>
      <c r="BG27" s="147">
        <v>0</v>
      </c>
      <c r="BH27" s="147">
        <v>0</v>
      </c>
      <c r="BI27" s="147">
        <v>0</v>
      </c>
      <c r="BJ27" s="147">
        <v>0</v>
      </c>
      <c r="BK27" s="147">
        <v>0</v>
      </c>
      <c r="BL27" s="147">
        <v>0</v>
      </c>
      <c r="BM27" s="147">
        <v>0</v>
      </c>
      <c r="BN27" s="147">
        <v>0</v>
      </c>
      <c r="BO27" s="147">
        <v>0</v>
      </c>
      <c r="BP27" s="147">
        <v>0</v>
      </c>
      <c r="BQ27" s="147">
        <v>0</v>
      </c>
      <c r="BR27" s="147">
        <v>0</v>
      </c>
      <c r="BS27" s="147">
        <v>0</v>
      </c>
      <c r="BT27" s="147">
        <v>0</v>
      </c>
      <c r="BU27" s="147">
        <v>0</v>
      </c>
      <c r="BV27" s="147">
        <v>0</v>
      </c>
      <c r="BW27" s="147">
        <v>0</v>
      </c>
      <c r="BX27" s="147">
        <v>0</v>
      </c>
      <c r="BY27" s="147">
        <v>0</v>
      </c>
    </row>
    <row r="28" spans="1:77" customFormat="1" x14ac:dyDescent="0.15">
      <c r="A28" s="182" t="s">
        <v>219</v>
      </c>
      <c r="B28" s="147">
        <v>0</v>
      </c>
      <c r="C28" s="147">
        <v>2.3643705763000378E-4</v>
      </c>
      <c r="D28" s="147">
        <v>0</v>
      </c>
      <c r="E28" s="147">
        <v>1.7594900083751729E-4</v>
      </c>
      <c r="F28" s="147">
        <v>7.7738899509467542E-5</v>
      </c>
      <c r="G28" s="147">
        <v>0</v>
      </c>
      <c r="H28" s="147">
        <v>8.020120097845465E-5</v>
      </c>
      <c r="I28" s="147">
        <v>0</v>
      </c>
      <c r="J28" s="147">
        <v>0</v>
      </c>
      <c r="K28" s="147">
        <v>0</v>
      </c>
      <c r="L28" s="147">
        <v>0</v>
      </c>
      <c r="M28" s="147">
        <v>0</v>
      </c>
      <c r="N28" s="147">
        <v>0</v>
      </c>
      <c r="O28" s="147">
        <v>0</v>
      </c>
      <c r="P28" s="147">
        <v>0</v>
      </c>
      <c r="Q28" s="147">
        <v>8.8930000217878508E-5</v>
      </c>
      <c r="R28" s="147">
        <v>9.0460900452304501E-5</v>
      </c>
      <c r="S28" s="147">
        <v>0</v>
      </c>
      <c r="T28" s="147">
        <v>0</v>
      </c>
      <c r="U28" s="147">
        <v>1.9028800104658401E-4</v>
      </c>
      <c r="V28" s="147">
        <v>0</v>
      </c>
      <c r="W28" s="147">
        <v>0</v>
      </c>
      <c r="X28" s="147">
        <v>0</v>
      </c>
      <c r="Y28" s="147">
        <v>2.9089299909823172E-4</v>
      </c>
      <c r="Z28" s="147">
        <v>1.8959000115649897E-5</v>
      </c>
      <c r="AA28" s="147">
        <v>0</v>
      </c>
      <c r="AB28" s="147">
        <v>5.6183700309010351E-4</v>
      </c>
      <c r="AC28" s="147">
        <v>7.4499400305447542E-5</v>
      </c>
      <c r="AD28" s="147">
        <v>0</v>
      </c>
      <c r="AE28" s="147">
        <v>2.451730017897629E-4</v>
      </c>
      <c r="AF28" s="147">
        <v>4.0132999883614299E-4</v>
      </c>
      <c r="AG28" s="147">
        <v>0</v>
      </c>
      <c r="AH28" s="147">
        <v>2.5811700191006584E-4</v>
      </c>
      <c r="AI28" s="147">
        <v>5.5685100885393097E-5</v>
      </c>
      <c r="AJ28" s="147">
        <v>0</v>
      </c>
      <c r="AK28" s="147">
        <v>0</v>
      </c>
      <c r="AL28" s="147">
        <v>0</v>
      </c>
      <c r="AM28" s="147">
        <v>2.8205899822302834E-4</v>
      </c>
      <c r="AN28" s="147">
        <v>1.4841599973285119E-4</v>
      </c>
      <c r="AO28" s="147">
        <v>0</v>
      </c>
      <c r="AP28" s="147">
        <v>0</v>
      </c>
      <c r="AQ28" s="147">
        <v>0</v>
      </c>
      <c r="AR28" s="147">
        <v>1.7386059515818347E-4</v>
      </c>
      <c r="AS28" s="147">
        <v>0</v>
      </c>
      <c r="AT28" s="147">
        <v>0</v>
      </c>
      <c r="AU28" s="147">
        <v>0</v>
      </c>
      <c r="AV28" s="147">
        <v>0</v>
      </c>
      <c r="AW28" s="147">
        <v>0</v>
      </c>
      <c r="AX28" s="147">
        <v>0</v>
      </c>
      <c r="AY28" s="147">
        <v>0</v>
      </c>
      <c r="AZ28" s="147">
        <v>0</v>
      </c>
      <c r="BA28" s="147">
        <v>0</v>
      </c>
      <c r="BB28" s="147">
        <v>0</v>
      </c>
      <c r="BC28" s="147">
        <v>0</v>
      </c>
      <c r="BD28" s="147">
        <v>0</v>
      </c>
      <c r="BE28" s="147">
        <v>0</v>
      </c>
      <c r="BF28" s="147">
        <v>0</v>
      </c>
      <c r="BG28" s="147">
        <v>0</v>
      </c>
      <c r="BH28" s="147">
        <v>0</v>
      </c>
      <c r="BI28" s="147">
        <v>0</v>
      </c>
      <c r="BJ28" s="147">
        <v>0</v>
      </c>
      <c r="BK28" s="147">
        <v>0</v>
      </c>
      <c r="BL28" s="147">
        <v>0</v>
      </c>
      <c r="BM28" s="147">
        <v>0</v>
      </c>
      <c r="BN28" s="147">
        <v>0</v>
      </c>
      <c r="BO28" s="147">
        <v>0</v>
      </c>
      <c r="BP28" s="147">
        <v>0</v>
      </c>
      <c r="BQ28" s="147">
        <v>0</v>
      </c>
      <c r="BR28" s="147">
        <v>0</v>
      </c>
      <c r="BS28" s="147">
        <v>0</v>
      </c>
      <c r="BT28" s="147">
        <v>0</v>
      </c>
      <c r="BU28" s="147">
        <v>0</v>
      </c>
      <c r="BV28" s="147">
        <v>0</v>
      </c>
      <c r="BW28" s="147">
        <v>0</v>
      </c>
      <c r="BX28" s="147">
        <v>0</v>
      </c>
      <c r="BY28" s="147">
        <v>0</v>
      </c>
    </row>
    <row r="29" spans="1:77" customFormat="1" x14ac:dyDescent="0.15">
      <c r="A29" s="182" t="s">
        <v>220</v>
      </c>
      <c r="B29" s="147">
        <v>0</v>
      </c>
      <c r="C29" s="147">
        <v>2.4281384342165315E-3</v>
      </c>
      <c r="D29" s="147">
        <v>0</v>
      </c>
      <c r="E29" s="147">
        <v>1.8069470086010679E-3</v>
      </c>
      <c r="F29" s="147">
        <v>7.9835399496238626E-4</v>
      </c>
      <c r="G29" s="147">
        <v>0</v>
      </c>
      <c r="H29" s="147">
        <v>8.2364201004843254E-4</v>
      </c>
      <c r="I29" s="147">
        <v>0</v>
      </c>
      <c r="J29" s="147">
        <v>0</v>
      </c>
      <c r="K29" s="147">
        <v>0</v>
      </c>
      <c r="L29" s="147">
        <v>3.0908399570373245E-4</v>
      </c>
      <c r="M29" s="147">
        <v>7.6425401289296512E-5</v>
      </c>
      <c r="N29" s="147">
        <v>3.9732500750944274E-4</v>
      </c>
      <c r="O29" s="147">
        <v>7.9692100071722892E-4</v>
      </c>
      <c r="P29" s="147">
        <v>0</v>
      </c>
      <c r="Q29" s="147">
        <v>9.1328400223754575E-4</v>
      </c>
      <c r="R29" s="147">
        <v>9.2900500464502503E-4</v>
      </c>
      <c r="S29" s="147">
        <v>1.2755820111613424E-3</v>
      </c>
      <c r="T29" s="147">
        <v>0</v>
      </c>
      <c r="U29" s="147">
        <v>1.9541990107480949E-3</v>
      </c>
      <c r="V29" s="147">
        <v>0</v>
      </c>
      <c r="W29" s="147">
        <v>0</v>
      </c>
      <c r="X29" s="147">
        <v>0</v>
      </c>
      <c r="Y29" s="147">
        <v>0</v>
      </c>
      <c r="Z29" s="147">
        <v>1.9470300118768828E-4</v>
      </c>
      <c r="AA29" s="147">
        <v>1.9087300208051568E-3</v>
      </c>
      <c r="AB29" s="147">
        <v>0</v>
      </c>
      <c r="AC29" s="147">
        <v>7.6508600313685265E-4</v>
      </c>
      <c r="AD29" s="147">
        <v>1.6781309989931214E-3</v>
      </c>
      <c r="AE29" s="147">
        <v>0</v>
      </c>
      <c r="AF29" s="147">
        <v>4.1215349880475488E-3</v>
      </c>
      <c r="AG29" s="147">
        <v>1.5970830308237025E-3</v>
      </c>
      <c r="AH29" s="147">
        <v>0</v>
      </c>
      <c r="AI29" s="147">
        <v>5.7186900909271716E-4</v>
      </c>
      <c r="AJ29" s="147">
        <v>1.744400013833092E-4</v>
      </c>
      <c r="AK29" s="147">
        <v>1.7908700369814664E-4</v>
      </c>
      <c r="AL29" s="147">
        <v>9.173430010090772E-4</v>
      </c>
      <c r="AM29" s="147">
        <v>2.8966629817510233E-3</v>
      </c>
      <c r="AN29" s="147">
        <v>1.5241919972564541E-3</v>
      </c>
      <c r="AO29" s="147">
        <v>2.1532879946167803E-3</v>
      </c>
      <c r="AP29" s="147">
        <v>0</v>
      </c>
      <c r="AQ29" s="147">
        <v>1.449470972179911E-3</v>
      </c>
      <c r="AR29" s="147">
        <v>2.2178864583655518E-3</v>
      </c>
      <c r="AS29" s="147">
        <v>0</v>
      </c>
      <c r="AT29" s="147">
        <v>0</v>
      </c>
      <c r="AU29" s="147">
        <v>0</v>
      </c>
      <c r="AV29" s="147">
        <v>0</v>
      </c>
      <c r="AW29" s="147">
        <v>0</v>
      </c>
      <c r="AX29" s="147">
        <v>0</v>
      </c>
      <c r="AY29" s="147">
        <v>0</v>
      </c>
      <c r="AZ29" s="147">
        <v>0</v>
      </c>
      <c r="BA29" s="147">
        <v>0</v>
      </c>
      <c r="BB29" s="147">
        <v>6.066619918100631E-4</v>
      </c>
      <c r="BC29" s="147">
        <v>0</v>
      </c>
      <c r="BD29" s="147">
        <v>0</v>
      </c>
      <c r="BE29" s="147">
        <v>0</v>
      </c>
      <c r="BF29" s="147">
        <v>0</v>
      </c>
      <c r="BG29" s="147">
        <v>0</v>
      </c>
      <c r="BH29" s="147">
        <v>0</v>
      </c>
      <c r="BI29" s="147">
        <v>0</v>
      </c>
      <c r="BJ29" s="147">
        <v>0</v>
      </c>
      <c r="BK29" s="147">
        <v>0</v>
      </c>
      <c r="BL29" s="147">
        <v>0</v>
      </c>
      <c r="BM29" s="147">
        <v>0</v>
      </c>
      <c r="BN29" s="147">
        <v>0</v>
      </c>
      <c r="BO29" s="147">
        <v>0</v>
      </c>
      <c r="BP29" s="147">
        <v>0</v>
      </c>
      <c r="BQ29" s="147">
        <v>0</v>
      </c>
      <c r="BR29" s="147">
        <v>0</v>
      </c>
      <c r="BS29" s="147">
        <v>0</v>
      </c>
      <c r="BT29" s="147">
        <v>0</v>
      </c>
      <c r="BU29" s="147">
        <v>0</v>
      </c>
      <c r="BV29" s="147">
        <v>0</v>
      </c>
      <c r="BW29" s="147">
        <v>0</v>
      </c>
      <c r="BX29" s="147">
        <v>0</v>
      </c>
      <c r="BY29" s="147">
        <v>0</v>
      </c>
    </row>
    <row r="30" spans="1:77" customFormat="1" x14ac:dyDescent="0.15">
      <c r="A30" s="182" t="s">
        <v>221</v>
      </c>
      <c r="B30" s="147">
        <v>0</v>
      </c>
      <c r="C30" s="147">
        <v>0</v>
      </c>
      <c r="D30" s="147">
        <v>0</v>
      </c>
      <c r="E30" s="147">
        <v>3.1184580148438607E-3</v>
      </c>
      <c r="F30" s="147">
        <v>1.3778129913059999E-3</v>
      </c>
      <c r="G30" s="147">
        <v>0</v>
      </c>
      <c r="H30" s="147">
        <v>1.4214550173417514E-3</v>
      </c>
      <c r="I30" s="147">
        <v>0</v>
      </c>
      <c r="J30" s="147">
        <v>0</v>
      </c>
      <c r="K30" s="147">
        <v>0</v>
      </c>
      <c r="L30" s="147">
        <v>5.3342199258543427E-4</v>
      </c>
      <c r="M30" s="147">
        <v>1.3189600222508554E-4</v>
      </c>
      <c r="N30" s="147">
        <v>6.8571101295993833E-4</v>
      </c>
      <c r="O30" s="147">
        <v>1.3753400012378059E-3</v>
      </c>
      <c r="P30" s="147">
        <v>0</v>
      </c>
      <c r="Q30" s="147">
        <v>1.5761600038615921E-3</v>
      </c>
      <c r="R30" s="147">
        <v>1.6032930080164651E-3</v>
      </c>
      <c r="S30" s="147">
        <v>2.2014210192624335E-3</v>
      </c>
      <c r="T30" s="147">
        <v>0</v>
      </c>
      <c r="U30" s="147">
        <v>3.3725880185492343E-3</v>
      </c>
      <c r="V30" s="147">
        <v>0</v>
      </c>
      <c r="W30" s="147">
        <v>0</v>
      </c>
      <c r="X30" s="147">
        <v>0</v>
      </c>
      <c r="Y30" s="147">
        <v>0</v>
      </c>
      <c r="Z30" s="147">
        <v>0</v>
      </c>
      <c r="AA30" s="147">
        <v>3.2941170359058751E-3</v>
      </c>
      <c r="AB30" s="147">
        <v>0</v>
      </c>
      <c r="AC30" s="147">
        <v>0</v>
      </c>
      <c r="AD30" s="147">
        <v>2.8961469982623114E-3</v>
      </c>
      <c r="AE30" s="147">
        <v>0</v>
      </c>
      <c r="AF30" s="147">
        <v>0</v>
      </c>
      <c r="AG30" s="147">
        <v>2.756272053196051E-3</v>
      </c>
      <c r="AH30" s="147">
        <v>0</v>
      </c>
      <c r="AI30" s="147">
        <v>0</v>
      </c>
      <c r="AJ30" s="147">
        <v>1.744400013833092E-4</v>
      </c>
      <c r="AK30" s="147">
        <v>3.0907100638231629E-4</v>
      </c>
      <c r="AL30" s="147">
        <v>0</v>
      </c>
      <c r="AM30" s="147">
        <v>0</v>
      </c>
      <c r="AN30" s="147">
        <v>0</v>
      </c>
      <c r="AO30" s="147">
        <v>0</v>
      </c>
      <c r="AP30" s="147">
        <v>0</v>
      </c>
      <c r="AQ30" s="147">
        <v>0</v>
      </c>
      <c r="AR30" s="147">
        <v>0</v>
      </c>
      <c r="AS30" s="147">
        <v>0</v>
      </c>
      <c r="AT30" s="147">
        <v>0</v>
      </c>
      <c r="AU30" s="147">
        <v>0</v>
      </c>
      <c r="AV30" s="147">
        <v>0</v>
      </c>
      <c r="AW30" s="147">
        <v>0</v>
      </c>
      <c r="AX30" s="147">
        <v>0</v>
      </c>
      <c r="AY30" s="147">
        <v>0</v>
      </c>
      <c r="AZ30" s="147">
        <v>0</v>
      </c>
      <c r="BA30" s="147">
        <v>0</v>
      </c>
      <c r="BB30" s="147">
        <v>1.0469859858656891E-3</v>
      </c>
      <c r="BC30" s="147">
        <v>0</v>
      </c>
      <c r="BD30" s="147">
        <v>0</v>
      </c>
      <c r="BE30" s="147">
        <v>0</v>
      </c>
      <c r="BF30" s="147">
        <v>0</v>
      </c>
      <c r="BG30" s="147">
        <v>0</v>
      </c>
      <c r="BH30" s="147">
        <v>0</v>
      </c>
      <c r="BI30" s="147">
        <v>0</v>
      </c>
      <c r="BJ30" s="147">
        <v>0</v>
      </c>
      <c r="BK30" s="147">
        <v>0</v>
      </c>
      <c r="BL30" s="147">
        <v>0</v>
      </c>
      <c r="BM30" s="147">
        <v>0</v>
      </c>
      <c r="BN30" s="147">
        <v>0</v>
      </c>
      <c r="BO30" s="147">
        <v>0</v>
      </c>
      <c r="BP30" s="147">
        <v>0</v>
      </c>
      <c r="BQ30" s="147">
        <v>0</v>
      </c>
      <c r="BR30" s="147">
        <v>0</v>
      </c>
      <c r="BS30" s="147">
        <v>0</v>
      </c>
      <c r="BT30" s="147">
        <v>0</v>
      </c>
      <c r="BU30" s="147">
        <v>0</v>
      </c>
      <c r="BV30" s="147">
        <v>0</v>
      </c>
      <c r="BW30" s="147">
        <v>0</v>
      </c>
      <c r="BX30" s="147">
        <v>0</v>
      </c>
      <c r="BY30" s="147">
        <v>0</v>
      </c>
    </row>
    <row r="31" spans="1:77" customFormat="1" x14ac:dyDescent="0.15">
      <c r="A31" s="182" t="s">
        <v>222</v>
      </c>
      <c r="B31" s="147">
        <v>0</v>
      </c>
      <c r="C31" s="147">
        <v>2.7563674083816539E-4</v>
      </c>
      <c r="D31" s="147">
        <v>0</v>
      </c>
      <c r="E31" s="147">
        <v>2.0512100097637599E-4</v>
      </c>
      <c r="F31" s="147">
        <v>9.0627499428140484E-5</v>
      </c>
      <c r="G31" s="147">
        <v>0</v>
      </c>
      <c r="H31" s="147">
        <v>9.3498001140675626E-5</v>
      </c>
      <c r="I31" s="147">
        <v>0</v>
      </c>
      <c r="J31" s="147">
        <v>0</v>
      </c>
      <c r="K31" s="147">
        <v>0</v>
      </c>
      <c r="L31" s="147">
        <v>0</v>
      </c>
      <c r="M31" s="147">
        <v>0</v>
      </c>
      <c r="N31" s="147">
        <v>0</v>
      </c>
      <c r="O31" s="147">
        <v>0</v>
      </c>
      <c r="P31" s="147">
        <v>0</v>
      </c>
      <c r="Q31" s="147">
        <v>1.036740002540013E-4</v>
      </c>
      <c r="R31" s="147">
        <v>1.05459000527295E-4</v>
      </c>
      <c r="S31" s="147">
        <v>0</v>
      </c>
      <c r="T31" s="147">
        <v>0</v>
      </c>
      <c r="U31" s="147">
        <v>2.2183600122009799E-4</v>
      </c>
      <c r="V31" s="147">
        <v>0</v>
      </c>
      <c r="W31" s="147">
        <v>0</v>
      </c>
      <c r="X31" s="147">
        <v>0</v>
      </c>
      <c r="Y31" s="147">
        <v>3.3912099894872489E-4</v>
      </c>
      <c r="Z31" s="147">
        <v>2.2102200134823417E-5</v>
      </c>
      <c r="AA31" s="147">
        <v>0</v>
      </c>
      <c r="AB31" s="147">
        <v>6.5498500360241748E-4</v>
      </c>
      <c r="AC31" s="147">
        <v>8.6850900356088699E-5</v>
      </c>
      <c r="AD31" s="147">
        <v>0</v>
      </c>
      <c r="AE31" s="147">
        <v>2.8582100208649332E-4</v>
      </c>
      <c r="AF31" s="147">
        <v>4.6786799864318275E-4</v>
      </c>
      <c r="AG31" s="147">
        <v>1.8129700349903217E-4</v>
      </c>
      <c r="AH31" s="147">
        <v>3.0091100222674148E-4</v>
      </c>
      <c r="AI31" s="147">
        <v>6.4917401032186668E-5</v>
      </c>
      <c r="AJ31" s="147">
        <v>0</v>
      </c>
      <c r="AK31" s="147">
        <v>0</v>
      </c>
      <c r="AL31" s="147">
        <v>0</v>
      </c>
      <c r="AM31" s="147">
        <v>3.2882299792841519E-4</v>
      </c>
      <c r="AN31" s="147">
        <v>1.7302299968855855E-4</v>
      </c>
      <c r="AO31" s="147">
        <v>0</v>
      </c>
      <c r="AP31" s="147">
        <v>0</v>
      </c>
      <c r="AQ31" s="147">
        <v>0</v>
      </c>
      <c r="AR31" s="147">
        <v>2.0268537798093545E-4</v>
      </c>
      <c r="AS31" s="147">
        <v>0</v>
      </c>
      <c r="AT31" s="147">
        <v>0</v>
      </c>
      <c r="AU31" s="147">
        <v>0</v>
      </c>
      <c r="AV31" s="147">
        <v>0</v>
      </c>
      <c r="AW31" s="147">
        <v>0</v>
      </c>
      <c r="AX31" s="147">
        <v>0</v>
      </c>
      <c r="AY31" s="147">
        <v>0</v>
      </c>
      <c r="AZ31" s="147">
        <v>0</v>
      </c>
      <c r="BA31" s="147">
        <v>0</v>
      </c>
      <c r="BB31" s="147">
        <v>0</v>
      </c>
      <c r="BC31" s="147">
        <v>0</v>
      </c>
      <c r="BD31" s="147">
        <v>0</v>
      </c>
      <c r="BE31" s="147">
        <v>0</v>
      </c>
      <c r="BF31" s="147">
        <v>0</v>
      </c>
      <c r="BG31" s="147">
        <v>0</v>
      </c>
      <c r="BH31" s="147">
        <v>0</v>
      </c>
      <c r="BI31" s="147">
        <v>0</v>
      </c>
      <c r="BJ31" s="147">
        <v>0</v>
      </c>
      <c r="BK31" s="147">
        <v>0</v>
      </c>
      <c r="BL31" s="147">
        <v>0</v>
      </c>
      <c r="BM31" s="147">
        <v>0</v>
      </c>
      <c r="BN31" s="147">
        <v>0</v>
      </c>
      <c r="BO31" s="147">
        <v>0</v>
      </c>
      <c r="BP31" s="147">
        <v>0</v>
      </c>
      <c r="BQ31" s="147">
        <v>0</v>
      </c>
      <c r="BR31" s="147">
        <v>0</v>
      </c>
      <c r="BS31" s="147">
        <v>0</v>
      </c>
      <c r="BT31" s="147">
        <v>0</v>
      </c>
      <c r="BU31" s="147">
        <v>0</v>
      </c>
      <c r="BV31" s="147">
        <v>0</v>
      </c>
      <c r="BW31" s="147">
        <v>0</v>
      </c>
      <c r="BX31" s="147">
        <v>0</v>
      </c>
      <c r="BY31" s="147">
        <v>0</v>
      </c>
    </row>
    <row r="32" spans="1:77" customFormat="1" x14ac:dyDescent="0.15">
      <c r="A32" s="182" t="s">
        <v>223</v>
      </c>
      <c r="B32" s="147">
        <v>0</v>
      </c>
      <c r="C32" s="147">
        <v>2.2609130516348607E-3</v>
      </c>
      <c r="D32" s="147">
        <v>0</v>
      </c>
      <c r="E32" s="147">
        <v>1.6825030080087145E-3</v>
      </c>
      <c r="F32" s="147">
        <v>7.4337199530932264E-4</v>
      </c>
      <c r="G32" s="147">
        <v>0</v>
      </c>
      <c r="H32" s="147">
        <v>7.6691800935639977E-4</v>
      </c>
      <c r="I32" s="147">
        <v>0</v>
      </c>
      <c r="J32" s="147">
        <v>0</v>
      </c>
      <c r="K32" s="147">
        <v>0</v>
      </c>
      <c r="L32" s="147">
        <v>2.8779799599960789E-4</v>
      </c>
      <c r="M32" s="147">
        <v>7.1162001200502948E-5</v>
      </c>
      <c r="N32" s="147">
        <v>3.6996200699228202E-4</v>
      </c>
      <c r="O32" s="147">
        <v>7.4203800066783415E-4</v>
      </c>
      <c r="P32" s="147">
        <v>0</v>
      </c>
      <c r="Q32" s="147">
        <v>8.5038600208344568E-4</v>
      </c>
      <c r="R32" s="147">
        <v>8.6502500432512495E-4</v>
      </c>
      <c r="S32" s="147">
        <v>1.1877330103926638E-3</v>
      </c>
      <c r="T32" s="147">
        <v>0</v>
      </c>
      <c r="U32" s="147">
        <v>1.8196140100078771E-3</v>
      </c>
      <c r="V32" s="147">
        <v>0</v>
      </c>
      <c r="W32" s="147">
        <v>0</v>
      </c>
      <c r="X32" s="147">
        <v>0</v>
      </c>
      <c r="Y32" s="147">
        <v>0</v>
      </c>
      <c r="Z32" s="147">
        <v>1.8129400110589337E-4</v>
      </c>
      <c r="AA32" s="147">
        <v>1.7772760193723082E-3</v>
      </c>
      <c r="AB32" s="147">
        <v>0</v>
      </c>
      <c r="AC32" s="147">
        <v>7.1239500292081951E-4</v>
      </c>
      <c r="AD32" s="147">
        <v>1.5625589990624646E-3</v>
      </c>
      <c r="AE32" s="147">
        <v>0</v>
      </c>
      <c r="AF32" s="147">
        <v>3.8376859888707105E-3</v>
      </c>
      <c r="AG32" s="147">
        <v>1.4870930287008957E-3</v>
      </c>
      <c r="AH32" s="147">
        <v>0</v>
      </c>
      <c r="AI32" s="147">
        <v>5.3248500846651153E-4</v>
      </c>
      <c r="AJ32" s="147">
        <v>2.6166100207497176E-4</v>
      </c>
      <c r="AK32" s="147">
        <v>1.9015700392674214E-4</v>
      </c>
      <c r="AL32" s="147">
        <v>8.5416600093958246E-4</v>
      </c>
      <c r="AM32" s="147">
        <v>2.6971709830078232E-3</v>
      </c>
      <c r="AN32" s="147">
        <v>1.419220997445402E-3</v>
      </c>
      <c r="AO32" s="147">
        <v>2.0049919949875201E-3</v>
      </c>
      <c r="AP32" s="147">
        <v>0</v>
      </c>
      <c r="AQ32" s="147">
        <v>1.3496459301601883E-3</v>
      </c>
      <c r="AR32" s="147">
        <v>2.0651415064587516E-3</v>
      </c>
      <c r="AS32" s="147">
        <v>0</v>
      </c>
      <c r="AT32" s="147">
        <v>0</v>
      </c>
      <c r="AU32" s="147">
        <v>0</v>
      </c>
      <c r="AV32" s="147">
        <v>0</v>
      </c>
      <c r="AW32" s="147">
        <v>0</v>
      </c>
      <c r="AX32" s="147">
        <v>0</v>
      </c>
      <c r="AY32" s="147">
        <v>0</v>
      </c>
      <c r="AZ32" s="147">
        <v>0</v>
      </c>
      <c r="BA32" s="147">
        <v>0</v>
      </c>
      <c r="BB32" s="147">
        <v>5.6488099237410664E-4</v>
      </c>
      <c r="BC32" s="147">
        <v>0</v>
      </c>
      <c r="BD32" s="147">
        <v>0</v>
      </c>
      <c r="BE32" s="147">
        <v>0</v>
      </c>
      <c r="BF32" s="147">
        <v>0</v>
      </c>
      <c r="BG32" s="147">
        <v>0</v>
      </c>
      <c r="BH32" s="147">
        <v>0</v>
      </c>
      <c r="BI32" s="147">
        <v>0</v>
      </c>
      <c r="BJ32" s="147">
        <v>0</v>
      </c>
      <c r="BK32" s="147">
        <v>0</v>
      </c>
      <c r="BL32" s="147">
        <v>0</v>
      </c>
      <c r="BM32" s="147">
        <v>0</v>
      </c>
      <c r="BN32" s="147">
        <v>0</v>
      </c>
      <c r="BO32" s="147">
        <v>0</v>
      </c>
      <c r="BP32" s="147">
        <v>0</v>
      </c>
      <c r="BQ32" s="147">
        <v>0</v>
      </c>
      <c r="BR32" s="147">
        <v>0</v>
      </c>
      <c r="BS32" s="147">
        <v>0</v>
      </c>
      <c r="BT32" s="147">
        <v>0</v>
      </c>
      <c r="BU32" s="147">
        <v>0</v>
      </c>
      <c r="BV32" s="147">
        <v>0</v>
      </c>
      <c r="BW32" s="147">
        <v>0</v>
      </c>
      <c r="BX32" s="147">
        <v>0</v>
      </c>
      <c r="BY32" s="147">
        <v>0</v>
      </c>
    </row>
    <row r="33" spans="1:77" customFormat="1" x14ac:dyDescent="0.15">
      <c r="A33" s="182" t="s">
        <v>224</v>
      </c>
      <c r="B33" s="147">
        <v>0</v>
      </c>
      <c r="C33" s="147">
        <v>0</v>
      </c>
      <c r="D33" s="147">
        <v>0</v>
      </c>
      <c r="E33" s="147">
        <v>2.6367070125507255E-3</v>
      </c>
      <c r="F33" s="147">
        <v>1.1649639926490773E-3</v>
      </c>
      <c r="G33" s="147">
        <v>0</v>
      </c>
      <c r="H33" s="147">
        <v>1.2018630146627288E-3</v>
      </c>
      <c r="I33" s="147">
        <v>0</v>
      </c>
      <c r="J33" s="147">
        <v>0</v>
      </c>
      <c r="K33" s="147">
        <v>0</v>
      </c>
      <c r="L33" s="147">
        <v>4.5101699373086376E-4</v>
      </c>
      <c r="M33" s="147">
        <v>1.1152000188134243E-4</v>
      </c>
      <c r="N33" s="147">
        <v>5.7978001095784239E-4</v>
      </c>
      <c r="O33" s="147">
        <v>1.1628720010465846E-3</v>
      </c>
      <c r="P33" s="147">
        <v>0</v>
      </c>
      <c r="Q33" s="147">
        <v>1.3326690032650391E-3</v>
      </c>
      <c r="R33" s="147">
        <v>1.3556100067780498E-3</v>
      </c>
      <c r="S33" s="147">
        <v>1.8613370162866988E-3</v>
      </c>
      <c r="T33" s="147">
        <v>0</v>
      </c>
      <c r="U33" s="147">
        <v>2.8515780156836792E-3</v>
      </c>
      <c r="V33" s="147">
        <v>0</v>
      </c>
      <c r="W33" s="147">
        <v>0</v>
      </c>
      <c r="X33" s="147">
        <v>0</v>
      </c>
      <c r="Y33" s="147">
        <v>0</v>
      </c>
      <c r="Z33" s="147">
        <v>0</v>
      </c>
      <c r="AA33" s="147">
        <v>2.7852300303590066E-3</v>
      </c>
      <c r="AB33" s="147">
        <v>0</v>
      </c>
      <c r="AC33" s="147">
        <v>0</v>
      </c>
      <c r="AD33" s="147">
        <v>2.4487389985307566E-3</v>
      </c>
      <c r="AE33" s="147">
        <v>0</v>
      </c>
      <c r="AF33" s="147">
        <v>0</v>
      </c>
      <c r="AG33" s="147">
        <v>2.3304730449781297E-3</v>
      </c>
      <c r="AH33" s="147">
        <v>0</v>
      </c>
      <c r="AI33" s="147">
        <v>0</v>
      </c>
      <c r="AJ33" s="147">
        <v>2.6166100207497176E-4</v>
      </c>
      <c r="AK33" s="147">
        <v>2.9800200615374143E-4</v>
      </c>
      <c r="AL33" s="147">
        <v>0</v>
      </c>
      <c r="AM33" s="147">
        <v>0</v>
      </c>
      <c r="AN33" s="147">
        <v>0</v>
      </c>
      <c r="AO33" s="147">
        <v>0</v>
      </c>
      <c r="AP33" s="147">
        <v>0</v>
      </c>
      <c r="AQ33" s="147">
        <v>0</v>
      </c>
      <c r="AR33" s="147">
        <v>0</v>
      </c>
      <c r="AS33" s="147">
        <v>0</v>
      </c>
      <c r="AT33" s="147">
        <v>0</v>
      </c>
      <c r="AU33" s="147">
        <v>0</v>
      </c>
      <c r="AV33" s="147">
        <v>0</v>
      </c>
      <c r="AW33" s="147">
        <v>0</v>
      </c>
      <c r="AX33" s="147">
        <v>0</v>
      </c>
      <c r="AY33" s="147">
        <v>0</v>
      </c>
      <c r="AZ33" s="147">
        <v>0</v>
      </c>
      <c r="BA33" s="147">
        <v>0</v>
      </c>
      <c r="BB33" s="147">
        <v>8.8524398804920611E-4</v>
      </c>
      <c r="BC33" s="147">
        <v>0</v>
      </c>
      <c r="BD33" s="147">
        <v>0</v>
      </c>
      <c r="BE33" s="147">
        <v>0</v>
      </c>
      <c r="BF33" s="147">
        <v>0</v>
      </c>
      <c r="BG33" s="147">
        <v>0</v>
      </c>
      <c r="BH33" s="147">
        <v>0</v>
      </c>
      <c r="BI33" s="147">
        <v>0</v>
      </c>
      <c r="BJ33" s="147">
        <v>0</v>
      </c>
      <c r="BK33" s="147">
        <v>0</v>
      </c>
      <c r="BL33" s="147">
        <v>0</v>
      </c>
      <c r="BM33" s="147">
        <v>0</v>
      </c>
      <c r="BN33" s="147">
        <v>0</v>
      </c>
      <c r="BO33" s="147">
        <v>0</v>
      </c>
      <c r="BP33" s="147">
        <v>0</v>
      </c>
      <c r="BQ33" s="147">
        <v>0</v>
      </c>
      <c r="BR33" s="147">
        <v>0</v>
      </c>
      <c r="BS33" s="147">
        <v>0</v>
      </c>
      <c r="BT33" s="147">
        <v>0</v>
      </c>
      <c r="BU33" s="147">
        <v>0</v>
      </c>
      <c r="BV33" s="147">
        <v>0</v>
      </c>
      <c r="BW33" s="147">
        <v>0</v>
      </c>
      <c r="BX33" s="147">
        <v>0</v>
      </c>
      <c r="BY33" s="147">
        <v>0</v>
      </c>
    </row>
    <row r="34" spans="1:77" customFormat="1" x14ac:dyDescent="0.15">
      <c r="A34" s="182" t="s">
        <v>225</v>
      </c>
      <c r="B34" s="147">
        <v>0</v>
      </c>
      <c r="C34" s="147">
        <v>0</v>
      </c>
      <c r="D34" s="147">
        <v>0</v>
      </c>
      <c r="E34" s="147">
        <v>0</v>
      </c>
      <c r="F34" s="147">
        <v>2.7791699824634367E-4</v>
      </c>
      <c r="G34" s="147">
        <v>0</v>
      </c>
      <c r="H34" s="147">
        <v>2.8672000349798404E-4</v>
      </c>
      <c r="I34" s="147">
        <v>0</v>
      </c>
      <c r="J34" s="147">
        <v>0</v>
      </c>
      <c r="K34" s="147">
        <v>0</v>
      </c>
      <c r="L34" s="147">
        <v>0</v>
      </c>
      <c r="M34" s="147">
        <v>0</v>
      </c>
      <c r="N34" s="147">
        <v>0</v>
      </c>
      <c r="O34" s="147">
        <v>0</v>
      </c>
      <c r="P34" s="147">
        <v>0</v>
      </c>
      <c r="Q34" s="147">
        <v>3.1792600077891871E-4</v>
      </c>
      <c r="R34" s="147">
        <v>3.2339800161699004E-4</v>
      </c>
      <c r="S34" s="147">
        <v>0</v>
      </c>
      <c r="T34" s="147">
        <v>0</v>
      </c>
      <c r="U34" s="147">
        <v>0</v>
      </c>
      <c r="V34" s="147">
        <v>0</v>
      </c>
      <c r="W34" s="147">
        <v>0</v>
      </c>
      <c r="X34" s="147">
        <v>0</v>
      </c>
      <c r="Y34" s="147">
        <v>1.0399459967761673E-3</v>
      </c>
      <c r="Z34" s="147">
        <v>6.7778500413448838E-5</v>
      </c>
      <c r="AA34" s="147">
        <v>0</v>
      </c>
      <c r="AB34" s="147">
        <v>2.0085710110471404E-3</v>
      </c>
      <c r="AC34" s="147">
        <v>2.6633600109197758E-4</v>
      </c>
      <c r="AD34" s="147">
        <v>0</v>
      </c>
      <c r="AE34" s="147">
        <v>8.7649600639842079E-4</v>
      </c>
      <c r="AF34" s="147">
        <v>1.4347579958392017E-3</v>
      </c>
      <c r="AG34" s="147">
        <v>0</v>
      </c>
      <c r="AH34" s="147">
        <v>9.2277100682850561E-4</v>
      </c>
      <c r="AI34" s="147">
        <v>1.9907500316529252E-4</v>
      </c>
      <c r="AJ34" s="147">
        <v>0</v>
      </c>
      <c r="AK34" s="147">
        <v>0</v>
      </c>
      <c r="AL34" s="147">
        <v>0</v>
      </c>
      <c r="AM34" s="147">
        <v>1.0083649936473006E-3</v>
      </c>
      <c r="AN34" s="147">
        <v>5.3058999904493785E-4</v>
      </c>
      <c r="AO34" s="147">
        <v>0</v>
      </c>
      <c r="AP34" s="147">
        <v>0</v>
      </c>
      <c r="AQ34" s="147">
        <v>0</v>
      </c>
      <c r="AR34" s="147">
        <v>6.2155162769050594E-4</v>
      </c>
      <c r="AS34" s="147">
        <v>0</v>
      </c>
      <c r="AT34" s="147">
        <v>0</v>
      </c>
      <c r="AU34" s="147">
        <v>0</v>
      </c>
      <c r="AV34" s="147">
        <v>0</v>
      </c>
      <c r="AW34" s="147">
        <v>0</v>
      </c>
      <c r="AX34" s="147">
        <v>0</v>
      </c>
      <c r="AY34" s="147">
        <v>0</v>
      </c>
      <c r="AZ34" s="147">
        <v>0</v>
      </c>
      <c r="BA34" s="147">
        <v>0</v>
      </c>
      <c r="BB34" s="147">
        <v>0</v>
      </c>
      <c r="BC34" s="147">
        <v>0</v>
      </c>
      <c r="BD34" s="147">
        <v>0</v>
      </c>
      <c r="BE34" s="147">
        <v>0</v>
      </c>
      <c r="BF34" s="147">
        <v>0</v>
      </c>
      <c r="BG34" s="147">
        <v>0</v>
      </c>
      <c r="BH34" s="147">
        <v>0</v>
      </c>
      <c r="BI34" s="147">
        <v>0</v>
      </c>
      <c r="BJ34" s="147">
        <v>0</v>
      </c>
      <c r="BK34" s="147">
        <v>0</v>
      </c>
      <c r="BL34" s="147">
        <v>0</v>
      </c>
      <c r="BM34" s="147">
        <v>0</v>
      </c>
      <c r="BN34" s="147">
        <v>0</v>
      </c>
      <c r="BO34" s="147">
        <v>0</v>
      </c>
      <c r="BP34" s="147">
        <v>0</v>
      </c>
      <c r="BQ34" s="147">
        <v>0</v>
      </c>
      <c r="BR34" s="147">
        <v>0</v>
      </c>
      <c r="BS34" s="147">
        <v>0</v>
      </c>
      <c r="BT34" s="147">
        <v>0</v>
      </c>
      <c r="BU34" s="147">
        <v>0</v>
      </c>
      <c r="BV34" s="147">
        <v>0</v>
      </c>
      <c r="BW34" s="147">
        <v>0</v>
      </c>
      <c r="BX34" s="147">
        <v>0</v>
      </c>
      <c r="BY34" s="147">
        <v>0</v>
      </c>
    </row>
    <row r="35" spans="1:77" customFormat="1" x14ac:dyDescent="0.15">
      <c r="A35" s="182" t="s">
        <v>226</v>
      </c>
      <c r="B35" s="147">
        <v>0</v>
      </c>
      <c r="C35" s="147">
        <v>0</v>
      </c>
      <c r="D35" s="147">
        <v>0</v>
      </c>
      <c r="E35" s="147">
        <v>0</v>
      </c>
      <c r="F35" s="147">
        <v>1.2250839922697198E-3</v>
      </c>
      <c r="G35" s="147">
        <v>0</v>
      </c>
      <c r="H35" s="147">
        <v>1.2638880154194336E-3</v>
      </c>
      <c r="I35" s="147">
        <v>0</v>
      </c>
      <c r="J35" s="147">
        <v>0</v>
      </c>
      <c r="K35" s="147">
        <v>0</v>
      </c>
      <c r="L35" s="147">
        <v>4.7429299340732734E-4</v>
      </c>
      <c r="M35" s="147">
        <v>1.1727600197844615E-4</v>
      </c>
      <c r="N35" s="147">
        <v>6.0970001152333038E-4</v>
      </c>
      <c r="O35" s="147">
        <v>1.2228850011005963E-3</v>
      </c>
      <c r="P35" s="147">
        <v>0</v>
      </c>
      <c r="Q35" s="147">
        <v>1.4014440034335377E-3</v>
      </c>
      <c r="R35" s="147">
        <v>1.425569007127845E-3</v>
      </c>
      <c r="S35" s="147">
        <v>1.9573950171272061E-3</v>
      </c>
      <c r="T35" s="147">
        <v>0</v>
      </c>
      <c r="U35" s="147">
        <v>0</v>
      </c>
      <c r="V35" s="147">
        <v>0</v>
      </c>
      <c r="W35" s="147">
        <v>0</v>
      </c>
      <c r="X35" s="147">
        <v>0</v>
      </c>
      <c r="Y35" s="147">
        <v>0</v>
      </c>
      <c r="Z35" s="147">
        <v>2.9877400182252138E-4</v>
      </c>
      <c r="AA35" s="147">
        <v>2.92896703192574E-3</v>
      </c>
      <c r="AB35" s="147">
        <v>0</v>
      </c>
      <c r="AC35" s="147">
        <v>1.1740330048135355E-3</v>
      </c>
      <c r="AD35" s="147">
        <v>2.5751119984549326E-3</v>
      </c>
      <c r="AE35" s="147">
        <v>0</v>
      </c>
      <c r="AF35" s="147">
        <v>6.3245409816588315E-3</v>
      </c>
      <c r="AG35" s="147">
        <v>0</v>
      </c>
      <c r="AH35" s="147">
        <v>0</v>
      </c>
      <c r="AI35" s="147">
        <v>8.7754001395288616E-4</v>
      </c>
      <c r="AJ35" s="147">
        <v>3.4888100276662633E-4</v>
      </c>
      <c r="AK35" s="147">
        <v>0</v>
      </c>
      <c r="AL35" s="147">
        <v>1.4076730015484401E-3</v>
      </c>
      <c r="AM35" s="147">
        <v>4.4449619719967408E-3</v>
      </c>
      <c r="AN35" s="147">
        <v>2.338889995789998E-3</v>
      </c>
      <c r="AO35" s="147">
        <v>3.3042449917393877E-3</v>
      </c>
      <c r="AP35" s="147">
        <v>0</v>
      </c>
      <c r="AQ35" s="147">
        <v>2.2242289991643268E-3</v>
      </c>
      <c r="AR35" s="147">
        <v>3.4033711446414894E-3</v>
      </c>
      <c r="AS35" s="147">
        <v>0</v>
      </c>
      <c r="AT35" s="147">
        <v>0</v>
      </c>
      <c r="AU35" s="147">
        <v>0</v>
      </c>
      <c r="AV35" s="147">
        <v>0</v>
      </c>
      <c r="AW35" s="147">
        <v>0</v>
      </c>
      <c r="AX35" s="147">
        <v>0</v>
      </c>
      <c r="AY35" s="147">
        <v>0</v>
      </c>
      <c r="AZ35" s="147">
        <v>0</v>
      </c>
      <c r="BA35" s="147">
        <v>0</v>
      </c>
      <c r="BB35" s="147">
        <v>9.3092898743245874E-4</v>
      </c>
      <c r="BC35" s="147">
        <v>0</v>
      </c>
      <c r="BD35" s="147">
        <v>0</v>
      </c>
      <c r="BE35" s="147">
        <v>0</v>
      </c>
      <c r="BF35" s="147">
        <v>0</v>
      </c>
      <c r="BG35" s="147">
        <v>0</v>
      </c>
      <c r="BH35" s="147">
        <v>0</v>
      </c>
      <c r="BI35" s="147">
        <v>0</v>
      </c>
      <c r="BJ35" s="147">
        <v>0</v>
      </c>
      <c r="BK35" s="147">
        <v>0</v>
      </c>
      <c r="BL35" s="147">
        <v>0</v>
      </c>
      <c r="BM35" s="147">
        <v>0</v>
      </c>
      <c r="BN35" s="147">
        <v>0</v>
      </c>
      <c r="BO35" s="147">
        <v>0</v>
      </c>
      <c r="BP35" s="147">
        <v>0</v>
      </c>
      <c r="BQ35" s="147">
        <v>0</v>
      </c>
      <c r="BR35" s="147">
        <v>0</v>
      </c>
      <c r="BS35" s="147">
        <v>0</v>
      </c>
      <c r="BT35" s="147">
        <v>0</v>
      </c>
      <c r="BU35" s="147">
        <v>0</v>
      </c>
      <c r="BV35" s="147">
        <v>0</v>
      </c>
      <c r="BW35" s="147">
        <v>0</v>
      </c>
      <c r="BX35" s="147">
        <v>0</v>
      </c>
      <c r="BY35" s="147">
        <v>0</v>
      </c>
    </row>
    <row r="36" spans="1:77" customFormat="1" x14ac:dyDescent="0.15">
      <c r="A36" s="182" t="s">
        <v>227</v>
      </c>
      <c r="B36" s="147">
        <v>0</v>
      </c>
      <c r="C36" s="147">
        <v>0</v>
      </c>
      <c r="D36" s="147">
        <v>0</v>
      </c>
      <c r="E36" s="147">
        <v>0</v>
      </c>
      <c r="F36" s="147">
        <v>1.4122129910889359E-3</v>
      </c>
      <c r="G36" s="147">
        <v>0</v>
      </c>
      <c r="H36" s="147">
        <v>1.4569450177747292E-3</v>
      </c>
      <c r="I36" s="147">
        <v>0</v>
      </c>
      <c r="J36" s="147">
        <v>0</v>
      </c>
      <c r="K36" s="147">
        <v>0</v>
      </c>
      <c r="L36" s="147">
        <v>5.4674099240030016E-4</v>
      </c>
      <c r="M36" s="147">
        <v>1.3518900228063846E-4</v>
      </c>
      <c r="N36" s="147">
        <v>7.0283101328350635E-4</v>
      </c>
      <c r="O36" s="147">
        <v>1.4096780012687101E-3</v>
      </c>
      <c r="P36" s="147">
        <v>0</v>
      </c>
      <c r="Q36" s="147">
        <v>1.6155130039580069E-3</v>
      </c>
      <c r="R36" s="147">
        <v>1.6433230082166148E-3</v>
      </c>
      <c r="S36" s="147">
        <v>2.2563840197433603E-3</v>
      </c>
      <c r="T36" s="147">
        <v>0</v>
      </c>
      <c r="U36" s="147">
        <v>0</v>
      </c>
      <c r="V36" s="147">
        <v>0</v>
      </c>
      <c r="W36" s="147">
        <v>0</v>
      </c>
      <c r="X36" s="147">
        <v>0</v>
      </c>
      <c r="Y36" s="147">
        <v>0</v>
      </c>
      <c r="Z36" s="147">
        <v>0</v>
      </c>
      <c r="AA36" s="147">
        <v>0</v>
      </c>
      <c r="AB36" s="147">
        <v>0</v>
      </c>
      <c r="AC36" s="147">
        <v>0</v>
      </c>
      <c r="AD36" s="147">
        <v>0</v>
      </c>
      <c r="AE36" s="147">
        <v>0</v>
      </c>
      <c r="AF36" s="147">
        <v>0</v>
      </c>
      <c r="AG36" s="147">
        <v>0</v>
      </c>
      <c r="AH36" s="147">
        <v>0</v>
      </c>
      <c r="AI36" s="147">
        <v>0</v>
      </c>
      <c r="AJ36" s="147">
        <v>3.4888100276662633E-4</v>
      </c>
      <c r="AK36" s="147">
        <v>0</v>
      </c>
      <c r="AL36" s="147">
        <v>0</v>
      </c>
      <c r="AM36" s="147">
        <v>0</v>
      </c>
      <c r="AN36" s="147">
        <v>0</v>
      </c>
      <c r="AO36" s="147">
        <v>0</v>
      </c>
      <c r="AP36" s="147">
        <v>0</v>
      </c>
      <c r="AQ36" s="147">
        <v>0</v>
      </c>
      <c r="AR36" s="147">
        <v>0</v>
      </c>
      <c r="AS36" s="147">
        <v>0</v>
      </c>
      <c r="AT36" s="147">
        <v>0</v>
      </c>
      <c r="AU36" s="147">
        <v>0</v>
      </c>
      <c r="AV36" s="147">
        <v>0</v>
      </c>
      <c r="AW36" s="147">
        <v>0</v>
      </c>
      <c r="AX36" s="147">
        <v>0</v>
      </c>
      <c r="AY36" s="147">
        <v>0</v>
      </c>
      <c r="AZ36" s="147">
        <v>0</v>
      </c>
      <c r="BA36" s="147">
        <v>0</v>
      </c>
      <c r="BB36" s="147">
        <v>1.0731269855127855E-3</v>
      </c>
      <c r="BC36" s="147">
        <v>0</v>
      </c>
      <c r="BD36" s="147">
        <v>0</v>
      </c>
      <c r="BE36" s="147">
        <v>0</v>
      </c>
      <c r="BF36" s="147">
        <v>0</v>
      </c>
      <c r="BG36" s="147">
        <v>0</v>
      </c>
      <c r="BH36" s="147">
        <v>0</v>
      </c>
      <c r="BI36" s="147">
        <v>0</v>
      </c>
      <c r="BJ36" s="147">
        <v>0</v>
      </c>
      <c r="BK36" s="147">
        <v>0</v>
      </c>
      <c r="BL36" s="147">
        <v>0</v>
      </c>
      <c r="BM36" s="147">
        <v>0</v>
      </c>
      <c r="BN36" s="147">
        <v>0</v>
      </c>
      <c r="BO36" s="147">
        <v>0</v>
      </c>
      <c r="BP36" s="147">
        <v>0</v>
      </c>
      <c r="BQ36" s="147">
        <v>0</v>
      </c>
      <c r="BR36" s="147">
        <v>0</v>
      </c>
      <c r="BS36" s="147">
        <v>0</v>
      </c>
      <c r="BT36" s="147">
        <v>0</v>
      </c>
      <c r="BU36" s="147">
        <v>0</v>
      </c>
      <c r="BV36" s="147">
        <v>0</v>
      </c>
      <c r="BW36" s="147">
        <v>0</v>
      </c>
      <c r="BX36" s="147">
        <v>0</v>
      </c>
      <c r="BY36" s="147">
        <v>0</v>
      </c>
    </row>
    <row r="37" spans="1:77" customFormat="1" x14ac:dyDescent="0.15">
      <c r="A37" s="182" t="s">
        <v>228</v>
      </c>
      <c r="B37" s="147">
        <v>0</v>
      </c>
      <c r="C37" s="147">
        <v>4.9214946776429376E-4</v>
      </c>
      <c r="D37" s="147">
        <v>0</v>
      </c>
      <c r="E37" s="147">
        <v>3.6624300174331674E-4</v>
      </c>
      <c r="F37" s="147">
        <v>1.6181499897894734E-4</v>
      </c>
      <c r="G37" s="147">
        <v>0</v>
      </c>
      <c r="H37" s="147">
        <v>1.6694100203668025E-4</v>
      </c>
      <c r="I37" s="147">
        <v>0</v>
      </c>
      <c r="J37" s="147">
        <v>0</v>
      </c>
      <c r="K37" s="147">
        <v>0</v>
      </c>
      <c r="L37" s="147">
        <v>6.2646999129206706E-5</v>
      </c>
      <c r="M37" s="147">
        <v>1.5490300261321363E-5</v>
      </c>
      <c r="N37" s="147">
        <v>8.0532201522058624E-5</v>
      </c>
      <c r="O37" s="147">
        <v>1.6152500014537249E-4</v>
      </c>
      <c r="P37" s="147">
        <v>0</v>
      </c>
      <c r="Q37" s="147">
        <v>1.8511000045351949E-4</v>
      </c>
      <c r="R37" s="147">
        <v>1.8829600094147998E-4</v>
      </c>
      <c r="S37" s="147">
        <v>2.5854200226224254E-4</v>
      </c>
      <c r="T37" s="147">
        <v>0</v>
      </c>
      <c r="U37" s="147">
        <v>3.9608800217848402E-4</v>
      </c>
      <c r="V37" s="147">
        <v>0</v>
      </c>
      <c r="W37" s="147">
        <v>0</v>
      </c>
      <c r="X37" s="147">
        <v>0</v>
      </c>
      <c r="Y37" s="147">
        <v>6.0550099812294695E-4</v>
      </c>
      <c r="Z37" s="147">
        <v>3.9463500240727346E-5</v>
      </c>
      <c r="AA37" s="147">
        <v>3.8687300421691564E-4</v>
      </c>
      <c r="AB37" s="147">
        <v>1.1694750064321126E-3</v>
      </c>
      <c r="AC37" s="147">
        <v>1.550720006357952E-4</v>
      </c>
      <c r="AD37" s="147">
        <v>3.4013399979591962E-4</v>
      </c>
      <c r="AE37" s="147">
        <v>5.1033300372543085E-4</v>
      </c>
      <c r="AF37" s="147">
        <v>8.3537699757740673E-4</v>
      </c>
      <c r="AG37" s="147">
        <v>3.2370600624752593E-4</v>
      </c>
      <c r="AH37" s="147">
        <v>5.3727700397584988E-4</v>
      </c>
      <c r="AI37" s="147">
        <v>1.1591000184296902E-4</v>
      </c>
      <c r="AJ37" s="147">
        <v>0</v>
      </c>
      <c r="AK37" s="147">
        <v>9.7631702016094644E-5</v>
      </c>
      <c r="AL37" s="147">
        <v>0</v>
      </c>
      <c r="AM37" s="147">
        <v>5.8711299630118824E-4</v>
      </c>
      <c r="AN37" s="147">
        <v>3.0893199944392234E-4</v>
      </c>
      <c r="AO37" s="147">
        <v>4.3644099890889751E-4</v>
      </c>
      <c r="AP37" s="147">
        <v>0</v>
      </c>
      <c r="AQ37" s="147">
        <v>2.4914102885513896E-4</v>
      </c>
      <c r="AR37" s="147">
        <v>3.6189360851151354E-4</v>
      </c>
      <c r="AS37" s="147">
        <v>0</v>
      </c>
      <c r="AT37" s="147">
        <v>0</v>
      </c>
      <c r="AU37" s="147">
        <v>0</v>
      </c>
      <c r="AV37" s="147">
        <v>0</v>
      </c>
      <c r="AW37" s="147">
        <v>0</v>
      </c>
      <c r="AX37" s="147">
        <v>0</v>
      </c>
      <c r="AY37" s="147">
        <v>0</v>
      </c>
      <c r="AZ37" s="147">
        <v>0</v>
      </c>
      <c r="BA37" s="147">
        <v>0</v>
      </c>
      <c r="BB37" s="147">
        <v>1.2296199834001303E-4</v>
      </c>
      <c r="BC37" s="147">
        <v>0</v>
      </c>
      <c r="BD37" s="147">
        <v>0</v>
      </c>
      <c r="BE37" s="147">
        <v>0</v>
      </c>
      <c r="BF37" s="147">
        <v>0</v>
      </c>
      <c r="BG37" s="147">
        <v>0</v>
      </c>
      <c r="BH37" s="147">
        <v>0</v>
      </c>
      <c r="BI37" s="147">
        <v>0</v>
      </c>
      <c r="BJ37" s="147">
        <v>0</v>
      </c>
      <c r="BK37" s="147">
        <v>0</v>
      </c>
      <c r="BL37" s="147">
        <v>0</v>
      </c>
      <c r="BM37" s="147">
        <v>0</v>
      </c>
      <c r="BN37" s="147">
        <v>0</v>
      </c>
      <c r="BO37" s="147">
        <v>0</v>
      </c>
      <c r="BP37" s="147">
        <v>0</v>
      </c>
      <c r="BQ37" s="147">
        <v>0</v>
      </c>
      <c r="BR37" s="147">
        <v>0</v>
      </c>
      <c r="BS37" s="147">
        <v>0</v>
      </c>
      <c r="BT37" s="147">
        <v>0</v>
      </c>
      <c r="BU37" s="147">
        <v>0</v>
      </c>
      <c r="BV37" s="147">
        <v>0</v>
      </c>
      <c r="BW37" s="147">
        <v>0</v>
      </c>
      <c r="BX37" s="147">
        <v>0</v>
      </c>
      <c r="BY37" s="147">
        <v>0</v>
      </c>
    </row>
    <row r="38" spans="1:77" customFormat="1" x14ac:dyDescent="0.15">
      <c r="A38" s="182" t="s">
        <v>229</v>
      </c>
      <c r="B38" s="147">
        <v>0</v>
      </c>
      <c r="C38" s="147">
        <v>0</v>
      </c>
      <c r="D38" s="147">
        <v>0</v>
      </c>
      <c r="E38" s="147">
        <v>0</v>
      </c>
      <c r="F38" s="147">
        <v>1.9649599876011024E-4</v>
      </c>
      <c r="G38" s="147">
        <v>0</v>
      </c>
      <c r="H38" s="147">
        <v>2.0272000247318405E-4</v>
      </c>
      <c r="I38" s="147">
        <v>0</v>
      </c>
      <c r="J38" s="147">
        <v>0</v>
      </c>
      <c r="K38" s="147">
        <v>0</v>
      </c>
      <c r="L38" s="147">
        <v>7.6073698942575585E-5</v>
      </c>
      <c r="M38" s="147">
        <v>1.8810300317329766E-5</v>
      </c>
      <c r="N38" s="147">
        <v>9.7792201848272636E-5</v>
      </c>
      <c r="O38" s="147">
        <v>1.9614300017652868E-4</v>
      </c>
      <c r="P38" s="147">
        <v>0</v>
      </c>
      <c r="Q38" s="147">
        <v>2.2478300055071834E-4</v>
      </c>
      <c r="R38" s="147">
        <v>2.28653001143265E-4</v>
      </c>
      <c r="S38" s="147">
        <v>3.1395400274709755E-4</v>
      </c>
      <c r="T38" s="147">
        <v>0</v>
      </c>
      <c r="U38" s="147">
        <v>0</v>
      </c>
      <c r="V38" s="147">
        <v>0</v>
      </c>
      <c r="W38" s="147">
        <v>0</v>
      </c>
      <c r="X38" s="147">
        <v>0</v>
      </c>
      <c r="Y38" s="147">
        <v>0</v>
      </c>
      <c r="Z38" s="147">
        <v>0</v>
      </c>
      <c r="AA38" s="147">
        <v>0</v>
      </c>
      <c r="AB38" s="147">
        <v>0</v>
      </c>
      <c r="AC38" s="147">
        <v>0</v>
      </c>
      <c r="AD38" s="147">
        <v>0</v>
      </c>
      <c r="AE38" s="147">
        <v>0</v>
      </c>
      <c r="AF38" s="147">
        <v>0</v>
      </c>
      <c r="AG38" s="147">
        <v>0</v>
      </c>
      <c r="AH38" s="147">
        <v>0</v>
      </c>
      <c r="AI38" s="147">
        <v>0</v>
      </c>
      <c r="AJ38" s="147">
        <v>2.392100018969353E-5</v>
      </c>
      <c r="AK38" s="147">
        <v>0</v>
      </c>
      <c r="AL38" s="147">
        <v>2.2578200024836017E-4</v>
      </c>
      <c r="AM38" s="147">
        <v>0</v>
      </c>
      <c r="AN38" s="147">
        <v>0</v>
      </c>
      <c r="AO38" s="147">
        <v>5.2998099867504749E-4</v>
      </c>
      <c r="AP38" s="147">
        <v>0</v>
      </c>
      <c r="AQ38" s="147">
        <v>0</v>
      </c>
      <c r="AR38" s="147">
        <v>5.4588007350617575E-4</v>
      </c>
      <c r="AS38" s="147">
        <v>0</v>
      </c>
      <c r="AT38" s="147">
        <v>0</v>
      </c>
      <c r="AU38" s="147">
        <v>0</v>
      </c>
      <c r="AV38" s="147">
        <v>0</v>
      </c>
      <c r="AW38" s="147">
        <v>0</v>
      </c>
      <c r="AX38" s="147">
        <v>0</v>
      </c>
      <c r="AY38" s="147">
        <v>0</v>
      </c>
      <c r="AZ38" s="147">
        <v>0</v>
      </c>
      <c r="BA38" s="147">
        <v>0</v>
      </c>
      <c r="BB38" s="147">
        <v>1.4931499798424752E-4</v>
      </c>
      <c r="BC38" s="147">
        <v>0</v>
      </c>
      <c r="BD38" s="147">
        <v>0</v>
      </c>
      <c r="BE38" s="147">
        <v>0</v>
      </c>
      <c r="BF38" s="147">
        <v>0</v>
      </c>
      <c r="BG38" s="147">
        <v>0</v>
      </c>
      <c r="BH38" s="147">
        <v>0</v>
      </c>
      <c r="BI38" s="147">
        <v>0</v>
      </c>
      <c r="BJ38" s="147">
        <v>0</v>
      </c>
      <c r="BK38" s="147">
        <v>0</v>
      </c>
      <c r="BL38" s="147">
        <v>0</v>
      </c>
      <c r="BM38" s="147">
        <v>0</v>
      </c>
      <c r="BN38" s="147">
        <v>0</v>
      </c>
      <c r="BO38" s="147">
        <v>0</v>
      </c>
      <c r="BP38" s="147">
        <v>0</v>
      </c>
      <c r="BQ38" s="147">
        <v>0</v>
      </c>
      <c r="BR38" s="147">
        <v>0</v>
      </c>
      <c r="BS38" s="147">
        <v>0</v>
      </c>
      <c r="BT38" s="147">
        <v>0</v>
      </c>
      <c r="BU38" s="147">
        <v>0</v>
      </c>
      <c r="BV38" s="147">
        <v>0</v>
      </c>
      <c r="BW38" s="147">
        <v>0</v>
      </c>
      <c r="BX38" s="147">
        <v>0</v>
      </c>
      <c r="BY38" s="147">
        <v>0</v>
      </c>
    </row>
    <row r="39" spans="1:77" x14ac:dyDescent="0.15">
      <c r="A39" s="182" t="s">
        <v>230</v>
      </c>
      <c r="B39" s="147">
        <v>0</v>
      </c>
      <c r="C39" s="147">
        <v>9.843049353270429E-4</v>
      </c>
      <c r="D39" s="147">
        <v>0</v>
      </c>
      <c r="E39" s="147">
        <v>7.3249000348665262E-4</v>
      </c>
      <c r="F39" s="147">
        <v>3.2363199795788208E-4</v>
      </c>
      <c r="G39" s="147">
        <v>0</v>
      </c>
      <c r="H39" s="147">
        <v>9.2993871134525227E-3</v>
      </c>
      <c r="I39" s="147">
        <v>0</v>
      </c>
      <c r="J39" s="147">
        <v>0</v>
      </c>
      <c r="K39" s="147">
        <v>1.5468755711446878E-2</v>
      </c>
      <c r="L39" s="147">
        <v>1.2529499825839952E-4</v>
      </c>
      <c r="M39" s="147">
        <v>3.0980900522647789E-5</v>
      </c>
      <c r="N39" s="147">
        <v>1.610660030441475E-4</v>
      </c>
      <c r="O39" s="147">
        <v>3.2305200029074681E-4</v>
      </c>
      <c r="P39" s="147">
        <v>0</v>
      </c>
      <c r="Q39" s="147">
        <v>3.7022200090704394E-4</v>
      </c>
      <c r="R39" s="147">
        <v>3.7659500188297503E-4</v>
      </c>
      <c r="S39" s="147">
        <v>5.1708800452451994E-4</v>
      </c>
      <c r="T39" s="147">
        <v>0</v>
      </c>
      <c r="U39" s="147">
        <v>7.9218200435700098E-4</v>
      </c>
      <c r="V39" s="147">
        <v>0</v>
      </c>
      <c r="W39" s="147">
        <v>0</v>
      </c>
      <c r="X39" s="147">
        <v>0</v>
      </c>
      <c r="Y39" s="147">
        <v>1.2110099962458689E-3</v>
      </c>
      <c r="Z39" s="147">
        <v>7.8927500481457748E-5</v>
      </c>
      <c r="AA39" s="147">
        <v>7.7375000843387493E-4</v>
      </c>
      <c r="AB39" s="147">
        <v>2.338966012864313E-3</v>
      </c>
      <c r="AC39" s="147">
        <v>3.1014600127159863E-4</v>
      </c>
      <c r="AD39" s="147">
        <v>6.802719995918368E-4</v>
      </c>
      <c r="AE39" s="147">
        <v>1.0206730074509129E-3</v>
      </c>
      <c r="AF39" s="147">
        <v>1.6707649951547816E-3</v>
      </c>
      <c r="AG39" s="147">
        <v>6.4741701249514832E-4</v>
      </c>
      <c r="AH39" s="147">
        <v>1.0745600079517443E-3</v>
      </c>
      <c r="AI39" s="147">
        <v>2.3182100368595394E-4</v>
      </c>
      <c r="AJ39" s="147">
        <v>0</v>
      </c>
      <c r="AK39" s="147">
        <v>9.7631702016094644E-5</v>
      </c>
      <c r="AL39" s="147">
        <v>3.7186700040905366E-4</v>
      </c>
      <c r="AM39" s="147">
        <v>1.1742329926023322E-3</v>
      </c>
      <c r="AN39" s="147">
        <v>6.178679988878376E-4</v>
      </c>
      <c r="AO39" s="147">
        <v>8.7288799781778004E-4</v>
      </c>
      <c r="AP39" s="147">
        <v>0</v>
      </c>
      <c r="AQ39" s="147">
        <v>5.8757819677387926E-4</v>
      </c>
      <c r="AR39" s="147">
        <v>8.9907465292937444E-4</v>
      </c>
      <c r="AS39" s="147">
        <v>0</v>
      </c>
      <c r="AT39" s="147">
        <v>0</v>
      </c>
      <c r="AU39" s="147">
        <v>0</v>
      </c>
      <c r="AV39" s="147">
        <v>0</v>
      </c>
      <c r="AW39" s="147">
        <v>0</v>
      </c>
      <c r="AX39" s="147">
        <v>0</v>
      </c>
      <c r="AY39" s="147">
        <v>0</v>
      </c>
      <c r="AZ39" s="147">
        <v>0</v>
      </c>
      <c r="BA39" s="147">
        <v>0</v>
      </c>
      <c r="BB39" s="147">
        <v>2.4592499668001251E-4</v>
      </c>
      <c r="BC39" s="147">
        <v>0</v>
      </c>
      <c r="BD39" s="147">
        <v>0</v>
      </c>
      <c r="BE39" s="147">
        <v>0</v>
      </c>
      <c r="BF39" s="147">
        <v>0</v>
      </c>
      <c r="BG39" s="147">
        <v>0</v>
      </c>
      <c r="BH39" s="147">
        <v>0</v>
      </c>
      <c r="BI39" s="147">
        <v>0</v>
      </c>
      <c r="BJ39" s="147">
        <v>0</v>
      </c>
      <c r="BK39" s="147">
        <v>0</v>
      </c>
      <c r="BL39" s="147">
        <v>0</v>
      </c>
      <c r="BM39" s="147">
        <v>0</v>
      </c>
      <c r="BN39" s="147">
        <v>0</v>
      </c>
      <c r="BO39" s="147">
        <v>0</v>
      </c>
      <c r="BP39" s="147">
        <v>0</v>
      </c>
      <c r="BQ39" s="147">
        <v>0</v>
      </c>
      <c r="BR39" s="147">
        <v>0</v>
      </c>
      <c r="BS39" s="147">
        <v>0</v>
      </c>
      <c r="BT39" s="147">
        <v>0</v>
      </c>
      <c r="BU39" s="147">
        <v>0</v>
      </c>
      <c r="BV39" s="147">
        <v>0</v>
      </c>
      <c r="BW39" s="147">
        <v>0</v>
      </c>
      <c r="BX39" s="147">
        <v>0</v>
      </c>
      <c r="BY39" s="147">
        <v>0</v>
      </c>
    </row>
    <row r="40" spans="1:77" x14ac:dyDescent="0.15">
      <c r="A40" s="182" t="s">
        <v>231</v>
      </c>
      <c r="B40" s="147">
        <v>0</v>
      </c>
      <c r="C40" s="147">
        <v>0</v>
      </c>
      <c r="D40" s="147">
        <v>0</v>
      </c>
      <c r="E40" s="147">
        <v>3.6941000175839165E-5</v>
      </c>
      <c r="F40" s="147">
        <v>0</v>
      </c>
      <c r="G40" s="147">
        <v>3.2895200233555928E-5</v>
      </c>
      <c r="H40" s="147">
        <v>2.8410200346604447E-5</v>
      </c>
      <c r="I40" s="147">
        <v>0</v>
      </c>
      <c r="J40" s="147">
        <v>6.152120023070449E-5</v>
      </c>
      <c r="K40" s="147">
        <v>0</v>
      </c>
      <c r="L40" s="147">
        <v>1.7450399757439445E-5</v>
      </c>
      <c r="M40" s="147">
        <v>0</v>
      </c>
      <c r="N40" s="147">
        <v>2.3170000437913015E-5</v>
      </c>
      <c r="O40" s="147">
        <v>2.4974300022476869E-5</v>
      </c>
      <c r="P40" s="147">
        <v>0</v>
      </c>
      <c r="Q40" s="147">
        <v>2.9121300071347183E-5</v>
      </c>
      <c r="R40" s="147">
        <v>5.7406500287032503E-5</v>
      </c>
      <c r="S40" s="147">
        <v>3.0407000266061249E-4</v>
      </c>
      <c r="T40" s="147">
        <v>0</v>
      </c>
      <c r="U40" s="147">
        <v>5.1302400282163209E-4</v>
      </c>
      <c r="V40" s="147">
        <v>0</v>
      </c>
      <c r="W40" s="147">
        <v>0</v>
      </c>
      <c r="X40" s="147">
        <v>4.8970108426764454E-5</v>
      </c>
      <c r="Y40" s="147">
        <v>0</v>
      </c>
      <c r="Z40" s="147">
        <v>0</v>
      </c>
      <c r="AA40" s="147">
        <v>0</v>
      </c>
      <c r="AB40" s="147">
        <v>0</v>
      </c>
      <c r="AC40" s="147">
        <v>0</v>
      </c>
      <c r="AD40" s="147">
        <v>1.9404499988357301E-4</v>
      </c>
      <c r="AE40" s="147">
        <v>1.3606900099330369E-4</v>
      </c>
      <c r="AF40" s="147">
        <v>2.227349993540685E-4</v>
      </c>
      <c r="AG40" s="147">
        <v>0</v>
      </c>
      <c r="AH40" s="147">
        <v>0</v>
      </c>
      <c r="AI40" s="147">
        <v>0</v>
      </c>
      <c r="AJ40" s="147">
        <v>8.625200068397836E-6</v>
      </c>
      <c r="AK40" s="147">
        <v>0</v>
      </c>
      <c r="AL40" s="147">
        <v>0</v>
      </c>
      <c r="AM40" s="147">
        <v>1.0925399931169982E-4</v>
      </c>
      <c r="AN40" s="147">
        <v>2.3297958058063669E-2</v>
      </c>
      <c r="AO40" s="147">
        <v>0</v>
      </c>
      <c r="AP40" s="147">
        <v>0</v>
      </c>
      <c r="AQ40" s="147">
        <v>6.0919710409757704E-5</v>
      </c>
      <c r="AR40" s="147">
        <v>0</v>
      </c>
      <c r="AS40" s="147">
        <v>0</v>
      </c>
      <c r="AT40" s="147">
        <v>0</v>
      </c>
      <c r="AU40" s="147">
        <v>0</v>
      </c>
      <c r="AV40" s="147">
        <v>0</v>
      </c>
      <c r="AW40" s="147">
        <v>0</v>
      </c>
      <c r="AX40" s="147">
        <v>9.6077813738383881E-5</v>
      </c>
      <c r="AY40" s="147">
        <v>0</v>
      </c>
      <c r="AZ40" s="147">
        <v>0</v>
      </c>
      <c r="BA40" s="147">
        <v>0</v>
      </c>
      <c r="BB40" s="147">
        <v>0</v>
      </c>
      <c r="BC40" s="147">
        <v>0</v>
      </c>
      <c r="BD40" s="147">
        <v>0</v>
      </c>
      <c r="BE40" s="147">
        <v>0</v>
      </c>
      <c r="BF40" s="147">
        <v>0</v>
      </c>
      <c r="BG40" s="147">
        <v>0</v>
      </c>
      <c r="BH40" s="147">
        <v>0</v>
      </c>
      <c r="BI40" s="147">
        <v>0</v>
      </c>
      <c r="BJ40" s="147">
        <v>0</v>
      </c>
      <c r="BK40" s="147">
        <v>0</v>
      </c>
      <c r="BL40" s="147">
        <v>0</v>
      </c>
      <c r="BM40" s="147">
        <v>0</v>
      </c>
      <c r="BN40" s="147">
        <v>0</v>
      </c>
      <c r="BO40" s="147">
        <v>0</v>
      </c>
      <c r="BP40" s="147">
        <v>0</v>
      </c>
      <c r="BQ40" s="147">
        <v>0</v>
      </c>
      <c r="BR40" s="147">
        <v>0</v>
      </c>
      <c r="BS40" s="147">
        <v>0</v>
      </c>
      <c r="BT40" s="147">
        <v>0</v>
      </c>
      <c r="BU40" s="147">
        <v>0</v>
      </c>
      <c r="BV40" s="147">
        <v>0</v>
      </c>
      <c r="BW40" s="147">
        <v>0</v>
      </c>
      <c r="BX40" s="147">
        <v>0</v>
      </c>
      <c r="BY40" s="147">
        <v>0</v>
      </c>
    </row>
    <row r="41" spans="1:77" x14ac:dyDescent="0.15">
      <c r="A41" s="182" t="s">
        <v>232</v>
      </c>
      <c r="B41" s="147">
        <v>0</v>
      </c>
      <c r="C41" s="147">
        <v>0</v>
      </c>
      <c r="D41" s="147">
        <v>0</v>
      </c>
      <c r="E41" s="147">
        <v>1.4572870069366865E-3</v>
      </c>
      <c r="F41" s="147">
        <v>0</v>
      </c>
      <c r="G41" s="147">
        <v>1.2976840092135565E-3</v>
      </c>
      <c r="H41" s="147">
        <v>1.1207550136732112E-3</v>
      </c>
      <c r="I41" s="147">
        <v>7.6871297501682824E-5</v>
      </c>
      <c r="J41" s="147">
        <v>2.4269510091010664E-3</v>
      </c>
      <c r="K41" s="147">
        <v>0</v>
      </c>
      <c r="L41" s="147">
        <v>6.8840099043122622E-4</v>
      </c>
      <c r="M41" s="147">
        <v>0</v>
      </c>
      <c r="N41" s="147">
        <v>9.1403301727522419E-4</v>
      </c>
      <c r="O41" s="147">
        <v>9.8521300088669174E-4</v>
      </c>
      <c r="P41" s="147">
        <v>0</v>
      </c>
      <c r="Q41" s="147">
        <v>1.1488050028145721E-3</v>
      </c>
      <c r="R41" s="147">
        <v>2.26463001132315E-3</v>
      </c>
      <c r="S41" s="147">
        <v>1.1995268204958595E-2</v>
      </c>
      <c r="T41" s="147">
        <v>0</v>
      </c>
      <c r="U41" s="147">
        <v>2.0238291611310601E-2</v>
      </c>
      <c r="V41" s="147">
        <v>0</v>
      </c>
      <c r="W41" s="147">
        <v>0</v>
      </c>
      <c r="X41" s="147">
        <v>1.9318212407364263E-3</v>
      </c>
      <c r="Y41" s="147">
        <v>0</v>
      </c>
      <c r="Z41" s="147">
        <v>0</v>
      </c>
      <c r="AA41" s="147">
        <v>0</v>
      </c>
      <c r="AB41" s="147">
        <v>0</v>
      </c>
      <c r="AC41" s="147">
        <v>0</v>
      </c>
      <c r="AD41" s="147">
        <v>7.6548719954070768E-3</v>
      </c>
      <c r="AE41" s="147">
        <v>5.3677890391848598E-3</v>
      </c>
      <c r="AF41" s="147">
        <v>0</v>
      </c>
      <c r="AG41" s="147">
        <v>0</v>
      </c>
      <c r="AH41" s="147">
        <v>0</v>
      </c>
      <c r="AI41" s="147">
        <v>0</v>
      </c>
      <c r="AJ41" s="147">
        <v>3.4025600269823008E-4</v>
      </c>
      <c r="AK41" s="147">
        <v>4.9067941013252979E-3</v>
      </c>
      <c r="AL41" s="147">
        <v>0</v>
      </c>
      <c r="AM41" s="147">
        <v>4.3099669728472083E-3</v>
      </c>
      <c r="AN41" s="147">
        <v>0</v>
      </c>
      <c r="AO41" s="147">
        <v>9.0935699772660744E-4</v>
      </c>
      <c r="AP41" s="147">
        <v>0</v>
      </c>
      <c r="AQ41" s="147">
        <v>0</v>
      </c>
      <c r="AR41" s="147">
        <v>0</v>
      </c>
      <c r="AS41" s="147">
        <v>0</v>
      </c>
      <c r="AT41" s="147">
        <v>0</v>
      </c>
      <c r="AU41" s="147">
        <v>0</v>
      </c>
      <c r="AV41" s="147">
        <v>0</v>
      </c>
      <c r="AW41" s="147">
        <v>0</v>
      </c>
      <c r="AX41" s="147">
        <v>0</v>
      </c>
      <c r="AY41" s="147">
        <v>0</v>
      </c>
      <c r="AZ41" s="147">
        <v>0</v>
      </c>
      <c r="BA41" s="147">
        <v>0</v>
      </c>
      <c r="BB41" s="147">
        <v>0</v>
      </c>
      <c r="BC41" s="147">
        <v>0</v>
      </c>
      <c r="BD41" s="147">
        <v>0</v>
      </c>
      <c r="BE41" s="147">
        <v>0</v>
      </c>
      <c r="BF41" s="147">
        <v>0</v>
      </c>
      <c r="BG41" s="147">
        <v>0</v>
      </c>
      <c r="BH41" s="147">
        <v>0</v>
      </c>
      <c r="BI41" s="147">
        <v>0</v>
      </c>
      <c r="BJ41" s="147">
        <v>0</v>
      </c>
      <c r="BK41" s="147">
        <v>0</v>
      </c>
      <c r="BL41" s="147">
        <v>0</v>
      </c>
      <c r="BM41" s="147">
        <v>0</v>
      </c>
      <c r="BN41" s="147">
        <v>0</v>
      </c>
      <c r="BO41" s="147">
        <v>0</v>
      </c>
      <c r="BP41" s="147">
        <v>0</v>
      </c>
      <c r="BQ41" s="147">
        <v>0</v>
      </c>
      <c r="BR41" s="147">
        <v>0</v>
      </c>
      <c r="BS41" s="147">
        <v>0</v>
      </c>
      <c r="BT41" s="147">
        <v>0</v>
      </c>
      <c r="BU41" s="147">
        <v>0</v>
      </c>
      <c r="BV41" s="147">
        <v>0</v>
      </c>
      <c r="BW41" s="147">
        <v>0</v>
      </c>
      <c r="BX41" s="147">
        <v>0</v>
      </c>
      <c r="BY41" s="147">
        <v>0</v>
      </c>
    </row>
    <row r="42" spans="1:77" x14ac:dyDescent="0.15">
      <c r="A42" s="182" t="s">
        <v>233</v>
      </c>
      <c r="B42" s="147">
        <v>0</v>
      </c>
      <c r="C42" s="147">
        <v>0</v>
      </c>
      <c r="D42" s="147">
        <v>0</v>
      </c>
      <c r="E42" s="147">
        <v>1.3400870063788144E-3</v>
      </c>
      <c r="F42" s="147">
        <v>0</v>
      </c>
      <c r="G42" s="147">
        <v>1.1933200084725724E-3</v>
      </c>
      <c r="H42" s="147">
        <v>1.0306200125735643E-3</v>
      </c>
      <c r="I42" s="147">
        <v>7.0689097702604322E-5</v>
      </c>
      <c r="J42" s="147">
        <v>2.2317680083691299E-3</v>
      </c>
      <c r="K42" s="147">
        <v>0</v>
      </c>
      <c r="L42" s="147">
        <v>6.3303799120077199E-4</v>
      </c>
      <c r="M42" s="147">
        <v>0</v>
      </c>
      <c r="N42" s="147">
        <v>8.4052401588590418E-4</v>
      </c>
      <c r="O42" s="147">
        <v>9.0597900081538108E-4</v>
      </c>
      <c r="P42" s="147">
        <v>0</v>
      </c>
      <c r="Q42" s="147">
        <v>1.1150296827318228E-2</v>
      </c>
      <c r="R42" s="147">
        <v>2.2342289011711446E-2</v>
      </c>
      <c r="S42" s="147">
        <v>0</v>
      </c>
      <c r="T42" s="147">
        <v>0</v>
      </c>
      <c r="U42" s="147">
        <v>1.8825974403542858E-2</v>
      </c>
      <c r="V42" s="147">
        <v>0</v>
      </c>
      <c r="W42" s="147">
        <v>0</v>
      </c>
      <c r="X42" s="147">
        <v>1.776457865828979E-3</v>
      </c>
      <c r="Y42" s="147">
        <v>0</v>
      </c>
      <c r="Z42" s="147">
        <v>3.8170200232838216E-4</v>
      </c>
      <c r="AA42" s="147">
        <v>3.3729910367656019E-2</v>
      </c>
      <c r="AB42" s="147">
        <v>0</v>
      </c>
      <c r="AC42" s="147">
        <v>1.4999030061496022E-3</v>
      </c>
      <c r="AD42" s="147">
        <v>7.0392419957764551E-3</v>
      </c>
      <c r="AE42" s="147">
        <v>4.9360940360334863E-3</v>
      </c>
      <c r="AF42" s="147">
        <v>8.0800089765679754E-3</v>
      </c>
      <c r="AG42" s="147">
        <v>3.1309810604279349E-3</v>
      </c>
      <c r="AH42" s="147">
        <v>0</v>
      </c>
      <c r="AI42" s="147">
        <v>1.1211140178257128E-3</v>
      </c>
      <c r="AJ42" s="147">
        <v>5.2332100414993559E-4</v>
      </c>
      <c r="AK42" s="147">
        <v>4.512173093176375E-3</v>
      </c>
      <c r="AL42" s="147">
        <v>4.9571164054528272E-2</v>
      </c>
      <c r="AM42" s="147">
        <v>2.921841461592399E-2</v>
      </c>
      <c r="AN42" s="147">
        <v>2.5933977153318837E-2</v>
      </c>
      <c r="AO42" s="147">
        <v>8.3622299790944254E-4</v>
      </c>
      <c r="AP42" s="147">
        <v>2.7335644474474575E-3</v>
      </c>
      <c r="AQ42" s="147">
        <v>2.6417794657366488E-3</v>
      </c>
      <c r="AR42" s="147">
        <v>0</v>
      </c>
      <c r="AS42" s="147">
        <v>0</v>
      </c>
      <c r="AT42" s="147">
        <v>0</v>
      </c>
      <c r="AU42" s="147">
        <v>0</v>
      </c>
      <c r="AV42" s="147">
        <v>2.4254755949065013E-2</v>
      </c>
      <c r="AW42" s="147">
        <v>5.5747999988850396E-4</v>
      </c>
      <c r="AX42" s="147">
        <v>9.6077813738383881E-4</v>
      </c>
      <c r="AY42" s="147">
        <v>0</v>
      </c>
      <c r="AZ42" s="147">
        <v>0</v>
      </c>
      <c r="BA42" s="147">
        <v>0</v>
      </c>
      <c r="BB42" s="147">
        <v>0</v>
      </c>
      <c r="BC42" s="147">
        <v>0</v>
      </c>
      <c r="BD42" s="147">
        <v>0</v>
      </c>
      <c r="BE42" s="147">
        <v>0</v>
      </c>
      <c r="BF42" s="147">
        <v>0</v>
      </c>
      <c r="BG42" s="147">
        <v>0</v>
      </c>
      <c r="BH42" s="147">
        <v>0</v>
      </c>
      <c r="BI42" s="147">
        <v>0</v>
      </c>
      <c r="BJ42" s="147">
        <v>0</v>
      </c>
      <c r="BK42" s="147">
        <v>0</v>
      </c>
      <c r="BL42" s="147">
        <v>0</v>
      </c>
      <c r="BM42" s="147">
        <v>0</v>
      </c>
      <c r="BN42" s="147">
        <v>0</v>
      </c>
      <c r="BO42" s="147">
        <v>0</v>
      </c>
      <c r="BP42" s="147">
        <v>0</v>
      </c>
      <c r="BQ42" s="147">
        <v>0</v>
      </c>
      <c r="BR42" s="147">
        <v>0</v>
      </c>
      <c r="BS42" s="147">
        <v>0</v>
      </c>
      <c r="BT42" s="147">
        <v>0</v>
      </c>
      <c r="BU42" s="147">
        <v>0</v>
      </c>
      <c r="BV42" s="147">
        <v>0</v>
      </c>
      <c r="BW42" s="147">
        <v>0</v>
      </c>
      <c r="BX42" s="147">
        <v>0</v>
      </c>
      <c r="BY42" s="147">
        <v>0</v>
      </c>
    </row>
    <row r="43" spans="1:77" x14ac:dyDescent="0.15">
      <c r="A43" s="182" t="s">
        <v>234</v>
      </c>
      <c r="B43" s="147">
        <v>0</v>
      </c>
      <c r="C43" s="147">
        <v>0</v>
      </c>
      <c r="D43" s="147">
        <v>0</v>
      </c>
      <c r="E43" s="147">
        <v>1.1912840056705119E-3</v>
      </c>
      <c r="F43" s="147">
        <v>0</v>
      </c>
      <c r="G43" s="147">
        <v>1.0608140075317797E-3</v>
      </c>
      <c r="H43" s="147">
        <v>9.1618001117739609E-4</v>
      </c>
      <c r="I43" s="147">
        <v>6.283979795770657E-5</v>
      </c>
      <c r="J43" s="147">
        <v>1.983953007439824E-3</v>
      </c>
      <c r="K43" s="147">
        <v>0</v>
      </c>
      <c r="L43" s="147">
        <v>5.6274499217784455E-4</v>
      </c>
      <c r="M43" s="147">
        <v>0</v>
      </c>
      <c r="N43" s="147">
        <v>7.4719201412192925E-4</v>
      </c>
      <c r="O43" s="147">
        <v>8.0537900072484103E-4</v>
      </c>
      <c r="P43" s="147">
        <v>0</v>
      </c>
      <c r="Q43" s="147">
        <v>9.3911000230081953E-4</v>
      </c>
      <c r="R43" s="147">
        <v>1.851261009256305E-3</v>
      </c>
      <c r="S43" s="147">
        <v>0</v>
      </c>
      <c r="T43" s="147">
        <v>0</v>
      </c>
      <c r="U43" s="147">
        <v>2.1485580118170691E-3</v>
      </c>
      <c r="V43" s="147">
        <v>0</v>
      </c>
      <c r="W43" s="147">
        <v>0</v>
      </c>
      <c r="X43" s="147">
        <v>1.5792003678966081E-3</v>
      </c>
      <c r="Y43" s="147">
        <v>0</v>
      </c>
      <c r="Z43" s="147">
        <v>3.3931800206983976E-4</v>
      </c>
      <c r="AA43" s="147">
        <v>1.1892520129628467E-3</v>
      </c>
      <c r="AB43" s="147">
        <v>0</v>
      </c>
      <c r="AC43" s="147">
        <v>1.3333540054667513E-3</v>
      </c>
      <c r="AD43" s="147">
        <v>6.2576049962454368E-3</v>
      </c>
      <c r="AE43" s="147">
        <v>4.3879900320323269E-3</v>
      </c>
      <c r="AF43" s="147">
        <v>7.1828049791698651E-3</v>
      </c>
      <c r="AG43" s="147">
        <v>2.7833170537180192E-3</v>
      </c>
      <c r="AH43" s="147">
        <v>0</v>
      </c>
      <c r="AI43" s="147">
        <v>9.9662601584635355E-4</v>
      </c>
      <c r="AJ43" s="147">
        <v>0</v>
      </c>
      <c r="AK43" s="147">
        <v>4.0111420828300836E-3</v>
      </c>
      <c r="AL43" s="147">
        <v>1.5987000017585698E-3</v>
      </c>
      <c r="AM43" s="147">
        <v>3.523254977803494E-3</v>
      </c>
      <c r="AN43" s="147">
        <v>2.4306149956248926E-3</v>
      </c>
      <c r="AO43" s="147">
        <v>7.4336899814157753E-4</v>
      </c>
      <c r="AP43" s="147">
        <v>0</v>
      </c>
      <c r="AQ43" s="147">
        <v>1.964554066449221E-3</v>
      </c>
      <c r="AR43" s="147">
        <v>0</v>
      </c>
      <c r="AS43" s="147">
        <v>0</v>
      </c>
      <c r="AT43" s="147">
        <v>0</v>
      </c>
      <c r="AU43" s="147">
        <v>0</v>
      </c>
      <c r="AV43" s="147">
        <v>4.2559299910625473E-4</v>
      </c>
      <c r="AW43" s="147">
        <v>4.955769999008846E-4</v>
      </c>
      <c r="AX43" s="147">
        <v>9.6077813738383881E-4</v>
      </c>
      <c r="AY43" s="147">
        <v>0</v>
      </c>
      <c r="AZ43" s="147">
        <v>0</v>
      </c>
      <c r="BA43" s="147">
        <v>0</v>
      </c>
      <c r="BB43" s="147">
        <v>0</v>
      </c>
      <c r="BC43" s="147">
        <v>0</v>
      </c>
      <c r="BD43" s="147">
        <v>0</v>
      </c>
      <c r="BE43" s="147">
        <v>0</v>
      </c>
      <c r="BF43" s="147">
        <v>0</v>
      </c>
      <c r="BG43" s="147">
        <v>0</v>
      </c>
      <c r="BH43" s="147">
        <v>0</v>
      </c>
      <c r="BI43" s="147">
        <v>0</v>
      </c>
      <c r="BJ43" s="147">
        <v>0</v>
      </c>
      <c r="BK43" s="147">
        <v>0</v>
      </c>
      <c r="BL43" s="147">
        <v>0</v>
      </c>
      <c r="BM43" s="147">
        <v>0</v>
      </c>
      <c r="BN43" s="147">
        <v>0</v>
      </c>
      <c r="BO43" s="147">
        <v>0</v>
      </c>
      <c r="BP43" s="147">
        <v>0</v>
      </c>
      <c r="BQ43" s="147">
        <v>0</v>
      </c>
      <c r="BR43" s="147">
        <v>0</v>
      </c>
      <c r="BS43" s="147">
        <v>0</v>
      </c>
      <c r="BT43" s="147">
        <v>0</v>
      </c>
      <c r="BU43" s="147">
        <v>0</v>
      </c>
      <c r="BV43" s="147">
        <v>0</v>
      </c>
      <c r="BW43" s="147">
        <v>0</v>
      </c>
      <c r="BX43" s="147">
        <v>0</v>
      </c>
      <c r="BY43" s="147">
        <v>0</v>
      </c>
    </row>
    <row r="44" spans="1:77" x14ac:dyDescent="0.15">
      <c r="A44" s="182" t="s">
        <v>235</v>
      </c>
      <c r="B44" s="147">
        <v>0</v>
      </c>
      <c r="C44" s="147">
        <v>0</v>
      </c>
      <c r="D44" s="147">
        <v>0</v>
      </c>
      <c r="E44" s="147">
        <v>3.0456520144973038E-3</v>
      </c>
      <c r="F44" s="147">
        <v>0</v>
      </c>
      <c r="G44" s="147">
        <v>2.7120910192558463E-3</v>
      </c>
      <c r="H44" s="147">
        <v>2.3423190285762922E-3</v>
      </c>
      <c r="I44" s="147">
        <v>1.6065699477864768E-4</v>
      </c>
      <c r="J44" s="147">
        <v>5.0722000190207501E-3</v>
      </c>
      <c r="K44" s="147">
        <v>0</v>
      </c>
      <c r="L44" s="147">
        <v>1.4387219800017644E-3</v>
      </c>
      <c r="M44" s="147">
        <v>0</v>
      </c>
      <c r="N44" s="147">
        <v>1.9102820361043308E-3</v>
      </c>
      <c r="O44" s="147">
        <v>2.0590430018531387E-3</v>
      </c>
      <c r="P44" s="147">
        <v>0</v>
      </c>
      <c r="Q44" s="147">
        <v>1.2493656030609458E-2</v>
      </c>
      <c r="R44" s="147">
        <v>4.7329580236647895E-3</v>
      </c>
      <c r="S44" s="147">
        <v>0</v>
      </c>
      <c r="T44" s="147">
        <v>0</v>
      </c>
      <c r="U44" s="147">
        <v>2.2682547724754011E-2</v>
      </c>
      <c r="V44" s="147">
        <v>0</v>
      </c>
      <c r="W44" s="147">
        <v>0</v>
      </c>
      <c r="X44" s="147">
        <v>4.0374050589781366E-3</v>
      </c>
      <c r="Y44" s="147">
        <v>3.737417228414007E-2</v>
      </c>
      <c r="Z44" s="147">
        <v>8.6750600529178652E-4</v>
      </c>
      <c r="AA44" s="147">
        <v>3.3829603668742672E-2</v>
      </c>
      <c r="AB44" s="147">
        <v>1.8915320104034262E-3</v>
      </c>
      <c r="AC44" s="147">
        <v>3.408870013976367E-3</v>
      </c>
      <c r="AD44" s="147">
        <v>1.5998277790401031E-2</v>
      </c>
      <c r="AE44" s="147">
        <v>1.1218394281894278E-2</v>
      </c>
      <c r="AF44" s="147">
        <v>1.8363656446745393E-2</v>
      </c>
      <c r="AG44" s="147">
        <v>7.115865137336197E-3</v>
      </c>
      <c r="AH44" s="147">
        <v>1.1810671587398971E-2</v>
      </c>
      <c r="AI44" s="147">
        <v>2.5479860405129774E-3</v>
      </c>
      <c r="AJ44" s="147">
        <v>2.8486370225896912E-3</v>
      </c>
      <c r="AK44" s="147">
        <v>1.0254940211764516E-2</v>
      </c>
      <c r="AL44" s="147">
        <v>4.0872580044959833E-3</v>
      </c>
      <c r="AM44" s="147">
        <v>9.0076019432521089E-3</v>
      </c>
      <c r="AN44" s="147">
        <v>6.2141429888145422E-3</v>
      </c>
      <c r="AO44" s="147">
        <v>1.9005079952487301E-3</v>
      </c>
      <c r="AP44" s="147">
        <v>0</v>
      </c>
      <c r="AQ44" s="147">
        <v>6.0040451495658106E-3</v>
      </c>
      <c r="AR44" s="147">
        <v>0</v>
      </c>
      <c r="AS44" s="147">
        <v>2.2015076207873876E-2</v>
      </c>
      <c r="AT44" s="147">
        <v>2.8907123258867635E-3</v>
      </c>
      <c r="AU44" s="147">
        <v>1.4009266164976835E-2</v>
      </c>
      <c r="AV44" s="147">
        <v>3.3913309928782054E-2</v>
      </c>
      <c r="AW44" s="147">
        <v>2.9663266594067348E-2</v>
      </c>
      <c r="AX44" s="147">
        <v>0</v>
      </c>
      <c r="AY44" s="147">
        <v>0</v>
      </c>
      <c r="AZ44" s="147">
        <v>0</v>
      </c>
      <c r="BA44" s="147">
        <v>0</v>
      </c>
      <c r="BB44" s="147">
        <v>0</v>
      </c>
      <c r="BC44" s="147">
        <v>0</v>
      </c>
      <c r="BD44" s="147">
        <v>0</v>
      </c>
      <c r="BE44" s="147">
        <v>0</v>
      </c>
      <c r="BF44" s="147">
        <v>0</v>
      </c>
      <c r="BG44" s="147">
        <v>0</v>
      </c>
      <c r="BH44" s="147">
        <v>0</v>
      </c>
      <c r="BI44" s="147">
        <v>0</v>
      </c>
      <c r="BJ44" s="147">
        <v>0</v>
      </c>
      <c r="BK44" s="147">
        <v>0</v>
      </c>
      <c r="BL44" s="147">
        <v>0</v>
      </c>
      <c r="BM44" s="147">
        <v>0</v>
      </c>
      <c r="BN44" s="147">
        <v>0</v>
      </c>
      <c r="BO44" s="147">
        <v>0</v>
      </c>
      <c r="BP44" s="147">
        <v>0</v>
      </c>
      <c r="BQ44" s="147">
        <v>0</v>
      </c>
      <c r="BR44" s="147">
        <v>0</v>
      </c>
      <c r="BS44" s="147">
        <v>0</v>
      </c>
      <c r="BT44" s="147">
        <v>0</v>
      </c>
      <c r="BU44" s="147">
        <v>0</v>
      </c>
      <c r="BV44" s="147">
        <v>0</v>
      </c>
      <c r="BW44" s="147">
        <v>0</v>
      </c>
      <c r="BX44" s="147">
        <v>0</v>
      </c>
      <c r="BY44" s="147">
        <v>0</v>
      </c>
    </row>
    <row r="45" spans="1:77" x14ac:dyDescent="0.15">
      <c r="A45" s="182" t="s">
        <v>236</v>
      </c>
      <c r="B45" s="147">
        <v>2.1177000000000005E-2</v>
      </c>
      <c r="C45" s="147">
        <v>1.972376424128398E-2</v>
      </c>
      <c r="D45" s="147">
        <v>2.4633599827564805E-4</v>
      </c>
      <c r="E45" s="147">
        <v>1.2226134558196402E-2</v>
      </c>
      <c r="F45" s="147">
        <v>1.3458227615078583E-2</v>
      </c>
      <c r="G45" s="147">
        <v>1.490480010582408E-4</v>
      </c>
      <c r="H45" s="147">
        <v>9.4926241158100142E-3</v>
      </c>
      <c r="I45" s="147">
        <v>5.4889198216101064E-3</v>
      </c>
      <c r="J45" s="147">
        <v>3.0825982015597431E-2</v>
      </c>
      <c r="K45" s="147">
        <v>1.587898841175045E-2</v>
      </c>
      <c r="L45" s="147">
        <v>0</v>
      </c>
      <c r="M45" s="147">
        <v>1.8031000304182976E-5</v>
      </c>
      <c r="N45" s="147">
        <v>1.876770035470954E-4</v>
      </c>
      <c r="O45" s="147">
        <v>8.834477007951029E-3</v>
      </c>
      <c r="P45" s="147">
        <v>0</v>
      </c>
      <c r="Q45" s="147">
        <v>1.0280388425186951E-2</v>
      </c>
      <c r="R45" s="147">
        <v>0</v>
      </c>
      <c r="S45" s="147">
        <v>5.4424400476213507E-4</v>
      </c>
      <c r="T45" s="147">
        <v>0</v>
      </c>
      <c r="U45" s="147">
        <v>5.6477700310627352E-4</v>
      </c>
      <c r="V45" s="147">
        <v>2.931019033120515E-3</v>
      </c>
      <c r="W45" s="147">
        <v>3.5077380235018444E-3</v>
      </c>
      <c r="X45" s="147">
        <v>1.7291729254931358E-4</v>
      </c>
      <c r="Y45" s="147">
        <v>3.1931433701012556E-2</v>
      </c>
      <c r="Z45" s="147">
        <v>3.3118900202025285E-4</v>
      </c>
      <c r="AA45" s="147">
        <v>0</v>
      </c>
      <c r="AB45" s="147">
        <v>7.2213400397173704E-4</v>
      </c>
      <c r="AC45" s="147">
        <v>1.3014110053357851E-3</v>
      </c>
      <c r="AD45" s="147">
        <v>0</v>
      </c>
      <c r="AE45" s="147">
        <v>4.2828710312649582E-3</v>
      </c>
      <c r="AF45" s="147">
        <v>7.0107329796688742E-3</v>
      </c>
      <c r="AG45" s="147">
        <v>0</v>
      </c>
      <c r="AH45" s="147">
        <v>4.5089860333664975E-3</v>
      </c>
      <c r="AI45" s="147">
        <v>9.727500154667251E-4</v>
      </c>
      <c r="AJ45" s="147">
        <v>0</v>
      </c>
      <c r="AK45" s="147">
        <v>0</v>
      </c>
      <c r="AL45" s="147">
        <v>0</v>
      </c>
      <c r="AM45" s="147">
        <v>0</v>
      </c>
      <c r="AN45" s="147">
        <v>0</v>
      </c>
      <c r="AO45" s="147">
        <v>0</v>
      </c>
      <c r="AP45" s="147">
        <v>0</v>
      </c>
      <c r="AQ45" s="147">
        <v>0</v>
      </c>
      <c r="AR45" s="147">
        <v>0</v>
      </c>
      <c r="AS45" s="147">
        <v>2.1639830106035169E-2</v>
      </c>
      <c r="AT45" s="147">
        <v>1.1035935097480521E-3</v>
      </c>
      <c r="AU45" s="147">
        <v>3.0321599924195997E-4</v>
      </c>
      <c r="AV45" s="147">
        <v>4.1539699912766635E-4</v>
      </c>
      <c r="AW45" s="147">
        <v>0</v>
      </c>
      <c r="AX45" s="147">
        <v>9.6077813738383881E-4</v>
      </c>
      <c r="AY45" s="147">
        <v>9.5921395164830757E-4</v>
      </c>
      <c r="AZ45" s="147">
        <v>0</v>
      </c>
      <c r="BA45" s="147">
        <v>4.9604859979182755E-4</v>
      </c>
      <c r="BB45" s="147">
        <v>0</v>
      </c>
      <c r="BC45" s="147">
        <v>0</v>
      </c>
      <c r="BD45" s="147">
        <v>0</v>
      </c>
      <c r="BE45" s="147">
        <v>0</v>
      </c>
      <c r="BF45" s="147">
        <v>0</v>
      </c>
      <c r="BG45" s="147">
        <v>0</v>
      </c>
      <c r="BH45" s="147">
        <v>0</v>
      </c>
      <c r="BI45" s="147">
        <v>0</v>
      </c>
      <c r="BJ45" s="147">
        <v>0</v>
      </c>
      <c r="BK45" s="147">
        <v>0</v>
      </c>
      <c r="BL45" s="147">
        <v>0</v>
      </c>
      <c r="BM45" s="147">
        <v>0</v>
      </c>
      <c r="BN45" s="147">
        <v>0</v>
      </c>
      <c r="BO45" s="147">
        <v>0</v>
      </c>
      <c r="BP45" s="147">
        <v>0</v>
      </c>
      <c r="BQ45" s="147">
        <v>0</v>
      </c>
      <c r="BR45" s="147">
        <v>0</v>
      </c>
      <c r="BS45" s="147">
        <v>0</v>
      </c>
      <c r="BT45" s="147">
        <v>0</v>
      </c>
      <c r="BU45" s="147">
        <v>0</v>
      </c>
      <c r="BV45" s="147">
        <v>0</v>
      </c>
      <c r="BW45" s="147">
        <v>0</v>
      </c>
      <c r="BX45" s="147">
        <v>0</v>
      </c>
      <c r="BY45" s="147">
        <v>0</v>
      </c>
    </row>
    <row r="46" spans="1:77" x14ac:dyDescent="0.15">
      <c r="A46" s="182" t="s">
        <v>237</v>
      </c>
      <c r="B46" s="147">
        <v>5.4444000000000006E-2</v>
      </c>
      <c r="C46" s="147">
        <v>2.2914481859016837E-2</v>
      </c>
      <c r="D46" s="147">
        <v>7.8899499447703512E-4</v>
      </c>
      <c r="E46" s="147">
        <v>1.4802283670458874E-2</v>
      </c>
      <c r="F46" s="147">
        <v>9.7466689384985185E-3</v>
      </c>
      <c r="G46" s="147">
        <v>1.3920855798838078E-2</v>
      </c>
      <c r="H46" s="147">
        <v>1.1145570135975957E-2</v>
      </c>
      <c r="I46" s="147">
        <v>0</v>
      </c>
      <c r="J46" s="147">
        <v>3.8873806745776771E-2</v>
      </c>
      <c r="K46" s="147">
        <v>1.7475904912932168E-2</v>
      </c>
      <c r="L46" s="147">
        <v>0</v>
      </c>
      <c r="M46" s="147">
        <v>1.6534150278931115E-3</v>
      </c>
      <c r="N46" s="147">
        <v>7.8849071490247474E-3</v>
      </c>
      <c r="O46" s="147">
        <v>9.1582820082424538E-3</v>
      </c>
      <c r="P46" s="147">
        <v>0</v>
      </c>
      <c r="Q46" s="147">
        <v>1.0655477626105919E-2</v>
      </c>
      <c r="R46" s="147">
        <v>0</v>
      </c>
      <c r="S46" s="147">
        <v>1.3347896816794097E-2</v>
      </c>
      <c r="T46" s="147">
        <v>0</v>
      </c>
      <c r="U46" s="147">
        <v>2.390804343149424E-2</v>
      </c>
      <c r="V46" s="147">
        <v>1.752459459802792E-2</v>
      </c>
      <c r="W46" s="147">
        <v>2.627957447607315E-2</v>
      </c>
      <c r="X46" s="147">
        <v>1.9366204786186333E-2</v>
      </c>
      <c r="Y46" s="147">
        <v>0</v>
      </c>
      <c r="Z46" s="147">
        <v>0</v>
      </c>
      <c r="AA46" s="147">
        <v>0</v>
      </c>
      <c r="AB46" s="147">
        <v>0</v>
      </c>
      <c r="AC46" s="147">
        <v>0</v>
      </c>
      <c r="AD46" s="147">
        <v>0</v>
      </c>
      <c r="AE46" s="147">
        <v>0</v>
      </c>
      <c r="AF46" s="147">
        <v>0</v>
      </c>
      <c r="AG46" s="147">
        <v>0</v>
      </c>
      <c r="AH46" s="147">
        <v>0</v>
      </c>
      <c r="AI46" s="147">
        <v>0</v>
      </c>
      <c r="AJ46" s="147">
        <v>0</v>
      </c>
      <c r="AK46" s="147">
        <v>0</v>
      </c>
      <c r="AL46" s="147">
        <v>0</v>
      </c>
      <c r="AM46" s="147">
        <v>0</v>
      </c>
      <c r="AN46" s="147">
        <v>0</v>
      </c>
      <c r="AO46" s="147">
        <v>0</v>
      </c>
      <c r="AP46" s="147">
        <v>0</v>
      </c>
      <c r="AQ46" s="147">
        <v>0</v>
      </c>
      <c r="AR46" s="147">
        <v>0</v>
      </c>
      <c r="AS46" s="147">
        <v>2.2674232811103746E-2</v>
      </c>
      <c r="AT46" s="147">
        <v>3.0493782147466758E-2</v>
      </c>
      <c r="AU46" s="147">
        <v>1.4220909164447727E-2</v>
      </c>
      <c r="AV46" s="147">
        <v>2.516003324716393E-2</v>
      </c>
      <c r="AW46" s="147">
        <v>0</v>
      </c>
      <c r="AX46" s="147">
        <v>9.6077813738383881E-4</v>
      </c>
      <c r="AY46" s="147">
        <v>9.5921395164830757E-4</v>
      </c>
      <c r="AZ46" s="147">
        <v>0</v>
      </c>
      <c r="BA46" s="147">
        <v>0</v>
      </c>
      <c r="BB46" s="147">
        <v>0</v>
      </c>
      <c r="BC46" s="147">
        <v>0</v>
      </c>
      <c r="BD46" s="147">
        <v>0</v>
      </c>
      <c r="BE46" s="147">
        <v>0</v>
      </c>
      <c r="BF46" s="147">
        <v>0</v>
      </c>
      <c r="BG46" s="147">
        <v>0</v>
      </c>
      <c r="BH46" s="147">
        <v>0</v>
      </c>
      <c r="BI46" s="147">
        <v>0</v>
      </c>
      <c r="BJ46" s="147">
        <v>0</v>
      </c>
      <c r="BK46" s="147">
        <v>0</v>
      </c>
      <c r="BL46" s="147">
        <v>0</v>
      </c>
      <c r="BM46" s="147">
        <v>0</v>
      </c>
      <c r="BN46" s="147">
        <v>0</v>
      </c>
      <c r="BO46" s="147">
        <v>0</v>
      </c>
      <c r="BP46" s="147">
        <v>0</v>
      </c>
      <c r="BQ46" s="147">
        <v>0</v>
      </c>
      <c r="BR46" s="147">
        <v>0</v>
      </c>
      <c r="BS46" s="147">
        <v>0</v>
      </c>
      <c r="BT46" s="147">
        <v>0</v>
      </c>
      <c r="BU46" s="147">
        <v>0</v>
      </c>
      <c r="BV46" s="147">
        <v>0</v>
      </c>
      <c r="BW46" s="147">
        <v>0</v>
      </c>
      <c r="BX46" s="147">
        <v>0</v>
      </c>
      <c r="BY46" s="147">
        <v>0</v>
      </c>
    </row>
    <row r="47" spans="1:77" x14ac:dyDescent="0.15">
      <c r="A47" s="182" t="s">
        <v>238</v>
      </c>
      <c r="B47" s="147">
        <v>2.4548000000000004E-2</v>
      </c>
      <c r="C47" s="147">
        <v>1.9686056207968466E-2</v>
      </c>
      <c r="D47" s="147">
        <v>0</v>
      </c>
      <c r="E47" s="147">
        <v>1.2247610858298629E-2</v>
      </c>
      <c r="F47" s="147">
        <v>9.3431239410448862E-3</v>
      </c>
      <c r="G47" s="147">
        <v>1.254805748909121E-2</v>
      </c>
      <c r="H47" s="147">
        <v>9.3718871143370231E-3</v>
      </c>
      <c r="I47" s="147">
        <v>1.5047701510949699E-2</v>
      </c>
      <c r="J47" s="147">
        <v>1.8427155969101834E-2</v>
      </c>
      <c r="K47" s="147">
        <v>1.5837661911719869E-2</v>
      </c>
      <c r="L47" s="147">
        <v>8.5072628817490451E-3</v>
      </c>
      <c r="M47" s="147">
        <v>1.6271060274492784E-3</v>
      </c>
      <c r="N47" s="147">
        <v>8.156258764153293E-2</v>
      </c>
      <c r="O47" s="147">
        <v>1.3502605312152345E-2</v>
      </c>
      <c r="P47" s="147">
        <v>2.4982903827070888E-2</v>
      </c>
      <c r="Q47" s="147">
        <v>1.053866932581974E-2</v>
      </c>
      <c r="R47" s="147">
        <v>0</v>
      </c>
      <c r="S47" s="147">
        <v>1.2486803409259528E-2</v>
      </c>
      <c r="T47" s="147">
        <v>0</v>
      </c>
      <c r="U47" s="147">
        <v>4.9988030274934168E-2</v>
      </c>
      <c r="V47" s="147">
        <v>0</v>
      </c>
      <c r="W47" s="147">
        <v>2.8588397591542265E-2</v>
      </c>
      <c r="X47" s="147">
        <v>0</v>
      </c>
      <c r="Y47" s="147">
        <v>0</v>
      </c>
      <c r="Z47" s="147">
        <v>0</v>
      </c>
      <c r="AA47" s="147">
        <v>0</v>
      </c>
      <c r="AB47" s="147">
        <v>0</v>
      </c>
      <c r="AC47" s="147">
        <v>0</v>
      </c>
      <c r="AD47" s="147">
        <v>0</v>
      </c>
      <c r="AE47" s="147">
        <v>0</v>
      </c>
      <c r="AF47" s="147">
        <v>0</v>
      </c>
      <c r="AG47" s="147">
        <v>0</v>
      </c>
      <c r="AH47" s="147">
        <v>0</v>
      </c>
      <c r="AI47" s="147">
        <v>0</v>
      </c>
      <c r="AJ47" s="147">
        <v>5.7839300458665643E-4</v>
      </c>
      <c r="AK47" s="147">
        <v>0</v>
      </c>
      <c r="AL47" s="147">
        <v>0</v>
      </c>
      <c r="AM47" s="147">
        <v>0</v>
      </c>
      <c r="AN47" s="147">
        <v>2.3890282956997487E-2</v>
      </c>
      <c r="AO47" s="147">
        <v>3.2722389918194025E-2</v>
      </c>
      <c r="AP47" s="147">
        <v>2.774375898693944E-2</v>
      </c>
      <c r="AQ47" s="147">
        <v>0</v>
      </c>
      <c r="AR47" s="147">
        <v>0</v>
      </c>
      <c r="AS47" s="147">
        <v>0</v>
      </c>
      <c r="AT47" s="147">
        <v>0</v>
      </c>
      <c r="AU47" s="147">
        <v>2.4783592638041019E-2</v>
      </c>
      <c r="AV47" s="147">
        <v>2.452048994850697E-2</v>
      </c>
      <c r="AW47" s="147">
        <v>0</v>
      </c>
      <c r="AX47" s="147">
        <v>9.6077813738383881E-4</v>
      </c>
      <c r="AY47" s="147">
        <v>9.5921385166165515E-7</v>
      </c>
      <c r="AZ47" s="147">
        <v>0</v>
      </c>
      <c r="BA47" s="147">
        <v>0</v>
      </c>
      <c r="BB47" s="147">
        <v>1.6081159782904341E-3</v>
      </c>
      <c r="BC47" s="147">
        <v>0</v>
      </c>
      <c r="BD47" s="147">
        <v>0</v>
      </c>
      <c r="BE47" s="147">
        <v>0</v>
      </c>
      <c r="BF47" s="147">
        <v>0</v>
      </c>
      <c r="BG47" s="147">
        <v>0</v>
      </c>
      <c r="BH47" s="147">
        <v>0</v>
      </c>
      <c r="BI47" s="147">
        <v>0</v>
      </c>
      <c r="BJ47" s="147">
        <v>0</v>
      </c>
      <c r="BK47" s="147">
        <v>0</v>
      </c>
      <c r="BL47" s="147">
        <v>0</v>
      </c>
      <c r="BM47" s="147">
        <v>0</v>
      </c>
      <c r="BN47" s="147">
        <v>0</v>
      </c>
      <c r="BO47" s="147">
        <v>0</v>
      </c>
      <c r="BP47" s="147">
        <v>0</v>
      </c>
      <c r="BQ47" s="147">
        <v>0</v>
      </c>
      <c r="BR47" s="147">
        <v>0</v>
      </c>
      <c r="BS47" s="147">
        <v>0</v>
      </c>
      <c r="BT47" s="147">
        <v>0</v>
      </c>
      <c r="BU47" s="147">
        <v>0</v>
      </c>
      <c r="BV47" s="147">
        <v>0</v>
      </c>
      <c r="BW47" s="147">
        <v>0</v>
      </c>
      <c r="BX47" s="147">
        <v>0</v>
      </c>
      <c r="BY47" s="147">
        <v>0</v>
      </c>
    </row>
    <row r="48" spans="1:77" x14ac:dyDescent="0.15">
      <c r="A48" s="182" t="s">
        <v>239</v>
      </c>
      <c r="B48" s="147">
        <v>1.0928000000000002E-2</v>
      </c>
      <c r="C48" s="147">
        <v>1.1424391432985423E-2</v>
      </c>
      <c r="D48" s="147">
        <v>1.9048916066657588E-2</v>
      </c>
      <c r="E48" s="147">
        <v>2.1101640100443811E-2</v>
      </c>
      <c r="F48" s="147">
        <v>1.0052462036568963E-2</v>
      </c>
      <c r="G48" s="147">
        <v>2.3603914467587798E-2</v>
      </c>
      <c r="H48" s="147">
        <v>1.478374018036163E-2</v>
      </c>
      <c r="I48" s="147">
        <v>7.3314047617293451E-3</v>
      </c>
      <c r="J48" s="147">
        <v>3.4390445928964175E-2</v>
      </c>
      <c r="K48" s="147">
        <v>1.7200984112728728E-2</v>
      </c>
      <c r="L48" s="147">
        <v>6.2183109135654779E-3</v>
      </c>
      <c r="M48" s="147">
        <v>1.6947270285900449E-3</v>
      </c>
      <c r="N48" s="147">
        <v>1.8547296850543914E-2</v>
      </c>
      <c r="O48" s="147">
        <v>1.1975020010777517E-2</v>
      </c>
      <c r="P48" s="147">
        <v>0</v>
      </c>
      <c r="Q48" s="147">
        <v>1.6626816240735698E-2</v>
      </c>
      <c r="R48" s="147">
        <v>2.7631465438157327E-2</v>
      </c>
      <c r="S48" s="147">
        <v>2.3006756101309114E-2</v>
      </c>
      <c r="T48" s="147">
        <v>1.4615283454922004E-2</v>
      </c>
      <c r="U48" s="147">
        <v>2.4079635832437999E-2</v>
      </c>
      <c r="V48" s="147">
        <v>0</v>
      </c>
      <c r="W48" s="147">
        <v>1.383187009267353E-2</v>
      </c>
      <c r="X48" s="147">
        <v>1.5879697641681125E-3</v>
      </c>
      <c r="Y48" s="147">
        <v>7.3093339773410643E-3</v>
      </c>
      <c r="Z48" s="147">
        <v>2.9784431881685027E-2</v>
      </c>
      <c r="AA48" s="147">
        <v>3.244092355360606E-2</v>
      </c>
      <c r="AB48" s="147">
        <v>0</v>
      </c>
      <c r="AC48" s="147">
        <v>5.8748730240869795E-2</v>
      </c>
      <c r="AD48" s="147">
        <v>1.9370621088377626E-2</v>
      </c>
      <c r="AE48" s="147">
        <v>0</v>
      </c>
      <c r="AF48" s="147">
        <v>0</v>
      </c>
      <c r="AG48" s="147">
        <v>1.4483938279540009E-2</v>
      </c>
      <c r="AH48" s="147">
        <v>2.4039950177895637E-2</v>
      </c>
      <c r="AI48" s="147">
        <v>5.186281082461869E-3</v>
      </c>
      <c r="AJ48" s="147">
        <v>5.4885300435240426E-4</v>
      </c>
      <c r="AK48" s="147">
        <v>0</v>
      </c>
      <c r="AL48" s="147">
        <v>5.3212832758534105E-2</v>
      </c>
      <c r="AM48" s="147">
        <v>3.3828787286878645E-2</v>
      </c>
      <c r="AN48" s="147">
        <v>5.1950749906488639E-2</v>
      </c>
      <c r="AO48" s="147">
        <v>2.0852597347868505E-2</v>
      </c>
      <c r="AP48" s="147">
        <v>0</v>
      </c>
      <c r="AQ48" s="147">
        <v>2.7983652564903269E-3</v>
      </c>
      <c r="AR48" s="147">
        <v>5.0981409888370237E-3</v>
      </c>
      <c r="AS48" s="147">
        <v>1.3317910065257762E-2</v>
      </c>
      <c r="AT48" s="147">
        <v>1.0667557930827255E-3</v>
      </c>
      <c r="AU48" s="147">
        <v>9.9457389751356536E-3</v>
      </c>
      <c r="AV48" s="147">
        <v>1.6106124966177138E-2</v>
      </c>
      <c r="AW48" s="147">
        <v>1.0277356997944529E-2</v>
      </c>
      <c r="AX48" s="147">
        <v>9.6077813738383881E-4</v>
      </c>
      <c r="AY48" s="147">
        <v>9.5921385166165515E-7</v>
      </c>
      <c r="AZ48" s="147">
        <v>3.9460000510234535E-3</v>
      </c>
      <c r="BA48" s="147">
        <v>8.2864622252319226E-6</v>
      </c>
      <c r="BB48" s="147">
        <v>5.501810925725552E-3</v>
      </c>
      <c r="BC48" s="147">
        <v>0</v>
      </c>
      <c r="BD48" s="147">
        <v>0</v>
      </c>
      <c r="BE48" s="147">
        <v>0</v>
      </c>
      <c r="BF48" s="147">
        <v>0</v>
      </c>
      <c r="BG48" s="147">
        <v>0</v>
      </c>
      <c r="BH48" s="147">
        <v>0</v>
      </c>
      <c r="BI48" s="147">
        <v>1.4064338370782004E-6</v>
      </c>
      <c r="BJ48" s="147">
        <v>0</v>
      </c>
      <c r="BK48" s="147">
        <v>0</v>
      </c>
      <c r="BL48" s="147">
        <v>0</v>
      </c>
      <c r="BM48" s="147">
        <v>0</v>
      </c>
      <c r="BN48" s="147">
        <v>0</v>
      </c>
      <c r="BO48" s="147">
        <v>0</v>
      </c>
      <c r="BP48" s="147">
        <v>0</v>
      </c>
      <c r="BQ48" s="147">
        <v>0</v>
      </c>
      <c r="BR48" s="147">
        <v>0</v>
      </c>
      <c r="BS48" s="147">
        <v>0</v>
      </c>
      <c r="BT48" s="147">
        <v>0</v>
      </c>
      <c r="BU48" s="147">
        <v>0</v>
      </c>
      <c r="BV48" s="147">
        <v>0</v>
      </c>
      <c r="BW48" s="147">
        <v>0</v>
      </c>
      <c r="BX48" s="147">
        <v>0</v>
      </c>
      <c r="BY48" s="147">
        <v>0</v>
      </c>
    </row>
    <row r="49" spans="1:77" x14ac:dyDescent="0.15">
      <c r="A49" s="182" t="s">
        <v>240</v>
      </c>
      <c r="B49" s="147">
        <v>0</v>
      </c>
      <c r="C49" s="147">
        <v>0</v>
      </c>
      <c r="D49" s="147">
        <v>0</v>
      </c>
      <c r="E49" s="147">
        <v>1.2028939157257753E-2</v>
      </c>
      <c r="F49" s="147">
        <v>9.6088499393681571E-3</v>
      </c>
      <c r="G49" s="147">
        <v>1.2763487290620761E-2</v>
      </c>
      <c r="H49" s="147">
        <v>1.3731188267520497E-2</v>
      </c>
      <c r="I49" s="147">
        <v>5.6085958177206361E-3</v>
      </c>
      <c r="J49" s="147">
        <v>1.8446238769173395E-2</v>
      </c>
      <c r="K49" s="147">
        <v>1.5850808511729597E-2</v>
      </c>
      <c r="L49" s="147">
        <v>5.9856819167990209E-3</v>
      </c>
      <c r="M49" s="147">
        <v>1.6216300273568984E-3</v>
      </c>
      <c r="N49" s="147">
        <v>7.4316191404576043E-3</v>
      </c>
      <c r="O49" s="147">
        <v>9.0434340081390896E-3</v>
      </c>
      <c r="P49" s="147">
        <v>2.9162884531988405E-2</v>
      </c>
      <c r="Q49" s="147">
        <v>1.0357721725376417E-2</v>
      </c>
      <c r="R49" s="147">
        <v>0</v>
      </c>
      <c r="S49" s="147">
        <v>0</v>
      </c>
      <c r="T49" s="147">
        <v>0</v>
      </c>
      <c r="U49" s="147">
        <v>1.7296917795133048E-2</v>
      </c>
      <c r="V49" s="147">
        <v>0</v>
      </c>
      <c r="W49" s="147">
        <v>0</v>
      </c>
      <c r="X49" s="147">
        <v>0</v>
      </c>
      <c r="Y49" s="147">
        <v>0</v>
      </c>
      <c r="Z49" s="147">
        <v>0</v>
      </c>
      <c r="AA49" s="147">
        <v>0</v>
      </c>
      <c r="AB49" s="147">
        <v>0</v>
      </c>
      <c r="AC49" s="147">
        <v>0</v>
      </c>
      <c r="AD49" s="147">
        <v>4.1189639975286211E-3</v>
      </c>
      <c r="AE49" s="147">
        <v>0</v>
      </c>
      <c r="AF49" s="147">
        <v>0</v>
      </c>
      <c r="AG49" s="147">
        <v>0</v>
      </c>
      <c r="AH49" s="147">
        <v>0</v>
      </c>
      <c r="AI49" s="147">
        <v>0</v>
      </c>
      <c r="AJ49" s="147">
        <v>5.3954300427857594E-4</v>
      </c>
      <c r="AK49" s="147">
        <v>3.7582264176073757E-2</v>
      </c>
      <c r="AL49" s="147">
        <v>2.251613002476774E-3</v>
      </c>
      <c r="AM49" s="147">
        <v>2.7560787126367045E-2</v>
      </c>
      <c r="AN49" s="147">
        <v>2.3935279956916491E-2</v>
      </c>
      <c r="AO49" s="147">
        <v>3.2942783017643043E-2</v>
      </c>
      <c r="AP49" s="147">
        <v>0</v>
      </c>
      <c r="AQ49" s="147">
        <v>0</v>
      </c>
      <c r="AR49" s="147">
        <v>0</v>
      </c>
      <c r="AS49" s="147">
        <v>0</v>
      </c>
      <c r="AT49" s="147">
        <v>0</v>
      </c>
      <c r="AU49" s="147">
        <v>1.3602957065992608E-2</v>
      </c>
      <c r="AV49" s="147">
        <v>2.4370122648822743E-2</v>
      </c>
      <c r="AW49" s="147">
        <v>2.7971111194405776E-2</v>
      </c>
      <c r="AX49" s="147">
        <v>0</v>
      </c>
      <c r="AY49" s="147">
        <v>0</v>
      </c>
      <c r="AZ49" s="147">
        <v>0</v>
      </c>
      <c r="BA49" s="147">
        <v>0</v>
      </c>
      <c r="BB49" s="147">
        <v>1.4890469798978659E-3</v>
      </c>
      <c r="BC49" s="147">
        <v>0</v>
      </c>
      <c r="BD49" s="147">
        <v>0</v>
      </c>
      <c r="BE49" s="147">
        <v>0</v>
      </c>
      <c r="BF49" s="147">
        <v>0</v>
      </c>
      <c r="BG49" s="147">
        <v>0</v>
      </c>
      <c r="BH49" s="147">
        <v>0</v>
      </c>
      <c r="BI49" s="147">
        <v>0</v>
      </c>
      <c r="BJ49" s="147">
        <v>0</v>
      </c>
      <c r="BK49" s="147">
        <v>0</v>
      </c>
      <c r="BL49" s="147">
        <v>0</v>
      </c>
      <c r="BM49" s="147">
        <v>0</v>
      </c>
      <c r="BN49" s="147">
        <v>0</v>
      </c>
      <c r="BO49" s="147">
        <v>0</v>
      </c>
      <c r="BP49" s="147">
        <v>0</v>
      </c>
      <c r="BQ49" s="147">
        <v>0</v>
      </c>
      <c r="BR49" s="147">
        <v>0</v>
      </c>
      <c r="BS49" s="147">
        <v>0</v>
      </c>
      <c r="BT49" s="147">
        <v>0</v>
      </c>
      <c r="BU49" s="147">
        <v>0</v>
      </c>
      <c r="BV49" s="147">
        <v>0</v>
      </c>
      <c r="BW49" s="147">
        <v>0</v>
      </c>
      <c r="BX49" s="147">
        <v>0</v>
      </c>
      <c r="BY49" s="147">
        <v>0</v>
      </c>
    </row>
    <row r="50" spans="1:77" x14ac:dyDescent="0.15">
      <c r="A50" s="182" t="s">
        <v>241</v>
      </c>
      <c r="B50" s="147">
        <v>3.3775000000000006E-2</v>
      </c>
      <c r="C50" s="147">
        <v>5.0690507209550865E-2</v>
      </c>
      <c r="D50" s="147">
        <v>1.9436785863942502E-2</v>
      </c>
      <c r="E50" s="147">
        <v>0.11251411653556721</v>
      </c>
      <c r="F50" s="147">
        <v>3.0461381907788677E-2</v>
      </c>
      <c r="G50" s="147">
        <v>2.6374496687258931E-2</v>
      </c>
      <c r="H50" s="147">
        <v>3.5103160428258562E-2</v>
      </c>
      <c r="I50" s="147">
        <v>6.2105547981569694E-3</v>
      </c>
      <c r="J50" s="147">
        <v>8.3510900313165867E-2</v>
      </c>
      <c r="K50" s="147">
        <v>1.8468916413666998E-2</v>
      </c>
      <c r="L50" s="147">
        <v>1.2666921923929784E-2</v>
      </c>
      <c r="M50" s="147">
        <v>3.2469090547753558E-3</v>
      </c>
      <c r="N50" s="147">
        <v>1.6484938911565349E-2</v>
      </c>
      <c r="O50" s="147">
        <v>2.427559002184803E-2</v>
      </c>
      <c r="P50" s="147">
        <v>1.1098448478571056E-2</v>
      </c>
      <c r="Q50" s="147">
        <v>3.576591008762648E-2</v>
      </c>
      <c r="R50" s="147">
        <v>5.6450423182252116E-2</v>
      </c>
      <c r="S50" s="147">
        <v>3.2032724780286341E-2</v>
      </c>
      <c r="T50" s="147">
        <v>1.8071884491561975E-2</v>
      </c>
      <c r="U50" s="147">
        <v>5.4067816897372993E-2</v>
      </c>
      <c r="V50" s="147">
        <v>2.4108236972423081E-2</v>
      </c>
      <c r="W50" s="147">
        <v>2.6284771176107967E-2</v>
      </c>
      <c r="X50" s="147">
        <v>3.3676085823353075E-2</v>
      </c>
      <c r="Y50" s="147">
        <v>7.0098389782694989E-2</v>
      </c>
      <c r="Z50" s="147">
        <v>3.9735110242384165E-2</v>
      </c>
      <c r="AA50" s="147">
        <v>5.8819190641129164E-2</v>
      </c>
      <c r="AB50" s="147">
        <v>0.15643128886037208</v>
      </c>
      <c r="AC50" s="147">
        <v>0.10364408842494076</v>
      </c>
      <c r="AD50" s="147">
        <v>0.16627508390023493</v>
      </c>
      <c r="AE50" s="147">
        <v>3.2093126534279821E-2</v>
      </c>
      <c r="AF50" s="147">
        <v>5.2534006347651381E-2</v>
      </c>
      <c r="AG50" s="147">
        <v>0.26791950517084645</v>
      </c>
      <c r="AH50" s="147">
        <v>3.3787492950027448E-2</v>
      </c>
      <c r="AI50" s="147">
        <v>7.2891761158978986E-3</v>
      </c>
      <c r="AJ50" s="147">
        <v>9.2912450736795729E-3</v>
      </c>
      <c r="AK50" s="147">
        <v>6.8318901410785324E-2</v>
      </c>
      <c r="AL50" s="147">
        <v>5.656347006221981E-2</v>
      </c>
      <c r="AM50" s="147">
        <v>8.4956159464776207E-2</v>
      </c>
      <c r="AN50" s="147">
        <v>5.7840609895886894E-2</v>
      </c>
      <c r="AO50" s="147">
        <v>5.9063855452340365E-2</v>
      </c>
      <c r="AP50" s="147">
        <v>0</v>
      </c>
      <c r="AQ50" s="147">
        <v>4.9450917581314861E-2</v>
      </c>
      <c r="AR50" s="147">
        <v>5.6748318635034656E-2</v>
      </c>
      <c r="AS50" s="147">
        <v>2.3532608615309786E-2</v>
      </c>
      <c r="AT50" s="147">
        <v>3.3064354517980919E-2</v>
      </c>
      <c r="AU50" s="147">
        <v>1.9686721250783197E-2</v>
      </c>
      <c r="AV50" s="147">
        <v>2.7960449941283057E-2</v>
      </c>
      <c r="AW50" s="147">
        <v>4.5863896590827222E-2</v>
      </c>
      <c r="AX50" s="147">
        <v>9.6077813738383881E-4</v>
      </c>
      <c r="AY50" s="147">
        <v>9.5921395164830757E-4</v>
      </c>
      <c r="AZ50" s="147">
        <v>3.9504792788183793E-2</v>
      </c>
      <c r="BA50" s="147">
        <v>8.286462225231923E-4</v>
      </c>
      <c r="BB50" s="147">
        <v>7.7326448956092936E-3</v>
      </c>
      <c r="BC50" s="147">
        <v>0</v>
      </c>
      <c r="BD50" s="147">
        <v>0</v>
      </c>
      <c r="BE50" s="147">
        <v>0</v>
      </c>
      <c r="BF50" s="147">
        <v>0</v>
      </c>
      <c r="BG50" s="147">
        <v>0</v>
      </c>
      <c r="BH50" s="147">
        <v>0</v>
      </c>
      <c r="BI50" s="147">
        <v>1.4064338370782003E-3</v>
      </c>
      <c r="BJ50" s="147">
        <v>0</v>
      </c>
      <c r="BK50" s="147">
        <v>0</v>
      </c>
      <c r="BL50" s="147">
        <v>0</v>
      </c>
      <c r="BM50" s="147">
        <v>0</v>
      </c>
      <c r="BN50" s="147">
        <v>5.1607499741962502E-4</v>
      </c>
      <c r="BO50" s="147">
        <v>0</v>
      </c>
      <c r="BP50" s="147">
        <v>5.4211296964167368E-4</v>
      </c>
      <c r="BQ50" s="147">
        <v>0</v>
      </c>
      <c r="BR50" s="147">
        <v>0</v>
      </c>
      <c r="BS50" s="147">
        <v>0</v>
      </c>
      <c r="BT50" s="147">
        <v>0</v>
      </c>
      <c r="BU50" s="147">
        <v>0</v>
      </c>
      <c r="BV50" s="147">
        <v>0</v>
      </c>
      <c r="BW50" s="147">
        <v>0</v>
      </c>
      <c r="BX50" s="147">
        <v>0</v>
      </c>
      <c r="BY50" s="147">
        <v>0</v>
      </c>
    </row>
    <row r="51" spans="1:77" x14ac:dyDescent="0.15">
      <c r="A51" s="182" t="s">
        <v>242</v>
      </c>
      <c r="B51" s="147">
        <v>7.8133000000000008E-2</v>
      </c>
      <c r="C51" s="147">
        <v>5.9538419991349484E-2</v>
      </c>
      <c r="D51" s="147">
        <v>2.1124966252125239E-2</v>
      </c>
      <c r="E51" s="147">
        <v>3.785773758020284E-2</v>
      </c>
      <c r="F51" s="147">
        <v>2.3538624751471275E-2</v>
      </c>
      <c r="G51" s="147">
        <v>5.3846564482310615E-2</v>
      </c>
      <c r="H51" s="147">
        <v>2.5584060312125536E-2</v>
      </c>
      <c r="I51" s="147">
        <v>9.2578256991206649E-3</v>
      </c>
      <c r="J51" s="147">
        <v>8.3834460314379231E-2</v>
      </c>
      <c r="K51" s="147">
        <v>4.5713122933827711E-2</v>
      </c>
      <c r="L51" s="147">
        <v>1.1889231234739686E-2</v>
      </c>
      <c r="M51" s="147">
        <v>3.7887550639162976E-3</v>
      </c>
      <c r="N51" s="147">
        <v>1.5612324995072945E-2</v>
      </c>
      <c r="O51" s="147">
        <v>1.6535865114882281E-2</v>
      </c>
      <c r="P51" s="147">
        <v>1.9941190500523884E-2</v>
      </c>
      <c r="Q51" s="147">
        <v>5.6202580137696322E-2</v>
      </c>
      <c r="R51" s="147">
        <v>4.7358192736790962E-2</v>
      </c>
      <c r="S51" s="147">
        <v>7.2329976332887277E-2</v>
      </c>
      <c r="T51" s="147">
        <v>9.5544361012770224E-2</v>
      </c>
      <c r="U51" s="147">
        <v>7.1877310395325203E-2</v>
      </c>
      <c r="V51" s="147">
        <v>4.5595340515227345E-2</v>
      </c>
      <c r="W51" s="147">
        <v>8.8507675193001428E-2</v>
      </c>
      <c r="X51" s="147">
        <v>6.0121333442077908E-2</v>
      </c>
      <c r="Y51" s="147">
        <v>5.4196499831990853E-2</v>
      </c>
      <c r="Z51" s="147">
        <v>5.900150575990918E-2</v>
      </c>
      <c r="AA51" s="147">
        <v>5.8159392933937369E-2</v>
      </c>
      <c r="AB51" s="147">
        <v>1.0391454257153E-2</v>
      </c>
      <c r="AC51" s="147">
        <v>1.872720767678155E-2</v>
      </c>
      <c r="AD51" s="147">
        <v>7.4183255355490044E-2</v>
      </c>
      <c r="AE51" s="147">
        <v>6.1630167549900222E-2</v>
      </c>
      <c r="AF51" s="147">
        <v>0.10088388570743674</v>
      </c>
      <c r="AG51" s="147">
        <v>3.9092220754479858E-2</v>
      </c>
      <c r="AH51" s="147">
        <v>6.4883950480141242E-2</v>
      </c>
      <c r="AI51" s="147">
        <v>1.3997799022565004E-2</v>
      </c>
      <c r="AJ51" s="147">
        <v>1.6217940128608267E-2</v>
      </c>
      <c r="AK51" s="147">
        <v>4.5539216140384815E-2</v>
      </c>
      <c r="AL51" s="147">
        <v>6.9175040076092528E-2</v>
      </c>
      <c r="AM51" s="147">
        <v>7.5811819522385554E-2</v>
      </c>
      <c r="AN51" s="147">
        <v>5.1073559908067584E-2</v>
      </c>
      <c r="AO51" s="147">
        <v>4.2011473194971317E-2</v>
      </c>
      <c r="AP51" s="147">
        <v>6.1430918397518332E-2</v>
      </c>
      <c r="AQ51" s="147">
        <v>4.7014690766426386E-2</v>
      </c>
      <c r="AR51" s="147">
        <v>7.7594083707926212E-2</v>
      </c>
      <c r="AS51" s="147">
        <v>6.600951032344661E-2</v>
      </c>
      <c r="AT51" s="147">
        <v>4.2561933363250204E-2</v>
      </c>
      <c r="AU51" s="147">
        <v>2.8492771028768075E-2</v>
      </c>
      <c r="AV51" s="147">
        <v>7.235782984804856E-2</v>
      </c>
      <c r="AW51" s="147">
        <v>8.6925209982614965E-2</v>
      </c>
      <c r="AX51" s="147">
        <v>9.6077813738383881E-4</v>
      </c>
      <c r="AY51" s="147">
        <v>9.5921395164830757E-4</v>
      </c>
      <c r="AZ51" s="147">
        <v>4.8848941463360697E-2</v>
      </c>
      <c r="BA51" s="147">
        <v>8.286462225231923E-4</v>
      </c>
      <c r="BB51" s="147">
        <v>8.6541614231688199E-2</v>
      </c>
      <c r="BC51" s="147">
        <v>0</v>
      </c>
      <c r="BD51" s="147">
        <v>1.1803369931540457E-3</v>
      </c>
      <c r="BE51" s="147">
        <v>0</v>
      </c>
      <c r="BF51" s="147">
        <v>0</v>
      </c>
      <c r="BG51" s="147">
        <v>0</v>
      </c>
      <c r="BH51" s="147">
        <v>0</v>
      </c>
      <c r="BI51" s="147">
        <v>1.4064338370782003E-3</v>
      </c>
      <c r="BJ51" s="147">
        <v>0</v>
      </c>
      <c r="BK51" s="147">
        <v>0</v>
      </c>
      <c r="BL51" s="147">
        <v>0</v>
      </c>
      <c r="BM51" s="147">
        <v>0</v>
      </c>
      <c r="BN51" s="147">
        <v>3.6291099818544503E-4</v>
      </c>
      <c r="BO51" s="147">
        <v>0</v>
      </c>
      <c r="BP51" s="147">
        <v>0</v>
      </c>
      <c r="BQ51" s="147">
        <v>0</v>
      </c>
      <c r="BR51" s="147">
        <v>0</v>
      </c>
      <c r="BS51" s="147">
        <v>0</v>
      </c>
      <c r="BT51" s="147">
        <v>0</v>
      </c>
      <c r="BU51" s="147">
        <v>0</v>
      </c>
      <c r="BV51" s="147">
        <v>0</v>
      </c>
      <c r="BW51" s="147">
        <v>0</v>
      </c>
      <c r="BX51" s="147">
        <v>0</v>
      </c>
      <c r="BY51" s="147">
        <v>0</v>
      </c>
    </row>
    <row r="52" spans="1:77" x14ac:dyDescent="0.15">
      <c r="A52" s="182" t="s">
        <v>243</v>
      </c>
      <c r="B52" s="147">
        <v>2.2164000000000003E-2</v>
      </c>
      <c r="C52" s="147">
        <v>0</v>
      </c>
      <c r="D52" s="147">
        <v>0</v>
      </c>
      <c r="E52" s="147">
        <v>5.6535100269107085E-4</v>
      </c>
      <c r="F52" s="147">
        <v>0</v>
      </c>
      <c r="G52" s="147">
        <v>0</v>
      </c>
      <c r="H52" s="147">
        <v>3.5354200431321242E-4</v>
      </c>
      <c r="I52" s="147">
        <v>0</v>
      </c>
      <c r="J52" s="147">
        <v>1.8623260069837225E-2</v>
      </c>
      <c r="K52" s="147">
        <v>0</v>
      </c>
      <c r="L52" s="147">
        <v>0</v>
      </c>
      <c r="M52" s="147">
        <v>0</v>
      </c>
      <c r="N52" s="147">
        <v>0</v>
      </c>
      <c r="O52" s="147">
        <v>0</v>
      </c>
      <c r="P52" s="147">
        <v>0</v>
      </c>
      <c r="Q52" s="147">
        <v>1.0952588226833841E-2</v>
      </c>
      <c r="R52" s="147">
        <v>0</v>
      </c>
      <c r="S52" s="147">
        <v>0</v>
      </c>
      <c r="T52" s="147">
        <v>0</v>
      </c>
      <c r="U52" s="147">
        <v>0</v>
      </c>
      <c r="V52" s="147">
        <v>0</v>
      </c>
      <c r="W52" s="147">
        <v>0</v>
      </c>
      <c r="X52" s="147">
        <v>0</v>
      </c>
      <c r="Y52" s="147">
        <v>0</v>
      </c>
      <c r="Z52" s="147">
        <v>0</v>
      </c>
      <c r="AA52" s="147">
        <v>0</v>
      </c>
      <c r="AB52" s="147">
        <v>0</v>
      </c>
      <c r="AC52" s="147">
        <v>0</v>
      </c>
      <c r="AD52" s="147">
        <v>0</v>
      </c>
      <c r="AE52" s="147">
        <v>0</v>
      </c>
      <c r="AF52" s="147">
        <v>0</v>
      </c>
      <c r="AG52" s="147">
        <v>0</v>
      </c>
      <c r="AH52" s="147">
        <v>0</v>
      </c>
      <c r="AI52" s="147">
        <v>0</v>
      </c>
      <c r="AJ52" s="147">
        <v>0</v>
      </c>
      <c r="AK52" s="147">
        <v>0</v>
      </c>
      <c r="AL52" s="147">
        <v>0</v>
      </c>
      <c r="AM52" s="147">
        <v>0</v>
      </c>
      <c r="AN52" s="147">
        <v>0</v>
      </c>
      <c r="AO52" s="147">
        <v>0</v>
      </c>
      <c r="AP52" s="147">
        <v>0</v>
      </c>
      <c r="AQ52" s="147">
        <v>0</v>
      </c>
      <c r="AR52" s="147">
        <v>0</v>
      </c>
      <c r="AS52" s="147">
        <v>2.2097090108275746E-2</v>
      </c>
      <c r="AT52" s="147">
        <v>0</v>
      </c>
      <c r="AU52" s="147">
        <v>0</v>
      </c>
      <c r="AV52" s="147">
        <v>0</v>
      </c>
      <c r="AW52" s="147">
        <v>0</v>
      </c>
      <c r="AX52" s="147">
        <v>0</v>
      </c>
      <c r="AY52" s="147">
        <v>0</v>
      </c>
      <c r="AZ52" s="147">
        <v>0</v>
      </c>
      <c r="BA52" s="147">
        <v>0</v>
      </c>
      <c r="BB52" s="147">
        <v>0</v>
      </c>
      <c r="BC52" s="147">
        <v>0</v>
      </c>
      <c r="BD52" s="147">
        <v>0</v>
      </c>
      <c r="BE52" s="147">
        <v>0</v>
      </c>
      <c r="BF52" s="147">
        <v>0</v>
      </c>
      <c r="BG52" s="147">
        <v>0</v>
      </c>
      <c r="BH52" s="147">
        <v>0</v>
      </c>
      <c r="BI52" s="147">
        <v>0</v>
      </c>
      <c r="BJ52" s="147">
        <v>0</v>
      </c>
      <c r="BK52" s="147">
        <v>0</v>
      </c>
      <c r="BL52" s="147">
        <v>0</v>
      </c>
      <c r="BM52" s="147">
        <v>0</v>
      </c>
      <c r="BN52" s="147">
        <v>0</v>
      </c>
      <c r="BO52" s="147">
        <v>0</v>
      </c>
      <c r="BP52" s="147">
        <v>0</v>
      </c>
      <c r="BQ52" s="147">
        <v>0</v>
      </c>
      <c r="BR52" s="147">
        <v>0</v>
      </c>
      <c r="BS52" s="147">
        <v>0</v>
      </c>
      <c r="BT52" s="147">
        <v>0</v>
      </c>
      <c r="BU52" s="147">
        <v>0</v>
      </c>
      <c r="BV52" s="147">
        <v>0</v>
      </c>
      <c r="BW52" s="147">
        <v>0</v>
      </c>
      <c r="BX52" s="147">
        <v>0</v>
      </c>
      <c r="BY52" s="147">
        <v>0</v>
      </c>
    </row>
    <row r="53" spans="1:77" x14ac:dyDescent="0.15">
      <c r="A53" s="182" t="s">
        <v>244</v>
      </c>
      <c r="B53" s="147">
        <v>0.15967100000000004</v>
      </c>
      <c r="C53" s="147">
        <v>8.2619084667969744E-2</v>
      </c>
      <c r="D53" s="147">
        <v>3.9519299723364903E-2</v>
      </c>
      <c r="E53" s="147">
        <v>2.2369275006477753E-2</v>
      </c>
      <c r="F53" s="147">
        <v>1.4593323607916127E-2</v>
      </c>
      <c r="G53" s="147">
        <v>6.6840550474567911E-2</v>
      </c>
      <c r="H53" s="147">
        <v>2.1376107160788509E-2</v>
      </c>
      <c r="I53" s="147">
        <v>1.1825997915655067E-2</v>
      </c>
      <c r="J53" s="147">
        <v>5.9709023923908838E-2</v>
      </c>
      <c r="K53" s="147">
        <v>2.4686683018268145E-2</v>
      </c>
      <c r="L53" s="147">
        <v>7.8658178906651308E-3</v>
      </c>
      <c r="M53" s="147">
        <v>2.2607505681388619E-2</v>
      </c>
      <c r="N53" s="147">
        <v>9.839944185974947E-3</v>
      </c>
      <c r="O53" s="147">
        <v>1.8211742916390571E-2</v>
      </c>
      <c r="P53" s="147">
        <v>1.7479800438742994E-2</v>
      </c>
      <c r="Q53" s="147">
        <v>2.3001560056353822E-2</v>
      </c>
      <c r="R53" s="147">
        <v>4.2740736413703677E-2</v>
      </c>
      <c r="S53" s="147">
        <v>9.7820360855928143E-2</v>
      </c>
      <c r="T53" s="147">
        <v>3.4635726767138698E-2</v>
      </c>
      <c r="U53" s="147">
        <v>3.6421230200316762E-2</v>
      </c>
      <c r="V53" s="147">
        <v>3.9864190450465353E-2</v>
      </c>
      <c r="W53" s="147">
        <v>6.7708020453643727E-2</v>
      </c>
      <c r="X53" s="147">
        <v>4.0953311965926609E-2</v>
      </c>
      <c r="Y53" s="147">
        <v>7.1544359778212482E-2</v>
      </c>
      <c r="Z53" s="147">
        <v>0.33284655403036395</v>
      </c>
      <c r="AA53" s="147">
        <v>4.174561045502715E-2</v>
      </c>
      <c r="AB53" s="147">
        <v>9.8216000540187996E-3</v>
      </c>
      <c r="AC53" s="147">
        <v>1.7700232672570954E-2</v>
      </c>
      <c r="AD53" s="147">
        <v>5.8823507264705893E-2</v>
      </c>
      <c r="AE53" s="147">
        <v>5.8250450425228285E-2</v>
      </c>
      <c r="AF53" s="147">
        <v>9.5351549723480492E-2</v>
      </c>
      <c r="AG53" s="147">
        <v>3.6948454313105172E-2</v>
      </c>
      <c r="AH53" s="147">
        <v>6.1325796353810906E-2</v>
      </c>
      <c r="AI53" s="147">
        <v>1.3230177810359825E-2</v>
      </c>
      <c r="AJ53" s="147">
        <v>1.2364376398049505E-2</v>
      </c>
      <c r="AK53" s="147">
        <v>4.3041904388815326E-2</v>
      </c>
      <c r="AL53" s="147">
        <v>6.5777720072355481E-2</v>
      </c>
      <c r="AM53" s="147">
        <v>4.6790479705219989E-2</v>
      </c>
      <c r="AN53" s="147">
        <v>5.4548338001812989E-2</v>
      </c>
      <c r="AO53" s="147">
        <v>0.10391744974020638</v>
      </c>
      <c r="AP53" s="147">
        <v>6.8191128860365338E-2</v>
      </c>
      <c r="AQ53" s="147">
        <v>7.5777535759771864E-2</v>
      </c>
      <c r="AR53" s="147">
        <v>5.3289072326703997E-2</v>
      </c>
      <c r="AS53" s="147">
        <v>5.0150726245738568E-2</v>
      </c>
      <c r="AT53" s="147">
        <v>4.9745524203589853E-2</v>
      </c>
      <c r="AU53" s="147">
        <v>3.939345470151636E-2</v>
      </c>
      <c r="AV53" s="147">
        <v>6.7869549857473954E-2</v>
      </c>
      <c r="AW53" s="147">
        <v>6.0208681987958264E-2</v>
      </c>
      <c r="AX53" s="147">
        <v>9.6077813738383881E-4</v>
      </c>
      <c r="AY53" s="147">
        <v>9.5921395164830757E-4</v>
      </c>
      <c r="AZ53" s="147">
        <v>6.6206302952658724E-2</v>
      </c>
      <c r="BA53" s="147">
        <v>8.286462225231923E-4</v>
      </c>
      <c r="BB53" s="147">
        <v>1.4035091510526265E-2</v>
      </c>
      <c r="BC53" s="147">
        <v>5.4107658593200873E-2</v>
      </c>
      <c r="BD53" s="147">
        <v>1.1803369931540457E-3</v>
      </c>
      <c r="BE53" s="147">
        <v>1.0439539982252783E-3</v>
      </c>
      <c r="BF53" s="147">
        <v>0</v>
      </c>
      <c r="BG53" s="147">
        <v>0</v>
      </c>
      <c r="BH53" s="147">
        <v>0</v>
      </c>
      <c r="BI53" s="147">
        <v>1.4064338370782003E-3</v>
      </c>
      <c r="BJ53" s="147">
        <v>0</v>
      </c>
      <c r="BK53" s="147">
        <v>0</v>
      </c>
      <c r="BL53" s="147">
        <v>0</v>
      </c>
      <c r="BM53" s="147">
        <v>0</v>
      </c>
      <c r="BN53" s="147">
        <v>7.2250499638747503E-4</v>
      </c>
      <c r="BO53" s="147">
        <v>0</v>
      </c>
      <c r="BP53" s="147">
        <v>0</v>
      </c>
      <c r="BQ53" s="147">
        <v>0</v>
      </c>
      <c r="BR53" s="147">
        <v>0</v>
      </c>
      <c r="BS53" s="147">
        <v>0</v>
      </c>
      <c r="BT53" s="147">
        <v>0</v>
      </c>
      <c r="BU53" s="147">
        <v>0</v>
      </c>
      <c r="BV53" s="147">
        <v>0</v>
      </c>
      <c r="BW53" s="147">
        <v>0</v>
      </c>
      <c r="BX53" s="147">
        <v>0</v>
      </c>
      <c r="BY53" s="147">
        <v>0</v>
      </c>
    </row>
    <row r="54" spans="1:77" x14ac:dyDescent="0.15">
      <c r="A54" s="182" t="s">
        <v>245</v>
      </c>
      <c r="B54" s="147">
        <v>0</v>
      </c>
      <c r="C54" s="147">
        <v>0</v>
      </c>
      <c r="D54" s="147">
        <v>0</v>
      </c>
      <c r="E54" s="147">
        <v>0</v>
      </c>
      <c r="F54" s="147">
        <v>0</v>
      </c>
      <c r="G54" s="147">
        <v>0</v>
      </c>
      <c r="H54" s="147">
        <v>0</v>
      </c>
      <c r="I54" s="147">
        <v>5.4978818213188407E-3</v>
      </c>
      <c r="J54" s="147">
        <v>0</v>
      </c>
      <c r="K54" s="147">
        <v>0</v>
      </c>
      <c r="L54" s="147">
        <v>5.5420209229659094E-3</v>
      </c>
      <c r="M54" s="147">
        <v>0</v>
      </c>
      <c r="N54" s="147">
        <v>0</v>
      </c>
      <c r="O54" s="147">
        <v>0</v>
      </c>
      <c r="P54" s="147">
        <v>0</v>
      </c>
      <c r="Q54" s="147">
        <v>0</v>
      </c>
      <c r="R54" s="147">
        <v>0</v>
      </c>
      <c r="S54" s="147">
        <v>0</v>
      </c>
      <c r="T54" s="147">
        <v>0</v>
      </c>
      <c r="U54" s="147">
        <v>1.7246423394855329E-2</v>
      </c>
      <c r="V54" s="147">
        <v>0</v>
      </c>
      <c r="W54" s="147">
        <v>0</v>
      </c>
      <c r="X54" s="147">
        <v>0</v>
      </c>
      <c r="Y54" s="147">
        <v>0</v>
      </c>
      <c r="Z54" s="147">
        <v>0</v>
      </c>
      <c r="AA54" s="147">
        <v>0</v>
      </c>
      <c r="AB54" s="147">
        <v>0</v>
      </c>
      <c r="AC54" s="147">
        <v>0</v>
      </c>
      <c r="AD54" s="147">
        <v>0</v>
      </c>
      <c r="AE54" s="147">
        <v>0</v>
      </c>
      <c r="AF54" s="147">
        <v>0</v>
      </c>
      <c r="AG54" s="147">
        <v>0</v>
      </c>
      <c r="AH54" s="147">
        <v>0</v>
      </c>
      <c r="AI54" s="147">
        <v>0</v>
      </c>
      <c r="AJ54" s="147">
        <v>0</v>
      </c>
      <c r="AK54" s="147">
        <v>0</v>
      </c>
      <c r="AL54" s="147">
        <v>0</v>
      </c>
      <c r="AM54" s="147">
        <v>0</v>
      </c>
      <c r="AN54" s="147">
        <v>0</v>
      </c>
      <c r="AO54" s="147">
        <v>0</v>
      </c>
      <c r="AP54" s="147">
        <v>0</v>
      </c>
      <c r="AQ54" s="147">
        <v>0</v>
      </c>
      <c r="AR54" s="147">
        <v>0</v>
      </c>
      <c r="AS54" s="147">
        <v>0</v>
      </c>
      <c r="AT54" s="147">
        <v>0</v>
      </c>
      <c r="AU54" s="147">
        <v>1.349245996626885E-2</v>
      </c>
      <c r="AV54" s="147">
        <v>0</v>
      </c>
      <c r="AW54" s="147">
        <v>0</v>
      </c>
      <c r="AX54" s="147">
        <v>0</v>
      </c>
      <c r="AY54" s="147">
        <v>0</v>
      </c>
      <c r="AZ54" s="147">
        <v>0</v>
      </c>
      <c r="BA54" s="147">
        <v>0</v>
      </c>
      <c r="BB54" s="147">
        <v>1.1756359841289144E-3</v>
      </c>
      <c r="BC54" s="147">
        <v>0</v>
      </c>
      <c r="BD54" s="147">
        <v>0</v>
      </c>
      <c r="BE54" s="147">
        <v>0</v>
      </c>
      <c r="BF54" s="147">
        <v>0</v>
      </c>
      <c r="BG54" s="147">
        <v>0</v>
      </c>
      <c r="BH54" s="147">
        <v>0</v>
      </c>
      <c r="BI54" s="147">
        <v>0</v>
      </c>
      <c r="BJ54" s="147">
        <v>0</v>
      </c>
      <c r="BK54" s="147">
        <v>0</v>
      </c>
      <c r="BL54" s="147">
        <v>0</v>
      </c>
      <c r="BM54" s="147">
        <v>0</v>
      </c>
      <c r="BN54" s="147">
        <v>0</v>
      </c>
      <c r="BO54" s="147">
        <v>0</v>
      </c>
      <c r="BP54" s="147">
        <v>0</v>
      </c>
      <c r="BQ54" s="147">
        <v>0</v>
      </c>
      <c r="BR54" s="147">
        <v>0</v>
      </c>
      <c r="BS54" s="147">
        <v>0</v>
      </c>
      <c r="BT54" s="147">
        <v>0</v>
      </c>
      <c r="BU54" s="147">
        <v>0</v>
      </c>
      <c r="BV54" s="147">
        <v>0</v>
      </c>
      <c r="BW54" s="147">
        <v>0</v>
      </c>
      <c r="BX54" s="147">
        <v>0</v>
      </c>
      <c r="BY54" s="147">
        <v>0</v>
      </c>
    </row>
    <row r="55" spans="1:77" x14ac:dyDescent="0.15">
      <c r="A55" s="182" t="s">
        <v>246</v>
      </c>
      <c r="B55" s="147">
        <v>3.0100000000000005E-4</v>
      </c>
      <c r="C55" s="147">
        <v>0</v>
      </c>
      <c r="D55" s="147">
        <v>0</v>
      </c>
      <c r="E55" s="147">
        <v>1.6377560077957189E-3</v>
      </c>
      <c r="F55" s="147">
        <v>1.0954866130874794E-2</v>
      </c>
      <c r="G55" s="147">
        <v>1.4999000106492902E-3</v>
      </c>
      <c r="H55" s="147">
        <v>1.2360410150797003E-3</v>
      </c>
      <c r="I55" s="147">
        <v>1.1740539618432461E-3</v>
      </c>
      <c r="J55" s="147">
        <v>0</v>
      </c>
      <c r="K55" s="147">
        <v>0</v>
      </c>
      <c r="L55" s="147">
        <v>1.1847059835325868E-3</v>
      </c>
      <c r="M55" s="147">
        <v>1.9721800332706771E-4</v>
      </c>
      <c r="N55" s="147">
        <v>8.6353261632076666E-3</v>
      </c>
      <c r="O55" s="147">
        <v>1.2769270011492343E-3</v>
      </c>
      <c r="P55" s="147">
        <v>1.3068410328017101E-3</v>
      </c>
      <c r="Q55" s="147">
        <v>1.2353546030266187E-2</v>
      </c>
      <c r="R55" s="147">
        <v>2.5458390127291947E-3</v>
      </c>
      <c r="S55" s="147">
        <v>1.3707399519939746E-2</v>
      </c>
      <c r="T55" s="147">
        <v>0</v>
      </c>
      <c r="U55" s="147">
        <v>1.7113298294123142E-2</v>
      </c>
      <c r="V55" s="147">
        <v>0</v>
      </c>
      <c r="W55" s="147">
        <v>0</v>
      </c>
      <c r="X55" s="147">
        <v>0</v>
      </c>
      <c r="Y55" s="147">
        <v>0</v>
      </c>
      <c r="Z55" s="147">
        <v>0</v>
      </c>
      <c r="AA55" s="147">
        <v>0</v>
      </c>
      <c r="AB55" s="147">
        <v>0</v>
      </c>
      <c r="AC55" s="147">
        <v>0</v>
      </c>
      <c r="AD55" s="147">
        <v>0</v>
      </c>
      <c r="AE55" s="147">
        <v>0</v>
      </c>
      <c r="AF55" s="147">
        <v>0</v>
      </c>
      <c r="AG55" s="147">
        <v>0</v>
      </c>
      <c r="AH55" s="147">
        <v>0</v>
      </c>
      <c r="AI55" s="147">
        <v>0</v>
      </c>
      <c r="AJ55" s="147">
        <v>0</v>
      </c>
      <c r="AK55" s="147">
        <v>0</v>
      </c>
      <c r="AL55" s="147">
        <v>0</v>
      </c>
      <c r="AM55" s="147">
        <v>0</v>
      </c>
      <c r="AN55" s="147">
        <v>0</v>
      </c>
      <c r="AO55" s="147">
        <v>0</v>
      </c>
      <c r="AP55" s="147">
        <v>0</v>
      </c>
      <c r="AQ55" s="147">
        <v>0</v>
      </c>
      <c r="AR55" s="147">
        <v>5.8431678352731527E-4</v>
      </c>
      <c r="AS55" s="147">
        <v>0</v>
      </c>
      <c r="AT55" s="147">
        <v>0</v>
      </c>
      <c r="AU55" s="147">
        <v>1.8087189954782026E-3</v>
      </c>
      <c r="AV55" s="147">
        <v>0</v>
      </c>
      <c r="AW55" s="147">
        <v>0</v>
      </c>
      <c r="AX55" s="147">
        <v>0</v>
      </c>
      <c r="AY55" s="147">
        <v>0</v>
      </c>
      <c r="AZ55" s="147">
        <v>0</v>
      </c>
      <c r="BA55" s="147">
        <v>0</v>
      </c>
      <c r="BB55" s="147">
        <v>0</v>
      </c>
      <c r="BC55" s="147">
        <v>0</v>
      </c>
      <c r="BD55" s="147">
        <v>0</v>
      </c>
      <c r="BE55" s="147">
        <v>0</v>
      </c>
      <c r="BF55" s="147">
        <v>0</v>
      </c>
      <c r="BG55" s="147">
        <v>0</v>
      </c>
      <c r="BH55" s="147">
        <v>0</v>
      </c>
      <c r="BI55" s="147">
        <v>0</v>
      </c>
      <c r="BJ55" s="147">
        <v>0</v>
      </c>
      <c r="BK55" s="147">
        <v>0</v>
      </c>
      <c r="BL55" s="147">
        <v>0</v>
      </c>
      <c r="BM55" s="147">
        <v>0</v>
      </c>
      <c r="BN55" s="147">
        <v>0</v>
      </c>
      <c r="BO55" s="147">
        <v>0</v>
      </c>
      <c r="BP55" s="147">
        <v>0</v>
      </c>
      <c r="BQ55" s="147">
        <v>0</v>
      </c>
      <c r="BR55" s="147">
        <v>0</v>
      </c>
      <c r="BS55" s="147">
        <v>0</v>
      </c>
      <c r="BT55" s="147">
        <v>0</v>
      </c>
      <c r="BU55" s="147">
        <v>0</v>
      </c>
      <c r="BV55" s="147">
        <v>0</v>
      </c>
      <c r="BW55" s="147">
        <v>0</v>
      </c>
      <c r="BX55" s="147">
        <v>0</v>
      </c>
      <c r="BY55" s="147">
        <v>0</v>
      </c>
    </row>
    <row r="56" spans="1:77" x14ac:dyDescent="0.15">
      <c r="A56" s="182" t="s">
        <v>247</v>
      </c>
      <c r="B56" s="147">
        <v>2.4246000000000004E-2</v>
      </c>
      <c r="C56" s="147">
        <v>3.0228050182361077E-2</v>
      </c>
      <c r="D56" s="147">
        <v>0</v>
      </c>
      <c r="E56" s="147">
        <v>2.7689330131801217E-2</v>
      </c>
      <c r="F56" s="147">
        <v>1.9054233879767783E-2</v>
      </c>
      <c r="G56" s="147">
        <v>2.4687463575280996E-2</v>
      </c>
      <c r="H56" s="147">
        <v>1.9858006642267681E-2</v>
      </c>
      <c r="I56" s="147">
        <v>1.5069917310227688E-2</v>
      </c>
      <c r="J56" s="147">
        <v>2.6020498997576871E-2</v>
      </c>
      <c r="K56" s="147">
        <v>1.809966561339375E-2</v>
      </c>
      <c r="L56" s="147">
        <v>2.3953962767039916E-2</v>
      </c>
      <c r="M56" s="147">
        <v>3.190235053819265E-3</v>
      </c>
      <c r="N56" s="147">
        <v>1.9307412564910101E-2</v>
      </c>
      <c r="O56" s="147">
        <v>1.9020260017118235E-2</v>
      </c>
      <c r="P56" s="147">
        <v>1.9733662295314924E-2</v>
      </c>
      <c r="Q56" s="147">
        <v>3.0782153875416277E-2</v>
      </c>
      <c r="R56" s="147">
        <v>7.5096816175484069E-2</v>
      </c>
      <c r="S56" s="147">
        <v>3.3148404490048543E-2</v>
      </c>
      <c r="T56" s="147">
        <v>1.5268423761845293E-2</v>
      </c>
      <c r="U56" s="147">
        <v>2.2181678721999235E-2</v>
      </c>
      <c r="V56" s="147">
        <v>2.7988510316270167E-2</v>
      </c>
      <c r="W56" s="147">
        <v>4.98869103342423E-2</v>
      </c>
      <c r="X56" s="147">
        <v>2.0350294434928938E-2</v>
      </c>
      <c r="Y56" s="147">
        <v>4.5044265560362777E-2</v>
      </c>
      <c r="Z56" s="147">
        <v>3.5395853415914703E-2</v>
      </c>
      <c r="AA56" s="147">
        <v>5.3177420579633879E-2</v>
      </c>
      <c r="AB56" s="147">
        <v>6.8957120379264164E-3</v>
      </c>
      <c r="AC56" s="147">
        <v>7.2913855598946808E-2</v>
      </c>
      <c r="AD56" s="147">
        <v>7.1297649957221404E-2</v>
      </c>
      <c r="AE56" s="147">
        <v>4.0897436698551289E-2</v>
      </c>
      <c r="AF56" s="147">
        <v>6.6945989805856629E-2</v>
      </c>
      <c r="AG56" s="147">
        <v>2.5941381700668665E-2</v>
      </c>
      <c r="AH56" s="147">
        <v>4.3056630318619067E-2</v>
      </c>
      <c r="AI56" s="147">
        <v>9.2888621476929067E-3</v>
      </c>
      <c r="AJ56" s="147">
        <v>1.9504735354672554E-2</v>
      </c>
      <c r="AK56" s="147">
        <v>3.9530930816313724E-2</v>
      </c>
      <c r="AL56" s="147">
        <v>0</v>
      </c>
      <c r="AM56" s="147">
        <v>4.0279589746238589E-2</v>
      </c>
      <c r="AN56" s="147">
        <v>2.7628375150268919E-2</v>
      </c>
      <c r="AO56" s="147">
        <v>3.8528095803679767E-2</v>
      </c>
      <c r="AP56" s="147">
        <v>0</v>
      </c>
      <c r="AQ56" s="147">
        <v>2.4636552722093769E-2</v>
      </c>
      <c r="AR56" s="147">
        <v>4.7164595888705965E-3</v>
      </c>
      <c r="AS56" s="147">
        <v>2.6926055731937678E-2</v>
      </c>
      <c r="AT56" s="147">
        <v>4.3832865990254662E-2</v>
      </c>
      <c r="AU56" s="147">
        <v>2.8246244329384388E-2</v>
      </c>
      <c r="AV56" s="147">
        <v>2.9473239938106199E-2</v>
      </c>
      <c r="AW56" s="147">
        <v>9.3987899981202421E-3</v>
      </c>
      <c r="AX56" s="147">
        <v>9.6077813738383881E-4</v>
      </c>
      <c r="AY56" s="147">
        <v>9.5921395164830757E-4</v>
      </c>
      <c r="AZ56" s="147">
        <v>3.9818882078824239E-2</v>
      </c>
      <c r="BA56" s="147">
        <v>8.286462225231923E-4</v>
      </c>
      <c r="BB56" s="147">
        <v>0</v>
      </c>
      <c r="BC56" s="147">
        <v>0</v>
      </c>
      <c r="BD56" s="147">
        <v>0</v>
      </c>
      <c r="BE56" s="147">
        <v>0</v>
      </c>
      <c r="BF56" s="147">
        <v>0</v>
      </c>
      <c r="BG56" s="147">
        <v>0</v>
      </c>
      <c r="BH56" s="147">
        <v>0</v>
      </c>
      <c r="BI56" s="147">
        <v>1.4064338370782003E-3</v>
      </c>
      <c r="BJ56" s="147">
        <v>0</v>
      </c>
      <c r="BK56" s="147">
        <v>0</v>
      </c>
      <c r="BL56" s="147">
        <v>0</v>
      </c>
      <c r="BM56" s="147">
        <v>0</v>
      </c>
      <c r="BN56" s="147">
        <v>3.6125239819373802E-3</v>
      </c>
      <c r="BO56" s="147">
        <v>0</v>
      </c>
      <c r="BP56" s="147">
        <v>4.7983577312919676E-3</v>
      </c>
      <c r="BQ56" s="147">
        <v>0</v>
      </c>
      <c r="BR56" s="147">
        <v>1.0094800171611603E-4</v>
      </c>
      <c r="BS56" s="147">
        <v>0</v>
      </c>
      <c r="BT56" s="147">
        <v>1.0034900672338344E-4</v>
      </c>
      <c r="BU56" s="147">
        <v>0</v>
      </c>
      <c r="BV56" s="147">
        <v>0</v>
      </c>
      <c r="BW56" s="147">
        <v>0</v>
      </c>
      <c r="BX56" s="147">
        <v>0</v>
      </c>
      <c r="BY56" s="147">
        <v>0</v>
      </c>
    </row>
    <row r="57" spans="1:77" x14ac:dyDescent="0.15">
      <c r="A57" s="182" t="s">
        <v>248</v>
      </c>
      <c r="B57" s="147">
        <v>2.3096000000000002E-2</v>
      </c>
      <c r="C57" s="147">
        <v>2.1184906258747443E-2</v>
      </c>
      <c r="D57" s="147">
        <v>0</v>
      </c>
      <c r="E57" s="147">
        <v>1.6251895677359025E-2</v>
      </c>
      <c r="F57" s="147">
        <v>1.0522820933600999E-2</v>
      </c>
      <c r="G57" s="147">
        <v>1.367013909705799E-2</v>
      </c>
      <c r="H57" s="147">
        <v>1.0981226433970964E-2</v>
      </c>
      <c r="I57" s="147">
        <v>5.9885858053709612E-3</v>
      </c>
      <c r="J57" s="147">
        <v>0</v>
      </c>
      <c r="K57" s="147">
        <v>1.7976196513302383E-2</v>
      </c>
      <c r="L57" s="147">
        <v>7.5107288956008681E-3</v>
      </c>
      <c r="M57" s="147">
        <v>1.6500500278363438E-4</v>
      </c>
      <c r="N57" s="147">
        <v>8.9474401691066203E-3</v>
      </c>
      <c r="O57" s="147">
        <v>1.0029631709026668E-2</v>
      </c>
      <c r="P57" s="147">
        <v>1.2009675001442843E-2</v>
      </c>
      <c r="Q57" s="147">
        <v>1.3402781432836814E-2</v>
      </c>
      <c r="R57" s="147">
        <v>1.9711950098559748E-3</v>
      </c>
      <c r="S57" s="147">
        <v>1.7080820149457176E-2</v>
      </c>
      <c r="T57" s="147">
        <v>0</v>
      </c>
      <c r="U57" s="147">
        <v>5.1683850284261175E-3</v>
      </c>
      <c r="V57" s="147">
        <v>0</v>
      </c>
      <c r="W57" s="147">
        <v>3.2099984815069899E-2</v>
      </c>
      <c r="X57" s="147">
        <v>2.0164227609510119E-2</v>
      </c>
      <c r="Y57" s="147">
        <v>7.2359199775686472E-2</v>
      </c>
      <c r="Z57" s="147">
        <v>3.3551160204662069E-2</v>
      </c>
      <c r="AA57" s="147">
        <v>1.0622356215783682E-2</v>
      </c>
      <c r="AB57" s="147">
        <v>8.1920660450563634E-2</v>
      </c>
      <c r="AC57" s="147">
        <v>6.9518690285026621E-2</v>
      </c>
      <c r="AD57" s="147">
        <v>2.6122106184326734E-2</v>
      </c>
      <c r="AE57" s="147">
        <v>3.9193377186111648E-2</v>
      </c>
      <c r="AF57" s="147">
        <v>6.4156579813945916E-2</v>
      </c>
      <c r="AG57" s="147">
        <v>2.4860490479807467E-2</v>
      </c>
      <c r="AH57" s="147">
        <v>4.1262600305343254E-2</v>
      </c>
      <c r="AI57" s="147">
        <v>8.9018261415390338E-3</v>
      </c>
      <c r="AJ57" s="147">
        <v>4.8494440384560911E-2</v>
      </c>
      <c r="AK57" s="147">
        <v>3.8588446396851418E-2</v>
      </c>
      <c r="AL57" s="147">
        <v>0</v>
      </c>
      <c r="AM57" s="147">
        <v>4.0152825147037212E-2</v>
      </c>
      <c r="AN57" s="147">
        <v>2.755641375039845E-2</v>
      </c>
      <c r="AO57" s="147">
        <v>6.6397489834006283E-3</v>
      </c>
      <c r="AP57" s="147">
        <v>0</v>
      </c>
      <c r="AQ57" s="147">
        <v>2.5402806512052914E-2</v>
      </c>
      <c r="AR57" s="147">
        <v>4.5199395227699538E-3</v>
      </c>
      <c r="AS57" s="147">
        <v>2.3837752716804994E-2</v>
      </c>
      <c r="AT57" s="147">
        <v>1.0099195618834544E-2</v>
      </c>
      <c r="AU57" s="147">
        <v>1.594167576014581E-2</v>
      </c>
      <c r="AV57" s="147">
        <v>0</v>
      </c>
      <c r="AW57" s="147">
        <v>9.007173998198564E-3</v>
      </c>
      <c r="AX57" s="147">
        <v>9.6077813738383881E-4</v>
      </c>
      <c r="AY57" s="147">
        <v>9.5921395164830757E-4</v>
      </c>
      <c r="AZ57" s="147">
        <v>3.9090351295150073E-2</v>
      </c>
      <c r="BA57" s="147">
        <v>0</v>
      </c>
      <c r="BB57" s="147">
        <v>9.4434068725140069E-3</v>
      </c>
      <c r="BC57" s="147">
        <v>0</v>
      </c>
      <c r="BD57" s="147">
        <v>0</v>
      </c>
      <c r="BE57" s="147">
        <v>0</v>
      </c>
      <c r="BF57" s="147">
        <v>0</v>
      </c>
      <c r="BG57" s="147">
        <v>0</v>
      </c>
      <c r="BH57" s="147">
        <v>0</v>
      </c>
      <c r="BI57" s="147">
        <v>0</v>
      </c>
      <c r="BJ57" s="147">
        <v>0</v>
      </c>
      <c r="BK57" s="147">
        <v>0</v>
      </c>
      <c r="BL57" s="147">
        <v>0</v>
      </c>
      <c r="BM57" s="147">
        <v>0</v>
      </c>
      <c r="BN57" s="147">
        <v>2.5597319872013403E-2</v>
      </c>
      <c r="BO57" s="147">
        <v>0</v>
      </c>
      <c r="BP57" s="147">
        <v>0</v>
      </c>
      <c r="BQ57" s="147">
        <v>0</v>
      </c>
      <c r="BR57" s="147">
        <v>0</v>
      </c>
      <c r="BS57" s="147">
        <v>0</v>
      </c>
      <c r="BT57" s="147">
        <v>0</v>
      </c>
      <c r="BU57" s="147">
        <v>0</v>
      </c>
      <c r="BV57" s="147">
        <v>0</v>
      </c>
      <c r="BW57" s="147">
        <v>0</v>
      </c>
      <c r="BX57" s="147">
        <v>0</v>
      </c>
      <c r="BY57" s="147">
        <v>0</v>
      </c>
    </row>
    <row r="58" spans="1:77" x14ac:dyDescent="0.15">
      <c r="A58" s="182" t="s">
        <v>249</v>
      </c>
      <c r="B58" s="147">
        <v>6.3800000000000011E-4</v>
      </c>
      <c r="C58" s="147">
        <v>2.7562180433991078E-2</v>
      </c>
      <c r="D58" s="147">
        <v>0</v>
      </c>
      <c r="E58" s="147">
        <v>7.6322300363294165E-4</v>
      </c>
      <c r="F58" s="147">
        <v>9.4800219401810597E-3</v>
      </c>
      <c r="G58" s="147">
        <v>1.2379378187893586E-2</v>
      </c>
      <c r="H58" s="147">
        <v>9.9820791217813658E-3</v>
      </c>
      <c r="I58" s="147">
        <v>1.3477165761992113E-2</v>
      </c>
      <c r="J58" s="147">
        <v>0</v>
      </c>
      <c r="K58" s="147">
        <v>0</v>
      </c>
      <c r="L58" s="147">
        <v>1.4290421101363146E-2</v>
      </c>
      <c r="M58" s="147">
        <v>2.2641410381960591E-3</v>
      </c>
      <c r="N58" s="147">
        <v>9.99546118891422E-3</v>
      </c>
      <c r="O58" s="147">
        <v>9.9032800089129524E-3</v>
      </c>
      <c r="P58" s="147">
        <v>9.9956952508919519E-3</v>
      </c>
      <c r="Q58" s="147">
        <v>1.9956436048893269E-2</v>
      </c>
      <c r="R58" s="147">
        <v>5.3993600269967997E-4</v>
      </c>
      <c r="S58" s="147">
        <v>0</v>
      </c>
      <c r="T58" s="147">
        <v>0</v>
      </c>
      <c r="U58" s="147">
        <v>2.931504716123276E-2</v>
      </c>
      <c r="V58" s="147">
        <v>0</v>
      </c>
      <c r="W58" s="147">
        <v>2.5708870172249432E-2</v>
      </c>
      <c r="X58" s="147">
        <v>4.3344011800289407E-4</v>
      </c>
      <c r="Y58" s="147">
        <v>0</v>
      </c>
      <c r="Z58" s="147">
        <v>0</v>
      </c>
      <c r="AA58" s="147">
        <v>0</v>
      </c>
      <c r="AB58" s="147">
        <v>0</v>
      </c>
      <c r="AC58" s="147">
        <v>0</v>
      </c>
      <c r="AD58" s="147">
        <v>0</v>
      </c>
      <c r="AE58" s="147">
        <v>0</v>
      </c>
      <c r="AF58" s="147">
        <v>0</v>
      </c>
      <c r="AG58" s="147">
        <v>0</v>
      </c>
      <c r="AH58" s="147">
        <v>0</v>
      </c>
      <c r="AI58" s="147">
        <v>0</v>
      </c>
      <c r="AJ58" s="147">
        <v>0</v>
      </c>
      <c r="AK58" s="147">
        <v>0</v>
      </c>
      <c r="AL58" s="147">
        <v>0</v>
      </c>
      <c r="AM58" s="147">
        <v>0</v>
      </c>
      <c r="AN58" s="147">
        <v>0</v>
      </c>
      <c r="AO58" s="147">
        <v>0</v>
      </c>
      <c r="AP58" s="147">
        <v>0</v>
      </c>
      <c r="AQ58" s="147">
        <v>0</v>
      </c>
      <c r="AR58" s="147">
        <v>3.3487505109323489E-2</v>
      </c>
      <c r="AS58" s="147">
        <v>2.4053000117859706E-3</v>
      </c>
      <c r="AT58" s="147">
        <v>2.7663015826170975E-3</v>
      </c>
      <c r="AU58" s="147">
        <v>1.4759725863100684E-2</v>
      </c>
      <c r="AV58" s="147">
        <v>2.6748351743828464E-2</v>
      </c>
      <c r="AW58" s="147">
        <v>3.6913569992617287E-2</v>
      </c>
      <c r="AX58" s="147">
        <v>9.6077813738383881E-4</v>
      </c>
      <c r="AY58" s="147">
        <v>9.5921395164830757E-4</v>
      </c>
      <c r="AZ58" s="147">
        <v>0</v>
      </c>
      <c r="BA58" s="147">
        <v>8.286462225231923E-4</v>
      </c>
      <c r="BB58" s="147">
        <v>0</v>
      </c>
      <c r="BC58" s="147">
        <v>3.0931814695772813E-2</v>
      </c>
      <c r="BD58" s="147">
        <v>0</v>
      </c>
      <c r="BE58" s="147">
        <v>0</v>
      </c>
      <c r="BF58" s="147">
        <v>5.7141166817124604E-2</v>
      </c>
      <c r="BG58" s="147">
        <v>0</v>
      </c>
      <c r="BH58" s="147">
        <v>0</v>
      </c>
      <c r="BI58" s="147">
        <v>1.4064338370782003E-3</v>
      </c>
      <c r="BJ58" s="147">
        <v>0</v>
      </c>
      <c r="BK58" s="147">
        <v>0</v>
      </c>
      <c r="BL58" s="147">
        <v>0</v>
      </c>
      <c r="BM58" s="147">
        <v>0</v>
      </c>
      <c r="BN58" s="147">
        <v>0</v>
      </c>
      <c r="BO58" s="147">
        <v>0</v>
      </c>
      <c r="BP58" s="147">
        <v>0</v>
      </c>
      <c r="BQ58" s="147">
        <v>0</v>
      </c>
      <c r="BR58" s="147">
        <v>0</v>
      </c>
      <c r="BS58" s="147">
        <v>0</v>
      </c>
      <c r="BT58" s="147">
        <v>0</v>
      </c>
      <c r="BU58" s="147">
        <v>0</v>
      </c>
      <c r="BV58" s="147">
        <v>0</v>
      </c>
      <c r="BW58" s="147">
        <v>0</v>
      </c>
      <c r="BX58" s="147">
        <v>0</v>
      </c>
      <c r="BY58" s="147">
        <v>0</v>
      </c>
    </row>
    <row r="59" spans="1:77" x14ac:dyDescent="0.15">
      <c r="A59" s="182" t="s">
        <v>250</v>
      </c>
      <c r="B59" s="147">
        <v>0</v>
      </c>
      <c r="C59" s="147">
        <v>0</v>
      </c>
      <c r="D59" s="147">
        <v>0</v>
      </c>
      <c r="E59" s="147">
        <v>0</v>
      </c>
      <c r="F59" s="147">
        <v>0</v>
      </c>
      <c r="G59" s="147">
        <v>0</v>
      </c>
      <c r="H59" s="147">
        <v>1.6191250197533254E-2</v>
      </c>
      <c r="I59" s="147">
        <v>1.3412281464100851E-2</v>
      </c>
      <c r="J59" s="147">
        <v>0</v>
      </c>
      <c r="K59" s="147">
        <v>0</v>
      </c>
      <c r="L59" s="147">
        <v>6.0257059162426869E-3</v>
      </c>
      <c r="M59" s="147">
        <v>0</v>
      </c>
      <c r="N59" s="147">
        <v>7.414793140139592E-3</v>
      </c>
      <c r="O59" s="147">
        <v>8.9950130080955117E-3</v>
      </c>
      <c r="P59" s="147">
        <v>0</v>
      </c>
      <c r="Q59" s="147">
        <v>1.2061505629550688E-2</v>
      </c>
      <c r="R59" s="147">
        <v>0</v>
      </c>
      <c r="S59" s="147">
        <v>0</v>
      </c>
      <c r="T59" s="147">
        <v>0</v>
      </c>
      <c r="U59" s="147">
        <v>0</v>
      </c>
      <c r="V59" s="147">
        <v>0</v>
      </c>
      <c r="W59" s="147">
        <v>0</v>
      </c>
      <c r="X59" s="147">
        <v>0</v>
      </c>
      <c r="Y59" s="147">
        <v>0</v>
      </c>
      <c r="Z59" s="147">
        <v>0</v>
      </c>
      <c r="AA59" s="147">
        <v>0</v>
      </c>
      <c r="AB59" s="147">
        <v>0</v>
      </c>
      <c r="AC59" s="147">
        <v>0</v>
      </c>
      <c r="AD59" s="147">
        <v>0</v>
      </c>
      <c r="AE59" s="147">
        <v>0</v>
      </c>
      <c r="AF59" s="147">
        <v>0</v>
      </c>
      <c r="AG59" s="147">
        <v>0</v>
      </c>
      <c r="AH59" s="147">
        <v>0</v>
      </c>
      <c r="AI59" s="147">
        <v>0</v>
      </c>
      <c r="AJ59" s="147">
        <v>0</v>
      </c>
      <c r="AK59" s="147">
        <v>0</v>
      </c>
      <c r="AL59" s="147">
        <v>0</v>
      </c>
      <c r="AM59" s="147">
        <v>0</v>
      </c>
      <c r="AN59" s="147">
        <v>0</v>
      </c>
      <c r="AO59" s="147">
        <v>0</v>
      </c>
      <c r="AP59" s="147">
        <v>0</v>
      </c>
      <c r="AQ59" s="147">
        <v>0</v>
      </c>
      <c r="AR59" s="147">
        <v>0</v>
      </c>
      <c r="AS59" s="147">
        <v>0</v>
      </c>
      <c r="AT59" s="147">
        <v>0</v>
      </c>
      <c r="AU59" s="147">
        <v>1.4491978063770056E-2</v>
      </c>
      <c r="AV59" s="147">
        <v>0</v>
      </c>
      <c r="AW59" s="147">
        <v>0</v>
      </c>
      <c r="AX59" s="147">
        <v>0</v>
      </c>
      <c r="AY59" s="147">
        <v>0</v>
      </c>
      <c r="AZ59" s="147">
        <v>0</v>
      </c>
      <c r="BA59" s="147">
        <v>0</v>
      </c>
      <c r="BB59" s="147">
        <v>0</v>
      </c>
      <c r="BC59" s="147">
        <v>0</v>
      </c>
      <c r="BD59" s="147">
        <v>0</v>
      </c>
      <c r="BE59" s="147">
        <v>0</v>
      </c>
      <c r="BF59" s="147">
        <v>0</v>
      </c>
      <c r="BG59" s="147">
        <v>0</v>
      </c>
      <c r="BH59" s="147">
        <v>0</v>
      </c>
      <c r="BI59" s="147">
        <v>0</v>
      </c>
      <c r="BJ59" s="147">
        <v>0</v>
      </c>
      <c r="BK59" s="147">
        <v>0</v>
      </c>
      <c r="BL59" s="147">
        <v>0</v>
      </c>
      <c r="BM59" s="147">
        <v>0</v>
      </c>
      <c r="BN59" s="147">
        <v>0</v>
      </c>
      <c r="BO59" s="147">
        <v>0</v>
      </c>
      <c r="BP59" s="147">
        <v>0</v>
      </c>
      <c r="BQ59" s="147">
        <v>0</v>
      </c>
      <c r="BR59" s="147">
        <v>0</v>
      </c>
      <c r="BS59" s="147">
        <v>0</v>
      </c>
      <c r="BT59" s="147">
        <v>0</v>
      </c>
      <c r="BU59" s="147">
        <v>0</v>
      </c>
      <c r="BV59" s="147">
        <v>0</v>
      </c>
      <c r="BW59" s="147">
        <v>0</v>
      </c>
      <c r="BX59" s="147">
        <v>0</v>
      </c>
      <c r="BY59" s="147">
        <v>0</v>
      </c>
    </row>
    <row r="60" spans="1:77" x14ac:dyDescent="0.15">
      <c r="A60" s="182" t="s">
        <v>251</v>
      </c>
      <c r="B60" s="147">
        <v>2.1726000000000002E-2</v>
      </c>
      <c r="C60" s="147">
        <v>2.2638603526294203E-2</v>
      </c>
      <c r="D60" s="147">
        <v>1.8631346369580578E-2</v>
      </c>
      <c r="E60" s="147">
        <v>1.2889003461351658E-2</v>
      </c>
      <c r="F60" s="147">
        <v>5.588189964738521E-4</v>
      </c>
      <c r="G60" s="147">
        <v>6.3256500449121163E-4</v>
      </c>
      <c r="H60" s="147">
        <v>1.1263478637414439E-2</v>
      </c>
      <c r="I60" s="147">
        <v>7.5237917554767672E-3</v>
      </c>
      <c r="J60" s="147">
        <v>0</v>
      </c>
      <c r="K60" s="147">
        <v>0</v>
      </c>
      <c r="L60" s="147">
        <v>9.8558808630032552E-2</v>
      </c>
      <c r="M60" s="147">
        <v>1.6741330282426241E-3</v>
      </c>
      <c r="N60" s="147">
        <v>2.1834586212673684E-2</v>
      </c>
      <c r="O60" s="147">
        <v>9.3081220083773095E-3</v>
      </c>
      <c r="P60" s="147">
        <v>2.0588916316781801E-2</v>
      </c>
      <c r="Q60" s="147">
        <v>1.7242858242245002E-2</v>
      </c>
      <c r="R60" s="147">
        <v>2.1248020106240099E-2</v>
      </c>
      <c r="S60" s="147">
        <v>0</v>
      </c>
      <c r="T60" s="147">
        <v>6.7859660719312405E-3</v>
      </c>
      <c r="U60" s="147">
        <v>0</v>
      </c>
      <c r="V60" s="147">
        <v>0</v>
      </c>
      <c r="W60" s="147">
        <v>0</v>
      </c>
      <c r="X60" s="147">
        <v>1.9428292716792542E-2</v>
      </c>
      <c r="Y60" s="147">
        <v>0</v>
      </c>
      <c r="Z60" s="147">
        <v>0</v>
      </c>
      <c r="AA60" s="147">
        <v>0</v>
      </c>
      <c r="AB60" s="147">
        <v>0</v>
      </c>
      <c r="AC60" s="147">
        <v>0</v>
      </c>
      <c r="AD60" s="147">
        <v>0</v>
      </c>
      <c r="AE60" s="147">
        <v>0</v>
      </c>
      <c r="AF60" s="147">
        <v>0</v>
      </c>
      <c r="AG60" s="147">
        <v>0</v>
      </c>
      <c r="AH60" s="147">
        <v>0</v>
      </c>
      <c r="AI60" s="147">
        <v>0</v>
      </c>
      <c r="AJ60" s="147">
        <v>0</v>
      </c>
      <c r="AK60" s="147">
        <v>0</v>
      </c>
      <c r="AL60" s="147">
        <v>0</v>
      </c>
      <c r="AM60" s="147">
        <v>0</v>
      </c>
      <c r="AN60" s="147">
        <v>1.9164179965504473E-3</v>
      </c>
      <c r="AO60" s="147">
        <v>3.0793039923017402E-3</v>
      </c>
      <c r="AP60" s="147">
        <v>0</v>
      </c>
      <c r="AQ60" s="147">
        <v>0</v>
      </c>
      <c r="AR60" s="147">
        <v>0</v>
      </c>
      <c r="AS60" s="147">
        <v>0</v>
      </c>
      <c r="AT60" s="147">
        <v>0</v>
      </c>
      <c r="AU60" s="147">
        <v>1.4535779963660549E-2</v>
      </c>
      <c r="AV60" s="147">
        <v>1.7629579962977883E-3</v>
      </c>
      <c r="AW60" s="147">
        <v>9.9293549980141293E-3</v>
      </c>
      <c r="AX60" s="147">
        <v>9.6077813738383881E-4</v>
      </c>
      <c r="AY60" s="147">
        <v>9.5921395164830757E-4</v>
      </c>
      <c r="AZ60" s="147">
        <v>0</v>
      </c>
      <c r="BA60" s="147">
        <v>0</v>
      </c>
      <c r="BB60" s="147">
        <v>4.3795509408760622E-3</v>
      </c>
      <c r="BC60" s="147">
        <v>0</v>
      </c>
      <c r="BD60" s="147">
        <v>0</v>
      </c>
      <c r="BE60" s="147">
        <v>0</v>
      </c>
      <c r="BF60" s="147">
        <v>0</v>
      </c>
      <c r="BG60" s="147">
        <v>0.11681310053734026</v>
      </c>
      <c r="BH60" s="147">
        <v>7.9011969320497061E-2</v>
      </c>
      <c r="BI60" s="147">
        <v>1.4064338370782003E-3</v>
      </c>
      <c r="BJ60" s="147">
        <v>0</v>
      </c>
      <c r="BK60" s="147">
        <v>0</v>
      </c>
      <c r="BL60" s="147">
        <v>0</v>
      </c>
      <c r="BM60" s="147">
        <v>0</v>
      </c>
      <c r="BN60" s="147">
        <v>0</v>
      </c>
      <c r="BO60" s="147">
        <v>0</v>
      </c>
      <c r="BP60" s="147">
        <v>0</v>
      </c>
      <c r="BQ60" s="147">
        <v>0</v>
      </c>
      <c r="BR60" s="147">
        <v>0</v>
      </c>
      <c r="BS60" s="147">
        <v>0</v>
      </c>
      <c r="BT60" s="147">
        <v>0</v>
      </c>
      <c r="BU60" s="147">
        <v>0</v>
      </c>
      <c r="BV60" s="147">
        <v>0</v>
      </c>
      <c r="BW60" s="147">
        <v>0</v>
      </c>
      <c r="BX60" s="147">
        <v>0</v>
      </c>
      <c r="BY60" s="147">
        <v>0</v>
      </c>
    </row>
    <row r="61" spans="1:77" x14ac:dyDescent="0.15">
      <c r="A61" s="182" t="s">
        <v>252</v>
      </c>
      <c r="B61" s="147">
        <v>4.9817000000000007E-2</v>
      </c>
      <c r="C61" s="147">
        <v>6.3429049297718892E-2</v>
      </c>
      <c r="D61" s="147">
        <v>2.1326931050711484E-2</v>
      </c>
      <c r="E61" s="147">
        <v>2.908836873846064E-2</v>
      </c>
      <c r="F61" s="147">
        <v>2.6026769835771082E-2</v>
      </c>
      <c r="G61" s="147">
        <v>2.8115917199623017E-2</v>
      </c>
      <c r="H61" s="147">
        <v>2.2866300278968864E-2</v>
      </c>
      <c r="I61" s="147">
        <v>2.1399199304526023E-2</v>
      </c>
      <c r="J61" s="147">
        <v>4.9051830183944357E-2</v>
      </c>
      <c r="K61" s="147">
        <v>3.440208002545754E-2</v>
      </c>
      <c r="L61" s="147">
        <v>2.0474057315410604E-2</v>
      </c>
      <c r="M61" s="147">
        <v>9.6993631636282576E-3</v>
      </c>
      <c r="N61" s="147">
        <v>4.5343813456998082E-2</v>
      </c>
      <c r="O61" s="147">
        <v>2.1163610019047249E-2</v>
      </c>
      <c r="P61" s="147">
        <v>1.8249245858056071E-2</v>
      </c>
      <c r="Q61" s="147">
        <v>3.6281038188888545E-2</v>
      </c>
      <c r="R61" s="147">
        <v>0.23939702019698508</v>
      </c>
      <c r="S61" s="147">
        <v>6.5311320571474055E-2</v>
      </c>
      <c r="T61" s="147">
        <v>0.12457922232053976</v>
      </c>
      <c r="U61" s="147">
        <v>9.2599350509296421E-2</v>
      </c>
      <c r="V61" s="147">
        <v>9.3700091058811039E-2</v>
      </c>
      <c r="W61" s="147">
        <v>0.12075481680905727</v>
      </c>
      <c r="X61" s="147">
        <v>2.9597048929770674E-2</v>
      </c>
      <c r="Y61" s="147">
        <v>2.0000664437997941E-2</v>
      </c>
      <c r="Z61" s="147">
        <v>9.6413520588122456E-2</v>
      </c>
      <c r="AA61" s="147">
        <v>0.17267379388214432</v>
      </c>
      <c r="AB61" s="147">
        <v>1.0535115457943134E-2</v>
      </c>
      <c r="AC61" s="147">
        <v>4.514122398507902E-2</v>
      </c>
      <c r="AD61" s="147">
        <v>4.1643936175013635E-2</v>
      </c>
      <c r="AE61" s="147">
        <v>6.2482197256120038E-2</v>
      </c>
      <c r="AF61" s="147">
        <v>0.10227859970339205</v>
      </c>
      <c r="AG61" s="147">
        <v>3.9632667664910491E-2</v>
      </c>
      <c r="AH61" s="147">
        <v>6.5780960486779116E-2</v>
      </c>
      <c r="AI61" s="147">
        <v>1.4191317625641948E-2</v>
      </c>
      <c r="AJ61" s="147">
        <v>5.4824136634755403E-2</v>
      </c>
      <c r="AK61" s="147">
        <v>3.7403500772382289E-2</v>
      </c>
      <c r="AL61" s="147">
        <v>2.2764472325040919E-2</v>
      </c>
      <c r="AM61" s="147">
        <v>5.9963635722229104E-2</v>
      </c>
      <c r="AN61" s="147">
        <v>2.4332443256201597E-2</v>
      </c>
      <c r="AO61" s="147">
        <v>5.8189849854525376E-2</v>
      </c>
      <c r="AP61" s="147">
        <v>1.7926047218864639E-2</v>
      </c>
      <c r="AQ61" s="147">
        <v>6.0132588148105893E-3</v>
      </c>
      <c r="AR61" s="147">
        <v>5.6781008186504778E-2</v>
      </c>
      <c r="AS61" s="147">
        <v>4.7965664635031761E-2</v>
      </c>
      <c r="AT61" s="147">
        <v>4.0953273831789976E-2</v>
      </c>
      <c r="AU61" s="147">
        <v>3.2968299917579248E-2</v>
      </c>
      <c r="AV61" s="147">
        <v>6.42488098650775E-2</v>
      </c>
      <c r="AW61" s="147">
        <v>5.7236739988552651E-2</v>
      </c>
      <c r="AX61" s="147">
        <v>9.6077813738383881E-4</v>
      </c>
      <c r="AY61" s="147">
        <v>9.5921395164830757E-4</v>
      </c>
      <c r="AZ61" s="147">
        <v>0</v>
      </c>
      <c r="BA61" s="147">
        <v>8.286462225231923E-4</v>
      </c>
      <c r="BB61" s="147">
        <v>1.5054707196761453E-2</v>
      </c>
      <c r="BC61" s="147">
        <v>0</v>
      </c>
      <c r="BD61" s="147">
        <v>1.1803369931540457E-3</v>
      </c>
      <c r="BE61" s="147">
        <v>0</v>
      </c>
      <c r="BF61" s="147">
        <v>2.5587862676348917E-2</v>
      </c>
      <c r="BG61" s="147">
        <v>0</v>
      </c>
      <c r="BH61" s="147">
        <v>0</v>
      </c>
      <c r="BI61" s="147">
        <v>1.4064338370782003E-3</v>
      </c>
      <c r="BJ61" s="147">
        <v>0</v>
      </c>
      <c r="BK61" s="147">
        <v>1.0470929953927909E-3</v>
      </c>
      <c r="BL61" s="147">
        <v>0</v>
      </c>
      <c r="BM61" s="147">
        <v>0</v>
      </c>
      <c r="BN61" s="147">
        <v>3.5609169821954154E-2</v>
      </c>
      <c r="BO61" s="147">
        <v>0</v>
      </c>
      <c r="BP61" s="147">
        <v>5.2981857033016005E-3</v>
      </c>
      <c r="BQ61" s="147">
        <v>0</v>
      </c>
      <c r="BR61" s="147">
        <v>0</v>
      </c>
      <c r="BS61" s="147">
        <v>0</v>
      </c>
      <c r="BT61" s="147">
        <v>0</v>
      </c>
      <c r="BU61" s="147">
        <v>0</v>
      </c>
      <c r="BV61" s="147">
        <v>0</v>
      </c>
      <c r="BW61" s="147">
        <v>0</v>
      </c>
      <c r="BX61" s="147">
        <v>0</v>
      </c>
      <c r="BY61" s="147">
        <v>0</v>
      </c>
    </row>
    <row r="62" spans="1:77" x14ac:dyDescent="0.15">
      <c r="A62" s="182" t="s">
        <v>253</v>
      </c>
      <c r="B62" s="147">
        <v>3.8681000000000007E-2</v>
      </c>
      <c r="C62" s="147">
        <v>4.4691465828749027E-2</v>
      </c>
      <c r="D62" s="147">
        <v>3.4957539755297224E-3</v>
      </c>
      <c r="E62" s="147">
        <v>7.1424060339978543E-2</v>
      </c>
      <c r="F62" s="147">
        <v>2.358769425116165E-2</v>
      </c>
      <c r="G62" s="147">
        <v>3.4807410247132617E-2</v>
      </c>
      <c r="H62" s="147">
        <v>1.7525878013815711E-2</v>
      </c>
      <c r="I62" s="147">
        <v>1.0424650861198845E-2</v>
      </c>
      <c r="J62" s="147">
        <v>4.4648890167433335E-2</v>
      </c>
      <c r="K62" s="147">
        <v>3.3330900024664864E-2</v>
      </c>
      <c r="L62" s="147">
        <v>1.025604815744093E-2</v>
      </c>
      <c r="M62" s="147">
        <v>3.025366051037925E-3</v>
      </c>
      <c r="N62" s="147">
        <v>6.1357881159663967E-3</v>
      </c>
      <c r="O62" s="147">
        <v>1.5210769113689692E-2</v>
      </c>
      <c r="P62" s="147">
        <v>1.2809560921519981E-2</v>
      </c>
      <c r="Q62" s="147">
        <v>2.3863675158466002E-2</v>
      </c>
      <c r="R62" s="147">
        <v>1.3561534767807673E-2</v>
      </c>
      <c r="S62" s="147">
        <v>2.5406220222304425E-2</v>
      </c>
      <c r="T62" s="147">
        <v>0.11804789425130768</v>
      </c>
      <c r="U62" s="147">
        <v>4.2374110233057607E-2</v>
      </c>
      <c r="V62" s="147">
        <v>0.10634876120174101</v>
      </c>
      <c r="W62" s="147">
        <v>9.3173240624260717E-2</v>
      </c>
      <c r="X62" s="147">
        <v>2.4538642278579101E-3</v>
      </c>
      <c r="Y62" s="147">
        <v>1.9455189939688911E-2</v>
      </c>
      <c r="Z62" s="147">
        <v>6.2640650382107962E-2</v>
      </c>
      <c r="AA62" s="147">
        <v>5.6417170614947151E-2</v>
      </c>
      <c r="AB62" s="147">
        <v>1.0247794056362867E-2</v>
      </c>
      <c r="AC62" s="147">
        <v>4.3910097480031399E-2</v>
      </c>
      <c r="AD62" s="147">
        <v>4.0508195775695081E-2</v>
      </c>
      <c r="AE62" s="147">
        <v>0</v>
      </c>
      <c r="AF62" s="147">
        <v>0</v>
      </c>
      <c r="AG62" s="147">
        <v>0</v>
      </c>
      <c r="AH62" s="147">
        <v>6.3986935173503331E-2</v>
      </c>
      <c r="AI62" s="147">
        <v>1.3804281319488071E-2</v>
      </c>
      <c r="AJ62" s="147">
        <v>0</v>
      </c>
      <c r="AK62" s="147">
        <v>0</v>
      </c>
      <c r="AL62" s="147">
        <v>2.2143622924357981E-2</v>
      </c>
      <c r="AM62" s="147">
        <v>2.2537913058011151E-2</v>
      </c>
      <c r="AN62" s="147">
        <v>1.3358695375954346E-2</v>
      </c>
      <c r="AO62" s="147">
        <v>2.5914421235213949E-2</v>
      </c>
      <c r="AP62" s="147">
        <v>0</v>
      </c>
      <c r="AQ62" s="147">
        <v>5.8492601742850562E-3</v>
      </c>
      <c r="AR62" s="147">
        <v>2.7662941097649676E-2</v>
      </c>
      <c r="AS62" s="147">
        <v>4.6160273526185347E-2</v>
      </c>
      <c r="AT62" s="147">
        <v>4.6330413437074627E-2</v>
      </c>
      <c r="AU62" s="147">
        <v>1.1453971271365073E-2</v>
      </c>
      <c r="AV62" s="147">
        <v>5.2333082890100531E-2</v>
      </c>
      <c r="AW62" s="147">
        <v>1.7690323296461936E-2</v>
      </c>
      <c r="AX62" s="147">
        <v>9.6077813738383881E-4</v>
      </c>
      <c r="AY62" s="147">
        <v>9.5921395164830757E-4</v>
      </c>
      <c r="AZ62" s="147">
        <v>8.8010114820081295E-2</v>
      </c>
      <c r="BA62" s="147">
        <v>8.286462225231923E-4</v>
      </c>
      <c r="BB62" s="147">
        <v>0</v>
      </c>
      <c r="BC62" s="147">
        <v>0</v>
      </c>
      <c r="BD62" s="147">
        <v>0</v>
      </c>
      <c r="BE62" s="147">
        <v>0</v>
      </c>
      <c r="BF62" s="147">
        <v>0</v>
      </c>
      <c r="BG62" s="147">
        <v>0</v>
      </c>
      <c r="BH62" s="147">
        <v>0</v>
      </c>
      <c r="BI62" s="147">
        <v>1.4064338370782003E-3</v>
      </c>
      <c r="BJ62" s="147">
        <v>0</v>
      </c>
      <c r="BK62" s="147">
        <v>1.0470929953927909E-3</v>
      </c>
      <c r="BL62" s="147">
        <v>0</v>
      </c>
      <c r="BM62" s="147">
        <v>0</v>
      </c>
      <c r="BN62" s="147">
        <v>0</v>
      </c>
      <c r="BO62" s="147">
        <v>0</v>
      </c>
      <c r="BP62" s="147">
        <v>0</v>
      </c>
      <c r="BQ62" s="147">
        <v>0</v>
      </c>
      <c r="BR62" s="147">
        <v>0</v>
      </c>
      <c r="BS62" s="147">
        <v>0</v>
      </c>
      <c r="BT62" s="147">
        <v>0</v>
      </c>
      <c r="BU62" s="147">
        <v>0</v>
      </c>
      <c r="BV62" s="147">
        <v>0</v>
      </c>
      <c r="BW62" s="147">
        <v>0</v>
      </c>
      <c r="BX62" s="147">
        <v>0</v>
      </c>
      <c r="BY62" s="147">
        <v>0</v>
      </c>
    </row>
    <row r="63" spans="1:77" x14ac:dyDescent="0.15">
      <c r="A63" s="182" t="s">
        <v>254</v>
      </c>
      <c r="B63" s="147">
        <v>2.8713000000000002E-2</v>
      </c>
      <c r="C63" s="147">
        <v>4.1123252991797823E-2</v>
      </c>
      <c r="D63" s="147">
        <v>2.2147664644966352E-2</v>
      </c>
      <c r="E63" s="147">
        <v>1.8269453286962601E-2</v>
      </c>
      <c r="F63" s="147">
        <v>1.2774991719389801E-2</v>
      </c>
      <c r="G63" s="147">
        <v>3.6337588257996878E-2</v>
      </c>
      <c r="H63" s="147">
        <v>1.3069518959448133E-2</v>
      </c>
      <c r="I63" s="147">
        <v>1.2140996405417616E-2</v>
      </c>
      <c r="J63" s="147">
        <v>4.1938435457269135E-2</v>
      </c>
      <c r="K63" s="147">
        <v>2.0809503315399033E-2</v>
      </c>
      <c r="L63" s="147">
        <v>9.9787948612947517E-3</v>
      </c>
      <c r="M63" s="147">
        <v>2.4188480408059662E-3</v>
      </c>
      <c r="N63" s="147">
        <v>1.1139809410542401E-2</v>
      </c>
      <c r="O63" s="147">
        <v>1.1499507410349556E-2</v>
      </c>
      <c r="P63" s="147">
        <v>1.4176937155841124E-2</v>
      </c>
      <c r="Q63" s="147">
        <v>2.0351333549860767E-2</v>
      </c>
      <c r="R63" s="147">
        <v>6.2061753410308763E-2</v>
      </c>
      <c r="S63" s="147">
        <v>3.568580031225075E-2</v>
      </c>
      <c r="T63" s="147">
        <v>0.3342978035435567</v>
      </c>
      <c r="U63" s="147">
        <v>2.7258638449922511E-2</v>
      </c>
      <c r="V63" s="147">
        <v>0.38965452140309609</v>
      </c>
      <c r="W63" s="147">
        <v>0.1202435208056316</v>
      </c>
      <c r="X63" s="147">
        <v>3.0940325464837125E-2</v>
      </c>
      <c r="Y63" s="147">
        <v>6.1679189808794513E-2</v>
      </c>
      <c r="Z63" s="147">
        <v>4.5096215175086905E-2</v>
      </c>
      <c r="AA63" s="147">
        <v>0</v>
      </c>
      <c r="AB63" s="147">
        <v>1.3389173073640452E-2</v>
      </c>
      <c r="AC63" s="147">
        <v>2.4129620098931444E-2</v>
      </c>
      <c r="AD63" s="147">
        <v>0</v>
      </c>
      <c r="AE63" s="147">
        <v>7.9409190579687094E-2</v>
      </c>
      <c r="AF63" s="147">
        <v>0.1299867996230383</v>
      </c>
      <c r="AG63" s="147">
        <v>5.0369516972131684E-2</v>
      </c>
      <c r="AH63" s="147">
        <v>8.3601624418652029E-2</v>
      </c>
      <c r="AI63" s="147">
        <v>1.8035874086770397E-2</v>
      </c>
      <c r="AJ63" s="147">
        <v>0</v>
      </c>
      <c r="AK63" s="147">
        <v>3.7479177873945023E-2</v>
      </c>
      <c r="AL63" s="147">
        <v>2.893157493182473E-2</v>
      </c>
      <c r="AM63" s="147">
        <v>5.6003519647177834E-2</v>
      </c>
      <c r="AN63" s="147">
        <v>4.1879939924616097E-2</v>
      </c>
      <c r="AO63" s="147">
        <v>4.5638527585903685E-2</v>
      </c>
      <c r="AP63" s="147">
        <v>0</v>
      </c>
      <c r="AQ63" s="147">
        <v>2.4920764089435981E-2</v>
      </c>
      <c r="AR63" s="147">
        <v>4.7006073581618436E-2</v>
      </c>
      <c r="AS63" s="147">
        <v>5.8425307586284017E-2</v>
      </c>
      <c r="AT63" s="147">
        <v>7.2266652703761661E-2</v>
      </c>
      <c r="AU63" s="147">
        <v>4.8819529877951177E-2</v>
      </c>
      <c r="AV63" s="147">
        <v>3.87403799186452E-2</v>
      </c>
      <c r="AW63" s="147">
        <v>3.6371329992725736E-2</v>
      </c>
      <c r="AX63" s="147">
        <v>9.6077813738383881E-4</v>
      </c>
      <c r="AY63" s="147">
        <v>9.5921395164830757E-4</v>
      </c>
      <c r="AZ63" s="147">
        <v>8.9867808661448806E-2</v>
      </c>
      <c r="BA63" s="147">
        <v>8.286462225231923E-4</v>
      </c>
      <c r="BB63" s="147">
        <v>0</v>
      </c>
      <c r="BC63" s="147">
        <v>0</v>
      </c>
      <c r="BD63" s="147">
        <v>1.1803369931540457E-3</v>
      </c>
      <c r="BE63" s="147">
        <v>0</v>
      </c>
      <c r="BF63" s="147">
        <v>3.2519847551214356E-2</v>
      </c>
      <c r="BG63" s="147">
        <v>0</v>
      </c>
      <c r="BH63" s="147">
        <v>0</v>
      </c>
      <c r="BI63" s="147">
        <v>1.4064338370782003E-3</v>
      </c>
      <c r="BJ63" s="147">
        <v>0</v>
      </c>
      <c r="BK63" s="147">
        <v>1.0470929953927909E-3</v>
      </c>
      <c r="BL63" s="147">
        <v>0</v>
      </c>
      <c r="BM63" s="147">
        <v>0</v>
      </c>
      <c r="BN63" s="147">
        <v>2.9003409854982953E-2</v>
      </c>
      <c r="BO63" s="147">
        <v>0</v>
      </c>
      <c r="BP63" s="147">
        <v>4.2985287592823889E-3</v>
      </c>
      <c r="BQ63" s="147">
        <v>0</v>
      </c>
      <c r="BR63" s="147">
        <v>0</v>
      </c>
      <c r="BS63" s="147">
        <v>0</v>
      </c>
      <c r="BT63" s="147">
        <v>0</v>
      </c>
      <c r="BU63" s="147">
        <v>0</v>
      </c>
      <c r="BV63" s="147">
        <v>0</v>
      </c>
      <c r="BW63" s="147">
        <v>0</v>
      </c>
      <c r="BX63" s="147">
        <v>0</v>
      </c>
      <c r="BY63" s="147">
        <v>0</v>
      </c>
    </row>
    <row r="64" spans="1:77" x14ac:dyDescent="0.15">
      <c r="A64" s="182" t="s">
        <v>255</v>
      </c>
      <c r="B64" s="147">
        <v>4.6592000000000008E-2</v>
      </c>
      <c r="C64" s="147">
        <v>4.408165921331187E-2</v>
      </c>
      <c r="D64" s="147">
        <v>1.9397573364216988E-2</v>
      </c>
      <c r="E64" s="147">
        <v>1.8702397189023414E-2</v>
      </c>
      <c r="F64" s="147">
        <v>2.2944659855219193E-2</v>
      </c>
      <c r="G64" s="147">
        <v>1.0872210077192692E-3</v>
      </c>
      <c r="H64" s="147">
        <v>1.3601447665937662E-2</v>
      </c>
      <c r="I64" s="147">
        <v>6.1122688013512637E-3</v>
      </c>
      <c r="J64" s="147">
        <v>4.771839017894396E-3</v>
      </c>
      <c r="K64" s="147">
        <v>1.7474845112931386E-2</v>
      </c>
      <c r="L64" s="147">
        <v>1.1279649843212868E-3</v>
      </c>
      <c r="M64" s="147">
        <v>1.7312620292063902E-3</v>
      </c>
      <c r="N64" s="147">
        <v>8.4198941591360019E-3</v>
      </c>
      <c r="O64" s="147">
        <v>1.2009184810808265E-2</v>
      </c>
      <c r="P64" s="147">
        <v>0</v>
      </c>
      <c r="Q64" s="147">
        <v>1.2118164429689503E-2</v>
      </c>
      <c r="R64" s="147">
        <v>2.7192697035963484E-2</v>
      </c>
      <c r="S64" s="147">
        <v>1.5571255336248483E-2</v>
      </c>
      <c r="T64" s="147">
        <v>1.5851427068025125E-2</v>
      </c>
      <c r="U64" s="147">
        <v>2.0838076314609419E-2</v>
      </c>
      <c r="V64" s="147">
        <v>2.1380111841595266E-2</v>
      </c>
      <c r="W64" s="147">
        <v>4.0634036372248043E-2</v>
      </c>
      <c r="X64" s="147">
        <v>1.9975068441624562E-2</v>
      </c>
      <c r="Y64" s="147">
        <v>0</v>
      </c>
      <c r="Z64" s="147">
        <v>0</v>
      </c>
      <c r="AA64" s="147">
        <v>3.3380594463848473E-2</v>
      </c>
      <c r="AB64" s="147">
        <v>0</v>
      </c>
      <c r="AC64" s="147">
        <v>0</v>
      </c>
      <c r="AD64" s="147">
        <v>0</v>
      </c>
      <c r="AE64" s="147">
        <v>0</v>
      </c>
      <c r="AF64" s="147">
        <v>0</v>
      </c>
      <c r="AG64" s="147">
        <v>1.9816333782455245E-2</v>
      </c>
      <c r="AH64" s="147">
        <v>0</v>
      </c>
      <c r="AI64" s="147">
        <v>0</v>
      </c>
      <c r="AJ64" s="147">
        <v>0</v>
      </c>
      <c r="AK64" s="147">
        <v>3.7919060783028605E-2</v>
      </c>
      <c r="AL64" s="147">
        <v>0</v>
      </c>
      <c r="AM64" s="147">
        <v>0</v>
      </c>
      <c r="AN64" s="147">
        <v>0</v>
      </c>
      <c r="AO64" s="147">
        <v>0</v>
      </c>
      <c r="AP64" s="147">
        <v>0</v>
      </c>
      <c r="AQ64" s="147">
        <v>2.0349302359854524E-2</v>
      </c>
      <c r="AR64" s="147">
        <v>7.2247636332937416E-3</v>
      </c>
      <c r="AS64" s="147">
        <v>2.5171797823341814E-2</v>
      </c>
      <c r="AT64" s="147">
        <v>3.3576375108545053E-2</v>
      </c>
      <c r="AU64" s="147">
        <v>1.6701005358247485E-2</v>
      </c>
      <c r="AV64" s="147">
        <v>2.6810875143697163E-2</v>
      </c>
      <c r="AW64" s="147">
        <v>3.0756201593848762E-2</v>
      </c>
      <c r="AX64" s="147">
        <v>0</v>
      </c>
      <c r="AY64" s="147">
        <v>9.5921395164830757E-4</v>
      </c>
      <c r="AZ64" s="147">
        <v>3.6366244681310805E-2</v>
      </c>
      <c r="BA64" s="147">
        <v>0</v>
      </c>
      <c r="BB64" s="147">
        <v>0</v>
      </c>
      <c r="BC64" s="147">
        <v>0</v>
      </c>
      <c r="BD64" s="147">
        <v>0</v>
      </c>
      <c r="BE64" s="147">
        <v>0</v>
      </c>
      <c r="BF64" s="147">
        <v>0</v>
      </c>
      <c r="BG64" s="147">
        <v>0</v>
      </c>
      <c r="BH64" s="147">
        <v>0</v>
      </c>
      <c r="BI64" s="147">
        <v>0</v>
      </c>
      <c r="BJ64" s="147">
        <v>0</v>
      </c>
      <c r="BK64" s="147">
        <v>0</v>
      </c>
      <c r="BL64" s="147">
        <v>0</v>
      </c>
      <c r="BM64" s="147">
        <v>0</v>
      </c>
      <c r="BN64" s="147">
        <v>0</v>
      </c>
      <c r="BO64" s="147">
        <v>0</v>
      </c>
      <c r="BP64" s="147">
        <v>1.6994179048325975E-3</v>
      </c>
      <c r="BQ64" s="147">
        <v>0</v>
      </c>
      <c r="BR64" s="147">
        <v>0</v>
      </c>
      <c r="BS64" s="147">
        <v>0</v>
      </c>
      <c r="BT64" s="147">
        <v>0</v>
      </c>
      <c r="BU64" s="147">
        <v>0</v>
      </c>
      <c r="BV64" s="147">
        <v>0</v>
      </c>
      <c r="BW64" s="147">
        <v>0</v>
      </c>
      <c r="BX64" s="147">
        <v>0</v>
      </c>
      <c r="BY64" s="147">
        <v>0</v>
      </c>
    </row>
    <row r="65" spans="1:77" x14ac:dyDescent="0.15">
      <c r="A65" s="182" t="s">
        <v>256</v>
      </c>
      <c r="B65" s="147">
        <v>2.4336000000000003E-2</v>
      </c>
      <c r="C65" s="147">
        <v>2.0671246913540803E-2</v>
      </c>
      <c r="D65" s="147">
        <v>1.6171949886796353E-3</v>
      </c>
      <c r="E65" s="147">
        <v>1.4630207869639792E-2</v>
      </c>
      <c r="F65" s="147">
        <v>9.9620579371394128E-3</v>
      </c>
      <c r="G65" s="147">
        <v>1.2962727892035371E-2</v>
      </c>
      <c r="H65" s="147">
        <v>1.0253350125090871E-2</v>
      </c>
      <c r="I65" s="147">
        <v>5.8352518103543163E-3</v>
      </c>
      <c r="J65" s="147">
        <v>4.2946550161049556E-3</v>
      </c>
      <c r="K65" s="147">
        <v>1.7367757912852139E-2</v>
      </c>
      <c r="L65" s="147">
        <v>6.3740909114001366E-3</v>
      </c>
      <c r="M65" s="147">
        <v>2.7874590470244338E-3</v>
      </c>
      <c r="N65" s="147">
        <v>1.4315808470568783E-2</v>
      </c>
      <c r="O65" s="147">
        <v>1.0278265909250439E-2</v>
      </c>
      <c r="P65" s="147">
        <v>1.1542432289715051E-2</v>
      </c>
      <c r="Q65" s="147">
        <v>1.6603581640678777E-2</v>
      </c>
      <c r="R65" s="147">
        <v>1.41411800707059E-3</v>
      </c>
      <c r="S65" s="147">
        <v>1.5997801139980759E-2</v>
      </c>
      <c r="T65" s="147">
        <v>1.0497041111268635E-2</v>
      </c>
      <c r="U65" s="147">
        <v>2.5535917040447543E-2</v>
      </c>
      <c r="V65" s="147">
        <v>1.9242100217435734E-2</v>
      </c>
      <c r="W65" s="147">
        <v>2.3028250154289276E-2</v>
      </c>
      <c r="X65" s="147">
        <v>1.9705830978359231E-2</v>
      </c>
      <c r="Y65" s="147">
        <v>0</v>
      </c>
      <c r="Z65" s="147">
        <v>0</v>
      </c>
      <c r="AA65" s="147">
        <v>0</v>
      </c>
      <c r="AB65" s="147">
        <v>0</v>
      </c>
      <c r="AC65" s="147">
        <v>0</v>
      </c>
      <c r="AD65" s="147">
        <v>0</v>
      </c>
      <c r="AE65" s="147">
        <v>0</v>
      </c>
      <c r="AF65" s="147">
        <v>0</v>
      </c>
      <c r="AG65" s="147">
        <v>0</v>
      </c>
      <c r="AH65" s="147">
        <v>0</v>
      </c>
      <c r="AI65" s="147">
        <v>0</v>
      </c>
      <c r="AJ65" s="147">
        <v>0</v>
      </c>
      <c r="AK65" s="147">
        <v>0</v>
      </c>
      <c r="AL65" s="147">
        <v>5.8768756764645623E-2</v>
      </c>
      <c r="AM65" s="147">
        <v>0</v>
      </c>
      <c r="AN65" s="147">
        <v>2.6290351452677364E-2</v>
      </c>
      <c r="AO65" s="147">
        <v>4.7632979880917548E-3</v>
      </c>
      <c r="AP65" s="147">
        <v>0</v>
      </c>
      <c r="AQ65" s="147">
        <v>2.7059660665924579E-3</v>
      </c>
      <c r="AR65" s="147">
        <v>3.242566092334585E-3</v>
      </c>
      <c r="AS65" s="147">
        <v>0</v>
      </c>
      <c r="AT65" s="147">
        <v>0</v>
      </c>
      <c r="AU65" s="147">
        <v>1.5138799262153002E-2</v>
      </c>
      <c r="AV65" s="147">
        <v>2.6521157444305572E-2</v>
      </c>
      <c r="AW65" s="147">
        <v>0</v>
      </c>
      <c r="AX65" s="147">
        <v>0</v>
      </c>
      <c r="AY65" s="147">
        <v>9.5921395164830757E-4</v>
      </c>
      <c r="AZ65" s="147">
        <v>0</v>
      </c>
      <c r="BA65" s="147">
        <v>0</v>
      </c>
      <c r="BB65" s="147">
        <v>6.7746179085426579E-3</v>
      </c>
      <c r="BC65" s="147">
        <v>0</v>
      </c>
      <c r="BD65" s="147">
        <v>0</v>
      </c>
      <c r="BE65" s="147">
        <v>0</v>
      </c>
      <c r="BF65" s="147">
        <v>0</v>
      </c>
      <c r="BG65" s="147">
        <v>0</v>
      </c>
      <c r="BH65" s="147">
        <v>0</v>
      </c>
      <c r="BI65" s="147">
        <v>0</v>
      </c>
      <c r="BJ65" s="147">
        <v>0</v>
      </c>
      <c r="BK65" s="147">
        <v>0</v>
      </c>
      <c r="BL65" s="147">
        <v>0</v>
      </c>
      <c r="BM65" s="147">
        <v>0</v>
      </c>
      <c r="BN65" s="147">
        <v>0</v>
      </c>
      <c r="BO65" s="147">
        <v>0</v>
      </c>
      <c r="BP65" s="147">
        <v>0</v>
      </c>
      <c r="BQ65" s="147">
        <v>0</v>
      </c>
      <c r="BR65" s="147">
        <v>0</v>
      </c>
      <c r="BS65" s="147">
        <v>0</v>
      </c>
      <c r="BT65" s="147">
        <v>0</v>
      </c>
      <c r="BU65" s="147">
        <v>0</v>
      </c>
      <c r="BV65" s="147">
        <v>0</v>
      </c>
      <c r="BW65" s="147">
        <v>0</v>
      </c>
      <c r="BX65" s="147">
        <v>0</v>
      </c>
      <c r="BY65" s="147">
        <v>0</v>
      </c>
    </row>
    <row r="66" spans="1:77" x14ac:dyDescent="0.15">
      <c r="A66" s="182" t="s">
        <v>257</v>
      </c>
      <c r="B66" s="147">
        <v>3.388300000000001E-2</v>
      </c>
      <c r="C66" s="147">
        <v>2.2592041090414895E-2</v>
      </c>
      <c r="D66" s="147">
        <v>2.7326738308712833E-2</v>
      </c>
      <c r="E66" s="147">
        <v>1.1757042355963523E-2</v>
      </c>
      <c r="F66" s="147">
        <v>4.2926879729131388E-2</v>
      </c>
      <c r="G66" s="147">
        <v>6.1070810433602768E-2</v>
      </c>
      <c r="H66" s="147">
        <v>2.1927222867512121E-2</v>
      </c>
      <c r="I66" s="147">
        <v>1.7072284045150769E-2</v>
      </c>
      <c r="J66" s="147">
        <v>3.6119412735447796E-2</v>
      </c>
      <c r="K66" s="147">
        <v>2.2985700017009419E-2</v>
      </c>
      <c r="L66" s="147">
        <v>3.9709779448034062E-2</v>
      </c>
      <c r="M66" s="147">
        <v>4.1310980696916237E-3</v>
      </c>
      <c r="N66" s="147">
        <v>1.5255262388324463E-2</v>
      </c>
      <c r="O66" s="147">
        <v>2.4979978822481982E-2</v>
      </c>
      <c r="P66" s="147">
        <v>0.13156137230219048</v>
      </c>
      <c r="Q66" s="147">
        <v>1.3484189333036262E-2</v>
      </c>
      <c r="R66" s="147">
        <v>4.0137360200686797E-2</v>
      </c>
      <c r="S66" s="147">
        <v>1.5210279433089944E-2</v>
      </c>
      <c r="T66" s="147">
        <v>7.2208874665414063E-2</v>
      </c>
      <c r="U66" s="147">
        <v>8.8629660487463138E-2</v>
      </c>
      <c r="V66" s="147">
        <v>1.5973627780501997E-2</v>
      </c>
      <c r="W66" s="147">
        <v>4.9513820331742599E-2</v>
      </c>
      <c r="X66" s="147">
        <v>3.2489788107780346E-2</v>
      </c>
      <c r="Y66" s="147">
        <v>3.9776699876692224E-2</v>
      </c>
      <c r="Z66" s="147">
        <v>3.2402030197652379E-2</v>
      </c>
      <c r="AA66" s="147">
        <v>2.570397028017327E-2</v>
      </c>
      <c r="AB66" s="147">
        <v>1.921124010566182E-3</v>
      </c>
      <c r="AC66" s="147">
        <v>5.4747283724463865E-2</v>
      </c>
      <c r="AD66" s="147">
        <v>5.232689526860386E-2</v>
      </c>
      <c r="AE66" s="147">
        <v>4.3655600318685882E-4</v>
      </c>
      <c r="AF66" s="147">
        <v>9.8738729713657672E-2</v>
      </c>
      <c r="AG66" s="147">
        <v>3.128202690374312E-2</v>
      </c>
      <c r="AH66" s="147">
        <v>9.1781400679182381E-4</v>
      </c>
      <c r="AI66" s="147">
        <v>6.1222088573431206E-2</v>
      </c>
      <c r="AJ66" s="147">
        <v>1.4370730113959891E-3</v>
      </c>
      <c r="AK66" s="147">
        <v>3.7406765672449716E-2</v>
      </c>
      <c r="AL66" s="147">
        <v>0.21936687824130352</v>
      </c>
      <c r="AM66" s="147">
        <v>2.5797559837475378E-2</v>
      </c>
      <c r="AN66" s="147">
        <v>3.5234864736577241E-2</v>
      </c>
      <c r="AO66" s="147">
        <v>4.3547246491131883E-2</v>
      </c>
      <c r="AP66" s="147">
        <v>4.7372040789220526E-2</v>
      </c>
      <c r="AQ66" s="147">
        <v>0.10563098236453734</v>
      </c>
      <c r="AR66" s="147">
        <v>3.2103870638842187E-2</v>
      </c>
      <c r="AS66" s="147">
        <v>2.2802172311730651E-2</v>
      </c>
      <c r="AT66" s="147">
        <v>2.6015519891038889E-2</v>
      </c>
      <c r="AU66" s="147">
        <v>4.1989839895025402E-2</v>
      </c>
      <c r="AV66" s="147">
        <v>3.0380989936199924E-2</v>
      </c>
      <c r="AW66" s="147">
        <v>2.9119145094176169E-2</v>
      </c>
      <c r="AX66" s="147">
        <v>4.0154848510055997E-2</v>
      </c>
      <c r="AY66" s="147">
        <v>3.5065109053263911E-2</v>
      </c>
      <c r="AZ66" s="147">
        <v>2.3095128722593013E-2</v>
      </c>
      <c r="BA66" s="147">
        <v>3.9455080434985877E-2</v>
      </c>
      <c r="BB66" s="147">
        <v>7.0685489045745897E-2</v>
      </c>
      <c r="BC66" s="147">
        <v>2.9956151921140043E-2</v>
      </c>
      <c r="BD66" s="147">
        <v>3.9302404772046058E-2</v>
      </c>
      <c r="BE66" s="147">
        <v>0</v>
      </c>
      <c r="BF66" s="147">
        <v>5.463999569011195E-2</v>
      </c>
      <c r="BG66" s="147">
        <v>6.4696480297603803E-2</v>
      </c>
      <c r="BH66" s="147">
        <v>7.3818764965158615E-2</v>
      </c>
      <c r="BI66" s="147">
        <v>4.0173923059795731E-2</v>
      </c>
      <c r="BJ66" s="147">
        <v>0</v>
      </c>
      <c r="BK66" s="147">
        <v>0</v>
      </c>
      <c r="BL66" s="147">
        <v>0</v>
      </c>
      <c r="BM66" s="147">
        <v>0</v>
      </c>
      <c r="BN66" s="147">
        <v>1.8269049908654751E-2</v>
      </c>
      <c r="BO66" s="147">
        <v>0</v>
      </c>
      <c r="BP66" s="147">
        <v>1.9993198880380864E-4</v>
      </c>
      <c r="BQ66" s="147">
        <v>0</v>
      </c>
      <c r="BR66" s="147">
        <v>2.305365039191206E-3</v>
      </c>
      <c r="BS66" s="147">
        <v>0</v>
      </c>
      <c r="BT66" s="147">
        <v>0</v>
      </c>
      <c r="BU66" s="147">
        <v>0</v>
      </c>
      <c r="BV66" s="147">
        <v>0</v>
      </c>
      <c r="BW66" s="147">
        <v>0</v>
      </c>
      <c r="BX66" s="147">
        <v>0</v>
      </c>
      <c r="BY66" s="147">
        <v>0</v>
      </c>
    </row>
    <row r="67" spans="1:77" x14ac:dyDescent="0.15">
      <c r="A67" s="182" t="s">
        <v>258</v>
      </c>
      <c r="B67" s="147">
        <v>2.6426000000000005E-2</v>
      </c>
      <c r="C67" s="147">
        <v>2.4125458480011283E-2</v>
      </c>
      <c r="D67" s="147">
        <v>1.9848523561060337E-2</v>
      </c>
      <c r="E67" s="147">
        <v>1.2532984859657011E-2</v>
      </c>
      <c r="F67" s="147">
        <v>1.1586114726891614E-2</v>
      </c>
      <c r="G67" s="147">
        <v>1.8269963729716746E-2</v>
      </c>
      <c r="H67" s="147">
        <v>1.36047295659777E-2</v>
      </c>
      <c r="I67" s="147">
        <v>6.0440668035678293E-3</v>
      </c>
      <c r="J67" s="147">
        <v>2.9514300110678626E-2</v>
      </c>
      <c r="K67" s="147">
        <v>2.4328511218003095E-2</v>
      </c>
      <c r="L67" s="147">
        <v>6.5626679087789153E-3</v>
      </c>
      <c r="M67" s="147">
        <v>1.8164640306437482E-3</v>
      </c>
      <c r="N67" s="147">
        <v>1.380196336085711E-2</v>
      </c>
      <c r="O67" s="147">
        <v>9.1174450082057001E-3</v>
      </c>
      <c r="P67" s="147">
        <v>1.0420852561563399E-2</v>
      </c>
      <c r="Q67" s="147">
        <v>1.6487594740394608E-2</v>
      </c>
      <c r="R67" s="147">
        <v>2.4824673424123367E-2</v>
      </c>
      <c r="S67" s="147">
        <v>5.2295208457583071E-2</v>
      </c>
      <c r="T67" s="147">
        <v>4.3478260460869556E-2</v>
      </c>
      <c r="U67" s="147">
        <v>2.342492542883709E-2</v>
      </c>
      <c r="V67" s="147">
        <v>0.11260355427242016</v>
      </c>
      <c r="W67" s="147">
        <v>3.5593875038478967E-2</v>
      </c>
      <c r="X67" s="147">
        <v>4.2899111819025455E-2</v>
      </c>
      <c r="Y67" s="147">
        <v>0.14018629956542247</v>
      </c>
      <c r="Z67" s="147">
        <v>6.5550360399857191E-2</v>
      </c>
      <c r="AA67" s="147">
        <v>2.7279440297345893E-2</v>
      </c>
      <c r="AB67" s="147">
        <v>0.12861417270737796</v>
      </c>
      <c r="AC67" s="147">
        <v>6.6593080273031624E-2</v>
      </c>
      <c r="AD67" s="147">
        <v>5.0125359969924781E-2</v>
      </c>
      <c r="AE67" s="147">
        <v>0.11867157486630249</v>
      </c>
      <c r="AF67" s="147">
        <v>2.2722208834105594E-2</v>
      </c>
      <c r="AG67" s="147">
        <v>3.627142070003842E-3</v>
      </c>
      <c r="AH67" s="147">
        <v>0.20813991254023539</v>
      </c>
      <c r="AI67" s="147">
        <v>0.11847175888370094</v>
      </c>
      <c r="AJ67" s="147">
        <v>2.5884317405262636E-2</v>
      </c>
      <c r="AK67" s="147">
        <v>9.3360101927886116E-2</v>
      </c>
      <c r="AL67" s="147">
        <v>5.3440170058784181E-2</v>
      </c>
      <c r="AM67" s="147">
        <v>2.8975544317454072E-2</v>
      </c>
      <c r="AN67" s="147">
        <v>4.0800709926558716E-2</v>
      </c>
      <c r="AO67" s="147">
        <v>3.7257579906856048E-2</v>
      </c>
      <c r="AP67" s="147">
        <v>0.12996586635822693</v>
      </c>
      <c r="AQ67" s="147">
        <v>2.8944191269220352E-2</v>
      </c>
      <c r="AR67" s="147">
        <v>4.5173874376120061E-2</v>
      </c>
      <c r="AS67" s="147">
        <v>4.6095150225866244E-2</v>
      </c>
      <c r="AT67" s="147">
        <v>7.2636658495408249E-2</v>
      </c>
      <c r="AU67" s="147">
        <v>2.019312414951719E-2</v>
      </c>
      <c r="AV67" s="147">
        <v>3.6577339923187589E-2</v>
      </c>
      <c r="AW67" s="147">
        <v>5.2495839989500831E-2</v>
      </c>
      <c r="AX67" s="147">
        <v>7.3075102876794765E-2</v>
      </c>
      <c r="AY67" s="147">
        <v>5.9647417487070739E-2</v>
      </c>
      <c r="AZ67" s="147">
        <v>7.0737117236853345E-2</v>
      </c>
      <c r="BA67" s="147">
        <v>8.977996680347694E-2</v>
      </c>
      <c r="BB67" s="147">
        <v>8.9747438788409573E-2</v>
      </c>
      <c r="BC67" s="147">
        <v>5.730579851004923E-2</v>
      </c>
      <c r="BD67" s="147">
        <v>4.5227221837682123E-2</v>
      </c>
      <c r="BE67" s="147">
        <v>4.804285231832716E-2</v>
      </c>
      <c r="BF67" s="147">
        <v>5.7527576221297824E-2</v>
      </c>
      <c r="BG67" s="147">
        <v>0</v>
      </c>
      <c r="BH67" s="147">
        <v>8.2976969286398056E-2</v>
      </c>
      <c r="BI67" s="147">
        <v>4.6671160325505376E-2</v>
      </c>
      <c r="BJ67" s="147">
        <v>0</v>
      </c>
      <c r="BK67" s="147">
        <v>5.9740839737140311E-2</v>
      </c>
      <c r="BL67" s="147">
        <v>0</v>
      </c>
      <c r="BM67" s="147">
        <v>6.0883592428610078E-2</v>
      </c>
      <c r="BN67" s="147">
        <v>0</v>
      </c>
      <c r="BO67" s="147">
        <v>0</v>
      </c>
      <c r="BP67" s="147">
        <v>2.619103853330184E-2</v>
      </c>
      <c r="BQ67" s="147">
        <v>0</v>
      </c>
      <c r="BR67" s="147">
        <v>0</v>
      </c>
      <c r="BS67" s="147">
        <v>0</v>
      </c>
      <c r="BT67" s="147">
        <v>0</v>
      </c>
      <c r="BU67" s="147">
        <v>0</v>
      </c>
      <c r="BV67" s="147">
        <v>0</v>
      </c>
      <c r="BW67" s="147">
        <v>0</v>
      </c>
      <c r="BX67" s="147">
        <v>0</v>
      </c>
      <c r="BY67" s="147">
        <v>0</v>
      </c>
    </row>
    <row r="68" spans="1:77" x14ac:dyDescent="0.15">
      <c r="A68" s="182" t="s">
        <v>259</v>
      </c>
      <c r="B68" s="147">
        <v>2.1490000000000002E-2</v>
      </c>
      <c r="C68" s="147">
        <v>2.2030667748012073E-2</v>
      </c>
      <c r="D68" s="147">
        <v>0.2362176163464767</v>
      </c>
      <c r="E68" s="147">
        <v>1.2124362457711967E-2</v>
      </c>
      <c r="F68" s="147">
        <v>1.040091263437024E-2</v>
      </c>
      <c r="G68" s="147">
        <v>4.6077640327151254E-2</v>
      </c>
      <c r="H68" s="147">
        <v>1.12770164375796E-2</v>
      </c>
      <c r="I68" s="147">
        <v>6.013729804553781E-3</v>
      </c>
      <c r="J68" s="147">
        <v>3.1990360119963854E-2</v>
      </c>
      <c r="K68" s="147">
        <v>0.24217794817921168</v>
      </c>
      <c r="L68" s="147">
        <v>7.4832278959831317E-3</v>
      </c>
      <c r="M68" s="147">
        <v>1.7874140301536747E-3</v>
      </c>
      <c r="N68" s="147">
        <v>7.9104761495080011E-3</v>
      </c>
      <c r="O68" s="147">
        <v>9.0734030081660623E-3</v>
      </c>
      <c r="P68" s="147">
        <v>9.9521452497988473E-3</v>
      </c>
      <c r="Q68" s="147">
        <v>1.3076066032036362E-2</v>
      </c>
      <c r="R68" s="147">
        <v>2.108255010541275E-2</v>
      </c>
      <c r="S68" s="147">
        <v>0.20169851376486198</v>
      </c>
      <c r="T68" s="147">
        <v>0</v>
      </c>
      <c r="U68" s="147">
        <v>1.7804233497923285E-2</v>
      </c>
      <c r="V68" s="147">
        <v>1.2064667536330743E-2</v>
      </c>
      <c r="W68" s="147">
        <v>1.6601985411233304E-2</v>
      </c>
      <c r="X68" s="147">
        <v>4.4978852925370648E-2</v>
      </c>
      <c r="Y68" s="147">
        <v>3.3500242896149245E-2</v>
      </c>
      <c r="Z68" s="147">
        <v>3.3215042402611757E-2</v>
      </c>
      <c r="AA68" s="147">
        <v>3.5439930386295233E-2</v>
      </c>
      <c r="AB68" s="147">
        <v>0.15312421384218319</v>
      </c>
      <c r="AC68" s="147">
        <v>6.3804610261598907E-2</v>
      </c>
      <c r="AD68" s="147">
        <v>4.9546346070272189E-2</v>
      </c>
      <c r="AE68" s="147">
        <v>7.6833800560886737E-3</v>
      </c>
      <c r="AF68" s="147">
        <v>6.2330569819241347E-3</v>
      </c>
      <c r="AG68" s="147">
        <v>3.1903740615742198E-3</v>
      </c>
      <c r="AH68" s="147">
        <v>8.7702270648996813E-3</v>
      </c>
      <c r="AI68" s="147">
        <v>8.9262741419277564E-2</v>
      </c>
      <c r="AJ68" s="147">
        <v>1.07645900853632E-3</v>
      </c>
      <c r="AK68" s="147">
        <v>0.13852590286055991</v>
      </c>
      <c r="AL68" s="147">
        <v>6.870647007557712E-2</v>
      </c>
      <c r="AM68" s="147">
        <v>0.10347782034808975</v>
      </c>
      <c r="AN68" s="147">
        <v>5.2807144704947129E-2</v>
      </c>
      <c r="AO68" s="147">
        <v>4.5480914286297719E-2</v>
      </c>
      <c r="AP68" s="147">
        <v>3.8155508635941179E-2</v>
      </c>
      <c r="AQ68" s="147">
        <v>9.5006891204441557E-2</v>
      </c>
      <c r="AR68" s="147">
        <v>6.6822625526531038E-2</v>
      </c>
      <c r="AS68" s="147">
        <v>6.0685634897359626E-2</v>
      </c>
      <c r="AT68" s="147">
        <v>2.9327488076052122E-2</v>
      </c>
      <c r="AU68" s="147">
        <v>1.5366619461583452E-2</v>
      </c>
      <c r="AV68" s="147">
        <v>3.1050559934793828E-2</v>
      </c>
      <c r="AW68" s="147">
        <v>6.2967209987406556E-2</v>
      </c>
      <c r="AX68" s="147">
        <v>6.6995814577718429E-2</v>
      </c>
      <c r="AY68" s="147">
        <v>4.7671663466447724E-2</v>
      </c>
      <c r="AZ68" s="147">
        <v>9.768217549858027E-2</v>
      </c>
      <c r="BA68" s="147">
        <v>6.1214193686839322E-2</v>
      </c>
      <c r="BB68" s="147">
        <v>7.9729764623648169E-2</v>
      </c>
      <c r="BC68" s="147">
        <v>8.3125547838735755E-2</v>
      </c>
      <c r="BD68" s="147">
        <v>4.658324612981718E-2</v>
      </c>
      <c r="BE68" s="147">
        <v>4.837620251776046E-2</v>
      </c>
      <c r="BF68" s="147">
        <v>5.6730174112685883E-2</v>
      </c>
      <c r="BG68" s="147">
        <v>0</v>
      </c>
      <c r="BH68" s="147">
        <v>0</v>
      </c>
      <c r="BI68" s="147">
        <v>4.9845898885459379E-2</v>
      </c>
      <c r="BJ68" s="147">
        <v>0</v>
      </c>
      <c r="BK68" s="147">
        <v>5.8532539742456834E-2</v>
      </c>
      <c r="BL68" s="147">
        <v>0</v>
      </c>
      <c r="BM68" s="147">
        <v>0</v>
      </c>
      <c r="BN68" s="147">
        <v>0</v>
      </c>
      <c r="BO68" s="147">
        <v>0</v>
      </c>
      <c r="BP68" s="147">
        <v>2.0992808824402708E-2</v>
      </c>
      <c r="BQ68" s="147">
        <v>0</v>
      </c>
      <c r="BR68" s="147">
        <v>0</v>
      </c>
      <c r="BS68" s="147">
        <v>0</v>
      </c>
      <c r="BT68" s="147">
        <v>0</v>
      </c>
      <c r="BU68" s="147">
        <v>0</v>
      </c>
      <c r="BV68" s="147">
        <v>0</v>
      </c>
      <c r="BW68" s="147">
        <v>0</v>
      </c>
      <c r="BX68" s="147">
        <v>0</v>
      </c>
      <c r="BY68" s="147">
        <v>0</v>
      </c>
    </row>
    <row r="69" spans="1:77" x14ac:dyDescent="0.15">
      <c r="A69" s="182" t="s">
        <v>260</v>
      </c>
      <c r="B69" s="147">
        <v>0</v>
      </c>
      <c r="C69" s="147">
        <v>3.7223914078000679E-2</v>
      </c>
      <c r="D69" s="147">
        <v>0.28828611798199716</v>
      </c>
      <c r="E69" s="147">
        <v>0</v>
      </c>
      <c r="F69" s="147">
        <v>1.5146265604427063E-2</v>
      </c>
      <c r="G69" s="147">
        <v>1.5117190907332058E-2</v>
      </c>
      <c r="H69" s="147">
        <v>1.467541897904011E-2</v>
      </c>
      <c r="I69" s="147">
        <v>1.3657343156136348E-2</v>
      </c>
      <c r="J69" s="147">
        <v>3.3481600125556003E-2</v>
      </c>
      <c r="K69" s="147">
        <v>2.59210821191816E-2</v>
      </c>
      <c r="L69" s="147">
        <v>6.6664439073364293E-3</v>
      </c>
      <c r="M69" s="147">
        <v>2.9860270503742764E-3</v>
      </c>
      <c r="N69" s="147">
        <v>9.6988001833073264E-3</v>
      </c>
      <c r="O69" s="147">
        <v>1.1982680010784412E-2</v>
      </c>
      <c r="P69" s="147">
        <v>0</v>
      </c>
      <c r="Q69" s="147">
        <v>2.406823645896718E-2</v>
      </c>
      <c r="R69" s="147">
        <v>2.0195381800976908E-2</v>
      </c>
      <c r="S69" s="147">
        <v>2.0032280175282451E-2</v>
      </c>
      <c r="T69" s="147">
        <v>0</v>
      </c>
      <c r="U69" s="147">
        <v>0</v>
      </c>
      <c r="V69" s="147">
        <v>0</v>
      </c>
      <c r="W69" s="147">
        <v>0</v>
      </c>
      <c r="X69" s="147">
        <v>5.4024058575614188E-2</v>
      </c>
      <c r="Y69" s="147">
        <v>0</v>
      </c>
      <c r="Z69" s="147">
        <v>2.7535670167967586E-2</v>
      </c>
      <c r="AA69" s="147">
        <v>2.5125501973867967E-2</v>
      </c>
      <c r="AB69" s="147">
        <v>3.0737985069058921E-2</v>
      </c>
      <c r="AC69" s="147">
        <v>2.6928847810408277E-2</v>
      </c>
      <c r="AD69" s="147">
        <v>9.9989999940005994E-5</v>
      </c>
      <c r="AE69" s="147">
        <v>0</v>
      </c>
      <c r="AF69" s="147">
        <v>0</v>
      </c>
      <c r="AG69" s="147">
        <v>3.0252170583866893E-3</v>
      </c>
      <c r="AH69" s="147">
        <v>0</v>
      </c>
      <c r="AI69" s="147">
        <v>2.3367200371538483E-4</v>
      </c>
      <c r="AJ69" s="147">
        <v>0.10064228679809333</v>
      </c>
      <c r="AK69" s="147">
        <v>0</v>
      </c>
      <c r="AL69" s="147">
        <v>4.4341314648775443E-2</v>
      </c>
      <c r="AM69" s="147">
        <v>4.299584752912617E-2</v>
      </c>
      <c r="AN69" s="147">
        <v>3.8029316731547219E-2</v>
      </c>
      <c r="AO69" s="147">
        <v>6.1174979847062549E-2</v>
      </c>
      <c r="AP69" s="147">
        <v>7.8949686612053149E-2</v>
      </c>
      <c r="AQ69" s="147">
        <v>4.1630904220173813E-2</v>
      </c>
      <c r="AR69" s="147">
        <v>1.322111257179419E-2</v>
      </c>
      <c r="AS69" s="147">
        <v>4.5083480220909064E-2</v>
      </c>
      <c r="AT69" s="147">
        <v>4.4356194420260987E-2</v>
      </c>
      <c r="AU69" s="147">
        <v>2.4382285739044288E-2</v>
      </c>
      <c r="AV69" s="147">
        <v>1.2730046173266903E-2</v>
      </c>
      <c r="AW69" s="147">
        <v>3.2968632893406277E-2</v>
      </c>
      <c r="AX69" s="147">
        <v>0.12896103011132604</v>
      </c>
      <c r="AY69" s="147">
        <v>0.10184884889122794</v>
      </c>
      <c r="AZ69" s="147">
        <v>3.5649391916872462E-2</v>
      </c>
      <c r="BA69" s="147">
        <v>9.1668903622165024E-2</v>
      </c>
      <c r="BB69" s="147">
        <v>0.11919566839085848</v>
      </c>
      <c r="BC69" s="147">
        <v>0.10211013734513641</v>
      </c>
      <c r="BD69" s="147">
        <v>0.13563151621333724</v>
      </c>
      <c r="BE69" s="147">
        <v>0.24510015458332973</v>
      </c>
      <c r="BF69" s="147">
        <v>8.3852100905602689E-2</v>
      </c>
      <c r="BG69" s="147">
        <v>0</v>
      </c>
      <c r="BH69" s="147">
        <v>0</v>
      </c>
      <c r="BI69" s="147">
        <v>0.11239629988981355</v>
      </c>
      <c r="BJ69" s="147">
        <v>0</v>
      </c>
      <c r="BK69" s="147">
        <v>9.3423723788935625E-2</v>
      </c>
      <c r="BL69" s="147">
        <v>0</v>
      </c>
      <c r="BM69" s="147">
        <v>0.17296719894490006</v>
      </c>
      <c r="BN69" s="147">
        <v>0</v>
      </c>
      <c r="BO69" s="147">
        <v>2.5500000000000002E-2</v>
      </c>
      <c r="BP69" s="147">
        <v>0</v>
      </c>
      <c r="BQ69" s="147">
        <v>0</v>
      </c>
      <c r="BR69" s="147">
        <v>0.10090410171536973</v>
      </c>
      <c r="BS69" s="147">
        <v>0</v>
      </c>
      <c r="BT69" s="147">
        <v>0</v>
      </c>
      <c r="BU69" s="147">
        <v>0</v>
      </c>
      <c r="BV69" s="147">
        <v>0</v>
      </c>
      <c r="BW69" s="147">
        <v>0</v>
      </c>
      <c r="BX69" s="147">
        <v>0</v>
      </c>
      <c r="BY69" s="147">
        <v>0</v>
      </c>
    </row>
    <row r="70" spans="1:77" x14ac:dyDescent="0.15">
      <c r="A70" s="182" t="s">
        <v>261</v>
      </c>
      <c r="B70" s="147">
        <v>2.6600000000000002E-2</v>
      </c>
      <c r="C70" s="147">
        <v>3.6711361095629204E-2</v>
      </c>
      <c r="D70" s="147">
        <v>6.8127333623108674E-2</v>
      </c>
      <c r="E70" s="147">
        <v>1.4698972969967113E-2</v>
      </c>
      <c r="F70" s="147">
        <v>2.4774359843673786E-2</v>
      </c>
      <c r="G70" s="147">
        <v>6.342339045030608E-2</v>
      </c>
      <c r="H70" s="147">
        <v>2.5418550310106317E-2</v>
      </c>
      <c r="I70" s="147">
        <v>1.1732819618683362E-2</v>
      </c>
      <c r="J70" s="147">
        <v>5.0422538289084516E-2</v>
      </c>
      <c r="K70" s="147">
        <v>6.8174800050449347E-2</v>
      </c>
      <c r="L70" s="147">
        <v>1.6032932077142244E-2</v>
      </c>
      <c r="M70" s="147">
        <v>2.5740510434242407E-3</v>
      </c>
      <c r="N70" s="147">
        <v>1.7701610334560438E-2</v>
      </c>
      <c r="O70" s="147">
        <v>1.638254341474429E-2</v>
      </c>
      <c r="P70" s="147">
        <v>1.4763973070575724E-2</v>
      </c>
      <c r="Q70" s="147">
        <v>3.1521360077227327E-2</v>
      </c>
      <c r="R70" s="147">
        <v>2.592669252963346E-2</v>
      </c>
      <c r="S70" s="147">
        <v>6.5363560571931156E-2</v>
      </c>
      <c r="T70" s="147">
        <v>3.2215700341486426E-4</v>
      </c>
      <c r="U70" s="147">
        <v>2.5221433638717886E-2</v>
      </c>
      <c r="V70" s="147">
        <v>2.4129300272661094E-4</v>
      </c>
      <c r="W70" s="147">
        <v>2.397014016059994E-2</v>
      </c>
      <c r="X70" s="147">
        <v>0.10891420331954416</v>
      </c>
      <c r="Y70" s="147">
        <v>4.5722186458261219E-2</v>
      </c>
      <c r="Z70" s="147">
        <v>2.7598796568352655E-2</v>
      </c>
      <c r="AA70" s="147">
        <v>4.0331993739618724E-2</v>
      </c>
      <c r="AB70" s="147">
        <v>0.20546050113003275</v>
      </c>
      <c r="AC70" s="147">
        <v>0.13845516756766618</v>
      </c>
      <c r="AD70" s="147">
        <v>6.1496075163102348E-2</v>
      </c>
      <c r="AE70" s="147">
        <v>0.34903142154792938</v>
      </c>
      <c r="AF70" s="147">
        <v>0.19440054843623841</v>
      </c>
      <c r="AG70" s="147">
        <v>1.9647019379187478E-2</v>
      </c>
      <c r="AH70" s="147">
        <v>0.2793215240669793</v>
      </c>
      <c r="AI70" s="147">
        <v>0.61455760977146601</v>
      </c>
      <c r="AJ70" s="147">
        <v>0.43937504648424414</v>
      </c>
      <c r="AK70" s="147">
        <v>0.11714789541910405</v>
      </c>
      <c r="AL70" s="147">
        <v>5.9384120065322524E-2</v>
      </c>
      <c r="AM70" s="147">
        <v>6.7000723977895457E-2</v>
      </c>
      <c r="AN70" s="147">
        <v>9.7390346024697372E-2</v>
      </c>
      <c r="AO70" s="147">
        <v>6.2825369842936588E-2</v>
      </c>
      <c r="AP70" s="147">
        <v>0.13966823758875876</v>
      </c>
      <c r="AQ70" s="147">
        <v>9.5086631316383133E-2</v>
      </c>
      <c r="AR70" s="147">
        <v>6.6875865884294852E-2</v>
      </c>
      <c r="AS70" s="147">
        <v>5.2941784559414756E-2</v>
      </c>
      <c r="AT70" s="147">
        <v>6.7445852696690789E-2</v>
      </c>
      <c r="AU70" s="147">
        <v>3.702154370744614E-2</v>
      </c>
      <c r="AV70" s="147">
        <v>5.6954929880394647E-2</v>
      </c>
      <c r="AW70" s="147">
        <v>7.7902279984419551E-2</v>
      </c>
      <c r="AX70" s="147">
        <v>0.11163466301240862</v>
      </c>
      <c r="AY70" s="147">
        <v>0.14400517631645077</v>
      </c>
      <c r="AZ70" s="147">
        <v>0.11406883286174796</v>
      </c>
      <c r="BA70" s="147">
        <v>0.17114144676413595</v>
      </c>
      <c r="BB70" s="147">
        <v>0.16014492283804355</v>
      </c>
      <c r="BC70" s="147">
        <v>8.19788878685489E-2</v>
      </c>
      <c r="BD70" s="147">
        <v>0.10094883941449675</v>
      </c>
      <c r="BE70" s="147">
        <v>8.5941314553899764E-2</v>
      </c>
      <c r="BF70" s="147">
        <v>9.2790515202137561E-2</v>
      </c>
      <c r="BG70" s="147">
        <v>4.8522364523202875E-2</v>
      </c>
      <c r="BH70" s="147">
        <v>0.18988669836697439</v>
      </c>
      <c r="BI70" s="147">
        <v>0.11482819953665428</v>
      </c>
      <c r="BJ70" s="147">
        <v>7.7599704913037665E-2</v>
      </c>
      <c r="BK70" s="147">
        <v>0.12985768842862619</v>
      </c>
      <c r="BL70" s="147">
        <v>0.10485906795140933</v>
      </c>
      <c r="BM70" s="147">
        <v>9.9923339390467616E-2</v>
      </c>
      <c r="BN70" s="147">
        <v>0.2033334989833325</v>
      </c>
      <c r="BO70" s="147">
        <v>0.26520000000000005</v>
      </c>
      <c r="BP70" s="147">
        <v>0.2848024840510609</v>
      </c>
      <c r="BQ70" s="147">
        <v>8.9117704545002932E-4</v>
      </c>
      <c r="BR70" s="147">
        <v>0.11752780199797265</v>
      </c>
      <c r="BS70" s="147">
        <v>0</v>
      </c>
      <c r="BT70" s="147">
        <v>3.1597142117008523E-3</v>
      </c>
      <c r="BU70" s="147">
        <v>0</v>
      </c>
      <c r="BV70" s="147">
        <v>0</v>
      </c>
      <c r="BW70" s="147">
        <v>0</v>
      </c>
      <c r="BX70" s="147">
        <v>0</v>
      </c>
      <c r="BY70" s="147">
        <v>0</v>
      </c>
    </row>
    <row r="71" spans="1:77" x14ac:dyDescent="0.15">
      <c r="A71" s="182" t="s">
        <v>262</v>
      </c>
      <c r="B71" s="147">
        <v>2.6057000000000004E-2</v>
      </c>
      <c r="C71" s="147">
        <v>3.3245717013198665E-2</v>
      </c>
      <c r="D71" s="147">
        <v>2.8083702303414084E-2</v>
      </c>
      <c r="E71" s="147">
        <v>3.1015710147634786E-3</v>
      </c>
      <c r="F71" s="147">
        <v>1.3291018916133669E-2</v>
      </c>
      <c r="G71" s="147">
        <v>1.8556021331747757E-2</v>
      </c>
      <c r="H71" s="147">
        <v>4.0228650490789532E-3</v>
      </c>
      <c r="I71" s="147">
        <v>1.0914764045270168E-2</v>
      </c>
      <c r="J71" s="147">
        <v>3.7342365940033873E-2</v>
      </c>
      <c r="K71" s="147">
        <v>3.2792024324266096E-2</v>
      </c>
      <c r="L71" s="147">
        <v>1.1810206635838127E-2</v>
      </c>
      <c r="M71" s="147">
        <v>2.3712790400034771E-3</v>
      </c>
      <c r="N71" s="147">
        <v>1.5645044195691338E-2</v>
      </c>
      <c r="O71" s="147">
        <v>1.1085592209977032E-2</v>
      </c>
      <c r="P71" s="147">
        <v>1.4525245264583656E-2</v>
      </c>
      <c r="Q71" s="147">
        <v>2.2927770056173035E-2</v>
      </c>
      <c r="R71" s="147">
        <v>3.8751740193758696E-2</v>
      </c>
      <c r="S71" s="147">
        <v>4.9681430434712522E-3</v>
      </c>
      <c r="T71" s="147">
        <v>8.6956520921739111E-2</v>
      </c>
      <c r="U71" s="147">
        <v>2.6569357246131464E-2</v>
      </c>
      <c r="V71" s="147">
        <v>7.0135930792536022E-2</v>
      </c>
      <c r="W71" s="147">
        <v>7.8823400528116785E-3</v>
      </c>
      <c r="X71" s="147">
        <v>4.1603254969719179E-2</v>
      </c>
      <c r="Y71" s="147">
        <v>4.4184289863028699E-2</v>
      </c>
      <c r="Z71" s="147">
        <v>2.8408231373290203E-2</v>
      </c>
      <c r="AA71" s="147">
        <v>1.3643724048716589E-2</v>
      </c>
      <c r="AB71" s="147">
        <v>3.602316619812742E-2</v>
      </c>
      <c r="AC71" s="147">
        <v>1.868056887659033E-2</v>
      </c>
      <c r="AD71" s="147">
        <v>3.3157013380105786E-2</v>
      </c>
      <c r="AE71" s="147">
        <v>1.3969780101979392E-3</v>
      </c>
      <c r="AF71" s="147">
        <v>0</v>
      </c>
      <c r="AG71" s="147">
        <v>1.9647019379187478E-2</v>
      </c>
      <c r="AH71" s="147">
        <v>4.079180030185933E-4</v>
      </c>
      <c r="AI71" s="147">
        <v>9.3468801486153933E-4</v>
      </c>
      <c r="AJ71" s="147">
        <v>0</v>
      </c>
      <c r="AK71" s="147">
        <v>3.9517110816028343E-2</v>
      </c>
      <c r="AL71" s="147">
        <v>4.4341314648775443E-2</v>
      </c>
      <c r="AM71" s="147">
        <v>3.8134205859754508E-2</v>
      </c>
      <c r="AN71" s="147">
        <v>4.6767145315819131E-2</v>
      </c>
      <c r="AO71" s="147">
        <v>4.8912063077719843E-2</v>
      </c>
      <c r="AP71" s="147">
        <v>0.15313370564785811</v>
      </c>
      <c r="AQ71" s="147">
        <v>6.6438537862818975E-2</v>
      </c>
      <c r="AR71" s="147">
        <v>6.1691040970380723E-2</v>
      </c>
      <c r="AS71" s="147">
        <v>4.2870007710063045E-2</v>
      </c>
      <c r="AT71" s="147">
        <v>4.8085553081039727E-2</v>
      </c>
      <c r="AU71" s="147">
        <v>3.3247409916881472E-2</v>
      </c>
      <c r="AV71" s="147">
        <v>3.856107581902174E-2</v>
      </c>
      <c r="AW71" s="147">
        <v>3.9997063592000587E-2</v>
      </c>
      <c r="AX71" s="147">
        <v>0.12179453776309782</v>
      </c>
      <c r="AY71" s="147">
        <v>9.8113032596566771E-2</v>
      </c>
      <c r="AZ71" s="147">
        <v>4.1001023972326141E-2</v>
      </c>
      <c r="BA71" s="147">
        <v>0.10225843592172627</v>
      </c>
      <c r="BB71" s="147">
        <v>0.10066304264104892</v>
      </c>
      <c r="BC71" s="147">
        <v>7.2740488108747309E-2</v>
      </c>
      <c r="BD71" s="147">
        <v>0.11958589330640183</v>
      </c>
      <c r="BE71" s="147">
        <v>0.10388979982338735</v>
      </c>
      <c r="BF71" s="147">
        <v>0.16105505973939466</v>
      </c>
      <c r="BG71" s="147">
        <v>0.75239616946102239</v>
      </c>
      <c r="BH71" s="147">
        <v>0.32210016022993859</v>
      </c>
      <c r="BI71" s="147">
        <v>0.17209576891071462</v>
      </c>
      <c r="BJ71" s="147">
        <v>0.26985820213187978</v>
      </c>
      <c r="BK71" s="147">
        <v>0.18221004219827583</v>
      </c>
      <c r="BL71" s="147">
        <v>0.12718485172815147</v>
      </c>
      <c r="BM71" s="147">
        <v>0.32280409803089499</v>
      </c>
      <c r="BN71" s="147">
        <v>0.6316756968416215</v>
      </c>
      <c r="BO71" s="147">
        <v>0</v>
      </c>
      <c r="BP71" s="147">
        <v>0</v>
      </c>
      <c r="BQ71" s="147">
        <v>7.4264783787503976E-3</v>
      </c>
      <c r="BR71" s="147">
        <v>0</v>
      </c>
      <c r="BS71" s="147">
        <v>0.17757871775787179</v>
      </c>
      <c r="BT71" s="147">
        <v>0</v>
      </c>
      <c r="BU71" s="147">
        <v>0</v>
      </c>
      <c r="BV71" s="147">
        <v>0</v>
      </c>
      <c r="BW71" s="147">
        <v>0</v>
      </c>
      <c r="BX71" s="147">
        <v>0</v>
      </c>
      <c r="BY71" s="147">
        <v>0</v>
      </c>
    </row>
    <row r="72" spans="1:77" x14ac:dyDescent="0.15">
      <c r="A72" s="182" t="s">
        <v>263</v>
      </c>
      <c r="B72" s="147">
        <v>2.8497000000000005E-2</v>
      </c>
      <c r="C72" s="147">
        <v>4.588756854938604E-2</v>
      </c>
      <c r="D72" s="147">
        <v>3.3947922062364549E-2</v>
      </c>
      <c r="E72" s="147">
        <v>4.4137740210095644E-3</v>
      </c>
      <c r="F72" s="147">
        <v>1.8217695785046339E-2</v>
      </c>
      <c r="G72" s="147">
        <v>1.9881803641160808E-2</v>
      </c>
      <c r="H72" s="147">
        <v>1.7889878018256512E-2</v>
      </c>
      <c r="I72" s="147">
        <v>1.2085127207233365E-2</v>
      </c>
      <c r="J72" s="147">
        <v>6.123672822963773E-2</v>
      </c>
      <c r="K72" s="147">
        <v>4.984619003688618E-2</v>
      </c>
      <c r="L72" s="147">
        <v>1.15855036389615E-2</v>
      </c>
      <c r="M72" s="147">
        <v>2.5713140433780675E-3</v>
      </c>
      <c r="N72" s="147">
        <v>1.5837949099337244E-2</v>
      </c>
      <c r="O72" s="147">
        <v>6.3371760057034585E-3</v>
      </c>
      <c r="P72" s="147">
        <v>7.6985121932326567E-3</v>
      </c>
      <c r="Q72" s="147">
        <v>3.7601467292123596E-2</v>
      </c>
      <c r="R72" s="147">
        <v>4.8614815143074072E-2</v>
      </c>
      <c r="S72" s="147">
        <v>2.2761402899162272E-2</v>
      </c>
      <c r="T72" s="147">
        <v>0</v>
      </c>
      <c r="U72" s="147">
        <v>2.8709730157903516E-2</v>
      </c>
      <c r="V72" s="147">
        <v>6.434490072709739E-4</v>
      </c>
      <c r="W72" s="147">
        <v>2.7022555681051122E-2</v>
      </c>
      <c r="X72" s="147">
        <v>0.11553038871713987</v>
      </c>
      <c r="Y72" s="147">
        <v>7.2145275576349643E-2</v>
      </c>
      <c r="Z72" s="147">
        <v>4.7741893991225547E-2</v>
      </c>
      <c r="AA72" s="147">
        <v>4.39832848794178E-2</v>
      </c>
      <c r="AB72" s="147">
        <v>0.13429930873864621</v>
      </c>
      <c r="AC72" s="147">
        <v>0.1124610004610901</v>
      </c>
      <c r="AD72" s="147">
        <v>4.7184979971689009E-2</v>
      </c>
      <c r="AE72" s="147">
        <v>1.746220012747406E-4</v>
      </c>
      <c r="AF72" s="147">
        <v>0</v>
      </c>
      <c r="AG72" s="147">
        <v>2.7959218739612924E-2</v>
      </c>
      <c r="AH72" s="147">
        <v>9.1781400679182381E-4</v>
      </c>
      <c r="AI72" s="147">
        <v>2.3367210371538641E-3</v>
      </c>
      <c r="AJ72" s="147">
        <v>0.21431026069948036</v>
      </c>
      <c r="AK72" s="147">
        <v>5.6235888261271093E-2</v>
      </c>
      <c r="AL72" s="147">
        <v>4.5013744449515114E-2</v>
      </c>
      <c r="AM72" s="147">
        <v>5.2557985868884695E-2</v>
      </c>
      <c r="AN72" s="147">
        <v>7.1590125471137758E-2</v>
      </c>
      <c r="AO72" s="147">
        <v>7.0048489824878782E-2</v>
      </c>
      <c r="AP72" s="147">
        <v>0.1499123876270928</v>
      </c>
      <c r="AQ72" s="147">
        <v>0.10575812634408376</v>
      </c>
      <c r="AR72" s="147">
        <v>8.5833449999895325E-2</v>
      </c>
      <c r="AS72" s="147">
        <v>9.587081046976699E-2</v>
      </c>
      <c r="AT72" s="147">
        <v>5.7922220853448059E-2</v>
      </c>
      <c r="AU72" s="147">
        <v>3.0857307722856733E-2</v>
      </c>
      <c r="AV72" s="147">
        <v>5.8053609878087421E-2</v>
      </c>
      <c r="AW72" s="147">
        <v>5.4973869989005227E-2</v>
      </c>
      <c r="AX72" s="147">
        <v>0.15934953967881887</v>
      </c>
      <c r="AY72" s="147">
        <v>0.21554072682093545</v>
      </c>
      <c r="AZ72" s="147">
        <v>6.3087961362400719E-2</v>
      </c>
      <c r="BA72" s="147">
        <v>0.14480512447780228</v>
      </c>
      <c r="BB72" s="147">
        <v>0.1640725707850203</v>
      </c>
      <c r="BC72" s="147">
        <v>0.10676423922412975</v>
      </c>
      <c r="BD72" s="147">
        <v>0.15330474011083253</v>
      </c>
      <c r="BE72" s="147">
        <v>0.11509363380434083</v>
      </c>
      <c r="BF72" s="147">
        <v>0.11987883029469137</v>
      </c>
      <c r="BG72" s="147">
        <v>0</v>
      </c>
      <c r="BH72" s="147">
        <v>0.17907299845997221</v>
      </c>
      <c r="BI72" s="147">
        <v>0.16576782344044452</v>
      </c>
      <c r="BJ72" s="147">
        <v>8.7393850690411418E-2</v>
      </c>
      <c r="BK72" s="147">
        <v>0.12988972642848523</v>
      </c>
      <c r="BL72" s="147">
        <v>0.12604725273952747</v>
      </c>
      <c r="BM72" s="147">
        <v>0.10206066737742991</v>
      </c>
      <c r="BN72" s="147">
        <v>2.5494099872529499E-2</v>
      </c>
      <c r="BO72" s="147">
        <v>0.36310000000000003</v>
      </c>
      <c r="BP72" s="147">
        <v>0.60219386627714344</v>
      </c>
      <c r="BQ72" s="147">
        <v>1.9803941010000992E-3</v>
      </c>
      <c r="BR72" s="147">
        <v>0.10122850172088453</v>
      </c>
      <c r="BS72" s="147">
        <v>0</v>
      </c>
      <c r="BT72" s="147">
        <v>3.9051072616421864E-2</v>
      </c>
      <c r="BU72" s="147">
        <v>0</v>
      </c>
      <c r="BV72" s="147">
        <v>0</v>
      </c>
      <c r="BW72" s="147">
        <v>0</v>
      </c>
      <c r="BX72" s="147">
        <v>0</v>
      </c>
      <c r="BY72" s="147">
        <v>0</v>
      </c>
    </row>
    <row r="73" spans="1:77" x14ac:dyDescent="0.15">
      <c r="A73" s="182" t="s">
        <v>264</v>
      </c>
      <c r="B73" s="147">
        <v>2.0656000000000004E-2</v>
      </c>
      <c r="C73" s="147">
        <v>0</v>
      </c>
      <c r="D73" s="147">
        <v>2.1573932648982472E-2</v>
      </c>
      <c r="E73" s="147">
        <v>1.1589581155166407E-2</v>
      </c>
      <c r="F73" s="147">
        <v>0</v>
      </c>
      <c r="G73" s="147">
        <v>1.1942242384789923E-2</v>
      </c>
      <c r="H73" s="147">
        <v>9.015492109989004E-3</v>
      </c>
      <c r="I73" s="147">
        <v>5.4958828213838079E-3</v>
      </c>
      <c r="J73" s="147">
        <v>1.7405934665272252E-2</v>
      </c>
      <c r="K73" s="147">
        <v>1.6707822712363787E-2</v>
      </c>
      <c r="L73" s="147">
        <v>5.5148049233442117E-3</v>
      </c>
      <c r="M73" s="147">
        <v>1.5989590269744388E-3</v>
      </c>
      <c r="N73" s="147">
        <v>7.2099991362689856E-3</v>
      </c>
      <c r="O73" s="147">
        <v>8.6891050078201949E-3</v>
      </c>
      <c r="P73" s="147">
        <v>0</v>
      </c>
      <c r="Q73" s="147">
        <v>1.2003622029408873E-2</v>
      </c>
      <c r="R73" s="147">
        <v>0</v>
      </c>
      <c r="S73" s="147">
        <v>0</v>
      </c>
      <c r="T73" s="147">
        <v>0</v>
      </c>
      <c r="U73" s="147">
        <v>0</v>
      </c>
      <c r="V73" s="147">
        <v>0</v>
      </c>
      <c r="W73" s="147">
        <v>0</v>
      </c>
      <c r="X73" s="147">
        <v>1.8571569004676061E-2</v>
      </c>
      <c r="Y73" s="147">
        <v>3.0560478505262514E-2</v>
      </c>
      <c r="Z73" s="147">
        <v>0</v>
      </c>
      <c r="AA73" s="147">
        <v>0</v>
      </c>
      <c r="AB73" s="147">
        <v>0</v>
      </c>
      <c r="AC73" s="147">
        <v>0</v>
      </c>
      <c r="AD73" s="147">
        <v>0</v>
      </c>
      <c r="AE73" s="147">
        <v>0</v>
      </c>
      <c r="AF73" s="147">
        <v>0</v>
      </c>
      <c r="AG73" s="147">
        <v>0</v>
      </c>
      <c r="AH73" s="147">
        <v>0</v>
      </c>
      <c r="AI73" s="147">
        <v>0</v>
      </c>
      <c r="AJ73" s="147">
        <v>0</v>
      </c>
      <c r="AK73" s="147">
        <v>0</v>
      </c>
      <c r="AL73" s="147">
        <v>0</v>
      </c>
      <c r="AM73" s="147">
        <v>0</v>
      </c>
      <c r="AN73" s="147">
        <v>2.3358864657954038E-2</v>
      </c>
      <c r="AO73" s="147">
        <v>3.1765489920586275E-2</v>
      </c>
      <c r="AP73" s="147">
        <v>2.5808902612701915E-2</v>
      </c>
      <c r="AQ73" s="147">
        <v>1.7166461204570521E-2</v>
      </c>
      <c r="AR73" s="147">
        <v>2.8346760975487377E-2</v>
      </c>
      <c r="AS73" s="147">
        <v>2.1339444504563283E-2</v>
      </c>
      <c r="AT73" s="147">
        <v>2.9428308866554745E-2</v>
      </c>
      <c r="AU73" s="147">
        <v>1.3146853067132867E-2</v>
      </c>
      <c r="AV73" s="147">
        <v>2.3769384250084295E-2</v>
      </c>
      <c r="AW73" s="147">
        <v>0</v>
      </c>
      <c r="AX73" s="147">
        <v>3.2414175270413757E-2</v>
      </c>
      <c r="AY73" s="147">
        <v>4.038633870633361E-2</v>
      </c>
      <c r="AZ73" s="147">
        <v>2.2429044631243629E-2</v>
      </c>
      <c r="BA73" s="147">
        <v>4.6993967489798137E-2</v>
      </c>
      <c r="BB73" s="147">
        <v>0</v>
      </c>
      <c r="BC73" s="147">
        <v>2.6517517210544548E-2</v>
      </c>
      <c r="BD73" s="147">
        <v>8.4977045207133159E-2</v>
      </c>
      <c r="BE73" s="147">
        <v>0.12784059978267098</v>
      </c>
      <c r="BF73" s="147">
        <v>6.5488140707271922E-2</v>
      </c>
      <c r="BG73" s="147">
        <v>0</v>
      </c>
      <c r="BH73" s="147">
        <v>0</v>
      </c>
      <c r="BI73" s="147">
        <v>3.7111281851132605E-2</v>
      </c>
      <c r="BJ73" s="147">
        <v>6.1242390483814885E-2</v>
      </c>
      <c r="BK73" s="147">
        <v>5.3348533565266455E-2</v>
      </c>
      <c r="BL73" s="147">
        <v>0.11829146581708534</v>
      </c>
      <c r="BM73" s="147">
        <v>5.2633989678932659E-2</v>
      </c>
      <c r="BN73" s="147">
        <v>0</v>
      </c>
      <c r="BO73" s="147">
        <v>0.14960000000000004</v>
      </c>
      <c r="BP73" s="147">
        <v>9.999999440000032E-5</v>
      </c>
      <c r="BQ73" s="147">
        <v>0</v>
      </c>
      <c r="BR73" s="147">
        <v>0.13266700225533906</v>
      </c>
      <c r="BS73" s="147">
        <v>0</v>
      </c>
      <c r="BT73" s="147">
        <v>0</v>
      </c>
      <c r="BU73" s="147">
        <v>0</v>
      </c>
      <c r="BV73" s="147">
        <v>0</v>
      </c>
      <c r="BW73" s="147">
        <v>0</v>
      </c>
      <c r="BX73" s="147">
        <v>0</v>
      </c>
      <c r="BY73" s="147">
        <v>0</v>
      </c>
    </row>
    <row r="74" spans="1:77" x14ac:dyDescent="0.15">
      <c r="A74" s="182" t="s">
        <v>265</v>
      </c>
      <c r="B74" s="147">
        <v>0</v>
      </c>
      <c r="C74" s="147">
        <v>1.9380581569441974E-2</v>
      </c>
      <c r="D74" s="147">
        <v>1.8488885670577802E-2</v>
      </c>
      <c r="E74" s="147">
        <v>1.1589770055167307E-2</v>
      </c>
      <c r="F74" s="147">
        <v>9.2287869417663534E-3</v>
      </c>
      <c r="G74" s="147">
        <v>1.1945490084812981E-2</v>
      </c>
      <c r="H74" s="147">
        <v>9.1667521118343753E-3</v>
      </c>
      <c r="I74" s="147">
        <v>5.4274458236080103E-3</v>
      </c>
      <c r="J74" s="147">
        <v>1.7459366565472624E-2</v>
      </c>
      <c r="K74" s="147">
        <v>2.5382002818782681E-2</v>
      </c>
      <c r="L74" s="147">
        <v>5.3570579255368947E-3</v>
      </c>
      <c r="M74" s="147">
        <v>1.6150900272465687E-3</v>
      </c>
      <c r="N74" s="147">
        <v>0</v>
      </c>
      <c r="O74" s="147">
        <v>8.6886880078198194E-3</v>
      </c>
      <c r="P74" s="147">
        <v>9.0680702276085632E-3</v>
      </c>
      <c r="Q74" s="147">
        <v>1.0325172925296673E-2</v>
      </c>
      <c r="R74" s="147">
        <v>2.2723587313617934E-2</v>
      </c>
      <c r="S74" s="147">
        <v>0</v>
      </c>
      <c r="T74" s="147">
        <v>0</v>
      </c>
      <c r="U74" s="147">
        <v>1.6400385690202121E-2</v>
      </c>
      <c r="V74" s="147">
        <v>0</v>
      </c>
      <c r="W74" s="147">
        <v>0</v>
      </c>
      <c r="X74" s="147">
        <v>2.1448390516644433E-2</v>
      </c>
      <c r="Y74" s="147">
        <v>3.7688609883165303E-2</v>
      </c>
      <c r="Z74" s="147">
        <v>0</v>
      </c>
      <c r="AA74" s="147">
        <v>0</v>
      </c>
      <c r="AB74" s="147">
        <v>0</v>
      </c>
      <c r="AC74" s="147">
        <v>5.1781130212302635E-2</v>
      </c>
      <c r="AD74" s="147">
        <v>0</v>
      </c>
      <c r="AE74" s="147">
        <v>0.11501559683961385</v>
      </c>
      <c r="AF74" s="147">
        <v>2.838869991767277E-4</v>
      </c>
      <c r="AG74" s="147">
        <v>0</v>
      </c>
      <c r="AH74" s="147">
        <v>0</v>
      </c>
      <c r="AI74" s="147">
        <v>0</v>
      </c>
      <c r="AJ74" s="147">
        <v>0</v>
      </c>
      <c r="AK74" s="147">
        <v>0</v>
      </c>
      <c r="AL74" s="147">
        <v>0</v>
      </c>
      <c r="AM74" s="147">
        <v>0</v>
      </c>
      <c r="AN74" s="147">
        <v>0</v>
      </c>
      <c r="AO74" s="147">
        <v>0</v>
      </c>
      <c r="AP74" s="147">
        <v>0</v>
      </c>
      <c r="AQ74" s="147">
        <v>6.2877329322772194E-2</v>
      </c>
      <c r="AR74" s="147">
        <v>5.2179659449939297E-2</v>
      </c>
      <c r="AS74" s="147">
        <v>2.3043810112914676E-2</v>
      </c>
      <c r="AT74" s="147">
        <v>5.2650815024049717E-2</v>
      </c>
      <c r="AU74" s="147">
        <v>1.314799576713001E-2</v>
      </c>
      <c r="AV74" s="147">
        <v>2.4130564149325816E-2</v>
      </c>
      <c r="AW74" s="147">
        <v>2.7826193694434762E-2</v>
      </c>
      <c r="AX74" s="147">
        <v>3.6151469922719372E-2</v>
      </c>
      <c r="AY74" s="147">
        <v>8.2610802035889899E-2</v>
      </c>
      <c r="AZ74" s="147">
        <v>2.2262576158743191E-2</v>
      </c>
      <c r="BA74" s="147">
        <v>3.7441259751825204E-2</v>
      </c>
      <c r="BB74" s="147">
        <v>0</v>
      </c>
      <c r="BC74" s="147">
        <v>2.6475264911643107E-2</v>
      </c>
      <c r="BD74" s="147">
        <v>9.3392279458324789E-2</v>
      </c>
      <c r="BE74" s="147">
        <v>5.1002159913296333E-2</v>
      </c>
      <c r="BF74" s="147">
        <v>7.2865830786950983E-2</v>
      </c>
      <c r="BG74" s="147">
        <v>1.7571885180830672E-2</v>
      </c>
      <c r="BH74" s="147">
        <v>0</v>
      </c>
      <c r="BI74" s="147">
        <v>3.7119164358511418E-2</v>
      </c>
      <c r="BJ74" s="147">
        <v>0</v>
      </c>
      <c r="BK74" s="147">
        <v>5.7004829749178754E-2</v>
      </c>
      <c r="BL74" s="147">
        <v>0.13790914262090859</v>
      </c>
      <c r="BM74" s="147">
        <v>5.2633989678932659E-2</v>
      </c>
      <c r="BN74" s="147">
        <v>0</v>
      </c>
      <c r="BO74" s="147">
        <v>0</v>
      </c>
      <c r="BP74" s="147">
        <v>0</v>
      </c>
      <c r="BQ74" s="147">
        <v>0</v>
      </c>
      <c r="BR74" s="147">
        <v>7.8166871328836818E-2</v>
      </c>
      <c r="BS74" s="147">
        <v>0</v>
      </c>
      <c r="BT74" s="147">
        <v>0</v>
      </c>
      <c r="BU74" s="147">
        <v>0</v>
      </c>
      <c r="BV74" s="147">
        <v>0</v>
      </c>
      <c r="BW74" s="147">
        <v>0</v>
      </c>
      <c r="BX74" s="147">
        <v>0</v>
      </c>
      <c r="BY74" s="147">
        <v>0</v>
      </c>
    </row>
    <row r="75" spans="1:77" x14ac:dyDescent="0.15">
      <c r="A75" s="182" t="s">
        <v>266</v>
      </c>
      <c r="B75" s="147">
        <v>0</v>
      </c>
      <c r="C75" s="147">
        <v>0</v>
      </c>
      <c r="D75" s="147">
        <v>0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0</v>
      </c>
      <c r="Q75" s="147">
        <v>1.5125323137057041E-2</v>
      </c>
      <c r="R75" s="147">
        <v>0</v>
      </c>
      <c r="S75" s="147">
        <v>0</v>
      </c>
      <c r="T75" s="147">
        <v>0</v>
      </c>
      <c r="U75" s="147">
        <v>0</v>
      </c>
      <c r="V75" s="147">
        <v>0</v>
      </c>
      <c r="W75" s="147">
        <v>0</v>
      </c>
      <c r="X75" s="147">
        <v>0</v>
      </c>
      <c r="Y75" s="147">
        <v>0</v>
      </c>
      <c r="Z75" s="147">
        <v>0</v>
      </c>
      <c r="AA75" s="147">
        <v>0</v>
      </c>
      <c r="AB75" s="147">
        <v>0</v>
      </c>
      <c r="AC75" s="147">
        <v>0</v>
      </c>
      <c r="AD75" s="147">
        <v>0</v>
      </c>
      <c r="AE75" s="147">
        <v>0</v>
      </c>
      <c r="AF75" s="147">
        <v>0</v>
      </c>
      <c r="AG75" s="147">
        <v>0</v>
      </c>
      <c r="AH75" s="147">
        <v>0</v>
      </c>
      <c r="AI75" s="147">
        <v>0</v>
      </c>
      <c r="AJ75" s="147">
        <v>0</v>
      </c>
      <c r="AK75" s="147">
        <v>0</v>
      </c>
      <c r="AL75" s="147">
        <v>0</v>
      </c>
      <c r="AM75" s="147">
        <v>3.1168099803640978E-2</v>
      </c>
      <c r="AN75" s="147">
        <v>0</v>
      </c>
      <c r="AO75" s="147">
        <v>0</v>
      </c>
      <c r="AP75" s="147">
        <v>0</v>
      </c>
      <c r="AQ75" s="147">
        <v>2.3196247906572105E-2</v>
      </c>
      <c r="AR75" s="147">
        <v>2.8360956491104591E-2</v>
      </c>
      <c r="AS75" s="147">
        <v>2.6876334231694041E-2</v>
      </c>
      <c r="AT75" s="147">
        <v>5.3878039777930591E-2</v>
      </c>
      <c r="AU75" s="147">
        <v>0</v>
      </c>
      <c r="AV75" s="147">
        <v>0</v>
      </c>
      <c r="AW75" s="147">
        <v>3.4678829993064236E-2</v>
      </c>
      <c r="AX75" s="147">
        <v>7.3858516987409931E-2</v>
      </c>
      <c r="AY75" s="147">
        <v>5.2044235258704843E-2</v>
      </c>
      <c r="AZ75" s="147">
        <v>0</v>
      </c>
      <c r="BA75" s="147">
        <v>5.8727554445024921E-2</v>
      </c>
      <c r="BB75" s="147">
        <v>0</v>
      </c>
      <c r="BC75" s="147">
        <v>3.3836255820257344E-2</v>
      </c>
      <c r="BD75" s="147">
        <v>6.0320522250140986E-2</v>
      </c>
      <c r="BE75" s="147">
        <v>6.7749959884825073E-2</v>
      </c>
      <c r="BF75" s="147">
        <v>1.3700298147963219E-2</v>
      </c>
      <c r="BG75" s="147">
        <v>0</v>
      </c>
      <c r="BH75" s="147">
        <v>0</v>
      </c>
      <c r="BI75" s="147">
        <v>5.696660018337988E-2</v>
      </c>
      <c r="BJ75" s="147">
        <v>0.43531185743896367</v>
      </c>
      <c r="BK75" s="147">
        <v>0.1019516135514129</v>
      </c>
      <c r="BL75" s="147">
        <v>0.2276807107231929</v>
      </c>
      <c r="BM75" s="147">
        <v>8.4468654784741207E-2</v>
      </c>
      <c r="BN75" s="147">
        <v>0</v>
      </c>
      <c r="BO75" s="147">
        <v>0.12360000000000002</v>
      </c>
      <c r="BP75" s="147">
        <v>0</v>
      </c>
      <c r="BQ75" s="147">
        <v>0.51807112642162745</v>
      </c>
      <c r="BR75" s="147">
        <v>0.19498980331482665</v>
      </c>
      <c r="BS75" s="147">
        <v>0.71640127164012712</v>
      </c>
      <c r="BT75" s="147">
        <v>0.44448572978054385</v>
      </c>
      <c r="BU75" s="147">
        <v>0</v>
      </c>
      <c r="BV75" s="147">
        <v>0</v>
      </c>
      <c r="BW75" s="147">
        <v>0</v>
      </c>
      <c r="BX75" s="147">
        <v>0</v>
      </c>
      <c r="BY75" s="147">
        <v>0</v>
      </c>
    </row>
    <row r="76" spans="1:77" x14ac:dyDescent="0.15">
      <c r="A76" s="182" t="s">
        <v>267</v>
      </c>
      <c r="B76" s="147">
        <v>2.5423000000000005E-2</v>
      </c>
      <c r="C76" s="147">
        <v>7.5276531318287598E-2</v>
      </c>
      <c r="D76" s="147">
        <v>0</v>
      </c>
      <c r="E76" s="147">
        <v>1.6361394977880243E-2</v>
      </c>
      <c r="F76" s="147">
        <v>1.4444447008855539E-2</v>
      </c>
      <c r="G76" s="147">
        <v>2.8587313602969931E-2</v>
      </c>
      <c r="H76" s="147">
        <v>2.3419687785720192E-2</v>
      </c>
      <c r="I76" s="147">
        <v>1.0254369666732986E-2</v>
      </c>
      <c r="J76" s="147">
        <v>3.7746653141549943E-2</v>
      </c>
      <c r="K76" s="147">
        <v>3.4834343925777417E-2</v>
      </c>
      <c r="L76" s="147">
        <v>1.0701737251245852E-2</v>
      </c>
      <c r="M76" s="147">
        <v>1.0777770181820982E-3</v>
      </c>
      <c r="N76" s="147">
        <v>5.4986861039251688E-3</v>
      </c>
      <c r="O76" s="147">
        <v>1.3930377612537339E-2</v>
      </c>
      <c r="P76" s="147">
        <v>5.3799911350377776E-3</v>
      </c>
      <c r="Q76" s="147">
        <v>5.5943130137060669E-2</v>
      </c>
      <c r="R76" s="147">
        <v>1.0306497151532484E-2</v>
      </c>
      <c r="S76" s="147">
        <v>1.2779283411818729E-2</v>
      </c>
      <c r="T76" s="147">
        <v>0</v>
      </c>
      <c r="U76" s="147">
        <v>3.2985516081420335E-2</v>
      </c>
      <c r="V76" s="147">
        <v>0</v>
      </c>
      <c r="W76" s="147">
        <v>1.5227881402026805E-2</v>
      </c>
      <c r="X76" s="147">
        <v>0.12810136454794172</v>
      </c>
      <c r="Y76" s="147">
        <v>3.0678741504895902E-2</v>
      </c>
      <c r="Z76" s="147">
        <v>0</v>
      </c>
      <c r="AA76" s="147">
        <v>9.0909090990909075E-2</v>
      </c>
      <c r="AB76" s="147">
        <v>0</v>
      </c>
      <c r="AC76" s="147">
        <v>0</v>
      </c>
      <c r="AD76" s="147">
        <v>0.12479075792512553</v>
      </c>
      <c r="AE76" s="147">
        <v>0</v>
      </c>
      <c r="AF76" s="147">
        <v>0</v>
      </c>
      <c r="AG76" s="147">
        <v>0.32202962621517184</v>
      </c>
      <c r="AH76" s="147">
        <v>0</v>
      </c>
      <c r="AI76" s="147">
        <v>0</v>
      </c>
      <c r="AJ76" s="147">
        <v>1.7444044538331274E-2</v>
      </c>
      <c r="AK76" s="147">
        <v>1.9526344203219009E-2</v>
      </c>
      <c r="AL76" s="147">
        <v>2.0503427822553769E-2</v>
      </c>
      <c r="AM76" s="147">
        <v>5.0950969679008896E-2</v>
      </c>
      <c r="AN76" s="147">
        <v>2.7665603850201906E-2</v>
      </c>
      <c r="AO76" s="147">
        <v>6.8963309827591732E-2</v>
      </c>
      <c r="AP76" s="147">
        <v>5.4689859597796826E-2</v>
      </c>
      <c r="AQ76" s="147">
        <v>5.5078808946196017E-2</v>
      </c>
      <c r="AR76" s="147">
        <v>7.6825475393453108E-2</v>
      </c>
      <c r="AS76" s="147">
        <v>4.3870974514967784E-2</v>
      </c>
      <c r="AT76" s="147">
        <v>7.4313064124785819E-2</v>
      </c>
      <c r="AU76" s="147">
        <v>4.1116576497208561E-2</v>
      </c>
      <c r="AV76" s="147">
        <v>5.9123895975839814E-2</v>
      </c>
      <c r="AW76" s="147">
        <v>7.6800435784639909E-2</v>
      </c>
      <c r="AX76" s="147">
        <v>7.2777596988880616E-2</v>
      </c>
      <c r="AY76" s="147">
        <v>7.6081493652878682E-2</v>
      </c>
      <c r="AZ76" s="147">
        <v>5.832730884659746E-2</v>
      </c>
      <c r="BA76" s="147">
        <v>0.1114167758053093</v>
      </c>
      <c r="BB76" s="147">
        <v>5.0495586618309579E-2</v>
      </c>
      <c r="BC76" s="147">
        <v>0.26766309304075953</v>
      </c>
      <c r="BD76" s="147">
        <v>7.6305109557430376E-2</v>
      </c>
      <c r="BE76" s="147">
        <v>0.10591936881993708</v>
      </c>
      <c r="BF76" s="147">
        <v>0.1062226011472041</v>
      </c>
      <c r="BG76" s="147">
        <v>0</v>
      </c>
      <c r="BH76" s="147">
        <v>0</v>
      </c>
      <c r="BI76" s="147">
        <v>9.5841515701151833E-2</v>
      </c>
      <c r="BJ76" s="147">
        <v>6.8593994341892561E-2</v>
      </c>
      <c r="BK76" s="147">
        <v>6.5415084112173644E-2</v>
      </c>
      <c r="BL76" s="147">
        <v>9.8750839012491626E-2</v>
      </c>
      <c r="BM76" s="147">
        <v>5.1624469685090733E-2</v>
      </c>
      <c r="BN76" s="147">
        <v>2.58037398709813E-2</v>
      </c>
      <c r="BO76" s="147">
        <v>7.3000000000000009E-2</v>
      </c>
      <c r="BP76" s="147">
        <v>4.8883267262537035E-2</v>
      </c>
      <c r="BQ76" s="147">
        <v>0.47163082405317203</v>
      </c>
      <c r="BR76" s="147">
        <v>0.27210960462586331</v>
      </c>
      <c r="BS76" s="147">
        <v>0.10602001060200107</v>
      </c>
      <c r="BT76" s="147">
        <v>0.51320313438461007</v>
      </c>
      <c r="BU76" s="147">
        <v>0</v>
      </c>
      <c r="BV76" s="147">
        <v>0</v>
      </c>
      <c r="BW76" s="147">
        <v>0</v>
      </c>
      <c r="BX76" s="147">
        <v>0</v>
      </c>
      <c r="BY76" s="147">
        <v>0</v>
      </c>
    </row>
    <row r="77" spans="1:77" x14ac:dyDescent="0.15">
      <c r="A77" s="182" t="s">
        <v>268</v>
      </c>
      <c r="B77" s="147">
        <v>0</v>
      </c>
      <c r="C77" s="147">
        <v>0</v>
      </c>
      <c r="D77" s="147">
        <v>0</v>
      </c>
      <c r="E77" s="147">
        <v>0</v>
      </c>
      <c r="F77" s="147">
        <v>0</v>
      </c>
      <c r="G77" s="147">
        <v>0</v>
      </c>
      <c r="H77" s="147">
        <v>0</v>
      </c>
      <c r="I77" s="147">
        <v>0</v>
      </c>
      <c r="J77" s="147">
        <v>0</v>
      </c>
      <c r="K77" s="147">
        <v>0</v>
      </c>
      <c r="L77" s="147">
        <v>0</v>
      </c>
      <c r="M77" s="147">
        <v>0</v>
      </c>
      <c r="N77" s="147">
        <v>0</v>
      </c>
      <c r="O77" s="147">
        <v>0</v>
      </c>
      <c r="P77" s="147">
        <v>0</v>
      </c>
      <c r="Q77" s="147">
        <v>0</v>
      </c>
      <c r="R77" s="147">
        <v>0</v>
      </c>
      <c r="S77" s="147">
        <v>0</v>
      </c>
      <c r="T77" s="147">
        <v>0</v>
      </c>
      <c r="U77" s="147">
        <v>0</v>
      </c>
      <c r="V77" s="147">
        <v>0</v>
      </c>
      <c r="W77" s="147">
        <v>0</v>
      </c>
      <c r="X77" s="147">
        <v>0</v>
      </c>
      <c r="Y77" s="147">
        <v>0</v>
      </c>
      <c r="Z77" s="147">
        <v>0</v>
      </c>
      <c r="AA77" s="147">
        <v>0</v>
      </c>
      <c r="AB77" s="147">
        <v>0</v>
      </c>
      <c r="AC77" s="147">
        <v>0</v>
      </c>
      <c r="AD77" s="147">
        <v>0</v>
      </c>
      <c r="AE77" s="147">
        <v>0</v>
      </c>
      <c r="AF77" s="147">
        <v>0</v>
      </c>
      <c r="AG77" s="147">
        <v>0</v>
      </c>
      <c r="AH77" s="147">
        <v>0</v>
      </c>
      <c r="AI77" s="147">
        <v>0</v>
      </c>
      <c r="AJ77" s="147">
        <v>0</v>
      </c>
      <c r="AK77" s="147">
        <v>0</v>
      </c>
      <c r="AL77" s="147">
        <v>0</v>
      </c>
      <c r="AM77" s="147">
        <v>0</v>
      </c>
      <c r="AN77" s="147">
        <v>0</v>
      </c>
      <c r="AO77" s="147">
        <v>0</v>
      </c>
      <c r="AP77" s="147">
        <v>0</v>
      </c>
      <c r="AQ77" s="147">
        <v>0</v>
      </c>
      <c r="AR77" s="147">
        <v>0</v>
      </c>
      <c r="AS77" s="147">
        <v>0</v>
      </c>
      <c r="AT77" s="147">
        <v>0</v>
      </c>
      <c r="AU77" s="147">
        <v>0</v>
      </c>
      <c r="AV77" s="147">
        <v>0</v>
      </c>
      <c r="AW77" s="147">
        <v>0</v>
      </c>
      <c r="AX77" s="147">
        <v>0</v>
      </c>
      <c r="AY77" s="147">
        <v>0</v>
      </c>
      <c r="AZ77" s="147">
        <v>0</v>
      </c>
      <c r="BA77" s="147">
        <v>0</v>
      </c>
      <c r="BB77" s="147">
        <v>0</v>
      </c>
      <c r="BC77" s="147">
        <v>0</v>
      </c>
      <c r="BD77" s="147">
        <v>0</v>
      </c>
      <c r="BE77" s="147">
        <v>0</v>
      </c>
      <c r="BF77" s="147">
        <v>0</v>
      </c>
      <c r="BG77" s="147">
        <v>0</v>
      </c>
      <c r="BH77" s="147">
        <v>0</v>
      </c>
      <c r="BI77" s="147">
        <v>0</v>
      </c>
      <c r="BJ77" s="147">
        <v>0</v>
      </c>
      <c r="BK77" s="147">
        <v>0</v>
      </c>
      <c r="BL77" s="147">
        <v>0</v>
      </c>
      <c r="BM77" s="147">
        <v>0</v>
      </c>
      <c r="BN77" s="147">
        <v>0</v>
      </c>
      <c r="BO77" s="147">
        <v>0</v>
      </c>
      <c r="BP77" s="147">
        <v>0</v>
      </c>
      <c r="BQ77" s="147">
        <v>0</v>
      </c>
      <c r="BR77" s="147">
        <v>0</v>
      </c>
      <c r="BS77" s="147">
        <v>0</v>
      </c>
      <c r="BT77" s="147">
        <v>0</v>
      </c>
      <c r="BU77" s="147">
        <v>0</v>
      </c>
      <c r="BV77" s="147">
        <v>0</v>
      </c>
      <c r="BW77" s="147">
        <v>0</v>
      </c>
      <c r="BX77" s="147">
        <v>0</v>
      </c>
      <c r="BY77" s="147">
        <v>0</v>
      </c>
    </row>
    <row r="78" spans="1:77" x14ac:dyDescent="0.15">
      <c r="A78" s="182" t="s">
        <v>293</v>
      </c>
      <c r="B78" s="147">
        <v>2.0587000000000005E-2</v>
      </c>
      <c r="C78" s="147">
        <v>4.2838054588354067E-2</v>
      </c>
      <c r="D78" s="147">
        <v>3.5386267752296127E-2</v>
      </c>
      <c r="E78" s="147">
        <v>0.20037108795376643</v>
      </c>
      <c r="F78" s="147">
        <v>0.30032244110496537</v>
      </c>
      <c r="G78" s="147">
        <v>0.20018203742129251</v>
      </c>
      <c r="H78" s="147">
        <v>0.30064761966790099</v>
      </c>
      <c r="I78" s="147">
        <v>0.50071238372684745</v>
      </c>
      <c r="J78" s="147">
        <v>1.7658248566218431E-2</v>
      </c>
      <c r="K78" s="147">
        <v>3.0801437822793064E-2</v>
      </c>
      <c r="L78" s="147">
        <v>0.49983065605235388</v>
      </c>
      <c r="M78" s="147">
        <v>0.90064931519395386</v>
      </c>
      <c r="N78" s="147">
        <v>0.5005152094597376</v>
      </c>
      <c r="O78" s="147">
        <v>0.4995831254496248</v>
      </c>
      <c r="P78" s="147">
        <v>0.49949461253731481</v>
      </c>
      <c r="Q78" s="147">
        <v>0.20097903949239865</v>
      </c>
      <c r="R78" s="147">
        <v>0</v>
      </c>
      <c r="S78" s="147">
        <v>0</v>
      </c>
      <c r="T78" s="147">
        <v>8.8391530936950229E-3</v>
      </c>
      <c r="U78" s="147">
        <v>0</v>
      </c>
      <c r="V78" s="147">
        <v>0</v>
      </c>
      <c r="W78" s="147">
        <v>0</v>
      </c>
      <c r="X78" s="147">
        <v>1.8574295023650638E-2</v>
      </c>
      <c r="Y78" s="147">
        <v>3.0643491005005175E-2</v>
      </c>
      <c r="Z78" s="147">
        <v>0</v>
      </c>
      <c r="AA78" s="147">
        <v>0</v>
      </c>
      <c r="AB78" s="147">
        <v>0</v>
      </c>
      <c r="AC78" s="147">
        <v>0</v>
      </c>
      <c r="AD78" s="147">
        <v>0</v>
      </c>
      <c r="AE78" s="147">
        <v>0</v>
      </c>
      <c r="AF78" s="147">
        <v>0</v>
      </c>
      <c r="AG78" s="147">
        <v>0</v>
      </c>
      <c r="AH78" s="147">
        <v>0</v>
      </c>
      <c r="AI78" s="147">
        <v>0</v>
      </c>
      <c r="AJ78" s="147">
        <v>0</v>
      </c>
      <c r="AK78" s="147">
        <v>0</v>
      </c>
      <c r="AL78" s="147">
        <v>0</v>
      </c>
      <c r="AM78" s="147">
        <v>0</v>
      </c>
      <c r="AN78" s="147">
        <v>4.654068491622676E-2</v>
      </c>
      <c r="AO78" s="147">
        <v>3.9493339901266654E-2</v>
      </c>
      <c r="AP78" s="147">
        <v>0</v>
      </c>
      <c r="AQ78" s="147">
        <v>0</v>
      </c>
      <c r="AR78" s="147">
        <v>5.1205660559416465E-2</v>
      </c>
      <c r="AS78" s="147">
        <v>2.4000479017602352E-2</v>
      </c>
      <c r="AT78" s="147">
        <v>3.0796498316370696E-2</v>
      </c>
      <c r="AU78" s="147">
        <v>0.30078709924803221</v>
      </c>
      <c r="AV78" s="147">
        <v>2.7071056843150781E-2</v>
      </c>
      <c r="AW78" s="147">
        <v>2.7097852894580429E-2</v>
      </c>
      <c r="AX78" s="147">
        <v>6.5442620013708486E-2</v>
      </c>
      <c r="AY78" s="147">
        <v>3.2585435872285275E-2</v>
      </c>
      <c r="AZ78" s="147">
        <v>0</v>
      </c>
      <c r="BA78" s="147">
        <v>3.7963785954708042E-2</v>
      </c>
      <c r="BB78" s="147">
        <v>0</v>
      </c>
      <c r="BC78" s="147">
        <v>2.6487144911334231E-2</v>
      </c>
      <c r="BD78" s="147">
        <v>3.7339159783432885E-2</v>
      </c>
      <c r="BE78" s="147">
        <v>0</v>
      </c>
      <c r="BF78" s="147">
        <v>0</v>
      </c>
      <c r="BG78" s="147">
        <v>0</v>
      </c>
      <c r="BH78" s="147">
        <v>7.3132439371061023E-2</v>
      </c>
      <c r="BI78" s="147">
        <v>5.8508988551525122E-2</v>
      </c>
      <c r="BJ78" s="147">
        <v>0</v>
      </c>
      <c r="BK78" s="147">
        <v>6.548409971186997E-2</v>
      </c>
      <c r="BL78" s="147">
        <v>5.9276669407233307E-2</v>
      </c>
      <c r="BM78" s="147">
        <v>0</v>
      </c>
      <c r="BN78" s="147">
        <v>0</v>
      </c>
      <c r="BO78" s="147">
        <v>0</v>
      </c>
      <c r="BP78" s="147">
        <v>0</v>
      </c>
      <c r="BQ78" s="147">
        <v>0</v>
      </c>
      <c r="BR78" s="147">
        <v>0</v>
      </c>
      <c r="BS78" s="147">
        <v>0</v>
      </c>
      <c r="BT78" s="147">
        <v>0</v>
      </c>
      <c r="BU78" s="147">
        <v>0</v>
      </c>
      <c r="BV78" s="147">
        <v>0</v>
      </c>
      <c r="BW78" s="147">
        <v>0</v>
      </c>
      <c r="BX78" s="147">
        <v>0</v>
      </c>
      <c r="BY78" s="147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86" activePane="bottomRight" state="frozen"/>
      <selection pane="topRight" activeCell="C1" sqref="C1"/>
      <selection pane="bottomLeft" activeCell="A2" sqref="A2"/>
      <selection pane="bottomRight" activeCell="C104" sqref="C104"/>
    </sheetView>
  </sheetViews>
  <sheetFormatPr baseColWidth="10" defaultColWidth="8.83203125" defaultRowHeight="13" x14ac:dyDescent="0.15"/>
  <cols>
    <col min="1" max="1" width="3.33203125" customWidth="1"/>
    <col min="2" max="2" width="23.83203125" customWidth="1"/>
    <col min="3" max="4" width="21.33203125" style="116" customWidth="1"/>
    <col min="5" max="6" width="21.33203125" style="115" customWidth="1"/>
    <col min="7" max="8" width="8.83203125" style="116"/>
  </cols>
  <sheetData>
    <row r="1" spans="1:8" ht="70" x14ac:dyDescent="0.15">
      <c r="A1" s="5" t="s">
        <v>20</v>
      </c>
      <c r="B1" s="1" t="s">
        <v>0</v>
      </c>
      <c r="C1" s="185" t="s">
        <v>267</v>
      </c>
      <c r="D1" s="185" t="s">
        <v>268</v>
      </c>
      <c r="E1" s="185" t="s">
        <v>294</v>
      </c>
      <c r="F1" s="185" t="s">
        <v>295</v>
      </c>
      <c r="G1"/>
      <c r="H1"/>
    </row>
    <row r="2" spans="1:8" x14ac:dyDescent="0.15">
      <c r="A2">
        <v>1</v>
      </c>
      <c r="B2" s="184" t="s">
        <v>193</v>
      </c>
      <c r="C2" s="116">
        <v>1</v>
      </c>
      <c r="D2" s="116">
        <v>0</v>
      </c>
      <c r="E2" s="115">
        <v>0</v>
      </c>
      <c r="F2" s="115">
        <f>SUM(C2:E2)</f>
        <v>1</v>
      </c>
      <c r="G2"/>
      <c r="H2"/>
    </row>
    <row r="3" spans="1:8" x14ac:dyDescent="0.15">
      <c r="A3">
        <v>2</v>
      </c>
      <c r="B3" s="184" t="s">
        <v>194</v>
      </c>
      <c r="C3" s="116">
        <v>1</v>
      </c>
      <c r="D3" s="116">
        <v>0</v>
      </c>
      <c r="E3" s="115">
        <v>0</v>
      </c>
      <c r="F3" s="115">
        <f t="shared" ref="F3:F66" si="0">SUM(C3:E3)</f>
        <v>1</v>
      </c>
      <c r="G3"/>
      <c r="H3"/>
    </row>
    <row r="4" spans="1:8" x14ac:dyDescent="0.15">
      <c r="A4">
        <v>3</v>
      </c>
      <c r="B4" s="184" t="s">
        <v>195</v>
      </c>
      <c r="C4" s="116">
        <v>1</v>
      </c>
      <c r="D4" s="116">
        <v>0</v>
      </c>
      <c r="E4" s="115">
        <v>0</v>
      </c>
      <c r="F4" s="115">
        <f t="shared" si="0"/>
        <v>1</v>
      </c>
      <c r="G4"/>
      <c r="H4"/>
    </row>
    <row r="5" spans="1:8" x14ac:dyDescent="0.15">
      <c r="A5">
        <v>4</v>
      </c>
      <c r="B5" s="184" t="s">
        <v>196</v>
      </c>
      <c r="C5" s="116">
        <v>1</v>
      </c>
      <c r="D5" s="116">
        <v>0</v>
      </c>
      <c r="E5" s="115">
        <v>0</v>
      </c>
      <c r="F5" s="115">
        <f t="shared" si="0"/>
        <v>1</v>
      </c>
      <c r="G5"/>
      <c r="H5"/>
    </row>
    <row r="6" spans="1:8" x14ac:dyDescent="0.15">
      <c r="A6">
        <v>5</v>
      </c>
      <c r="B6" s="184" t="s">
        <v>197</v>
      </c>
      <c r="C6" s="116">
        <v>1</v>
      </c>
      <c r="D6" s="116">
        <v>0</v>
      </c>
      <c r="E6" s="115">
        <v>0</v>
      </c>
      <c r="F6" s="115">
        <f t="shared" si="0"/>
        <v>1</v>
      </c>
      <c r="G6"/>
      <c r="H6"/>
    </row>
    <row r="7" spans="1:8" x14ac:dyDescent="0.15">
      <c r="A7">
        <v>6</v>
      </c>
      <c r="B7" s="184" t="s">
        <v>198</v>
      </c>
      <c r="C7" s="116">
        <v>1</v>
      </c>
      <c r="D7" s="116">
        <v>0</v>
      </c>
      <c r="E7" s="115">
        <v>0</v>
      </c>
      <c r="F7" s="115">
        <f t="shared" si="0"/>
        <v>1</v>
      </c>
      <c r="G7"/>
      <c r="H7"/>
    </row>
    <row r="8" spans="1:8" x14ac:dyDescent="0.15">
      <c r="A8">
        <v>7</v>
      </c>
      <c r="B8" s="184" t="s">
        <v>199</v>
      </c>
      <c r="C8" s="116">
        <v>1</v>
      </c>
      <c r="D8" s="116">
        <v>0</v>
      </c>
      <c r="E8" s="115">
        <v>0</v>
      </c>
      <c r="F8" s="115">
        <f t="shared" si="0"/>
        <v>1</v>
      </c>
      <c r="G8"/>
      <c r="H8"/>
    </row>
    <row r="9" spans="1:8" x14ac:dyDescent="0.15">
      <c r="A9">
        <v>8</v>
      </c>
      <c r="B9" s="184" t="s">
        <v>200</v>
      </c>
      <c r="C9" s="116">
        <v>1</v>
      </c>
      <c r="D9" s="116">
        <v>0</v>
      </c>
      <c r="E9" s="115">
        <v>0</v>
      </c>
      <c r="F9" s="115">
        <f t="shared" si="0"/>
        <v>1</v>
      </c>
      <c r="G9"/>
      <c r="H9"/>
    </row>
    <row r="10" spans="1:8" x14ac:dyDescent="0.15">
      <c r="A10">
        <v>9</v>
      </c>
      <c r="B10" s="184" t="s">
        <v>201</v>
      </c>
      <c r="C10" s="116">
        <v>1</v>
      </c>
      <c r="D10" s="116">
        <v>0</v>
      </c>
      <c r="E10" s="115">
        <v>0</v>
      </c>
      <c r="F10" s="115">
        <f t="shared" si="0"/>
        <v>1</v>
      </c>
      <c r="G10"/>
      <c r="H10"/>
    </row>
    <row r="11" spans="1:8" x14ac:dyDescent="0.15">
      <c r="A11">
        <v>10</v>
      </c>
      <c r="B11" s="184" t="s">
        <v>202</v>
      </c>
      <c r="C11" s="116">
        <v>1</v>
      </c>
      <c r="D11" s="116">
        <v>0</v>
      </c>
      <c r="E11" s="115">
        <v>0</v>
      </c>
      <c r="F11" s="115">
        <f t="shared" si="0"/>
        <v>1</v>
      </c>
      <c r="G11"/>
      <c r="H11"/>
    </row>
    <row r="12" spans="1:8" x14ac:dyDescent="0.15">
      <c r="A12">
        <v>11</v>
      </c>
      <c r="B12" s="184" t="s">
        <v>203</v>
      </c>
      <c r="C12" s="116">
        <v>1</v>
      </c>
      <c r="D12" s="116">
        <v>0</v>
      </c>
      <c r="E12" s="115">
        <v>0</v>
      </c>
      <c r="F12" s="115">
        <f t="shared" si="0"/>
        <v>1</v>
      </c>
      <c r="G12"/>
      <c r="H12"/>
    </row>
    <row r="13" spans="1:8" x14ac:dyDescent="0.15">
      <c r="A13">
        <v>12</v>
      </c>
      <c r="B13" s="184" t="s">
        <v>204</v>
      </c>
      <c r="C13" s="116">
        <v>1</v>
      </c>
      <c r="D13" s="116">
        <v>0</v>
      </c>
      <c r="E13" s="115">
        <v>0</v>
      </c>
      <c r="F13" s="115">
        <f t="shared" si="0"/>
        <v>1</v>
      </c>
      <c r="G13"/>
      <c r="H13"/>
    </row>
    <row r="14" spans="1:8" x14ac:dyDescent="0.15">
      <c r="A14">
        <v>13</v>
      </c>
      <c r="B14" s="184" t="s">
        <v>205</v>
      </c>
      <c r="C14" s="116">
        <v>1</v>
      </c>
      <c r="D14" s="116">
        <v>0</v>
      </c>
      <c r="E14" s="115">
        <v>0</v>
      </c>
      <c r="F14" s="115">
        <f t="shared" si="0"/>
        <v>1</v>
      </c>
      <c r="G14"/>
      <c r="H14"/>
    </row>
    <row r="15" spans="1:8" x14ac:dyDescent="0.15">
      <c r="A15">
        <v>14</v>
      </c>
      <c r="B15" s="184" t="s">
        <v>206</v>
      </c>
      <c r="C15" s="116">
        <v>1</v>
      </c>
      <c r="D15" s="116">
        <v>0</v>
      </c>
      <c r="E15" s="115">
        <v>0</v>
      </c>
      <c r="F15" s="115">
        <f t="shared" si="0"/>
        <v>1</v>
      </c>
      <c r="G15"/>
      <c r="H15"/>
    </row>
    <row r="16" spans="1:8" x14ac:dyDescent="0.15">
      <c r="A16">
        <v>15</v>
      </c>
      <c r="B16" s="184" t="s">
        <v>207</v>
      </c>
      <c r="C16" s="116">
        <v>1</v>
      </c>
      <c r="D16" s="116">
        <v>0</v>
      </c>
      <c r="E16" s="115">
        <v>0</v>
      </c>
      <c r="F16" s="115">
        <f t="shared" si="0"/>
        <v>1</v>
      </c>
      <c r="G16"/>
      <c r="H16"/>
    </row>
    <row r="17" spans="1:8" ht="15" customHeight="1" x14ac:dyDescent="0.15">
      <c r="A17">
        <v>16</v>
      </c>
      <c r="B17" s="184" t="s">
        <v>208</v>
      </c>
      <c r="C17" s="116">
        <v>1</v>
      </c>
      <c r="D17" s="116">
        <v>0</v>
      </c>
      <c r="E17" s="115">
        <v>0</v>
      </c>
      <c r="F17" s="115">
        <f t="shared" si="0"/>
        <v>1</v>
      </c>
      <c r="G17"/>
      <c r="H17"/>
    </row>
    <row r="18" spans="1:8" ht="15" customHeight="1" x14ac:dyDescent="0.15">
      <c r="A18">
        <v>17</v>
      </c>
      <c r="B18" s="184" t="s">
        <v>209</v>
      </c>
      <c r="C18" s="116">
        <v>1</v>
      </c>
      <c r="D18" s="116">
        <v>0</v>
      </c>
      <c r="E18" s="115">
        <v>0</v>
      </c>
      <c r="F18" s="115">
        <f t="shared" si="0"/>
        <v>1</v>
      </c>
      <c r="G18"/>
      <c r="H18"/>
    </row>
    <row r="19" spans="1:8" ht="15" customHeight="1" x14ac:dyDescent="0.15">
      <c r="A19">
        <v>18</v>
      </c>
      <c r="B19" s="184" t="s">
        <v>210</v>
      </c>
      <c r="C19" s="116">
        <v>1</v>
      </c>
      <c r="D19" s="116">
        <v>0</v>
      </c>
      <c r="E19" s="115">
        <v>0</v>
      </c>
      <c r="F19" s="115">
        <f t="shared" si="0"/>
        <v>1</v>
      </c>
      <c r="G19"/>
      <c r="H19"/>
    </row>
    <row r="20" spans="1:8" ht="15" customHeight="1" x14ac:dyDescent="0.15">
      <c r="A20">
        <v>19</v>
      </c>
      <c r="B20" s="184" t="s">
        <v>211</v>
      </c>
      <c r="C20" s="116">
        <v>1</v>
      </c>
      <c r="D20" s="116">
        <v>0</v>
      </c>
      <c r="E20" s="115">
        <v>0</v>
      </c>
      <c r="F20" s="115">
        <f t="shared" si="0"/>
        <v>1</v>
      </c>
      <c r="G20"/>
      <c r="H20"/>
    </row>
    <row r="21" spans="1:8" ht="15" customHeight="1" x14ac:dyDescent="0.15">
      <c r="A21">
        <v>20</v>
      </c>
      <c r="B21" s="184" t="s">
        <v>212</v>
      </c>
      <c r="C21" s="116">
        <v>1</v>
      </c>
      <c r="D21" s="116">
        <v>0</v>
      </c>
      <c r="E21" s="115">
        <v>0</v>
      </c>
      <c r="F21" s="115">
        <f t="shared" si="0"/>
        <v>1</v>
      </c>
      <c r="G21"/>
      <c r="H21"/>
    </row>
    <row r="22" spans="1:8" ht="15" customHeight="1" x14ac:dyDescent="0.15">
      <c r="A22">
        <v>21</v>
      </c>
      <c r="B22" s="184" t="s">
        <v>213</v>
      </c>
      <c r="C22" s="116">
        <v>1</v>
      </c>
      <c r="D22" s="116">
        <v>0</v>
      </c>
      <c r="E22" s="115">
        <v>0</v>
      </c>
      <c r="F22" s="115">
        <f t="shared" si="0"/>
        <v>1</v>
      </c>
      <c r="G22"/>
      <c r="H22"/>
    </row>
    <row r="23" spans="1:8" ht="15" customHeight="1" x14ac:dyDescent="0.15">
      <c r="A23">
        <v>22</v>
      </c>
      <c r="B23" s="184" t="s">
        <v>214</v>
      </c>
      <c r="C23" s="116">
        <v>1</v>
      </c>
      <c r="D23" s="116">
        <v>0</v>
      </c>
      <c r="E23" s="115">
        <v>0</v>
      </c>
      <c r="F23" s="115">
        <f t="shared" si="0"/>
        <v>1</v>
      </c>
      <c r="G23"/>
      <c r="H23"/>
    </row>
    <row r="24" spans="1:8" ht="15" customHeight="1" x14ac:dyDescent="0.15">
      <c r="A24">
        <v>23</v>
      </c>
      <c r="B24" s="184" t="s">
        <v>215</v>
      </c>
      <c r="C24" s="116">
        <v>1</v>
      </c>
      <c r="D24" s="116">
        <v>0</v>
      </c>
      <c r="E24" s="115">
        <v>0</v>
      </c>
      <c r="F24" s="115">
        <f t="shared" si="0"/>
        <v>1</v>
      </c>
      <c r="G24"/>
      <c r="H24"/>
    </row>
    <row r="25" spans="1:8" ht="15" customHeight="1" x14ac:dyDescent="0.15">
      <c r="A25">
        <v>24</v>
      </c>
      <c r="B25" s="184" t="s">
        <v>216</v>
      </c>
      <c r="C25" s="116">
        <v>1</v>
      </c>
      <c r="D25" s="116">
        <v>0</v>
      </c>
      <c r="E25" s="115">
        <v>0</v>
      </c>
      <c r="F25" s="115">
        <f t="shared" si="0"/>
        <v>1</v>
      </c>
      <c r="G25"/>
      <c r="H25"/>
    </row>
    <row r="26" spans="1:8" ht="15" customHeight="1" x14ac:dyDescent="0.15">
      <c r="A26">
        <v>25</v>
      </c>
      <c r="B26" s="184" t="s">
        <v>217</v>
      </c>
      <c r="C26" s="116">
        <v>1</v>
      </c>
      <c r="D26" s="116">
        <v>0</v>
      </c>
      <c r="E26" s="115">
        <v>0</v>
      </c>
      <c r="F26" s="115">
        <f t="shared" si="0"/>
        <v>1</v>
      </c>
      <c r="G26"/>
      <c r="H26"/>
    </row>
    <row r="27" spans="1:8" ht="15" customHeight="1" x14ac:dyDescent="0.15">
      <c r="A27">
        <v>26</v>
      </c>
      <c r="B27" s="184" t="s">
        <v>218</v>
      </c>
      <c r="C27" s="116">
        <v>1</v>
      </c>
      <c r="D27" s="116">
        <v>0</v>
      </c>
      <c r="E27" s="115">
        <v>0</v>
      </c>
      <c r="F27" s="115">
        <f t="shared" si="0"/>
        <v>1</v>
      </c>
      <c r="G27"/>
      <c r="H27"/>
    </row>
    <row r="28" spans="1:8" ht="15" customHeight="1" x14ac:dyDescent="0.15">
      <c r="A28">
        <v>27</v>
      </c>
      <c r="B28" s="184" t="s">
        <v>219</v>
      </c>
      <c r="C28" s="116">
        <v>1</v>
      </c>
      <c r="D28" s="116">
        <v>0</v>
      </c>
      <c r="E28" s="115">
        <v>0</v>
      </c>
      <c r="F28" s="115">
        <f t="shared" si="0"/>
        <v>1</v>
      </c>
      <c r="G28"/>
      <c r="H28"/>
    </row>
    <row r="29" spans="1:8" ht="15" customHeight="1" x14ac:dyDescent="0.15">
      <c r="A29">
        <v>28</v>
      </c>
      <c r="B29" s="184" t="s">
        <v>220</v>
      </c>
      <c r="C29" s="116">
        <v>1</v>
      </c>
      <c r="D29" s="116">
        <v>0</v>
      </c>
      <c r="E29" s="115">
        <v>0</v>
      </c>
      <c r="F29" s="115">
        <f t="shared" si="0"/>
        <v>1</v>
      </c>
      <c r="G29"/>
      <c r="H29"/>
    </row>
    <row r="30" spans="1:8" ht="15" customHeight="1" x14ac:dyDescent="0.15">
      <c r="A30">
        <v>29</v>
      </c>
      <c r="B30" s="184" t="s">
        <v>221</v>
      </c>
      <c r="C30" s="116">
        <v>1</v>
      </c>
      <c r="D30" s="116">
        <v>0</v>
      </c>
      <c r="E30" s="115">
        <v>0</v>
      </c>
      <c r="F30" s="115">
        <f t="shared" si="0"/>
        <v>1</v>
      </c>
      <c r="G30"/>
      <c r="H30"/>
    </row>
    <row r="31" spans="1:8" ht="15" customHeight="1" x14ac:dyDescent="0.15">
      <c r="A31">
        <v>30</v>
      </c>
      <c r="B31" s="184" t="s">
        <v>222</v>
      </c>
      <c r="C31" s="116">
        <v>1</v>
      </c>
      <c r="D31" s="116">
        <v>0</v>
      </c>
      <c r="E31" s="115">
        <v>0</v>
      </c>
      <c r="F31" s="115">
        <f t="shared" si="0"/>
        <v>1</v>
      </c>
      <c r="G31"/>
      <c r="H31"/>
    </row>
    <row r="32" spans="1:8" ht="15" customHeight="1" x14ac:dyDescent="0.15">
      <c r="A32">
        <v>31</v>
      </c>
      <c r="B32" s="184" t="s">
        <v>223</v>
      </c>
      <c r="C32" s="116">
        <v>1</v>
      </c>
      <c r="D32" s="116">
        <v>0</v>
      </c>
      <c r="E32" s="115">
        <v>0</v>
      </c>
      <c r="F32" s="115">
        <f t="shared" si="0"/>
        <v>1</v>
      </c>
    </row>
    <row r="33" spans="1:8" ht="15" customHeight="1" x14ac:dyDescent="0.15">
      <c r="A33">
        <v>32</v>
      </c>
      <c r="B33" s="184" t="s">
        <v>224</v>
      </c>
      <c r="C33" s="116">
        <v>1</v>
      </c>
      <c r="D33" s="116">
        <v>0</v>
      </c>
      <c r="E33" s="115">
        <v>0</v>
      </c>
      <c r="F33" s="115">
        <f t="shared" si="0"/>
        <v>1</v>
      </c>
    </row>
    <row r="34" spans="1:8" ht="15" customHeight="1" x14ac:dyDescent="0.15">
      <c r="A34">
        <v>33</v>
      </c>
      <c r="B34" s="184" t="s">
        <v>225</v>
      </c>
      <c r="C34" s="116">
        <v>1</v>
      </c>
      <c r="D34" s="116">
        <v>0</v>
      </c>
      <c r="E34" s="115">
        <v>0</v>
      </c>
      <c r="F34" s="115">
        <f t="shared" si="0"/>
        <v>1</v>
      </c>
    </row>
    <row r="35" spans="1:8" ht="15" customHeight="1" x14ac:dyDescent="0.15">
      <c r="A35">
        <v>34</v>
      </c>
      <c r="B35" s="184" t="s">
        <v>226</v>
      </c>
      <c r="C35" s="116">
        <v>1</v>
      </c>
      <c r="D35" s="116">
        <v>0</v>
      </c>
      <c r="E35" s="115">
        <v>0</v>
      </c>
      <c r="F35" s="115">
        <f t="shared" si="0"/>
        <v>1</v>
      </c>
    </row>
    <row r="36" spans="1:8" ht="15" customHeight="1" x14ac:dyDescent="0.15">
      <c r="A36">
        <v>35</v>
      </c>
      <c r="B36" s="184" t="s">
        <v>227</v>
      </c>
      <c r="C36" s="116">
        <v>1</v>
      </c>
      <c r="D36" s="116">
        <v>0</v>
      </c>
      <c r="E36" s="116">
        <v>0</v>
      </c>
      <c r="F36" s="115">
        <f t="shared" si="0"/>
        <v>1</v>
      </c>
      <c r="G36"/>
      <c r="H36"/>
    </row>
    <row r="37" spans="1:8" ht="15" customHeight="1" x14ac:dyDescent="0.15">
      <c r="A37">
        <v>36</v>
      </c>
      <c r="B37" s="184" t="s">
        <v>228</v>
      </c>
      <c r="C37" s="116">
        <v>1</v>
      </c>
      <c r="D37" s="116">
        <v>0</v>
      </c>
      <c r="E37" s="116">
        <v>0</v>
      </c>
      <c r="F37" s="115">
        <f t="shared" si="0"/>
        <v>1</v>
      </c>
      <c r="G37"/>
      <c r="H37"/>
    </row>
    <row r="38" spans="1:8" ht="15" customHeight="1" x14ac:dyDescent="0.15">
      <c r="A38">
        <v>37</v>
      </c>
      <c r="B38" s="184" t="s">
        <v>229</v>
      </c>
      <c r="C38" s="116">
        <v>1</v>
      </c>
      <c r="D38" s="116">
        <v>0</v>
      </c>
      <c r="E38" s="116">
        <v>0</v>
      </c>
      <c r="F38" s="115">
        <f t="shared" si="0"/>
        <v>1</v>
      </c>
      <c r="G38"/>
      <c r="H38"/>
    </row>
    <row r="39" spans="1:8" ht="15" customHeight="1" x14ac:dyDescent="0.15">
      <c r="A39">
        <v>38</v>
      </c>
      <c r="B39" s="184" t="s">
        <v>230</v>
      </c>
      <c r="C39" s="116">
        <v>1</v>
      </c>
      <c r="D39" s="116">
        <v>0</v>
      </c>
      <c r="E39" s="116">
        <v>0</v>
      </c>
      <c r="F39" s="115">
        <f t="shared" si="0"/>
        <v>1</v>
      </c>
      <c r="G39"/>
      <c r="H39"/>
    </row>
    <row r="40" spans="1:8" ht="15" customHeight="1" x14ac:dyDescent="0.15">
      <c r="A40">
        <v>39</v>
      </c>
      <c r="B40" s="184" t="s">
        <v>231</v>
      </c>
      <c r="C40" s="116">
        <v>1</v>
      </c>
      <c r="D40" s="116">
        <v>0</v>
      </c>
      <c r="E40" s="116">
        <v>0</v>
      </c>
      <c r="F40" s="115">
        <f t="shared" si="0"/>
        <v>1</v>
      </c>
      <c r="G40"/>
      <c r="H40"/>
    </row>
    <row r="41" spans="1:8" ht="15" customHeight="1" x14ac:dyDescent="0.15">
      <c r="A41">
        <v>40</v>
      </c>
      <c r="B41" s="184" t="s">
        <v>232</v>
      </c>
      <c r="C41" s="116">
        <v>1</v>
      </c>
      <c r="D41" s="116">
        <v>0</v>
      </c>
      <c r="E41" s="116">
        <v>0</v>
      </c>
      <c r="F41" s="115">
        <f t="shared" si="0"/>
        <v>1</v>
      </c>
      <c r="G41"/>
      <c r="H41"/>
    </row>
    <row r="42" spans="1:8" ht="15" customHeight="1" x14ac:dyDescent="0.15">
      <c r="A42">
        <v>41</v>
      </c>
      <c r="B42" s="184" t="s">
        <v>233</v>
      </c>
      <c r="C42" s="116">
        <v>1</v>
      </c>
      <c r="D42" s="116">
        <v>0</v>
      </c>
      <c r="E42" s="116">
        <v>0</v>
      </c>
      <c r="F42" s="115">
        <f t="shared" si="0"/>
        <v>1</v>
      </c>
      <c r="G42"/>
      <c r="H42"/>
    </row>
    <row r="43" spans="1:8" ht="15" customHeight="1" x14ac:dyDescent="0.15">
      <c r="A43">
        <v>42</v>
      </c>
      <c r="B43" s="184" t="s">
        <v>234</v>
      </c>
      <c r="C43" s="116">
        <v>1</v>
      </c>
      <c r="D43" s="116">
        <v>0</v>
      </c>
      <c r="E43" s="116">
        <v>0</v>
      </c>
      <c r="F43" s="115">
        <f t="shared" si="0"/>
        <v>1</v>
      </c>
      <c r="G43"/>
      <c r="H43"/>
    </row>
    <row r="44" spans="1:8" ht="15" customHeight="1" x14ac:dyDescent="0.15">
      <c r="A44">
        <v>43</v>
      </c>
      <c r="B44" s="184" t="s">
        <v>235</v>
      </c>
      <c r="C44" s="116">
        <v>1</v>
      </c>
      <c r="D44" s="116">
        <v>0</v>
      </c>
      <c r="E44" s="115">
        <v>0</v>
      </c>
      <c r="F44" s="115">
        <f t="shared" si="0"/>
        <v>1</v>
      </c>
      <c r="G44"/>
      <c r="H44"/>
    </row>
    <row r="45" spans="1:8" ht="15" customHeight="1" x14ac:dyDescent="0.15">
      <c r="A45">
        <v>44</v>
      </c>
      <c r="B45" s="184" t="s">
        <v>236</v>
      </c>
      <c r="C45" s="116">
        <v>1</v>
      </c>
      <c r="D45" s="116">
        <v>0</v>
      </c>
      <c r="E45" s="115">
        <v>0</v>
      </c>
      <c r="F45" s="115">
        <f t="shared" si="0"/>
        <v>1</v>
      </c>
      <c r="G45"/>
      <c r="H45"/>
    </row>
    <row r="46" spans="1:8" ht="15" customHeight="1" x14ac:dyDescent="0.15">
      <c r="A46">
        <v>45</v>
      </c>
      <c r="B46" s="184" t="s">
        <v>237</v>
      </c>
      <c r="C46" s="116">
        <v>1</v>
      </c>
      <c r="D46" s="116">
        <v>0</v>
      </c>
      <c r="E46" s="116">
        <v>0</v>
      </c>
      <c r="F46" s="115">
        <f t="shared" si="0"/>
        <v>1</v>
      </c>
      <c r="G46"/>
      <c r="H46"/>
    </row>
    <row r="47" spans="1:8" ht="15" customHeight="1" x14ac:dyDescent="0.15">
      <c r="A47">
        <v>46</v>
      </c>
      <c r="B47" s="184" t="s">
        <v>238</v>
      </c>
      <c r="C47" s="116">
        <v>1</v>
      </c>
      <c r="D47" s="116">
        <v>0</v>
      </c>
      <c r="E47" s="115">
        <v>0</v>
      </c>
      <c r="F47" s="115">
        <f t="shared" si="0"/>
        <v>1</v>
      </c>
      <c r="G47"/>
      <c r="H47"/>
    </row>
    <row r="48" spans="1:8" ht="15" customHeight="1" x14ac:dyDescent="0.15">
      <c r="A48">
        <v>47</v>
      </c>
      <c r="B48" s="184" t="s">
        <v>239</v>
      </c>
      <c r="C48" s="116">
        <v>1</v>
      </c>
      <c r="D48" s="116">
        <v>0</v>
      </c>
      <c r="E48" s="115">
        <v>0</v>
      </c>
      <c r="F48" s="115">
        <f t="shared" si="0"/>
        <v>1</v>
      </c>
      <c r="G48"/>
      <c r="H48"/>
    </row>
    <row r="49" spans="1:8" ht="15" customHeight="1" x14ac:dyDescent="0.15">
      <c r="A49">
        <v>48</v>
      </c>
      <c r="B49" s="184" t="s">
        <v>240</v>
      </c>
      <c r="C49" s="116">
        <v>1</v>
      </c>
      <c r="D49" s="116">
        <v>0</v>
      </c>
      <c r="E49" s="115">
        <v>0</v>
      </c>
      <c r="F49" s="115">
        <f t="shared" si="0"/>
        <v>1</v>
      </c>
      <c r="G49"/>
      <c r="H49"/>
    </row>
    <row r="50" spans="1:8" ht="15" customHeight="1" x14ac:dyDescent="0.15">
      <c r="A50">
        <v>49</v>
      </c>
      <c r="B50" s="184" t="s">
        <v>241</v>
      </c>
      <c r="C50" s="116">
        <v>1</v>
      </c>
      <c r="D50" s="116">
        <v>0</v>
      </c>
      <c r="E50" s="115">
        <v>0</v>
      </c>
      <c r="F50" s="115">
        <f t="shared" si="0"/>
        <v>1</v>
      </c>
      <c r="G50"/>
      <c r="H50"/>
    </row>
    <row r="51" spans="1:8" ht="15" customHeight="1" x14ac:dyDescent="0.15">
      <c r="A51">
        <v>50</v>
      </c>
      <c r="B51" s="184" t="s">
        <v>242</v>
      </c>
      <c r="C51" s="116">
        <v>1</v>
      </c>
      <c r="D51" s="116">
        <v>0</v>
      </c>
      <c r="E51" s="115">
        <v>0</v>
      </c>
      <c r="F51" s="115">
        <f t="shared" si="0"/>
        <v>1</v>
      </c>
      <c r="G51"/>
      <c r="H51"/>
    </row>
    <row r="52" spans="1:8" ht="15" customHeight="1" x14ac:dyDescent="0.15">
      <c r="A52">
        <v>51</v>
      </c>
      <c r="B52" s="184" t="s">
        <v>243</v>
      </c>
      <c r="C52" s="116">
        <v>1</v>
      </c>
      <c r="D52" s="116">
        <v>0</v>
      </c>
      <c r="E52" s="115">
        <v>0</v>
      </c>
      <c r="F52" s="115">
        <f t="shared" si="0"/>
        <v>1</v>
      </c>
      <c r="G52"/>
      <c r="H52"/>
    </row>
    <row r="53" spans="1:8" ht="15" customHeight="1" x14ac:dyDescent="0.15">
      <c r="A53">
        <v>52</v>
      </c>
      <c r="B53" s="184" t="s">
        <v>244</v>
      </c>
      <c r="C53" s="116">
        <v>1</v>
      </c>
      <c r="D53" s="116">
        <v>0</v>
      </c>
      <c r="E53" s="115">
        <v>0</v>
      </c>
      <c r="F53" s="115">
        <f t="shared" si="0"/>
        <v>1</v>
      </c>
      <c r="G53"/>
      <c r="H53"/>
    </row>
    <row r="54" spans="1:8" ht="15" customHeight="1" x14ac:dyDescent="0.15">
      <c r="A54">
        <v>53</v>
      </c>
      <c r="B54" s="184" t="s">
        <v>245</v>
      </c>
      <c r="C54" s="116">
        <v>1</v>
      </c>
      <c r="D54" s="116">
        <v>0</v>
      </c>
      <c r="E54" s="115">
        <v>0</v>
      </c>
      <c r="F54" s="115">
        <f t="shared" si="0"/>
        <v>1</v>
      </c>
      <c r="G54"/>
      <c r="H54"/>
    </row>
    <row r="55" spans="1:8" ht="15" customHeight="1" x14ac:dyDescent="0.15">
      <c r="A55">
        <v>54</v>
      </c>
      <c r="B55" s="184" t="s">
        <v>246</v>
      </c>
      <c r="C55" s="116">
        <v>1</v>
      </c>
      <c r="D55" s="116">
        <v>0</v>
      </c>
      <c r="E55" s="115">
        <v>0</v>
      </c>
      <c r="F55" s="115">
        <f t="shared" si="0"/>
        <v>1</v>
      </c>
      <c r="G55"/>
      <c r="H55"/>
    </row>
    <row r="56" spans="1:8" ht="15" customHeight="1" x14ac:dyDescent="0.15">
      <c r="A56">
        <v>55</v>
      </c>
      <c r="B56" s="184" t="s">
        <v>247</v>
      </c>
      <c r="C56" s="116">
        <v>1</v>
      </c>
      <c r="D56" s="116">
        <v>0</v>
      </c>
      <c r="E56" s="115">
        <v>0</v>
      </c>
      <c r="F56" s="115">
        <f t="shared" si="0"/>
        <v>1</v>
      </c>
      <c r="G56"/>
      <c r="H56"/>
    </row>
    <row r="57" spans="1:8" ht="15" customHeight="1" x14ac:dyDescent="0.15">
      <c r="A57">
        <v>56</v>
      </c>
      <c r="B57" s="184" t="s">
        <v>248</v>
      </c>
      <c r="C57" s="116">
        <v>1</v>
      </c>
      <c r="D57" s="116">
        <v>0</v>
      </c>
      <c r="E57" s="115">
        <v>0</v>
      </c>
      <c r="F57" s="115">
        <f t="shared" si="0"/>
        <v>1</v>
      </c>
      <c r="G57"/>
      <c r="H57"/>
    </row>
    <row r="58" spans="1:8" ht="15" customHeight="1" x14ac:dyDescent="0.15">
      <c r="A58">
        <v>57</v>
      </c>
      <c r="B58" s="184" t="s">
        <v>249</v>
      </c>
      <c r="C58" s="116">
        <v>1</v>
      </c>
      <c r="D58" s="116">
        <v>0</v>
      </c>
      <c r="E58" s="115">
        <v>0</v>
      </c>
      <c r="F58" s="115">
        <f t="shared" si="0"/>
        <v>1</v>
      </c>
      <c r="G58"/>
      <c r="H58"/>
    </row>
    <row r="59" spans="1:8" ht="15" customHeight="1" x14ac:dyDescent="0.15">
      <c r="A59">
        <v>58</v>
      </c>
      <c r="B59" s="184" t="s">
        <v>250</v>
      </c>
      <c r="C59" s="116">
        <v>1</v>
      </c>
      <c r="D59" s="116">
        <v>0</v>
      </c>
      <c r="E59" s="115">
        <v>0</v>
      </c>
      <c r="F59" s="115">
        <f t="shared" si="0"/>
        <v>1</v>
      </c>
      <c r="G59"/>
      <c r="H59"/>
    </row>
    <row r="60" spans="1:8" ht="15" customHeight="1" x14ac:dyDescent="0.15">
      <c r="A60">
        <v>59</v>
      </c>
      <c r="B60" s="184" t="s">
        <v>251</v>
      </c>
      <c r="C60" s="116">
        <v>1</v>
      </c>
      <c r="D60" s="116">
        <v>0</v>
      </c>
      <c r="E60" s="115">
        <v>0</v>
      </c>
      <c r="F60" s="115">
        <f t="shared" si="0"/>
        <v>1</v>
      </c>
      <c r="G60"/>
      <c r="H60"/>
    </row>
    <row r="61" spans="1:8" ht="15" customHeight="1" x14ac:dyDescent="0.15">
      <c r="A61">
        <v>60</v>
      </c>
      <c r="B61" s="184" t="s">
        <v>252</v>
      </c>
      <c r="C61" s="116">
        <v>1</v>
      </c>
      <c r="D61" s="116">
        <v>0</v>
      </c>
      <c r="E61" s="115">
        <v>0</v>
      </c>
      <c r="F61" s="115">
        <f t="shared" si="0"/>
        <v>1</v>
      </c>
      <c r="G61"/>
      <c r="H61"/>
    </row>
    <row r="62" spans="1:8" ht="15" customHeight="1" x14ac:dyDescent="0.15">
      <c r="A62">
        <v>61</v>
      </c>
      <c r="B62" s="184" t="s">
        <v>253</v>
      </c>
      <c r="C62" s="116">
        <v>1</v>
      </c>
      <c r="D62" s="116">
        <v>0</v>
      </c>
      <c r="E62" s="115">
        <v>0</v>
      </c>
      <c r="F62" s="115">
        <f t="shared" si="0"/>
        <v>1</v>
      </c>
      <c r="G62"/>
      <c r="H62"/>
    </row>
    <row r="63" spans="1:8" ht="15" customHeight="1" x14ac:dyDescent="0.15">
      <c r="A63">
        <v>62</v>
      </c>
      <c r="B63" s="184" t="s">
        <v>254</v>
      </c>
      <c r="C63" s="116">
        <v>1</v>
      </c>
      <c r="D63" s="116">
        <v>0</v>
      </c>
      <c r="E63" s="115">
        <v>0</v>
      </c>
      <c r="F63" s="115">
        <f t="shared" si="0"/>
        <v>1</v>
      </c>
      <c r="G63"/>
      <c r="H63"/>
    </row>
    <row r="64" spans="1:8" ht="15" customHeight="1" x14ac:dyDescent="0.15">
      <c r="A64">
        <v>63</v>
      </c>
      <c r="B64" s="184" t="s">
        <v>255</v>
      </c>
      <c r="C64" s="116">
        <v>1</v>
      </c>
      <c r="D64" s="116">
        <v>0</v>
      </c>
      <c r="E64" s="115">
        <v>0</v>
      </c>
      <c r="F64" s="115">
        <f t="shared" si="0"/>
        <v>1</v>
      </c>
      <c r="G64"/>
      <c r="H64"/>
    </row>
    <row r="65" spans="1:8" ht="15" customHeight="1" x14ac:dyDescent="0.15">
      <c r="A65">
        <v>64</v>
      </c>
      <c r="B65" s="184" t="s">
        <v>256</v>
      </c>
      <c r="C65" s="116">
        <v>1</v>
      </c>
      <c r="D65" s="116">
        <v>0</v>
      </c>
      <c r="E65" s="115">
        <v>0</v>
      </c>
      <c r="F65" s="115">
        <f t="shared" si="0"/>
        <v>1</v>
      </c>
      <c r="G65"/>
      <c r="H65"/>
    </row>
    <row r="66" spans="1:8" ht="15" customHeight="1" x14ac:dyDescent="0.15">
      <c r="A66">
        <v>65</v>
      </c>
      <c r="B66" s="184" t="s">
        <v>257</v>
      </c>
      <c r="C66" s="116">
        <v>1</v>
      </c>
      <c r="D66" s="116">
        <v>0</v>
      </c>
      <c r="E66" s="115">
        <v>0</v>
      </c>
      <c r="F66" s="115">
        <f t="shared" si="0"/>
        <v>1</v>
      </c>
      <c r="G66"/>
      <c r="H66"/>
    </row>
    <row r="67" spans="1:8" ht="15" customHeight="1" x14ac:dyDescent="0.15">
      <c r="A67">
        <v>66</v>
      </c>
      <c r="B67" s="184" t="s">
        <v>258</v>
      </c>
      <c r="C67" s="116">
        <v>1</v>
      </c>
      <c r="D67" s="116">
        <v>0</v>
      </c>
      <c r="E67" s="115">
        <v>0</v>
      </c>
      <c r="F67" s="115">
        <f t="shared" ref="F67:F77" si="1">SUM(C67:E67)</f>
        <v>1</v>
      </c>
      <c r="G67"/>
      <c r="H67"/>
    </row>
    <row r="68" spans="1:8" ht="15" customHeight="1" x14ac:dyDescent="0.15">
      <c r="A68">
        <v>67</v>
      </c>
      <c r="B68" s="184" t="s">
        <v>259</v>
      </c>
      <c r="C68" s="116">
        <v>1</v>
      </c>
      <c r="D68" s="116">
        <v>0</v>
      </c>
      <c r="E68" s="115">
        <v>0</v>
      </c>
      <c r="F68" s="115">
        <f t="shared" si="1"/>
        <v>1</v>
      </c>
      <c r="G68"/>
      <c r="H68"/>
    </row>
    <row r="69" spans="1:8" ht="15" customHeight="1" x14ac:dyDescent="0.15">
      <c r="A69">
        <v>68</v>
      </c>
      <c r="B69" s="184" t="s">
        <v>260</v>
      </c>
      <c r="C69" s="116">
        <v>1</v>
      </c>
      <c r="D69" s="116">
        <v>0</v>
      </c>
      <c r="E69" s="115">
        <v>0</v>
      </c>
      <c r="F69" s="115">
        <f t="shared" si="1"/>
        <v>1</v>
      </c>
      <c r="G69"/>
      <c r="H69"/>
    </row>
    <row r="70" spans="1:8" ht="15" customHeight="1" x14ac:dyDescent="0.15">
      <c r="A70">
        <v>69</v>
      </c>
      <c r="B70" s="184" t="s">
        <v>261</v>
      </c>
      <c r="C70" s="116">
        <v>1</v>
      </c>
      <c r="D70" s="116">
        <v>0</v>
      </c>
      <c r="E70" s="115">
        <v>0</v>
      </c>
      <c r="F70" s="115">
        <f t="shared" si="1"/>
        <v>1</v>
      </c>
      <c r="G70"/>
      <c r="H70"/>
    </row>
    <row r="71" spans="1:8" ht="15" customHeight="1" x14ac:dyDescent="0.15">
      <c r="A71">
        <v>70</v>
      </c>
      <c r="B71" s="184" t="s">
        <v>262</v>
      </c>
      <c r="C71" s="116">
        <v>1</v>
      </c>
      <c r="D71" s="116">
        <v>0</v>
      </c>
      <c r="E71" s="115">
        <v>0</v>
      </c>
      <c r="F71" s="115">
        <f t="shared" si="1"/>
        <v>1</v>
      </c>
      <c r="G71"/>
      <c r="H71"/>
    </row>
    <row r="72" spans="1:8" ht="15" customHeight="1" x14ac:dyDescent="0.15">
      <c r="A72">
        <v>71</v>
      </c>
      <c r="B72" s="184" t="s">
        <v>263</v>
      </c>
      <c r="C72" s="116">
        <v>1</v>
      </c>
      <c r="D72" s="116">
        <v>0</v>
      </c>
      <c r="E72" s="115">
        <v>0</v>
      </c>
      <c r="F72" s="115">
        <f t="shared" si="1"/>
        <v>1</v>
      </c>
      <c r="G72"/>
      <c r="H72"/>
    </row>
    <row r="73" spans="1:8" ht="15" customHeight="1" x14ac:dyDescent="0.15">
      <c r="A73">
        <v>72</v>
      </c>
      <c r="B73" s="184" t="s">
        <v>264</v>
      </c>
      <c r="C73" s="116">
        <v>1</v>
      </c>
      <c r="D73" s="116">
        <v>0</v>
      </c>
      <c r="E73" s="115">
        <v>0</v>
      </c>
      <c r="F73" s="115">
        <f t="shared" si="1"/>
        <v>1</v>
      </c>
      <c r="G73"/>
      <c r="H73"/>
    </row>
    <row r="74" spans="1:8" ht="15" customHeight="1" x14ac:dyDescent="0.15">
      <c r="A74">
        <v>73</v>
      </c>
      <c r="B74" s="184" t="s">
        <v>265</v>
      </c>
      <c r="C74" s="116">
        <v>1</v>
      </c>
      <c r="D74" s="116">
        <v>0</v>
      </c>
      <c r="E74" s="115">
        <v>0</v>
      </c>
      <c r="F74" s="115">
        <f t="shared" si="1"/>
        <v>1</v>
      </c>
      <c r="G74"/>
      <c r="H74"/>
    </row>
    <row r="75" spans="1:8" ht="15" customHeight="1" x14ac:dyDescent="0.15">
      <c r="A75">
        <v>74</v>
      </c>
      <c r="B75" s="184" t="s">
        <v>266</v>
      </c>
      <c r="C75" s="116">
        <v>1</v>
      </c>
      <c r="D75" s="116">
        <v>0</v>
      </c>
      <c r="E75" s="115">
        <v>0</v>
      </c>
      <c r="F75" s="115">
        <f t="shared" si="1"/>
        <v>1</v>
      </c>
      <c r="G75"/>
      <c r="H75"/>
    </row>
    <row r="76" spans="1:8" ht="15" customHeight="1" x14ac:dyDescent="0.15">
      <c r="A76">
        <v>75</v>
      </c>
      <c r="B76" s="184" t="s">
        <v>267</v>
      </c>
      <c r="C76" s="116">
        <v>0</v>
      </c>
      <c r="D76" s="116">
        <v>1</v>
      </c>
      <c r="E76" s="115">
        <v>0</v>
      </c>
      <c r="F76" s="115">
        <f t="shared" si="1"/>
        <v>1</v>
      </c>
      <c r="G76"/>
      <c r="H76"/>
    </row>
    <row r="77" spans="1:8" ht="15" customHeight="1" x14ac:dyDescent="0.15">
      <c r="A77">
        <v>76</v>
      </c>
      <c r="B77" s="184" t="s">
        <v>268</v>
      </c>
      <c r="C77" s="116">
        <v>0</v>
      </c>
      <c r="D77" s="116">
        <v>0</v>
      </c>
      <c r="E77" s="115">
        <v>1</v>
      </c>
      <c r="F77" s="115">
        <f t="shared" si="1"/>
        <v>1</v>
      </c>
      <c r="G77"/>
      <c r="H77"/>
    </row>
    <row r="78" spans="1:8" ht="15" customHeight="1" x14ac:dyDescent="0.15">
      <c r="A78">
        <v>77</v>
      </c>
      <c r="B78" s="184" t="s">
        <v>269</v>
      </c>
      <c r="C78" s="116">
        <v>1</v>
      </c>
      <c r="D78" s="116">
        <v>0</v>
      </c>
      <c r="E78" s="115">
        <v>0</v>
      </c>
      <c r="F78" s="115">
        <f t="shared" ref="F78:F101" si="2">SUM(C78:E78)</f>
        <v>1</v>
      </c>
      <c r="G78"/>
      <c r="H78"/>
    </row>
    <row r="79" spans="1:8" ht="15" customHeight="1" x14ac:dyDescent="0.15">
      <c r="A79">
        <v>78</v>
      </c>
      <c r="B79" s="184" t="s">
        <v>270</v>
      </c>
      <c r="C79" s="116">
        <v>1</v>
      </c>
      <c r="D79" s="116">
        <v>0</v>
      </c>
      <c r="E79" s="115">
        <v>0</v>
      </c>
      <c r="F79" s="115">
        <f t="shared" si="2"/>
        <v>1</v>
      </c>
      <c r="G79"/>
      <c r="H79"/>
    </row>
    <row r="80" spans="1:8" ht="15" customHeight="1" x14ac:dyDescent="0.15">
      <c r="A80">
        <v>79</v>
      </c>
      <c r="B80" s="184" t="s">
        <v>271</v>
      </c>
      <c r="C80" s="116">
        <v>1</v>
      </c>
      <c r="D80" s="116">
        <v>0</v>
      </c>
      <c r="E80" s="115">
        <v>0</v>
      </c>
      <c r="F80" s="115">
        <f t="shared" si="2"/>
        <v>1</v>
      </c>
      <c r="G80"/>
      <c r="H80"/>
    </row>
    <row r="81" spans="1:8" ht="15" customHeight="1" x14ac:dyDescent="0.15">
      <c r="A81">
        <v>80</v>
      </c>
      <c r="B81" s="184" t="s">
        <v>272</v>
      </c>
      <c r="C81" s="116">
        <v>1</v>
      </c>
      <c r="D81" s="116">
        <v>0</v>
      </c>
      <c r="E81" s="115">
        <v>0</v>
      </c>
      <c r="F81" s="115">
        <f t="shared" si="2"/>
        <v>1</v>
      </c>
      <c r="G81"/>
      <c r="H81"/>
    </row>
    <row r="82" spans="1:8" ht="15" customHeight="1" x14ac:dyDescent="0.15">
      <c r="A82">
        <v>81</v>
      </c>
      <c r="B82" s="184" t="s">
        <v>273</v>
      </c>
      <c r="C82" s="116">
        <v>1</v>
      </c>
      <c r="D82" s="116">
        <v>0</v>
      </c>
      <c r="E82" s="115">
        <v>0</v>
      </c>
      <c r="F82" s="115">
        <f t="shared" si="2"/>
        <v>1</v>
      </c>
      <c r="G82"/>
      <c r="H82"/>
    </row>
    <row r="83" spans="1:8" ht="15" customHeight="1" x14ac:dyDescent="0.15">
      <c r="A83">
        <v>82</v>
      </c>
      <c r="B83" s="184" t="s">
        <v>274</v>
      </c>
      <c r="C83" s="116">
        <v>1</v>
      </c>
      <c r="D83" s="116">
        <v>0</v>
      </c>
      <c r="E83" s="115">
        <v>0</v>
      </c>
      <c r="F83" s="115">
        <f t="shared" si="2"/>
        <v>1</v>
      </c>
      <c r="G83"/>
      <c r="H83"/>
    </row>
    <row r="84" spans="1:8" ht="15" customHeight="1" x14ac:dyDescent="0.15">
      <c r="A84">
        <v>83</v>
      </c>
      <c r="B84" s="184" t="s">
        <v>275</v>
      </c>
      <c r="C84" s="116">
        <v>1</v>
      </c>
      <c r="D84" s="116">
        <v>0</v>
      </c>
      <c r="E84" s="115">
        <v>0</v>
      </c>
      <c r="F84" s="115">
        <f t="shared" si="2"/>
        <v>1</v>
      </c>
      <c r="G84"/>
      <c r="H84"/>
    </row>
    <row r="85" spans="1:8" ht="15" customHeight="1" x14ac:dyDescent="0.15">
      <c r="A85">
        <v>84</v>
      </c>
      <c r="B85" s="184" t="s">
        <v>276</v>
      </c>
      <c r="C85" s="116">
        <v>1</v>
      </c>
      <c r="D85" s="116">
        <v>0</v>
      </c>
      <c r="E85" s="115">
        <v>0</v>
      </c>
      <c r="F85" s="115">
        <f t="shared" si="2"/>
        <v>1</v>
      </c>
      <c r="G85"/>
      <c r="H85"/>
    </row>
    <row r="86" spans="1:8" ht="15" customHeight="1" x14ac:dyDescent="0.15">
      <c r="A86">
        <v>85</v>
      </c>
      <c r="B86" s="184" t="s">
        <v>277</v>
      </c>
      <c r="C86" s="116">
        <v>1</v>
      </c>
      <c r="D86" s="116">
        <v>0</v>
      </c>
      <c r="E86" s="115">
        <v>0</v>
      </c>
      <c r="F86" s="115">
        <f t="shared" si="2"/>
        <v>1</v>
      </c>
      <c r="G86"/>
      <c r="H86"/>
    </row>
    <row r="87" spans="1:8" ht="15" customHeight="1" x14ac:dyDescent="0.15">
      <c r="A87">
        <v>86</v>
      </c>
      <c r="B87" s="184" t="s">
        <v>278</v>
      </c>
      <c r="C87" s="116">
        <v>1</v>
      </c>
      <c r="D87" s="116">
        <v>0</v>
      </c>
      <c r="E87" s="115">
        <v>0</v>
      </c>
      <c r="F87" s="115">
        <f t="shared" si="2"/>
        <v>1</v>
      </c>
      <c r="G87"/>
      <c r="H87"/>
    </row>
    <row r="88" spans="1:8" ht="15" customHeight="1" x14ac:dyDescent="0.15">
      <c r="A88">
        <v>87</v>
      </c>
      <c r="B88" s="184" t="s">
        <v>279</v>
      </c>
      <c r="C88" s="116">
        <v>1</v>
      </c>
      <c r="D88" s="116">
        <v>0</v>
      </c>
      <c r="E88" s="115">
        <v>0</v>
      </c>
      <c r="F88" s="115">
        <f t="shared" si="2"/>
        <v>1</v>
      </c>
      <c r="G88"/>
      <c r="H88"/>
    </row>
    <row r="89" spans="1:8" ht="15" customHeight="1" x14ac:dyDescent="0.15">
      <c r="A89">
        <v>88</v>
      </c>
      <c r="B89" s="184" t="s">
        <v>280</v>
      </c>
      <c r="C89" s="116">
        <v>1</v>
      </c>
      <c r="D89" s="116">
        <v>0</v>
      </c>
      <c r="E89" s="115">
        <v>0</v>
      </c>
      <c r="F89" s="115">
        <f t="shared" si="2"/>
        <v>1</v>
      </c>
      <c r="G89"/>
      <c r="H89"/>
    </row>
    <row r="90" spans="1:8" ht="15" customHeight="1" x14ac:dyDescent="0.15">
      <c r="A90">
        <v>89</v>
      </c>
      <c r="B90" s="184" t="s">
        <v>281</v>
      </c>
      <c r="C90" s="116">
        <v>1</v>
      </c>
      <c r="D90" s="116">
        <v>0</v>
      </c>
      <c r="E90" s="115">
        <v>0</v>
      </c>
      <c r="F90" s="115">
        <f t="shared" si="2"/>
        <v>1</v>
      </c>
      <c r="G90"/>
      <c r="H90"/>
    </row>
    <row r="91" spans="1:8" ht="15" customHeight="1" x14ac:dyDescent="0.15">
      <c r="A91">
        <v>90</v>
      </c>
      <c r="B91" s="184" t="s">
        <v>282</v>
      </c>
      <c r="C91" s="116">
        <v>1</v>
      </c>
      <c r="D91" s="116">
        <v>0</v>
      </c>
      <c r="E91" s="115">
        <v>0</v>
      </c>
      <c r="F91" s="115">
        <f t="shared" si="2"/>
        <v>1</v>
      </c>
      <c r="G91"/>
      <c r="H91"/>
    </row>
    <row r="92" spans="1:8" ht="15" customHeight="1" x14ac:dyDescent="0.15">
      <c r="A92">
        <v>91</v>
      </c>
      <c r="B92" s="184" t="s">
        <v>283</v>
      </c>
      <c r="C92" s="116">
        <v>1</v>
      </c>
      <c r="D92" s="116">
        <v>0</v>
      </c>
      <c r="E92" s="115">
        <v>0</v>
      </c>
      <c r="F92" s="115">
        <f t="shared" si="2"/>
        <v>1</v>
      </c>
      <c r="G92"/>
      <c r="H92"/>
    </row>
    <row r="93" spans="1:8" ht="15" customHeight="1" x14ac:dyDescent="0.15">
      <c r="A93">
        <v>92</v>
      </c>
      <c r="B93" s="184" t="s">
        <v>284</v>
      </c>
      <c r="C93" s="116">
        <v>1</v>
      </c>
      <c r="D93" s="116">
        <v>0</v>
      </c>
      <c r="E93" s="115">
        <v>0</v>
      </c>
      <c r="F93" s="115">
        <f t="shared" si="2"/>
        <v>1</v>
      </c>
      <c r="G93"/>
      <c r="H93"/>
    </row>
    <row r="94" spans="1:8" ht="15" customHeight="1" x14ac:dyDescent="0.15">
      <c r="A94">
        <v>93</v>
      </c>
      <c r="B94" s="184" t="s">
        <v>285</v>
      </c>
      <c r="C94" s="116">
        <v>1</v>
      </c>
      <c r="D94" s="116">
        <v>0</v>
      </c>
      <c r="E94" s="115">
        <v>0</v>
      </c>
      <c r="F94" s="115">
        <f t="shared" si="2"/>
        <v>1</v>
      </c>
      <c r="G94"/>
      <c r="H94"/>
    </row>
    <row r="95" spans="1:8" ht="15" customHeight="1" x14ac:dyDescent="0.15">
      <c r="A95">
        <v>94</v>
      </c>
      <c r="B95" s="184" t="s">
        <v>286</v>
      </c>
      <c r="C95" s="116">
        <v>1</v>
      </c>
      <c r="D95" s="116">
        <v>0</v>
      </c>
      <c r="E95" s="115">
        <v>0</v>
      </c>
      <c r="F95" s="115">
        <f t="shared" si="2"/>
        <v>1</v>
      </c>
      <c r="G95"/>
      <c r="H95"/>
    </row>
    <row r="96" spans="1:8" ht="15" customHeight="1" x14ac:dyDescent="0.15">
      <c r="A96">
        <v>95</v>
      </c>
      <c r="B96" s="184" t="s">
        <v>287</v>
      </c>
      <c r="C96" s="116">
        <v>1</v>
      </c>
      <c r="D96" s="116">
        <v>0</v>
      </c>
      <c r="E96" s="115">
        <v>0</v>
      </c>
      <c r="F96" s="115">
        <f t="shared" si="2"/>
        <v>1</v>
      </c>
      <c r="G96"/>
      <c r="H96"/>
    </row>
    <row r="97" spans="1:8" ht="15" customHeight="1" x14ac:dyDescent="0.15">
      <c r="A97">
        <v>96</v>
      </c>
      <c r="B97" s="184" t="s">
        <v>288</v>
      </c>
      <c r="C97" s="116">
        <v>1</v>
      </c>
      <c r="D97" s="116">
        <v>0</v>
      </c>
      <c r="E97" s="115">
        <v>0</v>
      </c>
      <c r="F97" s="115">
        <f t="shared" si="2"/>
        <v>1</v>
      </c>
      <c r="G97"/>
      <c r="H97"/>
    </row>
    <row r="98" spans="1:8" ht="15" customHeight="1" x14ac:dyDescent="0.15">
      <c r="A98">
        <v>97</v>
      </c>
      <c r="B98" s="184" t="s">
        <v>289</v>
      </c>
      <c r="C98" s="116">
        <v>1</v>
      </c>
      <c r="D98" s="116">
        <v>0</v>
      </c>
      <c r="E98" s="115">
        <v>0</v>
      </c>
      <c r="F98" s="115">
        <f t="shared" si="2"/>
        <v>1</v>
      </c>
      <c r="G98"/>
      <c r="H98"/>
    </row>
    <row r="99" spans="1:8" ht="15" customHeight="1" x14ac:dyDescent="0.15">
      <c r="A99">
        <v>98</v>
      </c>
      <c r="B99" s="184" t="s">
        <v>290</v>
      </c>
      <c r="C99" s="116">
        <v>1</v>
      </c>
      <c r="D99" s="116">
        <v>0</v>
      </c>
      <c r="E99" s="115">
        <v>0</v>
      </c>
      <c r="F99" s="115">
        <f t="shared" si="2"/>
        <v>1</v>
      </c>
      <c r="G99"/>
      <c r="H99"/>
    </row>
    <row r="100" spans="1:8" ht="15" customHeight="1" x14ac:dyDescent="0.15">
      <c r="A100">
        <v>99</v>
      </c>
      <c r="B100" s="184" t="s">
        <v>291</v>
      </c>
      <c r="C100" s="116">
        <v>1</v>
      </c>
      <c r="D100" s="116">
        <v>0</v>
      </c>
      <c r="E100" s="115">
        <v>0</v>
      </c>
      <c r="F100" s="115">
        <f t="shared" si="2"/>
        <v>1</v>
      </c>
      <c r="G100"/>
      <c r="H100"/>
    </row>
    <row r="101" spans="1:8" ht="15" customHeight="1" x14ac:dyDescent="0.15">
      <c r="A101">
        <v>100</v>
      </c>
      <c r="B101" s="184" t="s">
        <v>292</v>
      </c>
      <c r="C101" s="116">
        <v>1</v>
      </c>
      <c r="D101" s="116">
        <v>0</v>
      </c>
      <c r="E101" s="115">
        <v>0</v>
      </c>
      <c r="F101" s="115">
        <f t="shared" si="2"/>
        <v>1</v>
      </c>
      <c r="G101"/>
      <c r="H101"/>
    </row>
    <row r="102" spans="1:8" ht="15" customHeight="1" x14ac:dyDescent="0.15">
      <c r="C102"/>
      <c r="D102"/>
      <c r="E102"/>
      <c r="F102"/>
      <c r="G102"/>
      <c r="H102"/>
    </row>
    <row r="103" spans="1:8" ht="15" customHeight="1" x14ac:dyDescent="0.15">
      <c r="C103"/>
      <c r="D103"/>
      <c r="E103"/>
      <c r="F103"/>
      <c r="G103"/>
      <c r="H103"/>
    </row>
    <row r="104" spans="1:8" ht="15" customHeight="1" x14ac:dyDescent="0.15">
      <c r="C104"/>
      <c r="D104"/>
      <c r="E104"/>
      <c r="F104"/>
      <c r="G104"/>
      <c r="H104"/>
    </row>
    <row r="105" spans="1:8" ht="15" customHeight="1" x14ac:dyDescent="0.15"/>
    <row r="106" spans="1:8" ht="15" customHeight="1" x14ac:dyDescent="0.15"/>
    <row r="107" spans="1:8" ht="15" customHeight="1" x14ac:dyDescent="0.15"/>
    <row r="108" spans="1:8" ht="15" customHeight="1" x14ac:dyDescent="0.15"/>
    <row r="109" spans="1:8" ht="15" customHeight="1" x14ac:dyDescent="0.15"/>
    <row r="110" spans="1:8" ht="15" customHeight="1" x14ac:dyDescent="0.15"/>
    <row r="111" spans="1:8" ht="15" customHeight="1" x14ac:dyDescent="0.15"/>
    <row r="112" spans="1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AA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7.6640625" bestFit="1" customWidth="1"/>
    <col min="3" max="5" width="11.83203125" bestFit="1" customWidth="1"/>
    <col min="6" max="7" width="11.83203125" customWidth="1"/>
    <col min="8" max="8" width="12.83203125" customWidth="1"/>
    <col min="9" max="11" width="11.83203125" customWidth="1"/>
    <col min="12" max="12" width="11.5" customWidth="1"/>
    <col min="13" max="18" width="11.83203125" customWidth="1"/>
    <col min="19" max="20" width="12.83203125" customWidth="1"/>
    <col min="21" max="24" width="11.83203125" customWidth="1"/>
    <col min="25" max="25" width="11.5" customWidth="1"/>
    <col min="26" max="26" width="2.33203125" customWidth="1"/>
    <col min="27" max="27" width="15.83203125" customWidth="1"/>
  </cols>
  <sheetData>
    <row r="1" spans="1:27" s="117" customFormat="1" ht="112" x14ac:dyDescent="0.15">
      <c r="A1" s="5" t="s">
        <v>21</v>
      </c>
      <c r="B1" s="3" t="s">
        <v>0</v>
      </c>
      <c r="C1" s="187" t="s">
        <v>269</v>
      </c>
      <c r="D1" s="187" t="s">
        <v>270</v>
      </c>
      <c r="E1" s="187" t="s">
        <v>271</v>
      </c>
      <c r="F1" s="187" t="s">
        <v>272</v>
      </c>
      <c r="G1" s="187" t="s">
        <v>273</v>
      </c>
      <c r="H1" s="187" t="s">
        <v>274</v>
      </c>
      <c r="I1" s="187" t="s">
        <v>275</v>
      </c>
      <c r="J1" s="187" t="s">
        <v>276</v>
      </c>
      <c r="K1" s="187" t="s">
        <v>277</v>
      </c>
      <c r="L1" s="187" t="s">
        <v>278</v>
      </c>
      <c r="M1" s="187" t="s">
        <v>279</v>
      </c>
      <c r="N1" s="187" t="s">
        <v>280</v>
      </c>
      <c r="O1" s="187" t="s">
        <v>281</v>
      </c>
      <c r="P1" s="187" t="s">
        <v>282</v>
      </c>
      <c r="Q1" s="187" t="s">
        <v>283</v>
      </c>
      <c r="R1" s="187" t="s">
        <v>284</v>
      </c>
      <c r="S1" s="187" t="s">
        <v>285</v>
      </c>
      <c r="T1" s="187" t="s">
        <v>286</v>
      </c>
      <c r="U1" s="187" t="s">
        <v>287</v>
      </c>
      <c r="V1" s="187" t="s">
        <v>288</v>
      </c>
      <c r="W1" s="187" t="s">
        <v>289</v>
      </c>
      <c r="X1" s="187" t="s">
        <v>290</v>
      </c>
      <c r="Y1" s="187" t="s">
        <v>291</v>
      </c>
      <c r="Z1" s="187" t="s">
        <v>292</v>
      </c>
      <c r="AA1" s="187" t="s">
        <v>296</v>
      </c>
    </row>
    <row r="2" spans="1:27" ht="15" customHeight="1" x14ac:dyDescent="0.15">
      <c r="A2">
        <v>1</v>
      </c>
      <c r="B2" s="186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 ht="15" customHeight="1" x14ac:dyDescent="0.15">
      <c r="A3">
        <v>2</v>
      </c>
      <c r="B3" s="186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 ht="15" customHeight="1" x14ac:dyDescent="0.15">
      <c r="A4">
        <v>3</v>
      </c>
      <c r="B4" s="186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 ht="15" customHeight="1" x14ac:dyDescent="0.15">
      <c r="A5">
        <v>4</v>
      </c>
      <c r="B5" s="186" t="s">
        <v>196</v>
      </c>
      <c r="C5">
        <v>2.427252E-3</v>
      </c>
      <c r="D5">
        <v>3.7867899999999998E-4</v>
      </c>
      <c r="E5">
        <v>0</v>
      </c>
      <c r="F5">
        <v>4.9996600000000002E-4</v>
      </c>
      <c r="G5">
        <v>1.10968E-5</v>
      </c>
      <c r="H5">
        <v>3.2699999999999998E-4</v>
      </c>
      <c r="I5">
        <v>5.38064E-5</v>
      </c>
      <c r="J5">
        <v>1.6612899999999999E-4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7.9354899999999998E-6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3.8718646900000003E-3</v>
      </c>
    </row>
    <row r="6" spans="1:27" ht="15" customHeight="1" x14ac:dyDescent="0.15">
      <c r="A6">
        <v>5</v>
      </c>
      <c r="B6" s="186" t="s">
        <v>197</v>
      </c>
      <c r="C6">
        <v>4.3780999999999996E-6</v>
      </c>
      <c r="D6">
        <v>0</v>
      </c>
      <c r="E6">
        <v>0</v>
      </c>
      <c r="F6">
        <v>4.9140500000000002E-5</v>
      </c>
      <c r="G6">
        <v>0</v>
      </c>
      <c r="H6">
        <v>9.7999999999999997E-5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1.515186E-4</v>
      </c>
    </row>
    <row r="7" spans="1:27" ht="15" customHeight="1" x14ac:dyDescent="0.15">
      <c r="A7">
        <v>6</v>
      </c>
      <c r="B7" s="186" t="s">
        <v>198</v>
      </c>
      <c r="C7">
        <v>9.21692E-4</v>
      </c>
      <c r="D7">
        <v>0</v>
      </c>
      <c r="E7">
        <v>0</v>
      </c>
      <c r="F7">
        <v>7.3041100000000004E-4</v>
      </c>
      <c r="G7">
        <v>0</v>
      </c>
      <c r="H7">
        <v>6.9999999999999999E-6</v>
      </c>
      <c r="I7">
        <v>1.22581E-5</v>
      </c>
      <c r="J7">
        <v>5.8064499999999997E-7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1.6719417450000002E-3</v>
      </c>
    </row>
    <row r="8" spans="1:27" ht="15" customHeight="1" x14ac:dyDescent="0.15">
      <c r="A8">
        <v>7</v>
      </c>
      <c r="B8" s="186" t="s">
        <v>199</v>
      </c>
      <c r="C8">
        <v>7.0990799999999998E-4</v>
      </c>
      <c r="D8">
        <v>0</v>
      </c>
      <c r="E8">
        <v>2.3471200000000001E-4</v>
      </c>
      <c r="F8">
        <v>2.3105690000000002E-3</v>
      </c>
      <c r="G8">
        <v>0</v>
      </c>
      <c r="H8">
        <v>1.5899999999999999E-4</v>
      </c>
      <c r="I8">
        <v>5.3868400000000001E-5</v>
      </c>
      <c r="J8">
        <v>1.9238699999999999E-6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3.4699812700000002E-3</v>
      </c>
    </row>
    <row r="9" spans="1:27" ht="15" customHeight="1" x14ac:dyDescent="0.15">
      <c r="A9">
        <v>8</v>
      </c>
      <c r="B9" s="186" t="s">
        <v>200</v>
      </c>
      <c r="C9">
        <v>0</v>
      </c>
      <c r="D9">
        <v>0</v>
      </c>
      <c r="E9">
        <v>9.6306500000000004E-4</v>
      </c>
      <c r="F9">
        <v>0</v>
      </c>
      <c r="G9">
        <v>0</v>
      </c>
      <c r="H9">
        <v>0</v>
      </c>
      <c r="I9">
        <v>2.0709699999999999E-5</v>
      </c>
      <c r="J9">
        <v>1.54839E-6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2.7096799999999999E-6</v>
      </c>
      <c r="U9">
        <v>0</v>
      </c>
      <c r="V9">
        <v>9.3970100000000007E-6</v>
      </c>
      <c r="W9">
        <v>0</v>
      </c>
      <c r="X9">
        <v>0</v>
      </c>
      <c r="Y9">
        <v>0</v>
      </c>
      <c r="Z9">
        <v>0</v>
      </c>
      <c r="AA9">
        <v>9.974297799999999E-4</v>
      </c>
    </row>
    <row r="10" spans="1:27" ht="15" customHeight="1" x14ac:dyDescent="0.15">
      <c r="A10">
        <v>9</v>
      </c>
      <c r="B10" s="186" t="s">
        <v>201</v>
      </c>
      <c r="C10">
        <v>3.0851199999999999E-4</v>
      </c>
      <c r="D10">
        <v>0</v>
      </c>
      <c r="E10">
        <v>0</v>
      </c>
      <c r="F10">
        <v>1.152349E-3</v>
      </c>
      <c r="G10">
        <v>7.7830399999999995E-4</v>
      </c>
      <c r="H10">
        <v>1.2E-5</v>
      </c>
      <c r="I10">
        <v>0</v>
      </c>
      <c r="J10">
        <v>1.7512699999999999E-5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2.2686777E-3</v>
      </c>
    </row>
    <row r="11" spans="1:27" ht="15" customHeight="1" x14ac:dyDescent="0.15">
      <c r="A11">
        <v>10</v>
      </c>
      <c r="B11" s="186" t="s">
        <v>202</v>
      </c>
      <c r="C11">
        <v>1.2999100000000001E-4</v>
      </c>
      <c r="D11">
        <v>0</v>
      </c>
      <c r="E11">
        <v>0</v>
      </c>
      <c r="F11">
        <v>8.7846300000000001E-4</v>
      </c>
      <c r="G11">
        <v>1.75365E-4</v>
      </c>
      <c r="H11">
        <v>1.12E-4</v>
      </c>
      <c r="I11">
        <v>2.5806399999999997E-7</v>
      </c>
      <c r="J11">
        <v>1.5229000000000001E-6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1.2975999639999998E-3</v>
      </c>
    </row>
    <row r="12" spans="1:27" ht="15" customHeight="1" x14ac:dyDescent="0.15">
      <c r="A12">
        <v>11</v>
      </c>
      <c r="B12" s="186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3.3481299999999999E-3</v>
      </c>
      <c r="J12">
        <v>7.8322499999999994E-5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5.1677500000000001E-5</v>
      </c>
      <c r="U12">
        <v>0</v>
      </c>
      <c r="V12">
        <v>5.0281299999999996E-4</v>
      </c>
      <c r="W12">
        <v>3.8278500000000002E-4</v>
      </c>
      <c r="X12">
        <v>0</v>
      </c>
      <c r="Y12">
        <v>0</v>
      </c>
      <c r="Z12">
        <v>0</v>
      </c>
      <c r="AA12">
        <v>4.3637280000000007E-3</v>
      </c>
    </row>
    <row r="13" spans="1:27" ht="15" customHeight="1" x14ac:dyDescent="0.15">
      <c r="A13">
        <v>12</v>
      </c>
      <c r="B13" s="186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8.2709700000000005E-5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8.2709700000000005E-5</v>
      </c>
    </row>
    <row r="14" spans="1:27" ht="15" customHeight="1" x14ac:dyDescent="0.15">
      <c r="A14">
        <v>13</v>
      </c>
      <c r="B14" s="186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6.2709699999999994E-5</v>
      </c>
      <c r="J14">
        <v>1.12258E-5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1.9354900000000001E-7</v>
      </c>
      <c r="U14">
        <v>0</v>
      </c>
      <c r="V14">
        <v>5.05618E-4</v>
      </c>
      <c r="W14">
        <v>8.1869799999999997E-4</v>
      </c>
      <c r="X14">
        <v>0</v>
      </c>
      <c r="Y14">
        <v>0</v>
      </c>
      <c r="Z14">
        <v>0</v>
      </c>
      <c r="AA14">
        <v>1.3984450490000001E-3</v>
      </c>
    </row>
    <row r="15" spans="1:27" ht="15" customHeight="1" x14ac:dyDescent="0.15">
      <c r="A15">
        <v>14</v>
      </c>
      <c r="B15" s="186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1.4903200000000001E-4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1.4903200000000001E-4</v>
      </c>
    </row>
    <row r="16" spans="1:27" ht="15" customHeight="1" x14ac:dyDescent="0.15">
      <c r="A16">
        <v>15</v>
      </c>
      <c r="B16" s="186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1.035549E-3</v>
      </c>
      <c r="J16">
        <v>1.1871E-5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5.8064499999999997E-7</v>
      </c>
      <c r="U16">
        <v>0</v>
      </c>
      <c r="V16">
        <v>1.25623E-5</v>
      </c>
      <c r="W16">
        <v>1.5984699999999999E-4</v>
      </c>
      <c r="X16">
        <v>0</v>
      </c>
      <c r="Y16">
        <v>0</v>
      </c>
      <c r="Z16">
        <v>0</v>
      </c>
      <c r="AA16">
        <v>1.2204099450000001E-3</v>
      </c>
    </row>
    <row r="17" spans="1:27" ht="15" customHeight="1" x14ac:dyDescent="0.15">
      <c r="A17">
        <v>16</v>
      </c>
      <c r="B17" s="186" t="s">
        <v>208</v>
      </c>
      <c r="C17">
        <v>0</v>
      </c>
      <c r="D17">
        <v>0</v>
      </c>
      <c r="E17">
        <v>0</v>
      </c>
      <c r="F17">
        <v>0</v>
      </c>
      <c r="G17">
        <v>2.5954800000000002E-4</v>
      </c>
      <c r="H17">
        <v>1.1580029999999999E-3</v>
      </c>
      <c r="I17">
        <v>1.4690300000000001E-4</v>
      </c>
      <c r="J17">
        <v>1.3948399999999999E-4</v>
      </c>
      <c r="K17">
        <v>2.5806399999999997E-7</v>
      </c>
      <c r="L17">
        <v>4.5161299999999998E-7</v>
      </c>
      <c r="M17">
        <v>0</v>
      </c>
      <c r="N17">
        <v>1.03226E-6</v>
      </c>
      <c r="O17">
        <v>0</v>
      </c>
      <c r="P17">
        <v>2.8412899999999999E-4</v>
      </c>
      <c r="Q17">
        <v>1.79032E-4</v>
      </c>
      <c r="R17">
        <v>1.6774199999999999E-6</v>
      </c>
      <c r="S17">
        <v>0</v>
      </c>
      <c r="T17">
        <v>4.2645100000000003E-5</v>
      </c>
      <c r="U17">
        <v>0</v>
      </c>
      <c r="V17">
        <v>1.6593619999999999E-3</v>
      </c>
      <c r="W17">
        <v>3.137997E-3</v>
      </c>
      <c r="X17">
        <v>1.25417E-3</v>
      </c>
      <c r="Y17">
        <v>0</v>
      </c>
      <c r="Z17">
        <v>0</v>
      </c>
      <c r="AA17">
        <v>8.2646924570000009E-3</v>
      </c>
    </row>
    <row r="18" spans="1:27" ht="15" customHeight="1" x14ac:dyDescent="0.15">
      <c r="A18">
        <v>17</v>
      </c>
      <c r="B18" s="186" t="s">
        <v>209</v>
      </c>
      <c r="C18">
        <v>0</v>
      </c>
      <c r="D18">
        <v>0</v>
      </c>
      <c r="E18">
        <v>1.4193600000000001E-6</v>
      </c>
      <c r="F18">
        <v>0</v>
      </c>
      <c r="G18">
        <v>0</v>
      </c>
      <c r="H18">
        <v>0</v>
      </c>
      <c r="I18">
        <v>9.7483899999999997E-5</v>
      </c>
      <c r="J18">
        <v>1.1177419999999999E-3</v>
      </c>
      <c r="K18">
        <v>6.4516099999999999E-8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2.4258100000000001E-5</v>
      </c>
      <c r="S18">
        <v>0</v>
      </c>
      <c r="T18">
        <v>1.70323E-4</v>
      </c>
      <c r="U18">
        <v>6.7307199999999998E-5</v>
      </c>
      <c r="V18">
        <v>9.8441999999999996E-4</v>
      </c>
      <c r="W18">
        <v>1.0932699999999999E-3</v>
      </c>
      <c r="X18">
        <v>0</v>
      </c>
      <c r="Y18">
        <v>0</v>
      </c>
      <c r="Z18">
        <v>0</v>
      </c>
      <c r="AA18">
        <v>3.5562880760999995E-3</v>
      </c>
    </row>
    <row r="19" spans="1:27" ht="15" customHeight="1" x14ac:dyDescent="0.15">
      <c r="A19">
        <v>18</v>
      </c>
      <c r="B19" s="186" t="s">
        <v>210</v>
      </c>
      <c r="C19">
        <v>0</v>
      </c>
      <c r="D19">
        <v>0</v>
      </c>
      <c r="E19">
        <v>7.0967799999999998E-7</v>
      </c>
      <c r="F19">
        <v>0</v>
      </c>
      <c r="G19">
        <v>0</v>
      </c>
      <c r="H19">
        <v>0</v>
      </c>
      <c r="I19">
        <v>2.5769899999999999E-5</v>
      </c>
      <c r="J19">
        <v>1.41538E-4</v>
      </c>
      <c r="K19">
        <v>2.5806399999999997E-7</v>
      </c>
      <c r="L19">
        <v>0</v>
      </c>
      <c r="M19">
        <v>0</v>
      </c>
      <c r="N19">
        <v>0</v>
      </c>
      <c r="O19">
        <v>0</v>
      </c>
      <c r="P19">
        <v>7.7419299999999995E-7</v>
      </c>
      <c r="Q19">
        <v>0</v>
      </c>
      <c r="R19">
        <v>4.1935599999999997E-6</v>
      </c>
      <c r="S19">
        <v>0</v>
      </c>
      <c r="T19">
        <v>1.27097E-5</v>
      </c>
      <c r="U19">
        <v>6.6617499999999997E-5</v>
      </c>
      <c r="V19">
        <v>3.7874700000000002E-4</v>
      </c>
      <c r="W19">
        <v>1.5168569999999999E-3</v>
      </c>
      <c r="X19">
        <v>4.1715899999999998E-5</v>
      </c>
      <c r="Y19">
        <v>0</v>
      </c>
      <c r="Z19">
        <v>0</v>
      </c>
      <c r="AA19">
        <v>2.1898904950000001E-3</v>
      </c>
    </row>
    <row r="20" spans="1:27" ht="15" customHeight="1" x14ac:dyDescent="0.15">
      <c r="A20">
        <v>19</v>
      </c>
      <c r="B20" s="186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 ht="15" customHeight="1" x14ac:dyDescent="0.15">
      <c r="A21">
        <v>20</v>
      </c>
      <c r="B21" s="186" t="s">
        <v>212</v>
      </c>
      <c r="C21">
        <v>0</v>
      </c>
      <c r="D21">
        <v>0</v>
      </c>
      <c r="E21">
        <v>0</v>
      </c>
      <c r="F21">
        <v>0</v>
      </c>
      <c r="G21">
        <v>8.6077500000000004E-4</v>
      </c>
      <c r="H21">
        <v>1.0217699999999999E-4</v>
      </c>
      <c r="I21">
        <v>1.09677E-6</v>
      </c>
      <c r="J21">
        <v>2.5930319999999999E-3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8.3870999999999997E-7</v>
      </c>
      <c r="S21">
        <v>0</v>
      </c>
      <c r="T21">
        <v>6.0838799999999998E-5</v>
      </c>
      <c r="U21">
        <v>1.9841100000000001E-4</v>
      </c>
      <c r="V21">
        <v>1.2871099999999999E-3</v>
      </c>
      <c r="W21">
        <v>2.0756659999999999E-3</v>
      </c>
      <c r="X21">
        <v>3.9162300000000001E-4</v>
      </c>
      <c r="Y21">
        <v>0</v>
      </c>
      <c r="Z21">
        <v>0</v>
      </c>
      <c r="AA21">
        <v>7.5715682799999988E-3</v>
      </c>
    </row>
    <row r="22" spans="1:27" ht="15" customHeight="1" x14ac:dyDescent="0.15">
      <c r="A22">
        <v>21</v>
      </c>
      <c r="B22" s="186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ht="15" customHeight="1" x14ac:dyDescent="0.15">
      <c r="A23">
        <v>22</v>
      </c>
      <c r="B23" s="186" t="s">
        <v>214</v>
      </c>
      <c r="C23">
        <v>0</v>
      </c>
      <c r="D23">
        <v>0</v>
      </c>
      <c r="E23">
        <v>0</v>
      </c>
      <c r="F23">
        <v>0</v>
      </c>
      <c r="G23">
        <v>1.859587E-3</v>
      </c>
      <c r="H23">
        <v>8.8553199999999996E-4</v>
      </c>
      <c r="I23">
        <v>6.4516099999999999E-8</v>
      </c>
      <c r="J23">
        <v>8.0717199999999994E-5</v>
      </c>
      <c r="K23">
        <v>0</v>
      </c>
      <c r="L23">
        <v>0</v>
      </c>
      <c r="M23">
        <v>0</v>
      </c>
      <c r="N23">
        <v>0</v>
      </c>
      <c r="O23">
        <v>0</v>
      </c>
      <c r="P23">
        <v>5.03225E-6</v>
      </c>
      <c r="Q23">
        <v>1.1419299999999999E-5</v>
      </c>
      <c r="R23">
        <v>0</v>
      </c>
      <c r="S23">
        <v>0</v>
      </c>
      <c r="T23">
        <v>2.6451700000000001E-6</v>
      </c>
      <c r="U23">
        <v>1.9340500000000001E-6</v>
      </c>
      <c r="V23">
        <v>4.8862500000000002E-4</v>
      </c>
      <c r="W23">
        <v>1.8509850000000001E-3</v>
      </c>
      <c r="X23">
        <v>9.6670499999999999E-4</v>
      </c>
      <c r="Y23">
        <v>0</v>
      </c>
      <c r="Z23">
        <v>0</v>
      </c>
      <c r="AA23">
        <v>6.1532464861000008E-3</v>
      </c>
    </row>
    <row r="24" spans="1:27" ht="15" customHeight="1" x14ac:dyDescent="0.15">
      <c r="A24">
        <v>23</v>
      </c>
      <c r="B24" s="186" t="s">
        <v>215</v>
      </c>
      <c r="C24">
        <v>0</v>
      </c>
      <c r="D24">
        <v>0</v>
      </c>
      <c r="E24">
        <v>0</v>
      </c>
      <c r="F24">
        <v>0</v>
      </c>
      <c r="G24">
        <v>1.9238699999999999E-6</v>
      </c>
      <c r="H24">
        <v>2.0435399999999999E-4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1.9238699999999999E-6</v>
      </c>
      <c r="U24">
        <v>0</v>
      </c>
      <c r="V24">
        <v>9.6387100000000004E-7</v>
      </c>
      <c r="W24">
        <v>1.5620099999999999E-4</v>
      </c>
      <c r="X24">
        <v>9.2804499999999996E-5</v>
      </c>
      <c r="Y24">
        <v>0</v>
      </c>
      <c r="Z24">
        <v>0</v>
      </c>
      <c r="AA24">
        <v>4.5817111099999994E-4</v>
      </c>
    </row>
    <row r="25" spans="1:27" ht="15" customHeight="1" x14ac:dyDescent="0.15">
      <c r="A25">
        <v>24</v>
      </c>
      <c r="B25" s="186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ht="15" customHeight="1" x14ac:dyDescent="0.15">
      <c r="A26">
        <v>25</v>
      </c>
      <c r="B26" s="186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 ht="15" customHeight="1" x14ac:dyDescent="0.15">
      <c r="A27">
        <v>26</v>
      </c>
      <c r="B27" s="186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6.9961399999999999E-4</v>
      </c>
      <c r="J27">
        <v>7.4141900000000002E-5</v>
      </c>
      <c r="K27">
        <v>4.4516099999999997E-6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4.8193499999999999E-5</v>
      </c>
      <c r="S27">
        <v>0</v>
      </c>
      <c r="T27">
        <v>2.85162E-5</v>
      </c>
      <c r="U27">
        <v>7.7769600000000003E-4</v>
      </c>
      <c r="V27">
        <v>8.1219350000000003E-3</v>
      </c>
      <c r="W27">
        <v>1.6001500000000001E-4</v>
      </c>
      <c r="X27">
        <v>0</v>
      </c>
      <c r="Y27">
        <v>0</v>
      </c>
      <c r="Z27">
        <v>0</v>
      </c>
      <c r="AA27">
        <v>9.9145632099999995E-3</v>
      </c>
    </row>
    <row r="28" spans="1:27" ht="15" customHeight="1" x14ac:dyDescent="0.15">
      <c r="A28">
        <v>27</v>
      </c>
      <c r="B28" s="186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 ht="15" customHeight="1" x14ac:dyDescent="0.15">
      <c r="A29">
        <v>28</v>
      </c>
      <c r="B29" s="186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 ht="15" customHeight="1" x14ac:dyDescent="0.15">
      <c r="A30">
        <v>29</v>
      </c>
      <c r="B30" s="186" t="s">
        <v>221</v>
      </c>
      <c r="C30">
        <v>3.9999999999999998E-6</v>
      </c>
      <c r="D30">
        <v>0</v>
      </c>
      <c r="E30">
        <v>0</v>
      </c>
      <c r="F30">
        <v>0</v>
      </c>
      <c r="G30">
        <v>0</v>
      </c>
      <c r="H30">
        <v>0</v>
      </c>
      <c r="I30">
        <v>4.881224E-3</v>
      </c>
      <c r="J30">
        <v>2.7600179999999999E-3</v>
      </c>
      <c r="K30">
        <v>5.4237399999999998E-4</v>
      </c>
      <c r="L30">
        <v>0</v>
      </c>
      <c r="M30">
        <v>1.2903200000000001E-6</v>
      </c>
      <c r="N30">
        <v>0</v>
      </c>
      <c r="O30">
        <v>0</v>
      </c>
      <c r="P30">
        <v>0</v>
      </c>
      <c r="Q30">
        <v>0</v>
      </c>
      <c r="R30">
        <v>2.7935600000000001E-5</v>
      </c>
      <c r="S30">
        <v>0</v>
      </c>
      <c r="T30">
        <v>1.9187100000000001E-4</v>
      </c>
      <c r="U30">
        <v>2.9937199999999999E-5</v>
      </c>
      <c r="V30">
        <v>2.0903600000000001E-4</v>
      </c>
      <c r="W30">
        <v>4.8930600000000001E-4</v>
      </c>
      <c r="X30">
        <v>0</v>
      </c>
      <c r="Y30">
        <v>0</v>
      </c>
      <c r="Z30">
        <v>0</v>
      </c>
      <c r="AA30">
        <v>9.1369921199999996E-3</v>
      </c>
    </row>
    <row r="31" spans="1:27" ht="15" customHeight="1" x14ac:dyDescent="0.15">
      <c r="A31">
        <v>30</v>
      </c>
      <c r="B31" s="186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ht="15" customHeight="1" x14ac:dyDescent="0.15">
      <c r="A32">
        <v>31</v>
      </c>
      <c r="B32" s="186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 ht="15" customHeight="1" x14ac:dyDescent="0.15">
      <c r="A33">
        <v>32</v>
      </c>
      <c r="B33" s="186" t="s">
        <v>224</v>
      </c>
      <c r="C33">
        <v>7.0967799999999998E-7</v>
      </c>
      <c r="D33">
        <v>0</v>
      </c>
      <c r="E33">
        <v>0</v>
      </c>
      <c r="F33">
        <v>0</v>
      </c>
      <c r="G33">
        <v>0</v>
      </c>
      <c r="H33">
        <v>0</v>
      </c>
      <c r="I33">
        <v>6.1629299999999996E-5</v>
      </c>
      <c r="J33">
        <v>8.5441399999999998E-5</v>
      </c>
      <c r="K33">
        <v>3.3548500000000002E-6</v>
      </c>
      <c r="L33">
        <v>0</v>
      </c>
      <c r="M33">
        <v>1.9354900000000001E-6</v>
      </c>
      <c r="N33">
        <v>0</v>
      </c>
      <c r="O33">
        <v>0</v>
      </c>
      <c r="P33">
        <v>0</v>
      </c>
      <c r="Q33">
        <v>0</v>
      </c>
      <c r="R33">
        <v>3.0774200000000001E-5</v>
      </c>
      <c r="S33">
        <v>0</v>
      </c>
      <c r="T33">
        <v>1.10968E-5</v>
      </c>
      <c r="U33">
        <v>2.3906200000000002E-5</v>
      </c>
      <c r="V33">
        <v>4.6828800000000001E-5</v>
      </c>
      <c r="W33">
        <v>1.8804299999999999E-4</v>
      </c>
      <c r="X33">
        <v>0</v>
      </c>
      <c r="Y33">
        <v>0</v>
      </c>
      <c r="Z33">
        <v>0</v>
      </c>
      <c r="AA33">
        <v>4.5371971799999995E-4</v>
      </c>
    </row>
    <row r="34" spans="1:27" ht="15" customHeight="1" x14ac:dyDescent="0.15">
      <c r="A34">
        <v>33</v>
      </c>
      <c r="B34" s="186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 ht="15" customHeight="1" x14ac:dyDescent="0.15">
      <c r="A35">
        <v>34</v>
      </c>
      <c r="B35" s="186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 ht="15" customHeight="1" x14ac:dyDescent="0.15">
      <c r="A36">
        <v>35</v>
      </c>
      <c r="B36" s="186" t="s">
        <v>227</v>
      </c>
      <c r="C36">
        <v>6.4516099999999999E-8</v>
      </c>
      <c r="D36">
        <v>0</v>
      </c>
      <c r="E36">
        <v>0</v>
      </c>
      <c r="F36">
        <v>0</v>
      </c>
      <c r="G36">
        <v>0</v>
      </c>
      <c r="H36">
        <v>0</v>
      </c>
      <c r="I36">
        <v>1.3249100000000001E-3</v>
      </c>
      <c r="J36">
        <v>7.3208500000000002E-5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1.9741999999999999E-4</v>
      </c>
      <c r="U36">
        <v>2.60023E-7</v>
      </c>
      <c r="V36">
        <v>0</v>
      </c>
      <c r="W36">
        <v>0</v>
      </c>
      <c r="X36">
        <v>0</v>
      </c>
      <c r="Y36">
        <v>2.2388500000000001E-5</v>
      </c>
      <c r="Z36">
        <v>0</v>
      </c>
      <c r="AA36">
        <v>1.6182515391000001E-3</v>
      </c>
    </row>
    <row r="37" spans="1:27" ht="15" customHeight="1" x14ac:dyDescent="0.15">
      <c r="A37">
        <v>36</v>
      </c>
      <c r="B37" s="186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 ht="15" customHeight="1" x14ac:dyDescent="0.15">
      <c r="A38">
        <v>37</v>
      </c>
      <c r="B38" s="186" t="s">
        <v>229</v>
      </c>
      <c r="C38">
        <v>2.5806399999999997E-7</v>
      </c>
      <c r="D38">
        <v>0</v>
      </c>
      <c r="E38">
        <v>0</v>
      </c>
      <c r="F38">
        <v>0</v>
      </c>
      <c r="G38">
        <v>0</v>
      </c>
      <c r="H38">
        <v>0</v>
      </c>
      <c r="I38">
        <v>3.1154799999999998E-4</v>
      </c>
      <c r="J38">
        <v>2.1406499999999999E-4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8.83226E-5</v>
      </c>
      <c r="U38">
        <v>0</v>
      </c>
      <c r="V38">
        <v>3.2201199999999999E-5</v>
      </c>
      <c r="W38">
        <v>2.9728799999999999E-5</v>
      </c>
      <c r="X38">
        <v>0</v>
      </c>
      <c r="Y38">
        <v>0</v>
      </c>
      <c r="Z38">
        <v>0</v>
      </c>
      <c r="AA38">
        <v>6.7612366399999999E-4</v>
      </c>
    </row>
    <row r="39" spans="1:27" ht="15" customHeight="1" x14ac:dyDescent="0.15">
      <c r="A39">
        <v>38</v>
      </c>
      <c r="B39" s="186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2.00065E-4</v>
      </c>
      <c r="J39">
        <v>2.3264600000000001E-4</v>
      </c>
      <c r="K39">
        <v>6.4516099999999999E-8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3.0322500000000001E-6</v>
      </c>
      <c r="S39">
        <v>0</v>
      </c>
      <c r="T39">
        <v>2.90322E-5</v>
      </c>
      <c r="U39">
        <v>0</v>
      </c>
      <c r="V39">
        <v>7.2508000000000004E-5</v>
      </c>
      <c r="W39">
        <v>6.9826099999999999E-5</v>
      </c>
      <c r="X39">
        <v>0</v>
      </c>
      <c r="Y39">
        <v>0</v>
      </c>
      <c r="Z39">
        <v>0</v>
      </c>
      <c r="AA39">
        <v>6.0717406609999997E-4</v>
      </c>
    </row>
    <row r="40" spans="1:27" ht="15" customHeight="1" x14ac:dyDescent="0.15">
      <c r="A40">
        <v>39</v>
      </c>
      <c r="B40" s="186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 ht="15" customHeight="1" x14ac:dyDescent="0.15">
      <c r="A41">
        <v>40</v>
      </c>
      <c r="B41" s="186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1.377592E-3</v>
      </c>
      <c r="J41">
        <v>5.0873070000000001E-3</v>
      </c>
      <c r="K41">
        <v>6.4516099999999996E-7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8.1935500000000005E-6</v>
      </c>
      <c r="S41">
        <v>0</v>
      </c>
      <c r="T41">
        <v>2.0645809999999998E-3</v>
      </c>
      <c r="U41">
        <v>8.2039400000000001E-4</v>
      </c>
      <c r="V41">
        <v>2.1762539999999999E-3</v>
      </c>
      <c r="W41">
        <v>2.820889E-3</v>
      </c>
      <c r="X41">
        <v>1.80261E-6</v>
      </c>
      <c r="Y41">
        <v>0</v>
      </c>
      <c r="Z41">
        <v>0</v>
      </c>
      <c r="AA41">
        <v>1.4357658321E-2</v>
      </c>
    </row>
    <row r="42" spans="1:27" ht="15" customHeight="1" x14ac:dyDescent="0.15">
      <c r="A42">
        <v>41</v>
      </c>
      <c r="B42" s="186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7.4193500000000004E-6</v>
      </c>
      <c r="J42">
        <v>2.9755490000000001E-3</v>
      </c>
      <c r="K42">
        <v>4.5161299999999998E-7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3.22581E-7</v>
      </c>
      <c r="S42">
        <v>0</v>
      </c>
      <c r="T42">
        <v>6.9664499999999997E-4</v>
      </c>
      <c r="U42">
        <v>0</v>
      </c>
      <c r="V42">
        <v>2.9791099999999999E-4</v>
      </c>
      <c r="W42">
        <v>2.1281499999999999E-4</v>
      </c>
      <c r="X42">
        <v>0</v>
      </c>
      <c r="Y42">
        <v>0</v>
      </c>
      <c r="Z42">
        <v>0</v>
      </c>
      <c r="AA42">
        <v>4.1911135440000002E-3</v>
      </c>
    </row>
    <row r="43" spans="1:27" ht="15" customHeight="1" x14ac:dyDescent="0.15">
      <c r="A43">
        <v>42</v>
      </c>
      <c r="B43" s="186" t="s">
        <v>234</v>
      </c>
      <c r="C43">
        <v>2.5806399999999997E-7</v>
      </c>
      <c r="D43">
        <v>0</v>
      </c>
      <c r="E43">
        <v>0</v>
      </c>
      <c r="F43">
        <v>0</v>
      </c>
      <c r="G43">
        <v>0</v>
      </c>
      <c r="H43">
        <v>0</v>
      </c>
      <c r="I43">
        <v>1.62323E-4</v>
      </c>
      <c r="J43">
        <v>8.7999999999999998E-5</v>
      </c>
      <c r="K43">
        <v>7.0967799999999998E-7</v>
      </c>
      <c r="L43">
        <v>0</v>
      </c>
      <c r="M43">
        <v>5.0967800000000004E-6</v>
      </c>
      <c r="N43">
        <v>0</v>
      </c>
      <c r="O43">
        <v>0</v>
      </c>
      <c r="P43">
        <v>0</v>
      </c>
      <c r="Q43">
        <v>0</v>
      </c>
      <c r="R43">
        <v>5.03225E-6</v>
      </c>
      <c r="S43">
        <v>0</v>
      </c>
      <c r="T43">
        <v>1.9354900000000001E-7</v>
      </c>
      <c r="U43">
        <v>0</v>
      </c>
      <c r="V43">
        <v>6.0817999999999999E-5</v>
      </c>
      <c r="W43">
        <v>2.0106400000000001E-4</v>
      </c>
      <c r="X43">
        <v>3.3504999999999999E-5</v>
      </c>
      <c r="Y43">
        <v>0</v>
      </c>
      <c r="Z43">
        <v>0</v>
      </c>
      <c r="AA43">
        <v>5.57000321E-4</v>
      </c>
    </row>
    <row r="44" spans="1:27" ht="15" customHeight="1" x14ac:dyDescent="0.15">
      <c r="A44">
        <v>43</v>
      </c>
      <c r="B44" s="186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8.1161400000000005E-5</v>
      </c>
      <c r="J44">
        <v>3.76838E-4</v>
      </c>
      <c r="K44">
        <v>3.22581E-7</v>
      </c>
      <c r="L44">
        <v>0</v>
      </c>
      <c r="M44">
        <v>2.5806399999999997E-7</v>
      </c>
      <c r="N44">
        <v>0</v>
      </c>
      <c r="O44">
        <v>0</v>
      </c>
      <c r="P44">
        <v>3.22581E-7</v>
      </c>
      <c r="Q44">
        <v>3.22581E-7</v>
      </c>
      <c r="R44">
        <v>2.2903300000000001E-5</v>
      </c>
      <c r="S44">
        <v>0</v>
      </c>
      <c r="T44">
        <v>1.34193E-5</v>
      </c>
      <c r="U44">
        <v>0</v>
      </c>
      <c r="V44">
        <v>5.78285E-4</v>
      </c>
      <c r="W44">
        <v>1.7102689999999999E-3</v>
      </c>
      <c r="X44">
        <v>2.2282700000000001E-4</v>
      </c>
      <c r="Y44">
        <v>0</v>
      </c>
      <c r="Z44">
        <v>0</v>
      </c>
      <c r="AA44">
        <v>3.0069288070000001E-3</v>
      </c>
    </row>
    <row r="45" spans="1:27" ht="15" customHeight="1" x14ac:dyDescent="0.15">
      <c r="A45">
        <v>44</v>
      </c>
      <c r="B45" s="186" t="s">
        <v>236</v>
      </c>
      <c r="C45">
        <v>0</v>
      </c>
      <c r="D45">
        <v>0</v>
      </c>
      <c r="E45">
        <v>0</v>
      </c>
      <c r="F45">
        <v>0</v>
      </c>
      <c r="G45">
        <v>1.2004839999999999E-3</v>
      </c>
      <c r="H45">
        <v>8.582849E-3</v>
      </c>
      <c r="I45">
        <v>0</v>
      </c>
      <c r="J45">
        <v>8.3483E-5</v>
      </c>
      <c r="K45">
        <v>0</v>
      </c>
      <c r="L45">
        <v>0</v>
      </c>
      <c r="M45">
        <v>0</v>
      </c>
      <c r="N45">
        <v>0</v>
      </c>
      <c r="O45">
        <v>0</v>
      </c>
      <c r="P45">
        <v>3.5300000000000002E-4</v>
      </c>
      <c r="Q45">
        <v>3.4277400000000001E-4</v>
      </c>
      <c r="R45">
        <v>0</v>
      </c>
      <c r="S45">
        <v>0</v>
      </c>
      <c r="T45">
        <v>8.6129099999999995E-5</v>
      </c>
      <c r="U45">
        <v>0</v>
      </c>
      <c r="V45">
        <v>4.9264000000000001E-5</v>
      </c>
      <c r="W45">
        <v>4.147E-4</v>
      </c>
      <c r="X45">
        <v>2.08044E-4</v>
      </c>
      <c r="Y45">
        <v>0</v>
      </c>
      <c r="Z45">
        <v>0</v>
      </c>
      <c r="AA45">
        <v>1.1320727100000001E-2</v>
      </c>
    </row>
    <row r="46" spans="1:27" ht="15" customHeight="1" x14ac:dyDescent="0.15">
      <c r="A46">
        <v>45</v>
      </c>
      <c r="B46" s="186" t="s">
        <v>237</v>
      </c>
      <c r="C46">
        <v>0</v>
      </c>
      <c r="D46">
        <v>0</v>
      </c>
      <c r="E46">
        <v>0</v>
      </c>
      <c r="F46">
        <v>0</v>
      </c>
      <c r="G46">
        <v>1.9000000000000001E-5</v>
      </c>
      <c r="H46">
        <v>0</v>
      </c>
      <c r="I46">
        <v>0</v>
      </c>
      <c r="J46">
        <v>1.1400000000000001E-4</v>
      </c>
      <c r="K46">
        <v>0</v>
      </c>
      <c r="L46">
        <v>0</v>
      </c>
      <c r="M46">
        <v>0</v>
      </c>
      <c r="N46">
        <v>1.5E-5</v>
      </c>
      <c r="O46">
        <v>0</v>
      </c>
      <c r="P46">
        <v>9.9999999999999995E-7</v>
      </c>
      <c r="Q46">
        <v>0</v>
      </c>
      <c r="R46">
        <v>0</v>
      </c>
      <c r="S46">
        <v>0</v>
      </c>
      <c r="T46">
        <v>1.9999999999999999E-6</v>
      </c>
      <c r="U46">
        <v>0</v>
      </c>
      <c r="V46">
        <v>2.4919999999999999E-3</v>
      </c>
      <c r="W46">
        <v>1.9852000000000002E-2</v>
      </c>
      <c r="X46">
        <v>9.4700000000000003E-4</v>
      </c>
      <c r="Y46">
        <v>0</v>
      </c>
      <c r="Z46">
        <v>0</v>
      </c>
      <c r="AA46">
        <v>2.3442000000000001E-2</v>
      </c>
    </row>
    <row r="47" spans="1:27" ht="15" customHeight="1" x14ac:dyDescent="0.15">
      <c r="A47">
        <v>46</v>
      </c>
      <c r="B47" s="186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3.7464799999999999E-4</v>
      </c>
      <c r="I47">
        <v>1.6367700000000001E-4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3.7741899999999999E-5</v>
      </c>
      <c r="U47">
        <v>0</v>
      </c>
      <c r="V47">
        <v>6.94015E-6</v>
      </c>
      <c r="W47">
        <v>1.3706799999999999E-6</v>
      </c>
      <c r="X47">
        <v>0</v>
      </c>
      <c r="Y47">
        <v>0</v>
      </c>
      <c r="Z47">
        <v>0</v>
      </c>
      <c r="AA47">
        <v>5.8437772999999998E-4</v>
      </c>
    </row>
    <row r="48" spans="1:27" ht="15" customHeight="1" x14ac:dyDescent="0.15">
      <c r="A48">
        <v>47</v>
      </c>
      <c r="B48" s="186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1.09677E-5</v>
      </c>
      <c r="K48">
        <v>0</v>
      </c>
      <c r="L48">
        <v>5.2903199999999997E-6</v>
      </c>
      <c r="M48">
        <v>0</v>
      </c>
      <c r="N48">
        <v>3.4709699999999997E-5</v>
      </c>
      <c r="O48">
        <v>9.0322699999999999E-7</v>
      </c>
      <c r="P48">
        <v>0</v>
      </c>
      <c r="Q48">
        <v>0</v>
      </c>
      <c r="R48">
        <v>1.03226E-6</v>
      </c>
      <c r="S48">
        <v>0</v>
      </c>
      <c r="T48">
        <v>5.90967E-5</v>
      </c>
      <c r="U48">
        <v>0</v>
      </c>
      <c r="V48">
        <v>4.6012099999999999E-5</v>
      </c>
      <c r="W48">
        <v>1.09297E-3</v>
      </c>
      <c r="X48">
        <v>3.1441100000000001E-4</v>
      </c>
      <c r="Y48">
        <v>0</v>
      </c>
      <c r="Z48">
        <v>0</v>
      </c>
      <c r="AA48">
        <v>1.565393007E-3</v>
      </c>
    </row>
    <row r="49" spans="1:27" ht="15" customHeight="1" x14ac:dyDescent="0.15">
      <c r="A49">
        <v>48</v>
      </c>
      <c r="B49" s="186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3.7419300000000001E-6</v>
      </c>
      <c r="J49">
        <v>1.16129E-5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1.2903200000000001E-6</v>
      </c>
      <c r="S49">
        <v>0</v>
      </c>
      <c r="T49">
        <v>5.2903199999999997E-6</v>
      </c>
      <c r="U49">
        <v>0</v>
      </c>
      <c r="V49">
        <v>1.7341899999999999E-4</v>
      </c>
      <c r="W49">
        <v>4.00708E-4</v>
      </c>
      <c r="X49">
        <v>8.3899599999999999E-6</v>
      </c>
      <c r="Y49">
        <v>0</v>
      </c>
      <c r="Z49">
        <v>0</v>
      </c>
      <c r="AA49">
        <v>6.0445242999999991E-4</v>
      </c>
    </row>
    <row r="50" spans="1:27" x14ac:dyDescent="0.15">
      <c r="A50">
        <v>49</v>
      </c>
      <c r="B50" s="186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2.3841199999999999E-4</v>
      </c>
      <c r="I50">
        <v>1.7096799999999999E-5</v>
      </c>
      <c r="J50">
        <v>2.1235479999999998E-3</v>
      </c>
      <c r="K50">
        <v>1.71032E-4</v>
      </c>
      <c r="L50">
        <v>1.9354900000000001E-6</v>
      </c>
      <c r="M50">
        <v>5.7419299999999996E-6</v>
      </c>
      <c r="N50">
        <v>6.4516099999999996E-7</v>
      </c>
      <c r="O50">
        <v>0</v>
      </c>
      <c r="P50">
        <v>4.5161299999999998E-7</v>
      </c>
      <c r="Q50">
        <v>3.22581E-6</v>
      </c>
      <c r="R50">
        <v>3.4193499999999997E-5</v>
      </c>
      <c r="S50">
        <v>0</v>
      </c>
      <c r="T50">
        <v>2.3096799999999999E-5</v>
      </c>
      <c r="U50">
        <v>0</v>
      </c>
      <c r="V50">
        <v>2.0851299999999999E-4</v>
      </c>
      <c r="W50">
        <v>1.578931E-3</v>
      </c>
      <c r="X50">
        <v>4.8529100000000003E-5</v>
      </c>
      <c r="Y50">
        <v>0</v>
      </c>
      <c r="Z50">
        <v>0</v>
      </c>
      <c r="AA50">
        <v>4.4553522040000001E-3</v>
      </c>
    </row>
    <row r="51" spans="1:27" x14ac:dyDescent="0.15">
      <c r="A51">
        <v>50</v>
      </c>
      <c r="B51" s="186" t="s">
        <v>242</v>
      </c>
      <c r="C51">
        <v>0</v>
      </c>
      <c r="D51">
        <v>0</v>
      </c>
      <c r="E51">
        <v>0</v>
      </c>
      <c r="F51">
        <v>0</v>
      </c>
      <c r="G51">
        <v>4.5819300000000002E-4</v>
      </c>
      <c r="H51">
        <v>1.9141115199999999E-2</v>
      </c>
      <c r="I51">
        <v>1.6774199999999999E-5</v>
      </c>
      <c r="J51">
        <v>3.3909360000000002E-3</v>
      </c>
      <c r="K51">
        <v>1.0651599999999999E-4</v>
      </c>
      <c r="L51">
        <v>2.5999999999999998E-5</v>
      </c>
      <c r="M51">
        <v>6.4516099999999999E-8</v>
      </c>
      <c r="N51">
        <v>2.48581E-4</v>
      </c>
      <c r="O51">
        <v>1.0651599999999999E-4</v>
      </c>
      <c r="P51">
        <v>1.3187100000000001E-4</v>
      </c>
      <c r="Q51">
        <v>3.5754800000000001E-4</v>
      </c>
      <c r="R51">
        <v>4.9032400000000002E-6</v>
      </c>
      <c r="S51">
        <v>0</v>
      </c>
      <c r="T51">
        <v>3.6247089999999998E-3</v>
      </c>
      <c r="U51">
        <v>0</v>
      </c>
      <c r="V51">
        <v>8.1455299999999998E-4</v>
      </c>
      <c r="W51">
        <v>5.6731300000000002E-3</v>
      </c>
      <c r="X51">
        <v>1.349121E-3</v>
      </c>
      <c r="Y51">
        <v>0</v>
      </c>
      <c r="Z51">
        <v>0</v>
      </c>
      <c r="AA51">
        <v>3.5450531156100001E-2</v>
      </c>
    </row>
    <row r="52" spans="1:27" x14ac:dyDescent="0.15">
      <c r="A52">
        <v>51</v>
      </c>
      <c r="B52" s="186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2.6999999999999999E-5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2.6510000000000001E-3</v>
      </c>
      <c r="W52">
        <v>1.4420000000000001E-2</v>
      </c>
      <c r="X52">
        <v>8.6899999999999998E-4</v>
      </c>
      <c r="Y52">
        <v>0</v>
      </c>
      <c r="Z52">
        <v>0</v>
      </c>
      <c r="AA52">
        <v>1.7967000000000004E-2</v>
      </c>
    </row>
    <row r="53" spans="1:27" x14ac:dyDescent="0.15">
      <c r="A53">
        <v>52</v>
      </c>
      <c r="B53" s="186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6.81178E-5</v>
      </c>
      <c r="I53">
        <v>1.6774199999999999E-6</v>
      </c>
      <c r="J53">
        <v>1.87097E-6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2.7084300000000002E-6</v>
      </c>
      <c r="W53">
        <v>1.13602E-4</v>
      </c>
      <c r="X53">
        <v>8.4896200000000006E-6</v>
      </c>
      <c r="Y53">
        <v>0</v>
      </c>
      <c r="Z53">
        <v>0</v>
      </c>
      <c r="AA53">
        <v>1.9646624E-4</v>
      </c>
    </row>
    <row r="54" spans="1:27" x14ac:dyDescent="0.15">
      <c r="A54">
        <v>53</v>
      </c>
      <c r="B54" s="186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6.0632100000000005E-4</v>
      </c>
      <c r="J54">
        <v>7.0199700000000001E-6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1.0148400000000001E-4</v>
      </c>
      <c r="U54">
        <v>0</v>
      </c>
      <c r="V54">
        <v>6.1986700000000001E-6</v>
      </c>
      <c r="W54">
        <v>1.9723100000000001E-5</v>
      </c>
      <c r="X54">
        <v>0</v>
      </c>
      <c r="Y54">
        <v>0</v>
      </c>
      <c r="Z54">
        <v>0</v>
      </c>
      <c r="AA54">
        <v>7.4074674E-4</v>
      </c>
    </row>
    <row r="55" spans="1:27" x14ac:dyDescent="0.15">
      <c r="A55">
        <v>54</v>
      </c>
      <c r="B55" s="186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1.15432E-5</v>
      </c>
      <c r="J55">
        <v>2.28941E-4</v>
      </c>
      <c r="K55">
        <v>2.11626E-5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2.11612E-5</v>
      </c>
      <c r="U55">
        <v>1.48138E-4</v>
      </c>
      <c r="V55">
        <v>2.6247599999999999E-4</v>
      </c>
      <c r="W55">
        <v>3.5141799999999999E-4</v>
      </c>
      <c r="X55">
        <v>4.68678E-6</v>
      </c>
      <c r="Y55">
        <v>0</v>
      </c>
      <c r="Z55">
        <v>0</v>
      </c>
      <c r="AA55">
        <v>1.04952678E-3</v>
      </c>
    </row>
    <row r="56" spans="1:27" x14ac:dyDescent="0.15">
      <c r="A56">
        <v>55</v>
      </c>
      <c r="B56" s="186" t="s">
        <v>247</v>
      </c>
      <c r="C56">
        <v>0</v>
      </c>
      <c r="D56">
        <v>0</v>
      </c>
      <c r="E56">
        <v>0</v>
      </c>
      <c r="F56">
        <v>0</v>
      </c>
      <c r="G56">
        <v>2.6451700000000001E-6</v>
      </c>
      <c r="H56">
        <v>6.81178E-5</v>
      </c>
      <c r="I56">
        <v>0</v>
      </c>
      <c r="J56">
        <v>2.72259E-5</v>
      </c>
      <c r="K56">
        <v>3.7548400000000001E-5</v>
      </c>
      <c r="L56">
        <v>0</v>
      </c>
      <c r="M56">
        <v>0</v>
      </c>
      <c r="N56">
        <v>2.8387099999999999E-6</v>
      </c>
      <c r="O56">
        <v>0</v>
      </c>
      <c r="P56">
        <v>0</v>
      </c>
      <c r="Q56">
        <v>3.5419400000000002E-5</v>
      </c>
      <c r="R56">
        <v>0</v>
      </c>
      <c r="S56">
        <v>0</v>
      </c>
      <c r="T56">
        <v>6.7096699999999999E-6</v>
      </c>
      <c r="U56">
        <v>0</v>
      </c>
      <c r="V56">
        <v>1.27832E-5</v>
      </c>
      <c r="W56">
        <v>1.4058899999999999E-3</v>
      </c>
      <c r="X56">
        <v>6.8174900000000005E-4</v>
      </c>
      <c r="Y56">
        <v>0</v>
      </c>
      <c r="Z56">
        <v>0</v>
      </c>
      <c r="AA56">
        <v>2.2809272500000002E-3</v>
      </c>
    </row>
    <row r="57" spans="1:27" x14ac:dyDescent="0.15">
      <c r="A57">
        <v>56</v>
      </c>
      <c r="B57" s="186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4.0322599999999999E-7</v>
      </c>
      <c r="K57">
        <v>0</v>
      </c>
      <c r="L57">
        <v>0</v>
      </c>
      <c r="M57">
        <v>1.6129E-6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2.2674200000000001E-7</v>
      </c>
      <c r="W57">
        <v>7.4554799999999995E-7</v>
      </c>
      <c r="X57">
        <v>8.8076499999999999E-7</v>
      </c>
      <c r="Y57">
        <v>0</v>
      </c>
      <c r="Z57">
        <v>0</v>
      </c>
      <c r="AA57">
        <v>3.8691809999999998E-6</v>
      </c>
    </row>
    <row r="58" spans="1:27" x14ac:dyDescent="0.15">
      <c r="A58">
        <v>57</v>
      </c>
      <c r="B58" s="186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8.7974199999999998E-4</v>
      </c>
      <c r="U58">
        <v>0</v>
      </c>
      <c r="V58">
        <v>4.9717800000000001E-7</v>
      </c>
      <c r="W58">
        <v>6.7674300000000004E-7</v>
      </c>
      <c r="X58">
        <v>0</v>
      </c>
      <c r="Y58">
        <v>0</v>
      </c>
      <c r="Z58">
        <v>0</v>
      </c>
      <c r="AA58">
        <v>8.8091592099999992E-4</v>
      </c>
    </row>
    <row r="59" spans="1:27" x14ac:dyDescent="0.15">
      <c r="A59">
        <v>58</v>
      </c>
      <c r="B59" s="186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 x14ac:dyDescent="0.15">
      <c r="A60">
        <v>59</v>
      </c>
      <c r="B60" s="186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 x14ac:dyDescent="0.15">
      <c r="A61">
        <v>60</v>
      </c>
      <c r="B61" s="186" t="s">
        <v>252</v>
      </c>
      <c r="C61">
        <v>0</v>
      </c>
      <c r="D61">
        <v>0</v>
      </c>
      <c r="E61">
        <v>0</v>
      </c>
      <c r="F61">
        <v>0</v>
      </c>
      <c r="G61">
        <v>2.31678E-4</v>
      </c>
      <c r="H61">
        <v>1.7710639999999999E-3</v>
      </c>
      <c r="I61">
        <v>0</v>
      </c>
      <c r="J61">
        <v>1.22581E-6</v>
      </c>
      <c r="K61">
        <v>0</v>
      </c>
      <c r="L61">
        <v>0</v>
      </c>
      <c r="M61">
        <v>0</v>
      </c>
      <c r="N61">
        <v>0</v>
      </c>
      <c r="O61">
        <v>0</v>
      </c>
      <c r="P61">
        <v>1.1283899999999999E-4</v>
      </c>
      <c r="Q61">
        <v>7.5225899999999994E-5</v>
      </c>
      <c r="R61">
        <v>0</v>
      </c>
      <c r="S61">
        <v>0</v>
      </c>
      <c r="T61">
        <v>1.1345800000000001E-3</v>
      </c>
      <c r="U61">
        <v>0</v>
      </c>
      <c r="V61">
        <v>2.0480200000000001E-5</v>
      </c>
      <c r="W61">
        <v>1.886001E-3</v>
      </c>
      <c r="X61">
        <v>6.1416900000000002E-4</v>
      </c>
      <c r="Y61">
        <v>0</v>
      </c>
      <c r="Z61">
        <v>0</v>
      </c>
      <c r="AA61">
        <v>5.8472629100000005E-3</v>
      </c>
    </row>
    <row r="62" spans="1:27" x14ac:dyDescent="0.15">
      <c r="A62">
        <v>61</v>
      </c>
      <c r="B62" s="186" t="s">
        <v>253</v>
      </c>
      <c r="C62">
        <v>0</v>
      </c>
      <c r="D62">
        <v>0</v>
      </c>
      <c r="E62">
        <v>0</v>
      </c>
      <c r="F62">
        <v>0</v>
      </c>
      <c r="G62">
        <v>5.2225800000000005E-4</v>
      </c>
      <c r="H62">
        <v>1.36084914</v>
      </c>
      <c r="I62">
        <v>0</v>
      </c>
      <c r="J62">
        <v>4.8387099999999998E-6</v>
      </c>
      <c r="K62">
        <v>9.0322699999999999E-7</v>
      </c>
      <c r="L62">
        <v>0</v>
      </c>
      <c r="M62">
        <v>0</v>
      </c>
      <c r="N62">
        <v>2.32257E-6</v>
      </c>
      <c r="O62">
        <v>0</v>
      </c>
      <c r="P62">
        <v>7.0967799999999998E-6</v>
      </c>
      <c r="Q62">
        <v>8.0903199999999995E-5</v>
      </c>
      <c r="R62">
        <v>0</v>
      </c>
      <c r="S62">
        <v>0</v>
      </c>
      <c r="T62">
        <v>0</v>
      </c>
      <c r="U62">
        <v>0</v>
      </c>
      <c r="V62">
        <v>0</v>
      </c>
      <c r="W62">
        <v>8.8377199999999995E-8</v>
      </c>
      <c r="X62">
        <v>2.3411199999999999E-9</v>
      </c>
      <c r="Y62">
        <v>0</v>
      </c>
      <c r="Z62">
        <v>0</v>
      </c>
      <c r="AA62">
        <v>1.3614675532053202</v>
      </c>
    </row>
    <row r="63" spans="1:27" x14ac:dyDescent="0.15">
      <c r="A63">
        <v>62</v>
      </c>
      <c r="B63" s="186" t="s">
        <v>254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 x14ac:dyDescent="0.15">
      <c r="A64">
        <v>63</v>
      </c>
      <c r="B64" s="186" t="s">
        <v>255</v>
      </c>
      <c r="C64">
        <v>0</v>
      </c>
      <c r="D64">
        <v>0</v>
      </c>
      <c r="E64">
        <v>0</v>
      </c>
      <c r="F64">
        <v>0</v>
      </c>
      <c r="G64">
        <v>4.7725160000000001E-3</v>
      </c>
      <c r="H64">
        <v>3.40589E-5</v>
      </c>
      <c r="I64">
        <v>0</v>
      </c>
      <c r="J64">
        <v>2.0645299999999999E-6</v>
      </c>
      <c r="K64">
        <v>0</v>
      </c>
      <c r="L64">
        <v>0</v>
      </c>
      <c r="M64">
        <v>0</v>
      </c>
      <c r="N64">
        <v>4.6451699999999996E-6</v>
      </c>
      <c r="O64">
        <v>0</v>
      </c>
      <c r="P64">
        <v>2.5876779999999999E-3</v>
      </c>
      <c r="Q64">
        <v>7.3626450000000001E-3</v>
      </c>
      <c r="R64">
        <v>1.35484E-6</v>
      </c>
      <c r="S64">
        <v>0</v>
      </c>
      <c r="T64">
        <v>3.4148300000000001E-4</v>
      </c>
      <c r="U64">
        <v>0</v>
      </c>
      <c r="V64">
        <v>3.1195400000000002E-6</v>
      </c>
      <c r="W64">
        <v>1.532694E-3</v>
      </c>
      <c r="X64">
        <v>9.94593E-4</v>
      </c>
      <c r="Y64">
        <v>0</v>
      </c>
      <c r="Z64">
        <v>0</v>
      </c>
      <c r="AA64">
        <v>1.763685198E-2</v>
      </c>
    </row>
    <row r="65" spans="1:27" x14ac:dyDescent="0.15">
      <c r="A65">
        <v>64</v>
      </c>
      <c r="B65" s="186" t="s">
        <v>256</v>
      </c>
      <c r="C65">
        <v>0</v>
      </c>
      <c r="D65">
        <v>0</v>
      </c>
      <c r="E65">
        <v>0</v>
      </c>
      <c r="F65">
        <v>0</v>
      </c>
      <c r="G65">
        <v>2.0645299999999999E-6</v>
      </c>
      <c r="H65">
        <v>5.7900200000000001E-4</v>
      </c>
      <c r="I65">
        <v>0</v>
      </c>
      <c r="J65">
        <v>3.22581E-7</v>
      </c>
      <c r="K65">
        <v>0</v>
      </c>
      <c r="L65">
        <v>0</v>
      </c>
      <c r="M65">
        <v>0</v>
      </c>
      <c r="N65">
        <v>2.5806399999999997E-7</v>
      </c>
      <c r="O65">
        <v>0</v>
      </c>
      <c r="P65">
        <v>3.22581E-7</v>
      </c>
      <c r="Q65">
        <v>1.2903199999999999E-7</v>
      </c>
      <c r="R65">
        <v>0</v>
      </c>
      <c r="S65">
        <v>0</v>
      </c>
      <c r="T65">
        <v>4.1935599999999997E-6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5.862923480000001E-4</v>
      </c>
    </row>
    <row r="66" spans="1:27" x14ac:dyDescent="0.15">
      <c r="A66">
        <v>65</v>
      </c>
      <c r="B66" s="186" t="s">
        <v>257</v>
      </c>
      <c r="C66">
        <v>0</v>
      </c>
      <c r="D66">
        <v>0</v>
      </c>
      <c r="E66">
        <v>0</v>
      </c>
      <c r="F66">
        <v>0</v>
      </c>
      <c r="G66">
        <v>0</v>
      </c>
      <c r="H66">
        <v>3.40589E-5</v>
      </c>
      <c r="I66">
        <v>0</v>
      </c>
      <c r="J66">
        <v>2.5806399999999997E-7</v>
      </c>
      <c r="K66">
        <v>3.5483899999999999E-6</v>
      </c>
      <c r="L66">
        <v>7.29032E-6</v>
      </c>
      <c r="M66">
        <v>0</v>
      </c>
      <c r="N66">
        <v>2.56129E-5</v>
      </c>
      <c r="O66">
        <v>0</v>
      </c>
      <c r="P66">
        <v>0</v>
      </c>
      <c r="Q66">
        <v>0</v>
      </c>
      <c r="R66">
        <v>0</v>
      </c>
      <c r="S66">
        <v>0</v>
      </c>
      <c r="T66">
        <v>2.8E-5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9.8768574000000011E-5</v>
      </c>
    </row>
    <row r="67" spans="1:27" x14ac:dyDescent="0.15">
      <c r="A67">
        <v>66</v>
      </c>
      <c r="B67" s="186" t="s">
        <v>258</v>
      </c>
      <c r="C67">
        <v>0</v>
      </c>
      <c r="D67">
        <v>0</v>
      </c>
      <c r="E67">
        <v>0</v>
      </c>
      <c r="F67">
        <v>0</v>
      </c>
      <c r="G67">
        <v>0</v>
      </c>
      <c r="H67">
        <v>6.81178E-5</v>
      </c>
      <c r="I67">
        <v>0</v>
      </c>
      <c r="J67">
        <v>0</v>
      </c>
      <c r="K67">
        <v>6.4516099999999999E-8</v>
      </c>
      <c r="L67">
        <v>1.2903199999999999E-7</v>
      </c>
      <c r="M67">
        <v>0</v>
      </c>
      <c r="N67">
        <v>0.267207682</v>
      </c>
      <c r="O67">
        <v>0</v>
      </c>
      <c r="P67">
        <v>1.9354900000000001E-7</v>
      </c>
      <c r="Q67">
        <v>1.24516E-5</v>
      </c>
      <c r="R67">
        <v>0</v>
      </c>
      <c r="S67">
        <v>0</v>
      </c>
      <c r="T67">
        <v>7.5110839999999998E-2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0.34239947849710001</v>
      </c>
    </row>
    <row r="68" spans="1:27" x14ac:dyDescent="0.15">
      <c r="A68">
        <v>67</v>
      </c>
      <c r="B68" s="186" t="s">
        <v>259</v>
      </c>
      <c r="C68">
        <v>0</v>
      </c>
      <c r="D68">
        <v>0</v>
      </c>
      <c r="E68">
        <v>0</v>
      </c>
      <c r="F68">
        <v>0</v>
      </c>
      <c r="G68">
        <v>1.2903199999999999E-7</v>
      </c>
      <c r="H68">
        <v>1.0217699999999999E-4</v>
      </c>
      <c r="I68">
        <v>0</v>
      </c>
      <c r="J68">
        <v>3.4645099999999998E-5</v>
      </c>
      <c r="K68">
        <v>1.0903199999999999E-5</v>
      </c>
      <c r="L68">
        <v>8.6956710000000006E-2</v>
      </c>
      <c r="M68">
        <v>3.2838700000000001E-5</v>
      </c>
      <c r="N68">
        <v>8.4451599999999996E-5</v>
      </c>
      <c r="O68">
        <v>0</v>
      </c>
      <c r="P68">
        <v>0</v>
      </c>
      <c r="Q68">
        <v>0</v>
      </c>
      <c r="R68">
        <v>7.0967799999999998E-7</v>
      </c>
      <c r="S68">
        <v>0</v>
      </c>
      <c r="T68">
        <v>4.202646E-3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9.1425210310000005E-2</v>
      </c>
    </row>
    <row r="69" spans="1:27" x14ac:dyDescent="0.15">
      <c r="A69">
        <v>68</v>
      </c>
      <c r="B69" s="186" t="s">
        <v>260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1.24645E-4</v>
      </c>
      <c r="S69">
        <v>1.9902903600000001E-2</v>
      </c>
      <c r="T69">
        <v>1.14750983E-2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3.15026469E-2</v>
      </c>
    </row>
    <row r="70" spans="1:27" x14ac:dyDescent="0.15">
      <c r="A70">
        <v>69</v>
      </c>
      <c r="B70" s="186" t="s">
        <v>261</v>
      </c>
      <c r="C70">
        <v>0</v>
      </c>
      <c r="D70">
        <v>0</v>
      </c>
      <c r="E70">
        <v>0</v>
      </c>
      <c r="F70">
        <v>0</v>
      </c>
      <c r="G70">
        <v>0</v>
      </c>
      <c r="H70">
        <v>3.40589E-5</v>
      </c>
      <c r="I70">
        <v>0</v>
      </c>
      <c r="J70">
        <v>0</v>
      </c>
      <c r="K70">
        <v>6.4516099999999999E-8</v>
      </c>
      <c r="L70">
        <v>1.1871E-5</v>
      </c>
      <c r="M70">
        <v>4.9206440000000001E-3</v>
      </c>
      <c r="N70">
        <v>9.8064499999999999E-6</v>
      </c>
      <c r="O70">
        <v>0</v>
      </c>
      <c r="P70">
        <v>0</v>
      </c>
      <c r="Q70">
        <v>0</v>
      </c>
      <c r="R70">
        <v>2.2258E-4</v>
      </c>
      <c r="S70">
        <v>0</v>
      </c>
      <c r="T70">
        <v>4.1483899999999998E-5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5.2405087660999999E-3</v>
      </c>
    </row>
    <row r="71" spans="1:27" x14ac:dyDescent="0.15">
      <c r="A71">
        <v>70</v>
      </c>
      <c r="B71" s="186" t="s">
        <v>262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1.4025019999999999E-3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1.4025019999999999E-3</v>
      </c>
    </row>
    <row r="72" spans="1:27" x14ac:dyDescent="0.15">
      <c r="A72">
        <v>71</v>
      </c>
      <c r="B72" s="186" t="s">
        <v>263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2.7038700000000003E-4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2.7038700000000003E-4</v>
      </c>
    </row>
    <row r="73" spans="1:27" x14ac:dyDescent="0.15">
      <c r="A73">
        <v>72</v>
      </c>
      <c r="B73" s="186" t="s">
        <v>264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x14ac:dyDescent="0.15">
      <c r="A74">
        <v>73</v>
      </c>
      <c r="B74" s="186" t="s">
        <v>265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 x14ac:dyDescent="0.15">
      <c r="A75">
        <v>74</v>
      </c>
      <c r="B75" s="186" t="s">
        <v>266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x14ac:dyDescent="0.15">
      <c r="A76">
        <v>75</v>
      </c>
      <c r="B76" s="186" t="s">
        <v>267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 x14ac:dyDescent="0.15">
      <c r="A77">
        <v>76</v>
      </c>
      <c r="B77" s="186" t="s">
        <v>268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AA7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7.6640625" bestFit="1" customWidth="1"/>
    <col min="3" max="3" width="11.83203125" bestFit="1" customWidth="1"/>
    <col min="4" max="5" width="2.33203125" bestFit="1" customWidth="1"/>
    <col min="6" max="6" width="11.83203125" customWidth="1"/>
    <col min="7" max="8" width="2.33203125" customWidth="1"/>
    <col min="9" max="10" width="11.83203125" customWidth="1"/>
    <col min="11" max="11" width="8.5" customWidth="1"/>
    <col min="12" max="13" width="2.33203125" customWidth="1"/>
    <col min="14" max="14" width="11.83203125" customWidth="1"/>
    <col min="15" max="19" width="2.33203125" customWidth="1"/>
    <col min="20" max="26" width="11.83203125" customWidth="1"/>
    <col min="27" max="27" width="12.83203125" customWidth="1"/>
  </cols>
  <sheetData>
    <row r="1" spans="1:27" s="117" customFormat="1" ht="112" x14ac:dyDescent="0.15">
      <c r="A1" s="5" t="s">
        <v>22</v>
      </c>
      <c r="B1" s="3" t="s">
        <v>0</v>
      </c>
      <c r="C1" s="189" t="s">
        <v>269</v>
      </c>
      <c r="D1" s="189" t="s">
        <v>270</v>
      </c>
      <c r="E1" s="189" t="s">
        <v>271</v>
      </c>
      <c r="F1" s="189" t="s">
        <v>272</v>
      </c>
      <c r="G1" s="189" t="s">
        <v>273</v>
      </c>
      <c r="H1" s="189" t="s">
        <v>274</v>
      </c>
      <c r="I1" s="189" t="s">
        <v>275</v>
      </c>
      <c r="J1" s="189" t="s">
        <v>276</v>
      </c>
      <c r="K1" s="189" t="s">
        <v>277</v>
      </c>
      <c r="L1" s="189" t="s">
        <v>278</v>
      </c>
      <c r="M1" s="189" t="s">
        <v>279</v>
      </c>
      <c r="N1" s="189" t="s">
        <v>280</v>
      </c>
      <c r="O1" s="189" t="s">
        <v>281</v>
      </c>
      <c r="P1" s="189" t="s">
        <v>282</v>
      </c>
      <c r="Q1" s="189" t="s">
        <v>283</v>
      </c>
      <c r="R1" s="189" t="s">
        <v>284</v>
      </c>
      <c r="S1" s="189" t="s">
        <v>285</v>
      </c>
      <c r="T1" s="189" t="s">
        <v>286</v>
      </c>
      <c r="U1" s="189" t="s">
        <v>287</v>
      </c>
      <c r="V1" s="189" t="s">
        <v>288</v>
      </c>
      <c r="W1" s="189" t="s">
        <v>289</v>
      </c>
      <c r="X1" s="189" t="s">
        <v>290</v>
      </c>
      <c r="Y1" s="189" t="s">
        <v>291</v>
      </c>
      <c r="Z1" s="189" t="s">
        <v>292</v>
      </c>
      <c r="AA1" s="189" t="s">
        <v>296</v>
      </c>
    </row>
    <row r="2" spans="1:27" x14ac:dyDescent="0.15">
      <c r="A2">
        <v>1</v>
      </c>
      <c r="B2" s="188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 x14ac:dyDescent="0.15">
      <c r="A3">
        <v>2</v>
      </c>
      <c r="B3" s="188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7.1300000000000003E-6</v>
      </c>
      <c r="AA3">
        <v>7.1300000000000003E-6</v>
      </c>
    </row>
    <row r="4" spans="1:27" x14ac:dyDescent="0.15">
      <c r="A4">
        <v>3</v>
      </c>
      <c r="B4" s="188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5.0945199999999997E-4</v>
      </c>
      <c r="AA4">
        <v>5.0945199999999997E-4</v>
      </c>
    </row>
    <row r="5" spans="1:27" x14ac:dyDescent="0.15">
      <c r="A5">
        <v>4</v>
      </c>
      <c r="B5" s="188" t="s">
        <v>196</v>
      </c>
      <c r="C5">
        <v>1.07206E-4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4.5349819999999999E-3</v>
      </c>
      <c r="AA5">
        <v>4.6421880000000002E-3</v>
      </c>
    </row>
    <row r="6" spans="1:27" x14ac:dyDescent="0.15">
      <c r="A6">
        <v>5</v>
      </c>
      <c r="B6" s="188" t="s">
        <v>197</v>
      </c>
      <c r="C6">
        <v>3.2499999999999997E-5</v>
      </c>
      <c r="D6">
        <v>0</v>
      </c>
      <c r="E6">
        <v>0</v>
      </c>
      <c r="F6">
        <v>4.1476300000000001E-4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1.04E-5</v>
      </c>
      <c r="AA6">
        <v>4.5766299999999997E-4</v>
      </c>
    </row>
    <row r="7" spans="1:27" x14ac:dyDescent="0.15">
      <c r="A7">
        <v>6</v>
      </c>
      <c r="B7" s="188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1.182792E-3</v>
      </c>
      <c r="AA7">
        <v>1.182792E-3</v>
      </c>
    </row>
    <row r="8" spans="1:27" x14ac:dyDescent="0.15">
      <c r="A8">
        <v>7</v>
      </c>
      <c r="B8" s="188" t="s">
        <v>199</v>
      </c>
      <c r="C8">
        <v>6.7299999999999996E-5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1.29E-5</v>
      </c>
      <c r="AA8">
        <v>8.0199999999999998E-5</v>
      </c>
    </row>
    <row r="9" spans="1:27" x14ac:dyDescent="0.15">
      <c r="A9">
        <v>8</v>
      </c>
      <c r="B9" s="188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6.2600000000000004E-5</v>
      </c>
      <c r="AA9">
        <v>6.2600000000000004E-5</v>
      </c>
    </row>
    <row r="10" spans="1:27" x14ac:dyDescent="0.15">
      <c r="A10">
        <v>9</v>
      </c>
      <c r="B10" s="188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4.648447E-3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1.321121E-3</v>
      </c>
      <c r="AA10">
        <v>5.9695679999999997E-3</v>
      </c>
    </row>
    <row r="11" spans="1:27" x14ac:dyDescent="0.15">
      <c r="A11">
        <v>10</v>
      </c>
      <c r="B11" s="188" t="s">
        <v>202</v>
      </c>
      <c r="C11">
        <v>3.9186199999999998E-4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7.5467899999999996E-4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5.76894E-4</v>
      </c>
      <c r="AA11">
        <v>1.7234350000000002E-3</v>
      </c>
    </row>
    <row r="12" spans="1:27" x14ac:dyDescent="0.15">
      <c r="A12">
        <v>11</v>
      </c>
      <c r="B12" s="188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1.3142500000000001E-4</v>
      </c>
      <c r="AA12">
        <v>1.3142500000000001E-4</v>
      </c>
    </row>
    <row r="13" spans="1:27" x14ac:dyDescent="0.15">
      <c r="A13">
        <v>12</v>
      </c>
      <c r="B13" s="188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4.7700000000000001E-5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1.9700000000000001E-5</v>
      </c>
      <c r="AA13">
        <v>6.7399999999999998E-5</v>
      </c>
    </row>
    <row r="14" spans="1:27" x14ac:dyDescent="0.15">
      <c r="A14">
        <v>13</v>
      </c>
      <c r="B14" s="188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3.0296199999999999E-4</v>
      </c>
      <c r="AA14">
        <v>3.0296199999999999E-4</v>
      </c>
    </row>
    <row r="15" spans="1:27" x14ac:dyDescent="0.15">
      <c r="A15">
        <v>14</v>
      </c>
      <c r="B15" s="188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1.29E-5</v>
      </c>
      <c r="AA15">
        <v>1.29E-5</v>
      </c>
    </row>
    <row r="16" spans="1:27" x14ac:dyDescent="0.15">
      <c r="A16">
        <v>15</v>
      </c>
      <c r="B16" s="188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6.7000000000000002E-5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2.3200599999999999E-4</v>
      </c>
      <c r="AA16">
        <v>2.9900599999999999E-4</v>
      </c>
    </row>
    <row r="17" spans="1:27" x14ac:dyDescent="0.15">
      <c r="A17">
        <v>16</v>
      </c>
      <c r="B17" s="188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1.4386879999999999E-2</v>
      </c>
      <c r="AA17">
        <v>1.4386879999999999E-2</v>
      </c>
    </row>
    <row r="18" spans="1:27" x14ac:dyDescent="0.15">
      <c r="A18">
        <v>17</v>
      </c>
      <c r="B18" s="18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8.5199999999999997E-5</v>
      </c>
      <c r="J18">
        <v>1.3554629999999999E-3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9.2499999999999999E-5</v>
      </c>
      <c r="V18">
        <v>0</v>
      </c>
      <c r="W18">
        <v>0</v>
      </c>
      <c r="X18">
        <v>0</v>
      </c>
      <c r="Y18">
        <v>2.6215570000000001E-3</v>
      </c>
      <c r="Z18">
        <v>8.1100000000000006E-5</v>
      </c>
      <c r="AA18">
        <v>4.2358199999999995E-3</v>
      </c>
    </row>
    <row r="19" spans="1:27" x14ac:dyDescent="0.15">
      <c r="A19">
        <v>18</v>
      </c>
      <c r="B19" s="188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5.4452099999999996E-4</v>
      </c>
      <c r="K19">
        <v>0</v>
      </c>
      <c r="L19">
        <v>0</v>
      </c>
      <c r="M19">
        <v>0</v>
      </c>
      <c r="N19">
        <v>7.4600000000000006E-8</v>
      </c>
      <c r="O19">
        <v>0</v>
      </c>
      <c r="P19">
        <v>0</v>
      </c>
      <c r="Q19">
        <v>0</v>
      </c>
      <c r="R19">
        <v>0</v>
      </c>
      <c r="S19">
        <v>0</v>
      </c>
      <c r="T19">
        <v>4.7354899999999998E-4</v>
      </c>
      <c r="U19">
        <v>3.9400000000000002E-5</v>
      </c>
      <c r="V19">
        <v>3.9418999999999999E-4</v>
      </c>
      <c r="W19">
        <v>5.5780300000000005E-4</v>
      </c>
      <c r="X19">
        <v>0</v>
      </c>
      <c r="Y19">
        <v>0</v>
      </c>
      <c r="Z19">
        <v>3.6931099999999999E-4</v>
      </c>
      <c r="AA19">
        <v>2.3788485999999996E-3</v>
      </c>
    </row>
    <row r="20" spans="1:27" x14ac:dyDescent="0.15">
      <c r="A20">
        <v>19</v>
      </c>
      <c r="B20" s="188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 x14ac:dyDescent="0.15">
      <c r="A21">
        <v>20</v>
      </c>
      <c r="B21" s="188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2.3854799999999999E-4</v>
      </c>
      <c r="K21">
        <v>0</v>
      </c>
      <c r="L21">
        <v>0</v>
      </c>
      <c r="M21">
        <v>0</v>
      </c>
      <c r="N21">
        <v>3.7012239999999999E-3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2.5599999999999999E-5</v>
      </c>
      <c r="V21">
        <v>0</v>
      </c>
      <c r="W21">
        <v>0</v>
      </c>
      <c r="X21">
        <v>0</v>
      </c>
      <c r="Y21">
        <v>2.923737E-3</v>
      </c>
      <c r="Z21">
        <v>0</v>
      </c>
      <c r="AA21">
        <v>6.889109E-3</v>
      </c>
    </row>
    <row r="22" spans="1:27" x14ac:dyDescent="0.15">
      <c r="A22">
        <v>21</v>
      </c>
      <c r="B22" s="188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x14ac:dyDescent="0.15">
      <c r="A23">
        <v>22</v>
      </c>
      <c r="B23" s="188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1.12769E-4</v>
      </c>
      <c r="K23">
        <v>0</v>
      </c>
      <c r="L23">
        <v>0</v>
      </c>
      <c r="M23">
        <v>0</v>
      </c>
      <c r="N23">
        <v>3.4392520000000003E-2</v>
      </c>
      <c r="O23">
        <v>0</v>
      </c>
      <c r="P23">
        <v>0</v>
      </c>
      <c r="Q23">
        <v>0</v>
      </c>
      <c r="R23">
        <v>0</v>
      </c>
      <c r="S23">
        <v>0</v>
      </c>
      <c r="T23">
        <v>1.72E-6</v>
      </c>
      <c r="U23">
        <v>1.55E-7</v>
      </c>
      <c r="V23">
        <v>3.74982E-4</v>
      </c>
      <c r="W23">
        <v>5.8533769999999999E-3</v>
      </c>
      <c r="X23">
        <v>8.4155270000000008E-3</v>
      </c>
      <c r="Y23">
        <v>0</v>
      </c>
      <c r="Z23">
        <v>3.6358099999999997E-4</v>
      </c>
      <c r="AA23">
        <v>4.9514631000000003E-2</v>
      </c>
    </row>
    <row r="24" spans="1:27" x14ac:dyDescent="0.15">
      <c r="A24">
        <v>23</v>
      </c>
      <c r="B24" s="188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6.9261290000000003E-2</v>
      </c>
      <c r="AA24">
        <v>6.9261290000000003E-2</v>
      </c>
    </row>
    <row r="25" spans="1:27" x14ac:dyDescent="0.15">
      <c r="A25">
        <v>24</v>
      </c>
      <c r="B25" s="188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x14ac:dyDescent="0.15">
      <c r="A26">
        <v>25</v>
      </c>
      <c r="B26" s="188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1.7109699999999999E-4</v>
      </c>
      <c r="AA26">
        <v>1.7109699999999999E-4</v>
      </c>
    </row>
    <row r="27" spans="1:27" x14ac:dyDescent="0.15">
      <c r="A27">
        <v>26</v>
      </c>
      <c r="B27" s="188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4.1300000000000001E-5</v>
      </c>
      <c r="J27">
        <v>6.1808200000000001E-3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5.1200000000000003E-7</v>
      </c>
      <c r="V27">
        <v>3.5300000000000001E-6</v>
      </c>
      <c r="W27">
        <v>3.68E-5</v>
      </c>
      <c r="X27">
        <v>0</v>
      </c>
      <c r="Y27">
        <v>0</v>
      </c>
      <c r="Z27">
        <v>2.9316770000000002E-3</v>
      </c>
      <c r="AA27">
        <v>9.194639000000001E-3</v>
      </c>
    </row>
    <row r="28" spans="1:27" x14ac:dyDescent="0.15">
      <c r="A28">
        <v>27</v>
      </c>
      <c r="B28" s="188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 x14ac:dyDescent="0.15">
      <c r="A29">
        <v>28</v>
      </c>
      <c r="B29" s="188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9.4300000000000002E-5</v>
      </c>
      <c r="AA29">
        <v>9.4300000000000002E-5</v>
      </c>
    </row>
    <row r="30" spans="1:27" x14ac:dyDescent="0.15">
      <c r="A30">
        <v>29</v>
      </c>
      <c r="B30" s="188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1.074043E-3</v>
      </c>
      <c r="J30">
        <v>1.11975E-4</v>
      </c>
      <c r="K30">
        <v>1.5400000000000001E-6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3.7766500000000001E-4</v>
      </c>
      <c r="V30">
        <v>9.4509599999999998E-4</v>
      </c>
      <c r="W30">
        <v>6.2770889999999996E-3</v>
      </c>
      <c r="X30">
        <v>8.7700000000000004E-5</v>
      </c>
      <c r="Y30">
        <v>0</v>
      </c>
      <c r="Z30">
        <v>4.4139679999999999E-3</v>
      </c>
      <c r="AA30">
        <v>1.3289076E-2</v>
      </c>
    </row>
    <row r="31" spans="1:27" x14ac:dyDescent="0.15">
      <c r="A31">
        <v>30</v>
      </c>
      <c r="B31" s="188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x14ac:dyDescent="0.15">
      <c r="A32">
        <v>31</v>
      </c>
      <c r="B32" s="188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2.0800000000000001E-5</v>
      </c>
      <c r="AA32">
        <v>2.0800000000000001E-5</v>
      </c>
    </row>
    <row r="33" spans="1:27" x14ac:dyDescent="0.15">
      <c r="A33">
        <v>32</v>
      </c>
      <c r="B33" s="188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3.7099999999999997E-7</v>
      </c>
      <c r="J33">
        <v>1.0000000000000001E-5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6.5899999999999996E-6</v>
      </c>
      <c r="V33">
        <v>0</v>
      </c>
      <c r="W33">
        <v>0</v>
      </c>
      <c r="X33">
        <v>0</v>
      </c>
      <c r="Y33">
        <v>0</v>
      </c>
      <c r="Z33">
        <v>5.3399999999999997E-5</v>
      </c>
      <c r="AA33">
        <v>7.0360999999999999E-5</v>
      </c>
    </row>
    <row r="34" spans="1:27" x14ac:dyDescent="0.15">
      <c r="A34">
        <v>33</v>
      </c>
      <c r="B34" s="188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 x14ac:dyDescent="0.15">
      <c r="A35">
        <v>34</v>
      </c>
      <c r="B35" s="188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9.2800000000000006E-5</v>
      </c>
      <c r="AA35">
        <v>9.2800000000000006E-5</v>
      </c>
    </row>
    <row r="36" spans="1:27" x14ac:dyDescent="0.15">
      <c r="A36">
        <v>35</v>
      </c>
      <c r="B36" s="188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5.9599999999999997E-6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3.0278500000000002E-4</v>
      </c>
      <c r="AA36">
        <v>3.0874500000000003E-4</v>
      </c>
    </row>
    <row r="37" spans="1:27" x14ac:dyDescent="0.15">
      <c r="A37">
        <v>36</v>
      </c>
      <c r="B37" s="188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4.0299999999999997E-5</v>
      </c>
      <c r="AA37">
        <v>4.0299999999999997E-5</v>
      </c>
    </row>
    <row r="38" spans="1:27" x14ac:dyDescent="0.15">
      <c r="A38">
        <v>37</v>
      </c>
      <c r="B38" s="188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1.44091E-4</v>
      </c>
      <c r="AA38">
        <v>1.44091E-4</v>
      </c>
    </row>
    <row r="39" spans="1:27" x14ac:dyDescent="0.15">
      <c r="A39">
        <v>38</v>
      </c>
      <c r="B39" s="188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1.0254700000000001E-4</v>
      </c>
      <c r="AA39">
        <v>1.0254700000000001E-4</v>
      </c>
    </row>
    <row r="40" spans="1:27" x14ac:dyDescent="0.15">
      <c r="A40">
        <v>39</v>
      </c>
      <c r="B40" s="188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 x14ac:dyDescent="0.15">
      <c r="A41">
        <v>40</v>
      </c>
      <c r="B41" s="188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1.3719099999999999E-4</v>
      </c>
      <c r="J41">
        <v>5.6495909999999998E-3</v>
      </c>
      <c r="K41">
        <v>0</v>
      </c>
      <c r="L41">
        <v>0</v>
      </c>
      <c r="M41">
        <v>0</v>
      </c>
      <c r="N41">
        <v>3.0700000000000001E-5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1.8300449999999999E-2</v>
      </c>
      <c r="Z41">
        <v>0</v>
      </c>
      <c r="AA41">
        <v>2.4117931999999998E-2</v>
      </c>
    </row>
    <row r="42" spans="1:27" x14ac:dyDescent="0.15">
      <c r="A42">
        <v>41</v>
      </c>
      <c r="B42" s="188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1.3659499999999999E-4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1.73E-5</v>
      </c>
      <c r="W42">
        <v>9.4300000000000002E-5</v>
      </c>
      <c r="X42">
        <v>0</v>
      </c>
      <c r="Y42">
        <v>0</v>
      </c>
      <c r="Z42">
        <v>0</v>
      </c>
      <c r="AA42">
        <v>2.4819499999999999E-4</v>
      </c>
    </row>
    <row r="43" spans="1:27" x14ac:dyDescent="0.15">
      <c r="A43">
        <v>42</v>
      </c>
      <c r="B43" s="188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1.9199999999999998E-6</v>
      </c>
      <c r="V43">
        <v>0</v>
      </c>
      <c r="W43">
        <v>0</v>
      </c>
      <c r="X43">
        <v>0</v>
      </c>
      <c r="Y43">
        <v>3.4600000000000001E-5</v>
      </c>
      <c r="Z43">
        <v>0</v>
      </c>
      <c r="AA43">
        <v>3.6520000000000003E-5</v>
      </c>
    </row>
    <row r="44" spans="1:27" x14ac:dyDescent="0.15">
      <c r="A44">
        <v>43</v>
      </c>
      <c r="B44" s="188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4.7575599999999998E-4</v>
      </c>
      <c r="AA44">
        <v>4.7575599999999998E-4</v>
      </c>
    </row>
    <row r="45" spans="1:27" x14ac:dyDescent="0.15">
      <c r="A45">
        <v>44</v>
      </c>
      <c r="B45" s="188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8.4854679999999995E-3</v>
      </c>
      <c r="AA45">
        <v>8.4854679999999995E-3</v>
      </c>
    </row>
    <row r="46" spans="1:27" x14ac:dyDescent="0.15">
      <c r="A46">
        <v>45</v>
      </c>
      <c r="B46" s="188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8.4854679999999995E-3</v>
      </c>
      <c r="AA46">
        <v>8.4854679999999995E-3</v>
      </c>
    </row>
    <row r="47" spans="1:27" x14ac:dyDescent="0.15">
      <c r="A47">
        <v>46</v>
      </c>
      <c r="B47" s="188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 x14ac:dyDescent="0.15">
      <c r="A48">
        <v>47</v>
      </c>
      <c r="B48" s="188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1.7156290000000001E-2</v>
      </c>
      <c r="AA48">
        <v>1.7156290000000001E-2</v>
      </c>
    </row>
    <row r="49" spans="1:27" x14ac:dyDescent="0.15">
      <c r="A49">
        <v>48</v>
      </c>
      <c r="B49" s="188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2.9900000000000002E-6</v>
      </c>
      <c r="AA49">
        <v>2.9900000000000002E-6</v>
      </c>
    </row>
    <row r="50" spans="1:27" x14ac:dyDescent="0.15">
      <c r="A50">
        <v>49</v>
      </c>
      <c r="B50" s="188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3.4486419999999997E-2</v>
      </c>
      <c r="AA50">
        <v>3.4486419999999997E-2</v>
      </c>
    </row>
    <row r="51" spans="1:27" x14ac:dyDescent="0.15">
      <c r="A51">
        <v>50</v>
      </c>
      <c r="B51" s="188" t="s">
        <v>242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0.53798000000000001</v>
      </c>
      <c r="AA51">
        <v>0.53798000000000001</v>
      </c>
    </row>
    <row r="52" spans="1:27" x14ac:dyDescent="0.15">
      <c r="A52">
        <v>51</v>
      </c>
      <c r="B52" s="188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1.0150000000000001E-3</v>
      </c>
      <c r="AA52">
        <v>1.0150000000000001E-3</v>
      </c>
    </row>
    <row r="53" spans="1:27" x14ac:dyDescent="0.15">
      <c r="A53">
        <v>52</v>
      </c>
      <c r="B53" s="188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2.1370650000000001E-3</v>
      </c>
      <c r="AA53">
        <v>2.1370650000000001E-3</v>
      </c>
    </row>
    <row r="54" spans="1:27" x14ac:dyDescent="0.15">
      <c r="A54">
        <v>53</v>
      </c>
      <c r="B54" s="188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3.8500000000000004E-6</v>
      </c>
      <c r="J54">
        <v>1.9199999999999998E-6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5.7700000000000007E-6</v>
      </c>
    </row>
    <row r="55" spans="1:27" x14ac:dyDescent="0.15">
      <c r="A55">
        <v>54</v>
      </c>
      <c r="B55" s="188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9.7155500000000003E-4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6.2726899999999996E-4</v>
      </c>
      <c r="AA55">
        <v>1.598824E-3</v>
      </c>
    </row>
    <row r="56" spans="1:27" x14ac:dyDescent="0.15">
      <c r="A56">
        <v>55</v>
      </c>
      <c r="B56" s="188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1.2883260000000001E-2</v>
      </c>
      <c r="AA56">
        <v>1.2883260000000001E-2</v>
      </c>
    </row>
    <row r="57" spans="1:27" x14ac:dyDescent="0.15">
      <c r="A57">
        <v>56</v>
      </c>
      <c r="B57" s="188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 x14ac:dyDescent="0.15">
      <c r="A58">
        <v>57</v>
      </c>
      <c r="B58" s="188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 x14ac:dyDescent="0.15">
      <c r="A59">
        <v>58</v>
      </c>
      <c r="B59" s="188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 x14ac:dyDescent="0.15">
      <c r="A60">
        <v>59</v>
      </c>
      <c r="B60" s="188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 x14ac:dyDescent="0.15">
      <c r="A61">
        <v>60</v>
      </c>
      <c r="B61" s="188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3.1778479999999998E-2</v>
      </c>
      <c r="AA61">
        <v>3.1778479999999998E-2</v>
      </c>
    </row>
    <row r="62" spans="1:27" x14ac:dyDescent="0.15">
      <c r="A62">
        <v>61</v>
      </c>
      <c r="B62" s="188" t="s">
        <v>253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2.698645E-3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2.698645E-3</v>
      </c>
    </row>
    <row r="63" spans="1:27" x14ac:dyDescent="0.15">
      <c r="A63">
        <v>62</v>
      </c>
      <c r="B63" s="188" t="s">
        <v>254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0.25449490000000002</v>
      </c>
      <c r="AA63">
        <v>0.25449490000000002</v>
      </c>
    </row>
    <row r="64" spans="1:27" x14ac:dyDescent="0.15">
      <c r="A64">
        <v>63</v>
      </c>
      <c r="B64" s="188" t="s">
        <v>255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7.5518390000000003E-3</v>
      </c>
      <c r="AA64">
        <v>7.5518390000000003E-3</v>
      </c>
    </row>
    <row r="65" spans="1:27" x14ac:dyDescent="0.15">
      <c r="A65">
        <v>64</v>
      </c>
      <c r="B65" s="188" t="s">
        <v>256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5.3699999999999997E-5</v>
      </c>
      <c r="AA65">
        <v>5.3699999999999997E-5</v>
      </c>
    </row>
    <row r="66" spans="1:27" x14ac:dyDescent="0.15">
      <c r="A66">
        <v>65</v>
      </c>
      <c r="B66" s="188" t="s">
        <v>257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 x14ac:dyDescent="0.15">
      <c r="A67">
        <v>66</v>
      </c>
      <c r="B67" s="188" t="s">
        <v>258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x14ac:dyDescent="0.15">
      <c r="A68">
        <v>67</v>
      </c>
      <c r="B68" s="188" t="s">
        <v>259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1.7658100000000001E-4</v>
      </c>
      <c r="AA68">
        <v>1.7658100000000001E-4</v>
      </c>
    </row>
    <row r="69" spans="1:27" x14ac:dyDescent="0.15">
      <c r="A69">
        <v>68</v>
      </c>
      <c r="B69" s="188" t="s">
        <v>260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 x14ac:dyDescent="0.15">
      <c r="A70">
        <v>69</v>
      </c>
      <c r="B70" s="188" t="s">
        <v>261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 x14ac:dyDescent="0.15">
      <c r="A71">
        <v>70</v>
      </c>
      <c r="B71" s="188" t="s">
        <v>262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 x14ac:dyDescent="0.15">
      <c r="A72">
        <v>71</v>
      </c>
      <c r="B72" s="188" t="s">
        <v>263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 x14ac:dyDescent="0.15">
      <c r="A73">
        <v>72</v>
      </c>
      <c r="B73" s="188" t="s">
        <v>264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x14ac:dyDescent="0.15">
      <c r="A74">
        <v>73</v>
      </c>
      <c r="B74" s="188" t="s">
        <v>265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 x14ac:dyDescent="0.15">
      <c r="A75">
        <v>74</v>
      </c>
      <c r="B75" s="188" t="s">
        <v>266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x14ac:dyDescent="0.15">
      <c r="A76">
        <v>75</v>
      </c>
      <c r="B76" s="188" t="s">
        <v>267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 x14ac:dyDescent="0.15">
      <c r="A77">
        <v>76</v>
      </c>
      <c r="B77" s="188" t="s">
        <v>268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7.6640625" bestFit="1" customWidth="1"/>
    <col min="6" max="6" width="4.83203125" bestFit="1" customWidth="1"/>
    <col min="7" max="9" width="3.83203125" bestFit="1" customWidth="1"/>
    <col min="10" max="11" width="4.83203125" style="11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8" customFormat="1" ht="14" thickBot="1" x14ac:dyDescent="0.2">
      <c r="D1" s="119" t="s">
        <v>8</v>
      </c>
      <c r="E1" s="119" t="s">
        <v>0</v>
      </c>
      <c r="F1" s="120" t="s">
        <v>99</v>
      </c>
      <c r="G1" s="121" t="s">
        <v>84</v>
      </c>
      <c r="H1" s="121" t="s">
        <v>85</v>
      </c>
      <c r="I1" s="121" t="s">
        <v>86</v>
      </c>
      <c r="J1" s="121" t="s">
        <v>87</v>
      </c>
      <c r="K1" s="121" t="s">
        <v>88</v>
      </c>
      <c r="L1" s="122" t="s">
        <v>89</v>
      </c>
      <c r="M1" s="122" t="s">
        <v>93</v>
      </c>
      <c r="N1" s="122" t="s">
        <v>92</v>
      </c>
      <c r="O1" s="122" t="s">
        <v>90</v>
      </c>
      <c r="P1" s="122" t="s">
        <v>91</v>
      </c>
      <c r="Q1" s="123" t="s">
        <v>94</v>
      </c>
      <c r="R1" s="123" t="s">
        <v>95</v>
      </c>
      <c r="S1" s="123" t="s">
        <v>96</v>
      </c>
      <c r="T1" s="123" t="s">
        <v>97</v>
      </c>
      <c r="U1" s="123" t="s">
        <v>98</v>
      </c>
      <c r="V1" s="121" t="s">
        <v>100</v>
      </c>
      <c r="W1" s="121" t="s">
        <v>101</v>
      </c>
      <c r="X1" s="121" t="s">
        <v>102</v>
      </c>
      <c r="Y1" s="121" t="s">
        <v>134</v>
      </c>
      <c r="Z1" s="122" t="s">
        <v>103</v>
      </c>
      <c r="AA1" s="122" t="s">
        <v>104</v>
      </c>
      <c r="AB1" s="122" t="s">
        <v>105</v>
      </c>
      <c r="AC1" s="124" t="s">
        <v>135</v>
      </c>
      <c r="AD1" s="123" t="s">
        <v>106</v>
      </c>
      <c r="AE1" s="123" t="s">
        <v>107</v>
      </c>
      <c r="AF1" s="123" t="s">
        <v>108</v>
      </c>
      <c r="AG1" s="123" t="s">
        <v>136</v>
      </c>
      <c r="AH1" s="121" t="s">
        <v>109</v>
      </c>
      <c r="AI1" s="121" t="s">
        <v>111</v>
      </c>
      <c r="AJ1" s="121" t="s">
        <v>110</v>
      </c>
      <c r="AK1" s="122" t="s">
        <v>115</v>
      </c>
      <c r="AL1" s="122" t="s">
        <v>116</v>
      </c>
      <c r="AM1" s="122" t="s">
        <v>117</v>
      </c>
      <c r="AN1" s="123" t="s">
        <v>112</v>
      </c>
      <c r="AO1" s="123" t="s">
        <v>113</v>
      </c>
      <c r="AP1" s="123" t="s">
        <v>114</v>
      </c>
    </row>
    <row r="2" spans="1:42" x14ac:dyDescent="0.15">
      <c r="A2" s="125" t="s">
        <v>74</v>
      </c>
      <c r="B2" s="126">
        <v>1</v>
      </c>
      <c r="D2">
        <v>1</v>
      </c>
      <c r="E2" s="190" t="s">
        <v>193</v>
      </c>
      <c r="F2">
        <v>0.98</v>
      </c>
      <c r="G2">
        <v>0.8</v>
      </c>
      <c r="H2">
        <v>0.8</v>
      </c>
      <c r="I2">
        <v>0.8</v>
      </c>
      <c r="J2" s="116">
        <v>0.25</v>
      </c>
      <c r="K2" s="116">
        <v>0.05</v>
      </c>
    </row>
    <row r="3" spans="1:42" x14ac:dyDescent="0.15">
      <c r="A3" s="125" t="s">
        <v>75</v>
      </c>
      <c r="B3" s="127">
        <v>1</v>
      </c>
      <c r="D3">
        <v>2</v>
      </c>
      <c r="E3" s="190" t="s">
        <v>194</v>
      </c>
      <c r="F3">
        <v>0.98</v>
      </c>
      <c r="G3">
        <v>0.8</v>
      </c>
      <c r="H3">
        <v>0.8</v>
      </c>
      <c r="I3">
        <v>0.8</v>
      </c>
      <c r="J3" s="116">
        <v>0.25</v>
      </c>
      <c r="K3" s="116">
        <v>0.05</v>
      </c>
    </row>
    <row r="4" spans="1:42" x14ac:dyDescent="0.15">
      <c r="A4" s="125" t="s">
        <v>76</v>
      </c>
      <c r="B4" s="127">
        <v>1</v>
      </c>
      <c r="D4">
        <v>3</v>
      </c>
      <c r="E4" s="190" t="s">
        <v>195</v>
      </c>
      <c r="F4">
        <v>0.98</v>
      </c>
      <c r="G4">
        <v>0.8</v>
      </c>
      <c r="H4">
        <v>0.8</v>
      </c>
      <c r="I4">
        <v>0.8</v>
      </c>
      <c r="J4" s="116">
        <v>0.25</v>
      </c>
      <c r="K4" s="116">
        <v>0.05</v>
      </c>
    </row>
    <row r="5" spans="1:42" x14ac:dyDescent="0.15">
      <c r="A5" s="125" t="s">
        <v>77</v>
      </c>
      <c r="B5" s="127">
        <v>1</v>
      </c>
      <c r="D5">
        <v>4</v>
      </c>
      <c r="E5" s="190" t="s">
        <v>196</v>
      </c>
      <c r="F5">
        <v>0.98</v>
      </c>
      <c r="G5">
        <v>0.8</v>
      </c>
      <c r="H5">
        <v>0.8</v>
      </c>
      <c r="I5">
        <v>0.8</v>
      </c>
      <c r="J5" s="116">
        <v>0.25</v>
      </c>
      <c r="K5" s="116">
        <v>0.05</v>
      </c>
    </row>
    <row r="6" spans="1:42" x14ac:dyDescent="0.15">
      <c r="A6" s="125" t="s">
        <v>78</v>
      </c>
      <c r="B6" s="127">
        <v>1</v>
      </c>
      <c r="D6">
        <v>5</v>
      </c>
      <c r="E6" s="190" t="s">
        <v>197</v>
      </c>
      <c r="F6">
        <v>0.98</v>
      </c>
      <c r="G6">
        <v>0.8</v>
      </c>
      <c r="H6">
        <v>0.8</v>
      </c>
      <c r="I6">
        <v>0.8</v>
      </c>
      <c r="J6" s="116">
        <v>0.25</v>
      </c>
      <c r="K6" s="116">
        <v>0.05</v>
      </c>
    </row>
    <row r="7" spans="1:42" x14ac:dyDescent="0.15">
      <c r="A7" s="125" t="s">
        <v>79</v>
      </c>
      <c r="B7" s="127">
        <v>1</v>
      </c>
      <c r="D7">
        <v>6</v>
      </c>
      <c r="E7" s="190" t="s">
        <v>198</v>
      </c>
      <c r="F7">
        <v>0.98</v>
      </c>
      <c r="G7">
        <v>0.8</v>
      </c>
      <c r="H7">
        <v>0.8</v>
      </c>
      <c r="I7">
        <v>0.8</v>
      </c>
      <c r="J7" s="116">
        <v>0.25</v>
      </c>
      <c r="K7" s="116">
        <v>0.05</v>
      </c>
    </row>
    <row r="8" spans="1:42" x14ac:dyDescent="0.15">
      <c r="A8" s="125" t="s">
        <v>80</v>
      </c>
      <c r="B8" s="127">
        <v>1</v>
      </c>
      <c r="D8">
        <v>7</v>
      </c>
      <c r="E8" s="190" t="s">
        <v>199</v>
      </c>
      <c r="F8">
        <v>0.98</v>
      </c>
      <c r="G8">
        <v>0.8</v>
      </c>
      <c r="H8">
        <v>0.8</v>
      </c>
      <c r="I8">
        <v>0.8</v>
      </c>
      <c r="J8" s="116">
        <v>0.25</v>
      </c>
      <c r="K8" s="116">
        <v>0.05</v>
      </c>
    </row>
    <row r="9" spans="1:42" x14ac:dyDescent="0.15">
      <c r="A9" s="125" t="s">
        <v>81</v>
      </c>
      <c r="B9" s="127">
        <v>0.1</v>
      </c>
      <c r="C9" s="61" t="s">
        <v>150</v>
      </c>
      <c r="D9">
        <v>8</v>
      </c>
      <c r="E9" s="190" t="s">
        <v>200</v>
      </c>
      <c r="F9">
        <v>0.98</v>
      </c>
      <c r="G9">
        <v>0.8</v>
      </c>
      <c r="H9">
        <v>0.8</v>
      </c>
      <c r="I9">
        <v>0.8</v>
      </c>
      <c r="J9" s="116">
        <v>0.25</v>
      </c>
      <c r="K9" s="116">
        <v>0.05</v>
      </c>
    </row>
    <row r="10" spans="1:42" ht="14" thickBot="1" x14ac:dyDescent="0.2">
      <c r="A10" s="125" t="s">
        <v>149</v>
      </c>
      <c r="B10" s="128">
        <f>1/3</f>
        <v>0.33333333333333331</v>
      </c>
      <c r="C10" s="61" t="s">
        <v>150</v>
      </c>
      <c r="D10">
        <v>9</v>
      </c>
      <c r="E10" s="190" t="s">
        <v>201</v>
      </c>
      <c r="F10">
        <v>0.98</v>
      </c>
      <c r="G10">
        <v>0.8</v>
      </c>
      <c r="H10">
        <v>0.8</v>
      </c>
      <c r="I10">
        <v>0.8</v>
      </c>
      <c r="J10" s="116">
        <v>0.25</v>
      </c>
      <c r="K10" s="116">
        <v>0.05</v>
      </c>
    </row>
    <row r="11" spans="1:42" x14ac:dyDescent="0.15">
      <c r="D11">
        <v>10</v>
      </c>
      <c r="E11" s="190" t="s">
        <v>202</v>
      </c>
      <c r="F11">
        <v>0.98</v>
      </c>
      <c r="G11">
        <v>0.8</v>
      </c>
      <c r="H11">
        <v>0.8</v>
      </c>
      <c r="I11">
        <v>0.8</v>
      </c>
      <c r="J11" s="116">
        <v>0.25</v>
      </c>
      <c r="K11" s="116">
        <v>0.05</v>
      </c>
    </row>
    <row r="12" spans="1:42" x14ac:dyDescent="0.15">
      <c r="D12">
        <v>11</v>
      </c>
      <c r="E12" s="190" t="s">
        <v>203</v>
      </c>
      <c r="F12">
        <v>0.98</v>
      </c>
      <c r="G12">
        <v>0.8</v>
      </c>
      <c r="H12">
        <v>0.8</v>
      </c>
      <c r="I12">
        <v>0.8</v>
      </c>
      <c r="J12" s="116">
        <v>0.25</v>
      </c>
      <c r="K12" s="116">
        <v>0.05</v>
      </c>
    </row>
    <row r="13" spans="1:42" x14ac:dyDescent="0.15">
      <c r="D13">
        <v>12</v>
      </c>
      <c r="E13" s="190" t="s">
        <v>204</v>
      </c>
      <c r="F13">
        <v>0.98</v>
      </c>
      <c r="G13">
        <v>0.8</v>
      </c>
      <c r="H13">
        <v>0.8</v>
      </c>
      <c r="I13">
        <v>0.8</v>
      </c>
      <c r="J13" s="116">
        <v>0.25</v>
      </c>
      <c r="K13" s="116">
        <v>0.05</v>
      </c>
    </row>
    <row r="14" spans="1:42" x14ac:dyDescent="0.15">
      <c r="D14">
        <v>13</v>
      </c>
      <c r="E14" s="190" t="s">
        <v>205</v>
      </c>
      <c r="F14">
        <v>0.98</v>
      </c>
      <c r="G14">
        <v>0.8</v>
      </c>
      <c r="H14">
        <v>0.8</v>
      </c>
      <c r="I14">
        <v>0.8</v>
      </c>
      <c r="J14" s="116">
        <v>0.25</v>
      </c>
      <c r="K14" s="116">
        <v>0.05</v>
      </c>
    </row>
    <row r="15" spans="1:42" x14ac:dyDescent="0.15">
      <c r="D15">
        <v>14</v>
      </c>
      <c r="E15" s="190" t="s">
        <v>206</v>
      </c>
      <c r="F15">
        <v>0.98</v>
      </c>
      <c r="G15">
        <v>0.8</v>
      </c>
      <c r="H15">
        <v>0.8</v>
      </c>
      <c r="I15">
        <v>0.8</v>
      </c>
      <c r="J15" s="116">
        <v>0.25</v>
      </c>
      <c r="K15" s="116">
        <v>0.05</v>
      </c>
    </row>
    <row r="16" spans="1:42" x14ac:dyDescent="0.15">
      <c r="D16">
        <v>15</v>
      </c>
      <c r="E16" s="190" t="s">
        <v>207</v>
      </c>
      <c r="F16">
        <v>0.98</v>
      </c>
      <c r="G16">
        <v>0.8</v>
      </c>
      <c r="H16">
        <v>0.8</v>
      </c>
      <c r="I16">
        <v>0.8</v>
      </c>
      <c r="J16" s="116">
        <v>0.25</v>
      </c>
      <c r="K16" s="116">
        <v>0.05</v>
      </c>
    </row>
    <row r="17" spans="4:33" ht="15" customHeight="1" x14ac:dyDescent="0.15">
      <c r="D17">
        <v>16</v>
      </c>
      <c r="E17" s="190" t="s">
        <v>208</v>
      </c>
      <c r="F17">
        <v>0.98</v>
      </c>
      <c r="G17">
        <v>0.8</v>
      </c>
      <c r="H17">
        <v>0.8</v>
      </c>
      <c r="I17">
        <v>0.8</v>
      </c>
      <c r="J17" s="116">
        <v>0.25</v>
      </c>
      <c r="K17" s="116">
        <v>0.05</v>
      </c>
    </row>
    <row r="18" spans="4:33" ht="15" customHeight="1" x14ac:dyDescent="0.15">
      <c r="D18">
        <v>17</v>
      </c>
      <c r="E18" s="190" t="s">
        <v>209</v>
      </c>
      <c r="F18">
        <v>0.98</v>
      </c>
      <c r="G18">
        <v>0.8</v>
      </c>
      <c r="H18">
        <v>0.8</v>
      </c>
      <c r="I18">
        <v>0.8</v>
      </c>
      <c r="J18" s="116">
        <v>0.25</v>
      </c>
      <c r="K18" s="116">
        <v>0.05</v>
      </c>
    </row>
    <row r="19" spans="4:33" ht="15" customHeight="1" x14ac:dyDescent="0.15">
      <c r="D19">
        <v>18</v>
      </c>
      <c r="E19" s="190" t="s">
        <v>210</v>
      </c>
      <c r="F19">
        <v>0.98</v>
      </c>
      <c r="G19">
        <v>0.8</v>
      </c>
      <c r="H19">
        <v>0.8</v>
      </c>
      <c r="I19">
        <v>0.8</v>
      </c>
      <c r="J19" s="116">
        <v>0.25</v>
      </c>
      <c r="K19" s="116">
        <v>0.05</v>
      </c>
    </row>
    <row r="20" spans="4:33" ht="15" customHeight="1" x14ac:dyDescent="0.15">
      <c r="D20">
        <v>19</v>
      </c>
      <c r="E20" s="190" t="s">
        <v>211</v>
      </c>
      <c r="F20">
        <v>0.98</v>
      </c>
      <c r="G20">
        <v>0.8</v>
      </c>
      <c r="H20">
        <v>0.8</v>
      </c>
      <c r="I20">
        <v>0.8</v>
      </c>
      <c r="J20" s="116">
        <v>0.25</v>
      </c>
      <c r="K20" s="116">
        <v>0.05</v>
      </c>
    </row>
    <row r="21" spans="4:33" ht="15" customHeight="1" x14ac:dyDescent="0.15">
      <c r="D21">
        <v>20</v>
      </c>
      <c r="E21" s="190" t="s">
        <v>212</v>
      </c>
      <c r="F21">
        <v>0.98</v>
      </c>
      <c r="G21">
        <v>0.8</v>
      </c>
      <c r="H21">
        <v>0.8</v>
      </c>
      <c r="I21">
        <v>0.8</v>
      </c>
      <c r="J21" s="116">
        <v>0.25</v>
      </c>
      <c r="K21" s="116">
        <v>0.05</v>
      </c>
    </row>
    <row r="22" spans="4:33" ht="15" customHeight="1" x14ac:dyDescent="0.15">
      <c r="D22">
        <v>21</v>
      </c>
      <c r="E22" s="190" t="s">
        <v>213</v>
      </c>
      <c r="F22">
        <v>0.98</v>
      </c>
      <c r="G22">
        <v>0.8</v>
      </c>
      <c r="H22">
        <v>0.8</v>
      </c>
      <c r="I22">
        <v>0.8</v>
      </c>
      <c r="J22" s="116">
        <v>0.25</v>
      </c>
      <c r="K22" s="116">
        <v>0.05</v>
      </c>
    </row>
    <row r="23" spans="4:33" ht="15" customHeight="1" x14ac:dyDescent="0.15">
      <c r="D23">
        <v>22</v>
      </c>
      <c r="E23" s="190" t="s">
        <v>214</v>
      </c>
      <c r="F23">
        <v>0.98</v>
      </c>
      <c r="G23">
        <v>0.8</v>
      </c>
      <c r="H23">
        <v>0.8</v>
      </c>
      <c r="I23">
        <v>0.8</v>
      </c>
      <c r="J23" s="116">
        <v>0.25</v>
      </c>
      <c r="K23" s="116">
        <v>0.05</v>
      </c>
    </row>
    <row r="24" spans="4:33" ht="15" customHeight="1" x14ac:dyDescent="0.15">
      <c r="D24">
        <v>23</v>
      </c>
      <c r="E24" s="190" t="s">
        <v>215</v>
      </c>
      <c r="F24">
        <v>0.98</v>
      </c>
      <c r="G24">
        <v>0.8</v>
      </c>
      <c r="H24">
        <v>0.8</v>
      </c>
      <c r="I24">
        <v>0.8</v>
      </c>
      <c r="J24" s="116">
        <v>0.25</v>
      </c>
      <c r="K24" s="116">
        <v>0.05</v>
      </c>
    </row>
    <row r="25" spans="4:33" ht="15" customHeight="1" x14ac:dyDescent="0.15">
      <c r="D25">
        <v>24</v>
      </c>
      <c r="E25" s="190" t="s">
        <v>216</v>
      </c>
      <c r="F25">
        <v>0.98</v>
      </c>
      <c r="G25">
        <v>0.8</v>
      </c>
      <c r="H25">
        <v>0.8</v>
      </c>
      <c r="I25">
        <v>0.8</v>
      </c>
      <c r="J25" s="116">
        <v>0.25</v>
      </c>
      <c r="K25" s="116">
        <v>0.05</v>
      </c>
    </row>
    <row r="26" spans="4:33" ht="15" customHeight="1" x14ac:dyDescent="0.15">
      <c r="D26">
        <v>25</v>
      </c>
      <c r="E26" s="190" t="s">
        <v>217</v>
      </c>
      <c r="F26">
        <v>0.98</v>
      </c>
      <c r="G26">
        <v>0.8</v>
      </c>
      <c r="H26">
        <v>0.8</v>
      </c>
      <c r="I26">
        <v>0.8</v>
      </c>
      <c r="J26" s="116">
        <v>0.25</v>
      </c>
      <c r="K26" s="116">
        <v>0.05</v>
      </c>
    </row>
    <row r="27" spans="4:33" ht="15" customHeight="1" x14ac:dyDescent="0.15">
      <c r="D27">
        <v>26</v>
      </c>
      <c r="E27" s="190" t="s">
        <v>218</v>
      </c>
      <c r="F27">
        <v>0.98</v>
      </c>
      <c r="G27">
        <v>0.8</v>
      </c>
      <c r="H27">
        <v>0.8</v>
      </c>
      <c r="I27">
        <v>0.8</v>
      </c>
      <c r="J27" s="116">
        <v>0.25</v>
      </c>
      <c r="K27" s="116">
        <v>0.05</v>
      </c>
    </row>
    <row r="28" spans="4:33" ht="15" customHeight="1" x14ac:dyDescent="0.15">
      <c r="D28">
        <v>27</v>
      </c>
      <c r="E28" s="190" t="s">
        <v>219</v>
      </c>
      <c r="F28">
        <v>0.98</v>
      </c>
      <c r="G28">
        <v>0.8</v>
      </c>
      <c r="H28">
        <v>0.8</v>
      </c>
      <c r="I28">
        <v>0.8</v>
      </c>
      <c r="J28" s="116">
        <v>0.25</v>
      </c>
      <c r="K28" s="116">
        <v>0.05</v>
      </c>
    </row>
    <row r="29" spans="4:33" ht="15" customHeight="1" x14ac:dyDescent="0.15">
      <c r="D29">
        <v>28</v>
      </c>
      <c r="E29" s="190" t="s">
        <v>220</v>
      </c>
      <c r="F29">
        <v>0.98</v>
      </c>
      <c r="G29">
        <v>0.8</v>
      </c>
      <c r="H29">
        <v>0.8</v>
      </c>
      <c r="I29">
        <v>0.8</v>
      </c>
      <c r="J29" s="116">
        <v>0.25</v>
      </c>
      <c r="K29" s="116">
        <v>0.05</v>
      </c>
      <c r="Y29"/>
      <c r="AC29"/>
      <c r="AG29"/>
    </row>
    <row r="30" spans="4:33" ht="15" customHeight="1" x14ac:dyDescent="0.15">
      <c r="D30">
        <v>29</v>
      </c>
      <c r="E30" s="190" t="s">
        <v>221</v>
      </c>
      <c r="F30">
        <v>0.98</v>
      </c>
      <c r="G30">
        <v>0.8</v>
      </c>
      <c r="H30">
        <v>0.8</v>
      </c>
      <c r="I30">
        <v>0.8</v>
      </c>
      <c r="J30" s="116">
        <v>0.25</v>
      </c>
      <c r="K30" s="116">
        <v>0.05</v>
      </c>
      <c r="Y30"/>
      <c r="AC30"/>
      <c r="AG30"/>
    </row>
    <row r="31" spans="4:33" ht="15" customHeight="1" x14ac:dyDescent="0.15">
      <c r="D31">
        <v>30</v>
      </c>
      <c r="E31" s="190" t="s">
        <v>222</v>
      </c>
      <c r="F31">
        <v>0.98</v>
      </c>
      <c r="G31">
        <v>0.8</v>
      </c>
      <c r="H31">
        <v>0.8</v>
      </c>
      <c r="I31">
        <v>0.8</v>
      </c>
      <c r="J31" s="116">
        <v>0.25</v>
      </c>
      <c r="K31" s="116">
        <v>0.05</v>
      </c>
      <c r="Y31"/>
      <c r="AC31"/>
      <c r="AG31"/>
    </row>
    <row r="32" spans="4:33" ht="15" customHeight="1" x14ac:dyDescent="0.15">
      <c r="D32">
        <v>31</v>
      </c>
      <c r="E32" s="190" t="s">
        <v>223</v>
      </c>
      <c r="F32">
        <v>0.98</v>
      </c>
      <c r="G32">
        <v>0.8</v>
      </c>
      <c r="H32">
        <v>0.8</v>
      </c>
      <c r="I32">
        <v>0.8</v>
      </c>
      <c r="J32" s="116">
        <v>0.25</v>
      </c>
      <c r="K32" s="116">
        <v>0.05</v>
      </c>
      <c r="Y32"/>
      <c r="AC32"/>
      <c r="AG32"/>
    </row>
    <row r="33" spans="4:33" ht="15" customHeight="1" x14ac:dyDescent="0.15">
      <c r="D33">
        <v>32</v>
      </c>
      <c r="E33" s="190" t="s">
        <v>224</v>
      </c>
      <c r="F33">
        <v>0.98</v>
      </c>
      <c r="G33">
        <v>0.8</v>
      </c>
      <c r="H33">
        <v>0.8</v>
      </c>
      <c r="I33">
        <v>0.8</v>
      </c>
      <c r="J33" s="116">
        <v>0.25</v>
      </c>
      <c r="K33" s="116">
        <v>0.05</v>
      </c>
      <c r="Y33"/>
      <c r="AC33"/>
      <c r="AG33"/>
    </row>
    <row r="34" spans="4:33" ht="15" customHeight="1" x14ac:dyDescent="0.15">
      <c r="D34">
        <v>33</v>
      </c>
      <c r="E34" s="190" t="s">
        <v>225</v>
      </c>
      <c r="F34">
        <v>0.98</v>
      </c>
      <c r="G34">
        <v>0.8</v>
      </c>
      <c r="H34">
        <v>0.8</v>
      </c>
      <c r="I34">
        <v>0.8</v>
      </c>
      <c r="J34" s="116">
        <v>0.25</v>
      </c>
      <c r="K34" s="116">
        <v>0.05</v>
      </c>
      <c r="Y34"/>
      <c r="AC34"/>
      <c r="AG34"/>
    </row>
    <row r="35" spans="4:33" ht="15" customHeight="1" x14ac:dyDescent="0.15">
      <c r="D35">
        <v>34</v>
      </c>
      <c r="E35" s="190" t="s">
        <v>226</v>
      </c>
      <c r="F35">
        <v>0.98</v>
      </c>
      <c r="G35">
        <v>0.8</v>
      </c>
      <c r="H35">
        <v>0.8</v>
      </c>
      <c r="I35">
        <v>0.8</v>
      </c>
      <c r="J35" s="116">
        <v>0.25</v>
      </c>
      <c r="K35" s="116">
        <v>0.05</v>
      </c>
      <c r="Y35"/>
      <c r="AC35"/>
      <c r="AG35"/>
    </row>
    <row r="36" spans="4:33" ht="15" customHeight="1" x14ac:dyDescent="0.15">
      <c r="D36">
        <v>35</v>
      </c>
      <c r="E36" s="190" t="s">
        <v>227</v>
      </c>
      <c r="F36">
        <v>0.98</v>
      </c>
      <c r="G36">
        <v>0.8</v>
      </c>
      <c r="H36">
        <v>0.8</v>
      </c>
      <c r="I36">
        <v>0.8</v>
      </c>
      <c r="J36" s="116">
        <v>0.25</v>
      </c>
      <c r="K36" s="116">
        <v>0.05</v>
      </c>
      <c r="Y36"/>
      <c r="AC36"/>
      <c r="AG36"/>
    </row>
    <row r="37" spans="4:33" ht="15" customHeight="1" x14ac:dyDescent="0.15">
      <c r="D37">
        <v>36</v>
      </c>
      <c r="E37" s="190" t="s">
        <v>228</v>
      </c>
      <c r="F37">
        <v>0.98</v>
      </c>
      <c r="G37">
        <v>0.8</v>
      </c>
      <c r="H37">
        <v>0.8</v>
      </c>
      <c r="I37">
        <v>0.8</v>
      </c>
      <c r="J37" s="116">
        <v>0.25</v>
      </c>
      <c r="K37" s="116">
        <v>0.05</v>
      </c>
      <c r="Y37"/>
      <c r="AC37"/>
      <c r="AG37"/>
    </row>
    <row r="38" spans="4:33" ht="15" customHeight="1" x14ac:dyDescent="0.15">
      <c r="D38">
        <v>37</v>
      </c>
      <c r="E38" s="190" t="s">
        <v>229</v>
      </c>
      <c r="F38">
        <v>0.98</v>
      </c>
      <c r="G38">
        <v>0.8</v>
      </c>
      <c r="H38">
        <v>0.8</v>
      </c>
      <c r="I38">
        <v>0.8</v>
      </c>
      <c r="J38" s="116">
        <v>0.25</v>
      </c>
      <c r="K38" s="116">
        <v>0.05</v>
      </c>
      <c r="Y38"/>
      <c r="AC38"/>
      <c r="AG38"/>
    </row>
    <row r="39" spans="4:33" ht="15" customHeight="1" x14ac:dyDescent="0.15">
      <c r="D39">
        <v>38</v>
      </c>
      <c r="E39" s="190" t="s">
        <v>230</v>
      </c>
      <c r="F39">
        <v>0.98</v>
      </c>
      <c r="G39">
        <v>0.8</v>
      </c>
      <c r="H39">
        <v>0.8</v>
      </c>
      <c r="I39">
        <v>0.8</v>
      </c>
      <c r="J39" s="116">
        <v>0.25</v>
      </c>
      <c r="K39" s="116">
        <v>0.05</v>
      </c>
    </row>
    <row r="40" spans="4:33" ht="15" customHeight="1" x14ac:dyDescent="0.15">
      <c r="D40">
        <v>39</v>
      </c>
      <c r="E40" s="190" t="s">
        <v>231</v>
      </c>
      <c r="F40">
        <v>0.98</v>
      </c>
      <c r="G40">
        <v>0.8</v>
      </c>
      <c r="H40">
        <v>0.8</v>
      </c>
      <c r="I40">
        <v>0.8</v>
      </c>
      <c r="J40" s="116">
        <v>0.25</v>
      </c>
      <c r="K40" s="116">
        <v>0.05</v>
      </c>
      <c r="Y40"/>
      <c r="AC40"/>
      <c r="AG40"/>
    </row>
    <row r="41" spans="4:33" ht="15" customHeight="1" x14ac:dyDescent="0.15">
      <c r="D41">
        <v>40</v>
      </c>
      <c r="E41" s="190" t="s">
        <v>232</v>
      </c>
      <c r="F41">
        <v>0.98</v>
      </c>
      <c r="G41">
        <v>0.8</v>
      </c>
      <c r="H41">
        <v>0.8</v>
      </c>
      <c r="I41">
        <v>0.8</v>
      </c>
      <c r="J41" s="116">
        <v>0.25</v>
      </c>
      <c r="K41" s="116">
        <v>0.05</v>
      </c>
      <c r="Y41"/>
      <c r="AC41"/>
      <c r="AG41"/>
    </row>
    <row r="42" spans="4:33" ht="15" customHeight="1" x14ac:dyDescent="0.15">
      <c r="D42">
        <v>41</v>
      </c>
      <c r="E42" s="190" t="s">
        <v>233</v>
      </c>
      <c r="F42">
        <v>0.98</v>
      </c>
      <c r="G42">
        <v>0.8</v>
      </c>
      <c r="H42">
        <v>0.8</v>
      </c>
      <c r="I42">
        <v>0.8</v>
      </c>
      <c r="J42" s="116">
        <v>0.25</v>
      </c>
      <c r="K42" s="116">
        <v>0.05</v>
      </c>
      <c r="Y42"/>
      <c r="AC42"/>
      <c r="AG42"/>
    </row>
    <row r="43" spans="4:33" ht="15" customHeight="1" x14ac:dyDescent="0.15">
      <c r="D43">
        <v>42</v>
      </c>
      <c r="E43" s="190" t="s">
        <v>234</v>
      </c>
      <c r="F43">
        <v>0.98</v>
      </c>
      <c r="G43">
        <v>0.8</v>
      </c>
      <c r="H43">
        <v>0.8</v>
      </c>
      <c r="I43">
        <v>0.8</v>
      </c>
      <c r="J43" s="116">
        <v>0.25</v>
      </c>
      <c r="K43" s="116">
        <v>0.05</v>
      </c>
      <c r="Y43"/>
      <c r="AC43"/>
      <c r="AG43"/>
    </row>
    <row r="44" spans="4:33" ht="15" customHeight="1" x14ac:dyDescent="0.15">
      <c r="D44">
        <v>43</v>
      </c>
      <c r="E44" s="190" t="s">
        <v>235</v>
      </c>
      <c r="F44">
        <v>0.98</v>
      </c>
      <c r="G44">
        <v>0.8</v>
      </c>
      <c r="H44">
        <v>0.8</v>
      </c>
      <c r="I44">
        <v>0.8</v>
      </c>
      <c r="J44" s="116">
        <v>0.25</v>
      </c>
      <c r="K44" s="116">
        <v>0.05</v>
      </c>
      <c r="Y44"/>
      <c r="AC44"/>
      <c r="AG44"/>
    </row>
    <row r="45" spans="4:33" ht="15" customHeight="1" x14ac:dyDescent="0.15">
      <c r="D45">
        <v>44</v>
      </c>
      <c r="E45" s="190" t="s">
        <v>236</v>
      </c>
      <c r="F45">
        <v>0.98</v>
      </c>
      <c r="G45">
        <v>0.8</v>
      </c>
      <c r="H45">
        <v>0.8</v>
      </c>
      <c r="I45">
        <v>0.8</v>
      </c>
      <c r="J45" s="116">
        <v>0.25</v>
      </c>
      <c r="K45" s="116">
        <v>0.05</v>
      </c>
      <c r="Y45"/>
      <c r="AC45"/>
      <c r="AG45"/>
    </row>
    <row r="46" spans="4:33" ht="15" customHeight="1" x14ac:dyDescent="0.15">
      <c r="D46">
        <v>45</v>
      </c>
      <c r="E46" s="190" t="s">
        <v>237</v>
      </c>
      <c r="F46">
        <v>0.98</v>
      </c>
      <c r="G46">
        <v>0.8</v>
      </c>
      <c r="H46">
        <v>0.8</v>
      </c>
      <c r="I46">
        <v>0.8</v>
      </c>
      <c r="J46" s="116">
        <v>0.25</v>
      </c>
      <c r="K46" s="116">
        <v>0.05</v>
      </c>
      <c r="Y46"/>
      <c r="AC46"/>
      <c r="AG46"/>
    </row>
    <row r="47" spans="4:33" ht="15" customHeight="1" x14ac:dyDescent="0.15">
      <c r="D47">
        <v>46</v>
      </c>
      <c r="E47" s="190" t="s">
        <v>238</v>
      </c>
      <c r="F47">
        <v>0.98</v>
      </c>
      <c r="G47">
        <v>0.8</v>
      </c>
      <c r="H47">
        <v>0.8</v>
      </c>
      <c r="I47">
        <v>0.8</v>
      </c>
      <c r="J47" s="116">
        <v>0.25</v>
      </c>
      <c r="K47" s="116">
        <v>0.05</v>
      </c>
      <c r="Y47"/>
      <c r="AC47"/>
      <c r="AG47"/>
    </row>
    <row r="48" spans="4:33" ht="15" customHeight="1" x14ac:dyDescent="0.15">
      <c r="D48">
        <v>47</v>
      </c>
      <c r="E48" s="190" t="s">
        <v>239</v>
      </c>
      <c r="F48">
        <v>0.98</v>
      </c>
      <c r="G48">
        <v>0.8</v>
      </c>
      <c r="H48">
        <v>0.8</v>
      </c>
      <c r="I48">
        <v>0.8</v>
      </c>
      <c r="J48" s="116">
        <v>0.25</v>
      </c>
      <c r="K48" s="116">
        <v>0.05</v>
      </c>
      <c r="Y48"/>
      <c r="AC48"/>
      <c r="AG48"/>
    </row>
    <row r="49" spans="4:33" ht="15" customHeight="1" x14ac:dyDescent="0.15">
      <c r="D49">
        <v>48</v>
      </c>
      <c r="E49" s="190" t="s">
        <v>240</v>
      </c>
      <c r="F49">
        <v>0.98</v>
      </c>
      <c r="G49">
        <v>0.8</v>
      </c>
      <c r="H49">
        <v>0.8</v>
      </c>
      <c r="I49">
        <v>0.8</v>
      </c>
      <c r="J49" s="116">
        <v>0.25</v>
      </c>
      <c r="K49" s="116">
        <v>0.05</v>
      </c>
      <c r="Y49"/>
      <c r="AC49"/>
      <c r="AG49"/>
    </row>
    <row r="50" spans="4:33" ht="15" customHeight="1" x14ac:dyDescent="0.15">
      <c r="D50">
        <v>49</v>
      </c>
      <c r="E50" s="190" t="s">
        <v>241</v>
      </c>
      <c r="F50">
        <v>0.98</v>
      </c>
      <c r="G50">
        <v>0.8</v>
      </c>
      <c r="H50">
        <v>0.8</v>
      </c>
      <c r="I50">
        <v>0.8</v>
      </c>
      <c r="J50" s="116">
        <v>0.25</v>
      </c>
      <c r="K50" s="116">
        <v>0.05</v>
      </c>
      <c r="Y50"/>
      <c r="AC50"/>
      <c r="AG50"/>
    </row>
    <row r="51" spans="4:33" ht="15" customHeight="1" x14ac:dyDescent="0.15">
      <c r="D51">
        <v>50</v>
      </c>
      <c r="E51" s="190" t="s">
        <v>242</v>
      </c>
      <c r="F51">
        <v>0.98</v>
      </c>
      <c r="G51">
        <v>0.8</v>
      </c>
      <c r="H51">
        <v>0.8</v>
      </c>
      <c r="I51">
        <v>0.8</v>
      </c>
      <c r="J51" s="116">
        <v>0.25</v>
      </c>
      <c r="K51" s="116">
        <v>0.05</v>
      </c>
      <c r="Y51"/>
      <c r="AC51"/>
      <c r="AG51"/>
    </row>
    <row r="52" spans="4:33" ht="15" customHeight="1" x14ac:dyDescent="0.15">
      <c r="D52">
        <v>51</v>
      </c>
      <c r="E52" s="190" t="s">
        <v>243</v>
      </c>
      <c r="F52">
        <v>0.98</v>
      </c>
      <c r="G52">
        <v>0.8</v>
      </c>
      <c r="H52">
        <v>0.8</v>
      </c>
      <c r="I52">
        <v>0.8</v>
      </c>
      <c r="J52" s="116">
        <v>0.25</v>
      </c>
      <c r="K52" s="116">
        <v>0.05</v>
      </c>
      <c r="Y52"/>
      <c r="AC52"/>
      <c r="AG52"/>
    </row>
    <row r="53" spans="4:33" ht="15" customHeight="1" x14ac:dyDescent="0.15">
      <c r="D53">
        <v>52</v>
      </c>
      <c r="E53" s="190" t="s">
        <v>244</v>
      </c>
      <c r="F53">
        <v>0.98</v>
      </c>
      <c r="G53">
        <v>0.8</v>
      </c>
      <c r="H53">
        <v>0.8</v>
      </c>
      <c r="I53">
        <v>0.8</v>
      </c>
      <c r="J53" s="116">
        <v>0.25</v>
      </c>
      <c r="K53" s="116">
        <v>0.05</v>
      </c>
      <c r="Y53"/>
      <c r="AC53"/>
      <c r="AG53"/>
    </row>
    <row r="54" spans="4:33" ht="15" customHeight="1" x14ac:dyDescent="0.15">
      <c r="D54">
        <v>53</v>
      </c>
      <c r="E54" s="190" t="s">
        <v>245</v>
      </c>
      <c r="F54">
        <v>0.98</v>
      </c>
      <c r="G54">
        <v>0.8</v>
      </c>
      <c r="H54">
        <v>0.8</v>
      </c>
      <c r="I54">
        <v>0.8</v>
      </c>
      <c r="J54" s="116">
        <v>0.25</v>
      </c>
      <c r="K54" s="116">
        <v>0.05</v>
      </c>
      <c r="Y54"/>
      <c r="AC54"/>
      <c r="AG54"/>
    </row>
    <row r="55" spans="4:33" ht="15" customHeight="1" x14ac:dyDescent="0.15">
      <c r="D55">
        <v>54</v>
      </c>
      <c r="E55" s="190" t="s">
        <v>246</v>
      </c>
      <c r="F55">
        <v>0.98</v>
      </c>
      <c r="G55">
        <v>0.8</v>
      </c>
      <c r="H55">
        <v>0.8</v>
      </c>
      <c r="I55">
        <v>0.8</v>
      </c>
      <c r="J55" s="116">
        <v>0.25</v>
      </c>
      <c r="K55" s="116">
        <v>0.05</v>
      </c>
      <c r="Y55"/>
      <c r="AC55"/>
      <c r="AG55"/>
    </row>
    <row r="56" spans="4:33" ht="15" customHeight="1" x14ac:dyDescent="0.15">
      <c r="D56">
        <v>55</v>
      </c>
      <c r="E56" s="190" t="s">
        <v>247</v>
      </c>
      <c r="F56">
        <v>0.98</v>
      </c>
      <c r="G56">
        <v>0.8</v>
      </c>
      <c r="H56">
        <v>0.8</v>
      </c>
      <c r="I56">
        <v>0.8</v>
      </c>
      <c r="J56" s="116">
        <v>0.25</v>
      </c>
      <c r="K56" s="116">
        <v>0.05</v>
      </c>
      <c r="Y56"/>
      <c r="AC56"/>
      <c r="AG56"/>
    </row>
    <row r="57" spans="4:33" ht="15" customHeight="1" x14ac:dyDescent="0.15">
      <c r="D57">
        <v>56</v>
      </c>
      <c r="E57" s="190" t="s">
        <v>248</v>
      </c>
      <c r="F57">
        <v>0.98</v>
      </c>
      <c r="G57">
        <v>0.8</v>
      </c>
      <c r="H57">
        <v>0.8</v>
      </c>
      <c r="I57">
        <v>0.8</v>
      </c>
      <c r="J57" s="116">
        <v>0.25</v>
      </c>
      <c r="K57" s="116">
        <v>0.05</v>
      </c>
      <c r="Y57"/>
      <c r="AC57"/>
      <c r="AG57"/>
    </row>
    <row r="58" spans="4:33" ht="15" customHeight="1" x14ac:dyDescent="0.15">
      <c r="D58">
        <v>57</v>
      </c>
      <c r="E58" s="190" t="s">
        <v>249</v>
      </c>
      <c r="F58">
        <v>0.98</v>
      </c>
      <c r="G58">
        <v>0.8</v>
      </c>
      <c r="H58">
        <v>0.8</v>
      </c>
      <c r="I58">
        <v>0.8</v>
      </c>
      <c r="J58" s="116">
        <v>0.25</v>
      </c>
      <c r="K58" s="116">
        <v>0.05</v>
      </c>
      <c r="Y58"/>
      <c r="AC58"/>
      <c r="AG58"/>
    </row>
    <row r="59" spans="4:33" ht="15" customHeight="1" x14ac:dyDescent="0.15">
      <c r="D59">
        <v>58</v>
      </c>
      <c r="E59" s="190" t="s">
        <v>250</v>
      </c>
      <c r="F59">
        <v>0.98</v>
      </c>
      <c r="G59">
        <v>0.8</v>
      </c>
      <c r="H59">
        <v>0.8</v>
      </c>
      <c r="I59">
        <v>0.8</v>
      </c>
      <c r="J59" s="116">
        <v>0.25</v>
      </c>
      <c r="K59" s="116">
        <v>0.05</v>
      </c>
      <c r="Y59"/>
      <c r="AC59"/>
      <c r="AG59"/>
    </row>
    <row r="60" spans="4:33" ht="15" customHeight="1" x14ac:dyDescent="0.15">
      <c r="D60">
        <v>59</v>
      </c>
      <c r="E60" s="190" t="s">
        <v>251</v>
      </c>
      <c r="F60">
        <v>0.98</v>
      </c>
      <c r="G60">
        <v>0.8</v>
      </c>
      <c r="H60">
        <v>0.8</v>
      </c>
      <c r="I60">
        <v>0.8</v>
      </c>
      <c r="J60" s="116">
        <v>0.25</v>
      </c>
      <c r="K60" s="116">
        <v>0.05</v>
      </c>
      <c r="Y60"/>
      <c r="AC60"/>
      <c r="AG60"/>
    </row>
    <row r="61" spans="4:33" ht="15" customHeight="1" x14ac:dyDescent="0.15">
      <c r="D61">
        <v>60</v>
      </c>
      <c r="E61" s="190" t="s">
        <v>252</v>
      </c>
      <c r="F61">
        <v>0.98</v>
      </c>
      <c r="G61">
        <v>0.8</v>
      </c>
      <c r="H61">
        <v>0.8</v>
      </c>
      <c r="I61">
        <v>0.8</v>
      </c>
      <c r="J61" s="116">
        <v>0.25</v>
      </c>
      <c r="K61" s="116">
        <v>0.05</v>
      </c>
      <c r="Y61"/>
      <c r="AC61"/>
      <c r="AG61"/>
    </row>
    <row r="62" spans="4:33" ht="15" customHeight="1" x14ac:dyDescent="0.15">
      <c r="D62">
        <v>61</v>
      </c>
      <c r="E62" s="190" t="s">
        <v>253</v>
      </c>
      <c r="F62">
        <v>0.98</v>
      </c>
      <c r="G62">
        <v>0.8</v>
      </c>
      <c r="H62">
        <v>0.8</v>
      </c>
      <c r="I62">
        <v>0.8</v>
      </c>
      <c r="J62" s="116">
        <v>0.25</v>
      </c>
      <c r="K62" s="116">
        <v>0.05</v>
      </c>
      <c r="Y62"/>
      <c r="AC62"/>
      <c r="AG62"/>
    </row>
    <row r="63" spans="4:33" ht="15" customHeight="1" x14ac:dyDescent="0.15">
      <c r="D63">
        <v>62</v>
      </c>
      <c r="E63" s="190" t="s">
        <v>254</v>
      </c>
      <c r="F63">
        <v>0.98</v>
      </c>
      <c r="G63">
        <v>0.8</v>
      </c>
      <c r="H63">
        <v>0.8</v>
      </c>
      <c r="I63">
        <v>0.8</v>
      </c>
      <c r="J63" s="116">
        <v>0.25</v>
      </c>
      <c r="K63" s="116">
        <v>0.05</v>
      </c>
      <c r="Y63"/>
      <c r="AC63"/>
      <c r="AG63"/>
    </row>
    <row r="64" spans="4:33" ht="15" customHeight="1" x14ac:dyDescent="0.15">
      <c r="D64">
        <v>63</v>
      </c>
      <c r="E64" s="190" t="s">
        <v>255</v>
      </c>
      <c r="F64">
        <v>0.98</v>
      </c>
      <c r="G64">
        <v>0.8</v>
      </c>
      <c r="H64">
        <v>0.8</v>
      </c>
      <c r="I64">
        <v>0.8</v>
      </c>
      <c r="J64" s="116">
        <v>0.25</v>
      </c>
      <c r="K64" s="116">
        <v>0.05</v>
      </c>
      <c r="Y64"/>
      <c r="AC64"/>
      <c r="AG64"/>
    </row>
    <row r="65" spans="4:33" ht="15" customHeight="1" x14ac:dyDescent="0.15">
      <c r="D65">
        <v>64</v>
      </c>
      <c r="E65" s="190" t="s">
        <v>256</v>
      </c>
      <c r="F65">
        <v>0.98</v>
      </c>
      <c r="G65">
        <v>0.8</v>
      </c>
      <c r="H65">
        <v>0.8</v>
      </c>
      <c r="I65">
        <v>0.8</v>
      </c>
      <c r="J65" s="116">
        <v>0.25</v>
      </c>
      <c r="K65" s="116">
        <v>0.05</v>
      </c>
      <c r="Y65"/>
      <c r="AC65"/>
      <c r="AG65"/>
    </row>
    <row r="66" spans="4:33" ht="15" customHeight="1" x14ac:dyDescent="0.15">
      <c r="D66">
        <v>65</v>
      </c>
      <c r="E66" s="190" t="s">
        <v>257</v>
      </c>
      <c r="F66">
        <v>0.98</v>
      </c>
      <c r="G66">
        <v>0.8</v>
      </c>
      <c r="H66">
        <v>0.8</v>
      </c>
      <c r="I66">
        <v>0.8</v>
      </c>
      <c r="J66" s="116">
        <v>0.25</v>
      </c>
      <c r="K66" s="116">
        <v>0.05</v>
      </c>
      <c r="Y66"/>
      <c r="AC66"/>
      <c r="AG66"/>
    </row>
    <row r="67" spans="4:33" ht="15" customHeight="1" x14ac:dyDescent="0.15">
      <c r="D67">
        <v>66</v>
      </c>
      <c r="E67" s="190" t="s">
        <v>258</v>
      </c>
      <c r="F67">
        <v>0.98</v>
      </c>
      <c r="G67">
        <v>0.8</v>
      </c>
      <c r="H67">
        <v>0.8</v>
      </c>
      <c r="I67">
        <v>0.8</v>
      </c>
      <c r="J67" s="116">
        <v>0.25</v>
      </c>
      <c r="K67" s="116">
        <v>0.05</v>
      </c>
      <c r="Y67"/>
      <c r="AC67"/>
      <c r="AG67"/>
    </row>
    <row r="68" spans="4:33" ht="15" customHeight="1" x14ac:dyDescent="0.15">
      <c r="D68">
        <v>67</v>
      </c>
      <c r="E68" s="190" t="s">
        <v>259</v>
      </c>
      <c r="F68">
        <v>0.98</v>
      </c>
      <c r="G68">
        <v>0.8</v>
      </c>
      <c r="H68">
        <v>0.8</v>
      </c>
      <c r="I68">
        <v>0.8</v>
      </c>
      <c r="J68" s="116">
        <v>0.25</v>
      </c>
      <c r="K68" s="116">
        <v>0.05</v>
      </c>
      <c r="Y68"/>
      <c r="AC68"/>
      <c r="AG68"/>
    </row>
    <row r="69" spans="4:33" ht="15" customHeight="1" x14ac:dyDescent="0.15">
      <c r="D69">
        <v>68</v>
      </c>
      <c r="E69" s="190" t="s">
        <v>260</v>
      </c>
      <c r="F69">
        <v>0.98</v>
      </c>
      <c r="G69">
        <v>0.8</v>
      </c>
      <c r="H69">
        <v>0.8</v>
      </c>
      <c r="I69">
        <v>0.8</v>
      </c>
      <c r="J69" s="116">
        <v>0.25</v>
      </c>
      <c r="K69" s="116">
        <v>0.05</v>
      </c>
      <c r="Y69"/>
      <c r="AC69"/>
      <c r="AG69"/>
    </row>
    <row r="70" spans="4:33" ht="15" customHeight="1" x14ac:dyDescent="0.15">
      <c r="D70">
        <v>69</v>
      </c>
      <c r="E70" s="190" t="s">
        <v>261</v>
      </c>
      <c r="F70">
        <v>0.98</v>
      </c>
      <c r="G70">
        <v>0.8</v>
      </c>
      <c r="H70">
        <v>0.8</v>
      </c>
      <c r="I70">
        <v>0.8</v>
      </c>
      <c r="J70" s="116">
        <v>0.25</v>
      </c>
      <c r="K70" s="116">
        <v>0.05</v>
      </c>
      <c r="Y70"/>
      <c r="AC70"/>
      <c r="AG70"/>
    </row>
    <row r="71" spans="4:33" ht="15" customHeight="1" x14ac:dyDescent="0.15">
      <c r="D71">
        <v>70</v>
      </c>
      <c r="E71" s="190" t="s">
        <v>262</v>
      </c>
      <c r="F71">
        <v>0.98</v>
      </c>
      <c r="G71">
        <v>0.8</v>
      </c>
      <c r="H71">
        <v>0.8</v>
      </c>
      <c r="I71">
        <v>0.8</v>
      </c>
      <c r="J71" s="116">
        <v>0.25</v>
      </c>
      <c r="K71" s="116">
        <v>0.05</v>
      </c>
      <c r="Y71"/>
      <c r="AC71"/>
      <c r="AG71"/>
    </row>
    <row r="72" spans="4:33" ht="15" customHeight="1" x14ac:dyDescent="0.15">
      <c r="D72">
        <v>71</v>
      </c>
      <c r="E72" s="190" t="s">
        <v>263</v>
      </c>
      <c r="F72">
        <v>0.98</v>
      </c>
      <c r="G72">
        <v>0.8</v>
      </c>
      <c r="H72">
        <v>0.8</v>
      </c>
      <c r="I72">
        <v>0.8</v>
      </c>
      <c r="J72" s="116">
        <v>0.25</v>
      </c>
      <c r="K72" s="116">
        <v>0.05</v>
      </c>
      <c r="Y72"/>
      <c r="AC72"/>
      <c r="AG72"/>
    </row>
    <row r="73" spans="4:33" ht="15" customHeight="1" x14ac:dyDescent="0.15">
      <c r="D73">
        <v>72</v>
      </c>
      <c r="E73" s="190" t="s">
        <v>264</v>
      </c>
      <c r="F73">
        <v>0.98</v>
      </c>
      <c r="G73">
        <v>0.8</v>
      </c>
      <c r="H73">
        <v>0.8</v>
      </c>
      <c r="I73">
        <v>0</v>
      </c>
      <c r="J73" s="116">
        <v>0</v>
      </c>
      <c r="K73" s="116">
        <v>0</v>
      </c>
      <c r="Y73"/>
      <c r="AC73"/>
      <c r="AG73"/>
    </row>
    <row r="74" spans="4:33" ht="15" customHeight="1" x14ac:dyDescent="0.15">
      <c r="D74">
        <v>73</v>
      </c>
      <c r="E74" s="190" t="s">
        <v>265</v>
      </c>
      <c r="F74">
        <v>0.98</v>
      </c>
      <c r="G74">
        <v>0.8</v>
      </c>
      <c r="H74">
        <v>0.8</v>
      </c>
      <c r="I74">
        <v>0</v>
      </c>
      <c r="J74" s="116">
        <v>0</v>
      </c>
      <c r="K74" s="116">
        <v>0</v>
      </c>
      <c r="Y74"/>
      <c r="AC74"/>
      <c r="AG74"/>
    </row>
    <row r="75" spans="4:33" ht="15" customHeight="1" x14ac:dyDescent="0.15">
      <c r="D75">
        <v>74</v>
      </c>
      <c r="E75" s="190" t="s">
        <v>266</v>
      </c>
      <c r="F75">
        <v>0.98</v>
      </c>
      <c r="G75">
        <v>0.8</v>
      </c>
      <c r="H75">
        <v>0.8</v>
      </c>
      <c r="I75">
        <v>0</v>
      </c>
      <c r="J75" s="116">
        <v>0</v>
      </c>
      <c r="K75" s="116">
        <v>0</v>
      </c>
      <c r="Y75"/>
      <c r="AC75"/>
      <c r="AG75"/>
    </row>
    <row r="76" spans="4:33" ht="15" customHeight="1" x14ac:dyDescent="0.15">
      <c r="D76">
        <v>75</v>
      </c>
      <c r="E76" s="190" t="s">
        <v>267</v>
      </c>
      <c r="F76">
        <v>0.98</v>
      </c>
      <c r="G76">
        <v>0.8</v>
      </c>
      <c r="H76">
        <v>0</v>
      </c>
      <c r="I76">
        <v>0</v>
      </c>
      <c r="J76" s="116">
        <v>0</v>
      </c>
      <c r="K76" s="116">
        <v>0</v>
      </c>
    </row>
    <row r="77" spans="4:33" ht="15" customHeight="1" x14ac:dyDescent="0.15">
      <c r="D77">
        <v>76</v>
      </c>
      <c r="E77" s="190" t="s">
        <v>268</v>
      </c>
      <c r="F77">
        <v>0.98</v>
      </c>
      <c r="G77">
        <v>0.8</v>
      </c>
      <c r="H77">
        <v>0</v>
      </c>
      <c r="I77">
        <v>0</v>
      </c>
      <c r="J77" s="116">
        <v>0</v>
      </c>
      <c r="K77" s="116">
        <v>0</v>
      </c>
    </row>
    <row r="78" spans="4:33" ht="15" customHeight="1" x14ac:dyDescent="0.15">
      <c r="J78"/>
      <c r="K78"/>
    </row>
    <row r="79" spans="4:33" ht="15" customHeight="1" x14ac:dyDescent="0.15">
      <c r="J79"/>
      <c r="K79"/>
    </row>
    <row r="80" spans="4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Y78"/>
  <sheetViews>
    <sheetView workbookViewId="0">
      <selection activeCell="A3" sqref="A3"/>
    </sheetView>
  </sheetViews>
  <sheetFormatPr baseColWidth="10" defaultRowHeight="13" x14ac:dyDescent="0.15"/>
  <cols>
    <col min="1" max="1" width="21.6640625" style="114" bestFit="1" customWidth="1"/>
    <col min="2" max="72" width="3.83203125" style="114" customWidth="1"/>
    <col min="73" max="77" width="2.33203125" style="114" customWidth="1"/>
    <col min="78" max="16384" width="10.83203125" style="114"/>
  </cols>
  <sheetData>
    <row r="1" spans="1:77" x14ac:dyDescent="0.15">
      <c r="A1" s="63" t="s">
        <v>118</v>
      </c>
      <c r="B1" s="192" t="s">
        <v>193</v>
      </c>
      <c r="C1" s="192" t="s">
        <v>194</v>
      </c>
      <c r="D1" s="192" t="s">
        <v>195</v>
      </c>
      <c r="E1" s="192" t="s">
        <v>196</v>
      </c>
      <c r="F1" s="192" t="s">
        <v>197</v>
      </c>
      <c r="G1" s="192" t="s">
        <v>198</v>
      </c>
      <c r="H1" s="192" t="s">
        <v>199</v>
      </c>
      <c r="I1" s="192" t="s">
        <v>200</v>
      </c>
      <c r="J1" s="192" t="s">
        <v>201</v>
      </c>
      <c r="K1" s="192" t="s">
        <v>202</v>
      </c>
      <c r="L1" s="192" t="s">
        <v>203</v>
      </c>
      <c r="M1" s="192" t="s">
        <v>204</v>
      </c>
      <c r="N1" s="192" t="s">
        <v>205</v>
      </c>
      <c r="O1" s="192" t="s">
        <v>206</v>
      </c>
      <c r="P1" s="192" t="s">
        <v>207</v>
      </c>
      <c r="Q1" s="192" t="s">
        <v>208</v>
      </c>
      <c r="R1" s="192" t="s">
        <v>209</v>
      </c>
      <c r="S1" s="192" t="s">
        <v>210</v>
      </c>
      <c r="T1" s="192" t="s">
        <v>211</v>
      </c>
      <c r="U1" s="192" t="s">
        <v>212</v>
      </c>
      <c r="V1" s="192" t="s">
        <v>213</v>
      </c>
      <c r="W1" s="192" t="s">
        <v>214</v>
      </c>
      <c r="X1" s="192" t="s">
        <v>215</v>
      </c>
      <c r="Y1" s="192" t="s">
        <v>216</v>
      </c>
      <c r="Z1" s="192" t="s">
        <v>217</v>
      </c>
      <c r="AA1" s="192" t="s">
        <v>218</v>
      </c>
      <c r="AB1" s="192" t="s">
        <v>219</v>
      </c>
      <c r="AC1" s="192" t="s">
        <v>220</v>
      </c>
      <c r="AD1" s="192" t="s">
        <v>221</v>
      </c>
      <c r="AE1" s="192" t="s">
        <v>222</v>
      </c>
      <c r="AF1" s="192" t="s">
        <v>223</v>
      </c>
      <c r="AG1" s="192" t="s">
        <v>224</v>
      </c>
      <c r="AH1" s="192" t="s">
        <v>225</v>
      </c>
      <c r="AI1" s="192" t="s">
        <v>226</v>
      </c>
      <c r="AJ1" s="192" t="s">
        <v>227</v>
      </c>
      <c r="AK1" s="192" t="s">
        <v>228</v>
      </c>
      <c r="AL1" s="192" t="s">
        <v>229</v>
      </c>
      <c r="AM1" s="192" t="s">
        <v>230</v>
      </c>
      <c r="AN1" s="192" t="s">
        <v>231</v>
      </c>
      <c r="AO1" s="192" t="s">
        <v>232</v>
      </c>
      <c r="AP1" s="192" t="s">
        <v>233</v>
      </c>
      <c r="AQ1" s="192" t="s">
        <v>234</v>
      </c>
      <c r="AR1" s="192" t="s">
        <v>235</v>
      </c>
      <c r="AS1" s="192" t="s">
        <v>236</v>
      </c>
      <c r="AT1" s="192" t="s">
        <v>237</v>
      </c>
      <c r="AU1" s="192" t="s">
        <v>238</v>
      </c>
      <c r="AV1" s="192" t="s">
        <v>239</v>
      </c>
      <c r="AW1" s="192" t="s">
        <v>240</v>
      </c>
      <c r="AX1" s="192" t="s">
        <v>241</v>
      </c>
      <c r="AY1" s="192" t="s">
        <v>242</v>
      </c>
      <c r="AZ1" s="192" t="s">
        <v>243</v>
      </c>
      <c r="BA1" s="192" t="s">
        <v>244</v>
      </c>
      <c r="BB1" s="192" t="s">
        <v>245</v>
      </c>
      <c r="BC1" s="192" t="s">
        <v>246</v>
      </c>
      <c r="BD1" s="192" t="s">
        <v>247</v>
      </c>
      <c r="BE1" s="192" t="s">
        <v>248</v>
      </c>
      <c r="BF1" s="192" t="s">
        <v>249</v>
      </c>
      <c r="BG1" s="192" t="s">
        <v>250</v>
      </c>
      <c r="BH1" s="192" t="s">
        <v>251</v>
      </c>
      <c r="BI1" s="192" t="s">
        <v>252</v>
      </c>
      <c r="BJ1" s="192" t="s">
        <v>253</v>
      </c>
      <c r="BK1" s="192" t="s">
        <v>254</v>
      </c>
      <c r="BL1" s="192" t="s">
        <v>255</v>
      </c>
      <c r="BM1" s="192" t="s">
        <v>256</v>
      </c>
      <c r="BN1" s="192" t="s">
        <v>257</v>
      </c>
      <c r="BO1" s="192" t="s">
        <v>258</v>
      </c>
      <c r="BP1" s="192" t="s">
        <v>259</v>
      </c>
      <c r="BQ1" s="192" t="s">
        <v>260</v>
      </c>
      <c r="BR1" s="192" t="s">
        <v>261</v>
      </c>
      <c r="BS1" s="192" t="s">
        <v>262</v>
      </c>
      <c r="BT1" s="192" t="s">
        <v>263</v>
      </c>
      <c r="BU1" s="192" t="s">
        <v>264</v>
      </c>
      <c r="BV1" s="192" t="s">
        <v>265</v>
      </c>
      <c r="BW1" s="192" t="s">
        <v>266</v>
      </c>
      <c r="BX1" s="192" t="s">
        <v>267</v>
      </c>
      <c r="BY1" s="192" t="s">
        <v>268</v>
      </c>
    </row>
    <row r="2" spans="1:77" customFormat="1" x14ac:dyDescent="0.15">
      <c r="A2" s="191" t="s">
        <v>193</v>
      </c>
      <c r="B2" s="114">
        <v>0</v>
      </c>
      <c r="C2" s="114">
        <v>0</v>
      </c>
      <c r="D2" s="114">
        <v>0</v>
      </c>
      <c r="E2" s="114">
        <v>0.8</v>
      </c>
      <c r="F2" s="114">
        <v>0.8</v>
      </c>
      <c r="G2" s="114">
        <v>0.8</v>
      </c>
      <c r="H2" s="114">
        <v>0.8</v>
      </c>
      <c r="I2" s="114">
        <v>0.8</v>
      </c>
      <c r="J2" s="114">
        <v>0</v>
      </c>
      <c r="K2" s="114">
        <v>0</v>
      </c>
      <c r="L2" s="114">
        <v>0</v>
      </c>
      <c r="M2" s="114">
        <v>0</v>
      </c>
      <c r="N2" s="114">
        <v>0.8</v>
      </c>
      <c r="O2" s="114">
        <v>0</v>
      </c>
      <c r="P2" s="114">
        <v>0</v>
      </c>
      <c r="Q2" s="114">
        <v>0</v>
      </c>
      <c r="R2" s="114">
        <v>0</v>
      </c>
      <c r="S2" s="114">
        <v>0</v>
      </c>
      <c r="T2" s="114">
        <v>0</v>
      </c>
      <c r="U2" s="114">
        <v>0</v>
      </c>
      <c r="V2" s="114">
        <v>0</v>
      </c>
      <c r="W2" s="114">
        <v>0</v>
      </c>
      <c r="X2" s="114">
        <v>0</v>
      </c>
      <c r="Y2" s="114">
        <v>0</v>
      </c>
      <c r="Z2" s="114">
        <v>0</v>
      </c>
      <c r="AA2" s="114">
        <v>0</v>
      </c>
      <c r="AB2" s="114">
        <v>0</v>
      </c>
      <c r="AC2" s="114">
        <v>0</v>
      </c>
      <c r="AD2" s="114">
        <v>0</v>
      </c>
      <c r="AE2" s="114">
        <v>0</v>
      </c>
      <c r="AF2" s="114">
        <v>0</v>
      </c>
      <c r="AG2" s="114">
        <v>0</v>
      </c>
      <c r="AH2" s="114">
        <v>0</v>
      </c>
      <c r="AI2" s="114">
        <v>0</v>
      </c>
      <c r="AJ2" s="114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0</v>
      </c>
      <c r="AP2" s="114">
        <v>0</v>
      </c>
      <c r="AQ2" s="114">
        <v>0</v>
      </c>
      <c r="AR2" s="114">
        <v>0</v>
      </c>
      <c r="AS2" s="114">
        <v>0</v>
      </c>
      <c r="AT2" s="114">
        <v>0</v>
      </c>
      <c r="AU2" s="114">
        <v>0</v>
      </c>
      <c r="AV2" s="114">
        <v>0</v>
      </c>
      <c r="AW2" s="114">
        <v>0</v>
      </c>
      <c r="AX2" s="114">
        <v>0</v>
      </c>
      <c r="AY2" s="114">
        <v>0</v>
      </c>
      <c r="AZ2" s="114">
        <v>0</v>
      </c>
      <c r="BA2" s="114">
        <v>0</v>
      </c>
      <c r="BB2" s="114">
        <v>0</v>
      </c>
      <c r="BC2" s="114">
        <v>0</v>
      </c>
      <c r="BD2" s="114">
        <v>0</v>
      </c>
      <c r="BE2" s="114">
        <v>0</v>
      </c>
      <c r="BF2" s="114">
        <v>0</v>
      </c>
      <c r="BG2" s="114">
        <v>0</v>
      </c>
      <c r="BH2" s="114">
        <v>0</v>
      </c>
      <c r="BI2" s="114">
        <v>0</v>
      </c>
      <c r="BJ2" s="114">
        <v>0</v>
      </c>
      <c r="BK2" s="114">
        <v>0</v>
      </c>
      <c r="BL2" s="114">
        <v>0</v>
      </c>
      <c r="BM2" s="114">
        <v>0</v>
      </c>
      <c r="BN2" s="114">
        <v>0</v>
      </c>
      <c r="BO2" s="114">
        <v>0</v>
      </c>
      <c r="BP2" s="114">
        <v>0</v>
      </c>
      <c r="BQ2" s="114">
        <v>0</v>
      </c>
      <c r="BR2" s="114">
        <v>0</v>
      </c>
      <c r="BS2" s="114">
        <v>0</v>
      </c>
      <c r="BT2" s="114">
        <v>0</v>
      </c>
      <c r="BU2" s="114">
        <v>0</v>
      </c>
      <c r="BV2" s="114">
        <v>0</v>
      </c>
      <c r="BW2" s="114">
        <v>0</v>
      </c>
      <c r="BX2" s="114">
        <v>0</v>
      </c>
      <c r="BY2" s="114">
        <v>0</v>
      </c>
    </row>
    <row r="3" spans="1:77" customFormat="1" x14ac:dyDescent="0.15">
      <c r="A3" s="191" t="s">
        <v>194</v>
      </c>
      <c r="B3" s="114">
        <v>0</v>
      </c>
      <c r="C3" s="114">
        <v>0.8</v>
      </c>
      <c r="D3" s="114">
        <v>0</v>
      </c>
      <c r="E3" s="114">
        <v>0</v>
      </c>
      <c r="F3" s="114">
        <v>0.8</v>
      </c>
      <c r="G3" s="114">
        <v>0</v>
      </c>
      <c r="H3" s="114">
        <v>0.8</v>
      </c>
      <c r="I3" s="114">
        <v>0.8</v>
      </c>
      <c r="J3" s="114">
        <v>0</v>
      </c>
      <c r="K3" s="114">
        <v>0</v>
      </c>
      <c r="L3" s="114">
        <v>0</v>
      </c>
      <c r="M3" s="114">
        <v>0</v>
      </c>
      <c r="N3" s="114">
        <v>0</v>
      </c>
      <c r="O3" s="114">
        <v>0</v>
      </c>
      <c r="P3" s="114">
        <v>0</v>
      </c>
      <c r="Q3" s="114">
        <v>0</v>
      </c>
      <c r="R3" s="114">
        <v>0</v>
      </c>
      <c r="S3" s="114">
        <v>0</v>
      </c>
      <c r="T3" s="114">
        <v>0</v>
      </c>
      <c r="U3" s="114">
        <v>0</v>
      </c>
      <c r="V3" s="114">
        <v>0</v>
      </c>
      <c r="W3" s="114">
        <v>0</v>
      </c>
      <c r="X3" s="114">
        <v>0</v>
      </c>
      <c r="Y3" s="114">
        <v>0</v>
      </c>
      <c r="Z3" s="114">
        <v>0</v>
      </c>
      <c r="AA3" s="114">
        <v>0</v>
      </c>
      <c r="AB3" s="114">
        <v>0</v>
      </c>
      <c r="AC3" s="114">
        <v>0</v>
      </c>
      <c r="AD3" s="114">
        <v>0</v>
      </c>
      <c r="AE3" s="114">
        <v>0</v>
      </c>
      <c r="AF3" s="114">
        <v>0</v>
      </c>
      <c r="AG3" s="114">
        <v>0</v>
      </c>
      <c r="AH3" s="114">
        <v>0</v>
      </c>
      <c r="AI3" s="114">
        <v>0</v>
      </c>
      <c r="AJ3" s="114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0</v>
      </c>
      <c r="AP3" s="114">
        <v>0</v>
      </c>
      <c r="AQ3" s="114">
        <v>0</v>
      </c>
      <c r="AR3" s="114">
        <v>0</v>
      </c>
      <c r="AS3" s="114">
        <v>0</v>
      </c>
      <c r="AT3" s="114">
        <v>0</v>
      </c>
      <c r="AU3" s="114">
        <v>0</v>
      </c>
      <c r="AV3" s="114">
        <v>0</v>
      </c>
      <c r="AW3" s="114">
        <v>0</v>
      </c>
      <c r="AX3" s="114">
        <v>0</v>
      </c>
      <c r="AY3" s="114">
        <v>0</v>
      </c>
      <c r="AZ3" s="114">
        <v>0</v>
      </c>
      <c r="BA3" s="114">
        <v>0</v>
      </c>
      <c r="BB3" s="114">
        <v>0</v>
      </c>
      <c r="BC3" s="114">
        <v>0</v>
      </c>
      <c r="BD3" s="114">
        <v>0</v>
      </c>
      <c r="BE3" s="114">
        <v>0</v>
      </c>
      <c r="BF3" s="114">
        <v>0</v>
      </c>
      <c r="BG3" s="114">
        <v>0</v>
      </c>
      <c r="BH3" s="114">
        <v>0</v>
      </c>
      <c r="BI3" s="114">
        <v>0</v>
      </c>
      <c r="BJ3" s="114">
        <v>0</v>
      </c>
      <c r="BK3" s="114">
        <v>0</v>
      </c>
      <c r="BL3" s="114">
        <v>0</v>
      </c>
      <c r="BM3" s="114">
        <v>0</v>
      </c>
      <c r="BN3" s="114">
        <v>0</v>
      </c>
      <c r="BO3" s="114">
        <v>0</v>
      </c>
      <c r="BP3" s="114">
        <v>0</v>
      </c>
      <c r="BQ3" s="114">
        <v>0</v>
      </c>
      <c r="BR3" s="114">
        <v>0</v>
      </c>
      <c r="BS3" s="114">
        <v>0</v>
      </c>
      <c r="BT3" s="114">
        <v>0</v>
      </c>
      <c r="BU3" s="114">
        <v>0</v>
      </c>
      <c r="BV3" s="114">
        <v>0</v>
      </c>
      <c r="BW3" s="114">
        <v>0</v>
      </c>
      <c r="BX3" s="114">
        <v>0</v>
      </c>
      <c r="BY3" s="114">
        <v>0</v>
      </c>
    </row>
    <row r="4" spans="1:77" customFormat="1" x14ac:dyDescent="0.15">
      <c r="A4" s="191" t="s">
        <v>195</v>
      </c>
      <c r="B4" s="114">
        <v>0</v>
      </c>
      <c r="C4" s="114">
        <v>0</v>
      </c>
      <c r="D4" s="114">
        <v>0</v>
      </c>
      <c r="E4" s="114">
        <v>0</v>
      </c>
      <c r="F4" s="114">
        <v>0.8</v>
      </c>
      <c r="G4" s="114">
        <v>0</v>
      </c>
      <c r="H4" s="114">
        <v>0.8</v>
      </c>
      <c r="I4" s="114">
        <v>0.8</v>
      </c>
      <c r="J4" s="114">
        <v>0</v>
      </c>
      <c r="K4" s="114">
        <v>0</v>
      </c>
      <c r="L4" s="114">
        <v>0</v>
      </c>
      <c r="M4" s="114">
        <v>0</v>
      </c>
      <c r="N4" s="114">
        <v>0</v>
      </c>
      <c r="O4" s="114">
        <v>0.8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K4" s="114">
        <v>0.8</v>
      </c>
      <c r="AL4" s="114">
        <v>0</v>
      </c>
      <c r="AM4" s="114">
        <v>0</v>
      </c>
      <c r="AN4" s="114">
        <v>0</v>
      </c>
      <c r="AO4" s="114">
        <v>0</v>
      </c>
      <c r="AP4" s="114">
        <v>0</v>
      </c>
      <c r="AQ4" s="114">
        <v>0</v>
      </c>
      <c r="AR4" s="114">
        <v>0</v>
      </c>
      <c r="AS4" s="114">
        <v>0</v>
      </c>
      <c r="AT4" s="114">
        <v>0</v>
      </c>
      <c r="AU4" s="114">
        <v>0</v>
      </c>
      <c r="AV4" s="114">
        <v>0</v>
      </c>
      <c r="AW4" s="114">
        <v>0</v>
      </c>
      <c r="AX4" s="114">
        <v>0</v>
      </c>
      <c r="AY4" s="114">
        <v>0</v>
      </c>
      <c r="AZ4" s="114">
        <v>0</v>
      </c>
      <c r="BA4" s="114">
        <v>0</v>
      </c>
      <c r="BB4" s="114">
        <v>0</v>
      </c>
      <c r="BC4" s="114">
        <v>0</v>
      </c>
      <c r="BD4" s="114">
        <v>0</v>
      </c>
      <c r="BE4" s="114">
        <v>0</v>
      </c>
      <c r="BF4" s="114">
        <v>0</v>
      </c>
      <c r="BG4" s="114">
        <v>0</v>
      </c>
      <c r="BH4" s="114">
        <v>0</v>
      </c>
      <c r="BI4" s="114">
        <v>0</v>
      </c>
      <c r="BJ4" s="114">
        <v>0</v>
      </c>
      <c r="BK4" s="114">
        <v>0</v>
      </c>
      <c r="BL4" s="114">
        <v>0</v>
      </c>
      <c r="BM4" s="114">
        <v>0</v>
      </c>
      <c r="BN4" s="114">
        <v>0</v>
      </c>
      <c r="BO4" s="114">
        <v>0</v>
      </c>
      <c r="BP4" s="114">
        <v>0</v>
      </c>
      <c r="BQ4" s="114">
        <v>0</v>
      </c>
      <c r="BR4" s="114">
        <v>0</v>
      </c>
      <c r="BS4" s="114">
        <v>0</v>
      </c>
      <c r="BT4" s="114">
        <v>0</v>
      </c>
      <c r="BU4" s="114">
        <v>0</v>
      </c>
      <c r="BV4" s="114">
        <v>0</v>
      </c>
      <c r="BW4" s="114">
        <v>0</v>
      </c>
      <c r="BX4" s="114">
        <v>0</v>
      </c>
      <c r="BY4" s="114">
        <v>0</v>
      </c>
    </row>
    <row r="5" spans="1:77" customFormat="1" x14ac:dyDescent="0.15">
      <c r="A5" s="191" t="s">
        <v>196</v>
      </c>
      <c r="B5" s="114">
        <v>0</v>
      </c>
      <c r="C5" s="114">
        <v>0</v>
      </c>
      <c r="D5" s="114">
        <v>0</v>
      </c>
      <c r="E5" s="114">
        <v>0.8</v>
      </c>
      <c r="F5" s="114">
        <v>0.8</v>
      </c>
      <c r="G5" s="114">
        <v>0.8</v>
      </c>
      <c r="H5" s="114">
        <v>0.8</v>
      </c>
      <c r="I5" s="114">
        <v>0.8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4">
        <v>0</v>
      </c>
      <c r="AP5" s="114">
        <v>0</v>
      </c>
      <c r="AQ5" s="114">
        <v>0</v>
      </c>
      <c r="AR5" s="114">
        <v>0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  <c r="BB5" s="114">
        <v>0</v>
      </c>
      <c r="BC5" s="114">
        <v>0</v>
      </c>
      <c r="BD5" s="114">
        <v>0</v>
      </c>
      <c r="BE5" s="114">
        <v>0</v>
      </c>
      <c r="BF5" s="114">
        <v>0</v>
      </c>
      <c r="BG5" s="114">
        <v>0</v>
      </c>
      <c r="BH5" s="114">
        <v>0</v>
      </c>
      <c r="BI5" s="114">
        <v>0</v>
      </c>
      <c r="BJ5" s="114">
        <v>0</v>
      </c>
      <c r="BK5" s="114">
        <v>0</v>
      </c>
      <c r="BL5" s="114">
        <v>0</v>
      </c>
      <c r="BM5" s="114">
        <v>0</v>
      </c>
      <c r="BN5" s="114">
        <v>0</v>
      </c>
      <c r="BO5" s="114">
        <v>0</v>
      </c>
      <c r="BP5" s="114">
        <v>0</v>
      </c>
      <c r="BQ5" s="114">
        <v>0</v>
      </c>
      <c r="BR5" s="114">
        <v>0</v>
      </c>
      <c r="BS5" s="114">
        <v>0</v>
      </c>
      <c r="BT5" s="114">
        <v>0</v>
      </c>
      <c r="BU5" s="114">
        <v>0</v>
      </c>
      <c r="BV5" s="114">
        <v>0</v>
      </c>
      <c r="BW5" s="114">
        <v>0</v>
      </c>
      <c r="BX5" s="114">
        <v>0</v>
      </c>
      <c r="BY5" s="114">
        <v>0</v>
      </c>
    </row>
    <row r="6" spans="1:77" customFormat="1" x14ac:dyDescent="0.15">
      <c r="A6" s="191" t="s">
        <v>197</v>
      </c>
      <c r="B6" s="114">
        <v>0</v>
      </c>
      <c r="C6" s="114">
        <v>0</v>
      </c>
      <c r="D6" s="114">
        <v>0</v>
      </c>
      <c r="E6" s="114">
        <v>0.8</v>
      </c>
      <c r="F6" s="114">
        <v>0.8</v>
      </c>
      <c r="G6" s="114">
        <v>0.8</v>
      </c>
      <c r="H6" s="114">
        <v>0.8</v>
      </c>
      <c r="I6" s="114">
        <v>0.8</v>
      </c>
      <c r="J6" s="114">
        <v>0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K6" s="114">
        <v>0</v>
      </c>
      <c r="AL6" s="114">
        <v>0</v>
      </c>
      <c r="AM6" s="114">
        <v>0</v>
      </c>
      <c r="AN6" s="114">
        <v>0</v>
      </c>
      <c r="AO6" s="114">
        <v>0</v>
      </c>
      <c r="AP6" s="114">
        <v>0</v>
      </c>
      <c r="AQ6" s="114">
        <v>0</v>
      </c>
      <c r="AR6" s="114">
        <v>0</v>
      </c>
      <c r="AS6" s="114">
        <v>0</v>
      </c>
      <c r="AT6" s="114">
        <v>0</v>
      </c>
      <c r="AU6" s="114">
        <v>0</v>
      </c>
      <c r="AV6" s="114">
        <v>0</v>
      </c>
      <c r="AW6" s="114">
        <v>0</v>
      </c>
      <c r="AX6" s="114">
        <v>0</v>
      </c>
      <c r="AY6" s="114">
        <v>0</v>
      </c>
      <c r="AZ6" s="114">
        <v>0</v>
      </c>
      <c r="BA6" s="114">
        <v>0</v>
      </c>
      <c r="BB6" s="114">
        <v>0</v>
      </c>
      <c r="BC6" s="114">
        <v>0</v>
      </c>
      <c r="BD6" s="114">
        <v>0</v>
      </c>
      <c r="BE6" s="114">
        <v>0</v>
      </c>
      <c r="BF6" s="114">
        <v>0</v>
      </c>
      <c r="BG6" s="114">
        <v>0</v>
      </c>
      <c r="BH6" s="114">
        <v>0</v>
      </c>
      <c r="BI6" s="114">
        <v>0</v>
      </c>
      <c r="BJ6" s="114">
        <v>0</v>
      </c>
      <c r="BK6" s="114">
        <v>0</v>
      </c>
      <c r="BL6" s="114">
        <v>0</v>
      </c>
      <c r="BM6" s="114">
        <v>0</v>
      </c>
      <c r="BN6" s="114">
        <v>0</v>
      </c>
      <c r="BO6" s="114">
        <v>0</v>
      </c>
      <c r="BP6" s="114">
        <v>0</v>
      </c>
      <c r="BQ6" s="114">
        <v>0</v>
      </c>
      <c r="BR6" s="114">
        <v>0</v>
      </c>
      <c r="BS6" s="114">
        <v>0</v>
      </c>
      <c r="BT6" s="114">
        <v>0</v>
      </c>
      <c r="BU6" s="114">
        <v>0</v>
      </c>
      <c r="BV6" s="114">
        <v>0</v>
      </c>
      <c r="BW6" s="114">
        <v>0</v>
      </c>
      <c r="BX6" s="114">
        <v>0</v>
      </c>
      <c r="BY6" s="114">
        <v>0</v>
      </c>
    </row>
    <row r="7" spans="1:77" customFormat="1" x14ac:dyDescent="0.15">
      <c r="A7" s="191" t="s">
        <v>198</v>
      </c>
      <c r="B7" s="114">
        <v>0</v>
      </c>
      <c r="C7" s="114">
        <v>0</v>
      </c>
      <c r="D7" s="114">
        <v>0</v>
      </c>
      <c r="E7" s="114">
        <v>0.8</v>
      </c>
      <c r="F7" s="114">
        <v>0.8</v>
      </c>
      <c r="G7" s="114">
        <v>0.8</v>
      </c>
      <c r="H7" s="114">
        <v>0.8</v>
      </c>
      <c r="I7" s="114">
        <v>0.8</v>
      </c>
      <c r="J7" s="114">
        <v>0</v>
      </c>
      <c r="K7" s="114">
        <v>0</v>
      </c>
      <c r="L7" s="114">
        <v>0</v>
      </c>
      <c r="M7" s="114">
        <v>0</v>
      </c>
      <c r="N7" s="114">
        <v>0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K7" s="114">
        <v>0</v>
      </c>
      <c r="AL7" s="114">
        <v>0</v>
      </c>
      <c r="AM7" s="114">
        <v>0</v>
      </c>
      <c r="AN7" s="114">
        <v>0</v>
      </c>
      <c r="AO7" s="114">
        <v>0</v>
      </c>
      <c r="AP7" s="114">
        <v>0</v>
      </c>
      <c r="AQ7" s="114">
        <v>0</v>
      </c>
      <c r="AR7" s="114">
        <v>0</v>
      </c>
      <c r="AS7" s="114">
        <v>0</v>
      </c>
      <c r="AT7" s="114">
        <v>0</v>
      </c>
      <c r="AU7" s="114">
        <v>0</v>
      </c>
      <c r="AV7" s="114">
        <v>0</v>
      </c>
      <c r="AW7" s="114">
        <v>0</v>
      </c>
      <c r="AX7" s="114">
        <v>0</v>
      </c>
      <c r="AY7" s="114">
        <v>0</v>
      </c>
      <c r="AZ7" s="114">
        <v>0</v>
      </c>
      <c r="BA7" s="114">
        <v>0</v>
      </c>
      <c r="BB7" s="114">
        <v>0</v>
      </c>
      <c r="BC7" s="114">
        <v>0</v>
      </c>
      <c r="BD7" s="114">
        <v>0</v>
      </c>
      <c r="BE7" s="114">
        <v>0</v>
      </c>
      <c r="BF7" s="114">
        <v>0</v>
      </c>
      <c r="BG7" s="114">
        <v>0</v>
      </c>
      <c r="BH7" s="114">
        <v>0</v>
      </c>
      <c r="BI7" s="114">
        <v>0</v>
      </c>
      <c r="BJ7" s="114">
        <v>0</v>
      </c>
      <c r="BK7" s="114">
        <v>0</v>
      </c>
      <c r="BL7" s="114">
        <v>0</v>
      </c>
      <c r="BM7" s="114">
        <v>0</v>
      </c>
      <c r="BN7" s="114">
        <v>0</v>
      </c>
      <c r="BO7" s="114">
        <v>0</v>
      </c>
      <c r="BP7" s="114">
        <v>0</v>
      </c>
      <c r="BQ7" s="114">
        <v>0</v>
      </c>
      <c r="BR7" s="114">
        <v>0</v>
      </c>
      <c r="BS7" s="114">
        <v>0</v>
      </c>
      <c r="BT7" s="114">
        <v>0</v>
      </c>
      <c r="BU7" s="114">
        <v>0</v>
      </c>
      <c r="BV7" s="114">
        <v>0</v>
      </c>
      <c r="BW7" s="114">
        <v>0</v>
      </c>
      <c r="BX7" s="114">
        <v>0</v>
      </c>
      <c r="BY7" s="114">
        <v>0</v>
      </c>
    </row>
    <row r="8" spans="1:77" customFormat="1" x14ac:dyDescent="0.15">
      <c r="A8" s="191" t="s">
        <v>199</v>
      </c>
      <c r="B8" s="114">
        <v>0</v>
      </c>
      <c r="C8" s="114">
        <v>0</v>
      </c>
      <c r="D8" s="114">
        <v>0</v>
      </c>
      <c r="E8" s="114">
        <v>0.8</v>
      </c>
      <c r="F8" s="114">
        <v>0.8</v>
      </c>
      <c r="G8" s="114">
        <v>0.8</v>
      </c>
      <c r="H8" s="114">
        <v>0.8</v>
      </c>
      <c r="I8" s="114">
        <v>0.8</v>
      </c>
      <c r="J8" s="114">
        <v>0</v>
      </c>
      <c r="K8" s="114">
        <v>0</v>
      </c>
      <c r="L8" s="114">
        <v>0.8</v>
      </c>
      <c r="M8" s="114">
        <v>0</v>
      </c>
      <c r="N8" s="114">
        <v>0</v>
      </c>
      <c r="O8" s="114">
        <v>0</v>
      </c>
      <c r="P8" s="114">
        <v>0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4">
        <v>0</v>
      </c>
      <c r="AP8" s="114">
        <v>0</v>
      </c>
      <c r="AQ8" s="114">
        <v>0</v>
      </c>
      <c r="AR8" s="114">
        <v>0</v>
      </c>
      <c r="AS8" s="114">
        <v>0</v>
      </c>
      <c r="AT8" s="114">
        <v>0</v>
      </c>
      <c r="AU8" s="114">
        <v>0</v>
      </c>
      <c r="AV8" s="114">
        <v>0</v>
      </c>
      <c r="AW8" s="114">
        <v>0</v>
      </c>
      <c r="AX8" s="114">
        <v>0</v>
      </c>
      <c r="AY8" s="114">
        <v>0</v>
      </c>
      <c r="AZ8" s="114">
        <v>0</v>
      </c>
      <c r="BA8" s="114">
        <v>0</v>
      </c>
      <c r="BB8" s="114">
        <v>0</v>
      </c>
      <c r="BC8" s="114">
        <v>0</v>
      </c>
      <c r="BD8" s="114">
        <v>0</v>
      </c>
      <c r="BE8" s="114">
        <v>0</v>
      </c>
      <c r="BF8" s="114">
        <v>0</v>
      </c>
      <c r="BG8" s="114">
        <v>0</v>
      </c>
      <c r="BH8" s="114">
        <v>0</v>
      </c>
      <c r="BI8" s="114">
        <v>0</v>
      </c>
      <c r="BJ8" s="114">
        <v>0</v>
      </c>
      <c r="BK8" s="114">
        <v>0</v>
      </c>
      <c r="BL8" s="114">
        <v>0</v>
      </c>
      <c r="BM8" s="114">
        <v>0</v>
      </c>
      <c r="BN8" s="114">
        <v>0</v>
      </c>
      <c r="BO8" s="114">
        <v>0</v>
      </c>
      <c r="BP8" s="114">
        <v>0</v>
      </c>
      <c r="BQ8" s="114">
        <v>0</v>
      </c>
      <c r="BR8" s="114">
        <v>0</v>
      </c>
      <c r="BS8" s="114">
        <v>0</v>
      </c>
      <c r="BT8" s="114">
        <v>0</v>
      </c>
      <c r="BU8" s="114">
        <v>0</v>
      </c>
      <c r="BV8" s="114">
        <v>0</v>
      </c>
      <c r="BW8" s="114">
        <v>0</v>
      </c>
      <c r="BX8" s="114">
        <v>0</v>
      </c>
      <c r="BY8" s="114">
        <v>0</v>
      </c>
    </row>
    <row r="9" spans="1:77" customFormat="1" x14ac:dyDescent="0.15">
      <c r="A9" s="191" t="s">
        <v>200</v>
      </c>
      <c r="B9" s="114">
        <v>0</v>
      </c>
      <c r="C9" s="114">
        <v>0</v>
      </c>
      <c r="D9" s="114">
        <v>0</v>
      </c>
      <c r="E9" s="114">
        <v>0</v>
      </c>
      <c r="F9" s="114">
        <v>0.8</v>
      </c>
      <c r="G9" s="114">
        <v>0.8</v>
      </c>
      <c r="H9" s="114">
        <v>0.8</v>
      </c>
      <c r="I9" s="114">
        <v>0.8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4">
        <v>0</v>
      </c>
      <c r="AP9" s="114">
        <v>0</v>
      </c>
      <c r="AQ9" s="114">
        <v>0</v>
      </c>
      <c r="AR9" s="114">
        <v>0</v>
      </c>
      <c r="AS9" s="114">
        <v>0</v>
      </c>
      <c r="AT9" s="114">
        <v>0</v>
      </c>
      <c r="AU9" s="114">
        <v>0</v>
      </c>
      <c r="AV9" s="114">
        <v>0</v>
      </c>
      <c r="AW9" s="114">
        <v>0</v>
      </c>
      <c r="AX9" s="114">
        <v>0</v>
      </c>
      <c r="AY9" s="114">
        <v>0</v>
      </c>
      <c r="AZ9" s="114">
        <v>0</v>
      </c>
      <c r="BA9" s="114">
        <v>0</v>
      </c>
      <c r="BB9" s="114">
        <v>0</v>
      </c>
      <c r="BC9" s="114">
        <v>0</v>
      </c>
      <c r="BD9" s="114">
        <v>0</v>
      </c>
      <c r="BE9" s="114">
        <v>0</v>
      </c>
      <c r="BF9" s="114">
        <v>0</v>
      </c>
      <c r="BG9" s="114">
        <v>0</v>
      </c>
      <c r="BH9" s="114">
        <v>0</v>
      </c>
      <c r="BI9" s="114">
        <v>0</v>
      </c>
      <c r="BJ9" s="114">
        <v>0</v>
      </c>
      <c r="BK9" s="114">
        <v>0</v>
      </c>
      <c r="BL9" s="114">
        <v>0</v>
      </c>
      <c r="BM9" s="114">
        <v>0</v>
      </c>
      <c r="BN9" s="114">
        <v>0</v>
      </c>
      <c r="BO9" s="114">
        <v>0</v>
      </c>
      <c r="BP9" s="114">
        <v>0</v>
      </c>
      <c r="BQ9" s="114">
        <v>0</v>
      </c>
      <c r="BR9" s="114">
        <v>0</v>
      </c>
      <c r="BS9" s="114">
        <v>0</v>
      </c>
      <c r="BT9" s="114">
        <v>0</v>
      </c>
      <c r="BU9" s="114">
        <v>0</v>
      </c>
      <c r="BV9" s="114">
        <v>0</v>
      </c>
      <c r="BW9" s="114">
        <v>0</v>
      </c>
      <c r="BX9" s="114">
        <v>0</v>
      </c>
      <c r="BY9" s="114">
        <v>0</v>
      </c>
    </row>
    <row r="10" spans="1:77" customFormat="1" x14ac:dyDescent="0.15">
      <c r="A10" s="191" t="s">
        <v>201</v>
      </c>
      <c r="B10" s="114">
        <v>0.8</v>
      </c>
      <c r="C10" s="114">
        <v>0</v>
      </c>
      <c r="D10" s="114">
        <v>0.8</v>
      </c>
      <c r="E10" s="114">
        <v>0.8</v>
      </c>
      <c r="F10" s="114">
        <v>0.8</v>
      </c>
      <c r="G10" s="114">
        <v>0.8</v>
      </c>
      <c r="H10" s="114">
        <v>0.8</v>
      </c>
      <c r="I10" s="114">
        <v>0.8</v>
      </c>
      <c r="J10" s="114">
        <v>0.8</v>
      </c>
      <c r="K10" s="114">
        <v>0.8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0.8</v>
      </c>
      <c r="AB10" s="114">
        <v>0</v>
      </c>
      <c r="AC10" s="114">
        <v>0</v>
      </c>
      <c r="AD10" s="114">
        <v>0.8</v>
      </c>
      <c r="AE10" s="114">
        <v>0</v>
      </c>
      <c r="AF10" s="114">
        <v>0</v>
      </c>
      <c r="AG10" s="114">
        <v>0.8</v>
      </c>
      <c r="AH10" s="114">
        <v>0</v>
      </c>
      <c r="AI10" s="114">
        <v>0</v>
      </c>
      <c r="AJ10" s="114">
        <v>0.8</v>
      </c>
      <c r="AK10" s="114">
        <v>0.8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</row>
    <row r="11" spans="1:77" customFormat="1" x14ac:dyDescent="0.15">
      <c r="A11" s="191" t="s">
        <v>202</v>
      </c>
      <c r="B11" s="114">
        <v>0.8</v>
      </c>
      <c r="C11" s="114">
        <v>0</v>
      </c>
      <c r="D11" s="114">
        <v>0.8</v>
      </c>
      <c r="E11" s="114">
        <v>0.8</v>
      </c>
      <c r="F11" s="114">
        <v>0.8</v>
      </c>
      <c r="G11" s="114">
        <v>0.8</v>
      </c>
      <c r="H11" s="114">
        <v>0.8</v>
      </c>
      <c r="I11" s="114">
        <v>0.8</v>
      </c>
      <c r="J11" s="114">
        <v>0.8</v>
      </c>
      <c r="K11" s="114">
        <v>0.8</v>
      </c>
      <c r="L11" s="114">
        <v>0</v>
      </c>
      <c r="M11" s="114">
        <v>0.8</v>
      </c>
      <c r="N11" s="114">
        <v>0</v>
      </c>
      <c r="O11" s="114">
        <v>0</v>
      </c>
      <c r="P11" s="114">
        <v>0.8</v>
      </c>
      <c r="Q11" s="114">
        <v>0</v>
      </c>
      <c r="R11" s="114">
        <v>0</v>
      </c>
      <c r="S11" s="114">
        <v>0.8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0.8</v>
      </c>
      <c r="AB11" s="114">
        <v>0</v>
      </c>
      <c r="AC11" s="114">
        <v>0</v>
      </c>
      <c r="AD11" s="114">
        <v>0.8</v>
      </c>
      <c r="AE11" s="114">
        <v>0</v>
      </c>
      <c r="AF11" s="114">
        <v>0</v>
      </c>
      <c r="AG11" s="114">
        <v>0.8</v>
      </c>
      <c r="AH11" s="114">
        <v>0</v>
      </c>
      <c r="AI11" s="114">
        <v>0</v>
      </c>
      <c r="AJ11" s="114">
        <v>0.8</v>
      </c>
      <c r="AK11" s="114">
        <v>0.8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0.8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0.8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</row>
    <row r="12" spans="1:77" customFormat="1" x14ac:dyDescent="0.15">
      <c r="A12" s="191" t="s">
        <v>203</v>
      </c>
      <c r="B12" s="114">
        <v>0</v>
      </c>
      <c r="C12" s="114">
        <v>0</v>
      </c>
      <c r="D12" s="114">
        <v>0</v>
      </c>
      <c r="E12" s="114">
        <v>0.8</v>
      </c>
      <c r="F12" s="114">
        <v>0.8</v>
      </c>
      <c r="G12" s="114">
        <v>0.8</v>
      </c>
      <c r="H12" s="114">
        <v>0.8</v>
      </c>
      <c r="I12" s="114">
        <v>0.8</v>
      </c>
      <c r="J12" s="114">
        <v>0</v>
      </c>
      <c r="K12" s="114">
        <v>0</v>
      </c>
      <c r="L12" s="114">
        <v>0.8</v>
      </c>
      <c r="M12" s="114">
        <v>0.8</v>
      </c>
      <c r="N12" s="114">
        <v>0.8</v>
      </c>
      <c r="O12" s="114">
        <v>0.8</v>
      </c>
      <c r="P12" s="114">
        <v>0.8</v>
      </c>
      <c r="Q12" s="114">
        <v>0.8</v>
      </c>
      <c r="R12" s="114">
        <v>0</v>
      </c>
      <c r="S12" s="114">
        <v>0.8</v>
      </c>
      <c r="T12" s="114">
        <v>0</v>
      </c>
      <c r="U12" s="114">
        <v>0.8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0.8</v>
      </c>
      <c r="AB12" s="114">
        <v>0</v>
      </c>
      <c r="AC12" s="114">
        <v>0</v>
      </c>
      <c r="AD12" s="114">
        <v>0.8</v>
      </c>
      <c r="AE12" s="114">
        <v>0</v>
      </c>
      <c r="AF12" s="114">
        <v>0</v>
      </c>
      <c r="AG12" s="114">
        <v>0.8</v>
      </c>
      <c r="AH12" s="114">
        <v>0</v>
      </c>
      <c r="AI12" s="114">
        <v>0</v>
      </c>
      <c r="AJ12" s="114">
        <v>0.8</v>
      </c>
      <c r="AK12" s="114">
        <v>0.8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0.8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</row>
    <row r="13" spans="1:77" customFormat="1" x14ac:dyDescent="0.15">
      <c r="A13" s="191" t="s">
        <v>204</v>
      </c>
      <c r="B13" s="114">
        <v>0</v>
      </c>
      <c r="C13" s="114">
        <v>0</v>
      </c>
      <c r="D13" s="114">
        <v>0</v>
      </c>
      <c r="E13" s="114">
        <v>0.8</v>
      </c>
      <c r="F13" s="114">
        <v>0.8</v>
      </c>
      <c r="G13" s="114">
        <v>0.8</v>
      </c>
      <c r="H13" s="114">
        <v>0.8</v>
      </c>
      <c r="I13" s="114">
        <v>0.8</v>
      </c>
      <c r="J13" s="114">
        <v>0</v>
      </c>
      <c r="K13" s="114">
        <v>0</v>
      </c>
      <c r="L13" s="114">
        <v>0.8</v>
      </c>
      <c r="M13" s="114">
        <v>0.8</v>
      </c>
      <c r="N13" s="114">
        <v>0.8</v>
      </c>
      <c r="O13" s="114">
        <v>0.8</v>
      </c>
      <c r="P13" s="114">
        <v>0.8</v>
      </c>
      <c r="Q13" s="114">
        <v>0.8</v>
      </c>
      <c r="R13" s="114">
        <v>0</v>
      </c>
      <c r="S13" s="114">
        <v>0.8</v>
      </c>
      <c r="T13" s="114">
        <v>0</v>
      </c>
      <c r="U13" s="114">
        <v>0.8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0.8</v>
      </c>
      <c r="AB13" s="114">
        <v>0</v>
      </c>
      <c r="AC13" s="114">
        <v>0</v>
      </c>
      <c r="AD13" s="114">
        <v>0.8</v>
      </c>
      <c r="AE13" s="114">
        <v>0</v>
      </c>
      <c r="AF13" s="114">
        <v>0</v>
      </c>
      <c r="AG13" s="114">
        <v>0.8</v>
      </c>
      <c r="AH13" s="114">
        <v>0</v>
      </c>
      <c r="AI13" s="114">
        <v>0</v>
      </c>
      <c r="AJ13" s="114">
        <v>0.8</v>
      </c>
      <c r="AK13" s="114">
        <v>0.8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0.8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</row>
    <row r="14" spans="1:77" customFormat="1" x14ac:dyDescent="0.15">
      <c r="A14" s="191" t="s">
        <v>205</v>
      </c>
      <c r="B14" s="114">
        <v>0</v>
      </c>
      <c r="C14" s="114">
        <v>0</v>
      </c>
      <c r="D14" s="114">
        <v>0</v>
      </c>
      <c r="E14" s="114">
        <v>0.8</v>
      </c>
      <c r="F14" s="114">
        <v>0.8</v>
      </c>
      <c r="G14" s="114">
        <v>0.8</v>
      </c>
      <c r="H14" s="114">
        <v>0.8</v>
      </c>
      <c r="I14" s="114">
        <v>0.8</v>
      </c>
      <c r="J14" s="114">
        <v>0</v>
      </c>
      <c r="K14" s="114">
        <v>0</v>
      </c>
      <c r="L14" s="114">
        <v>0.8</v>
      </c>
      <c r="M14" s="114">
        <v>0.8</v>
      </c>
      <c r="N14" s="114">
        <v>0.8</v>
      </c>
      <c r="O14" s="114">
        <v>0.8</v>
      </c>
      <c r="P14" s="114">
        <v>0.8</v>
      </c>
      <c r="Q14" s="114">
        <v>0.8</v>
      </c>
      <c r="R14" s="114">
        <v>0</v>
      </c>
      <c r="S14" s="114">
        <v>0.8</v>
      </c>
      <c r="T14" s="114">
        <v>0</v>
      </c>
      <c r="U14" s="114">
        <v>0.8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0.8</v>
      </c>
      <c r="AB14" s="114">
        <v>0</v>
      </c>
      <c r="AC14" s="114">
        <v>0</v>
      </c>
      <c r="AD14" s="114">
        <v>0.8</v>
      </c>
      <c r="AE14" s="114">
        <v>0</v>
      </c>
      <c r="AF14" s="114">
        <v>0</v>
      </c>
      <c r="AG14" s="114">
        <v>0.8</v>
      </c>
      <c r="AH14" s="114">
        <v>0</v>
      </c>
      <c r="AI14" s="114">
        <v>0</v>
      </c>
      <c r="AJ14" s="114">
        <v>0.8</v>
      </c>
      <c r="AK14" s="114">
        <v>0.8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0.8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</row>
    <row r="15" spans="1:77" customFormat="1" x14ac:dyDescent="0.15">
      <c r="A15" s="191" t="s">
        <v>206</v>
      </c>
      <c r="B15" s="114">
        <v>0</v>
      </c>
      <c r="C15" s="114">
        <v>0</v>
      </c>
      <c r="D15" s="114">
        <v>0</v>
      </c>
      <c r="E15" s="114">
        <v>0</v>
      </c>
      <c r="F15" s="114">
        <v>0.8</v>
      </c>
      <c r="G15" s="114">
        <v>0</v>
      </c>
      <c r="H15" s="114">
        <v>0.8</v>
      </c>
      <c r="I15" s="114">
        <v>0.8</v>
      </c>
      <c r="J15" s="114">
        <v>0</v>
      </c>
      <c r="K15" s="114">
        <v>0</v>
      </c>
      <c r="L15" s="114">
        <v>0.8</v>
      </c>
      <c r="M15" s="114">
        <v>0</v>
      </c>
      <c r="N15" s="114">
        <v>0.8</v>
      </c>
      <c r="O15" s="114">
        <v>0.8</v>
      </c>
      <c r="P15" s="114">
        <v>0</v>
      </c>
      <c r="Q15" s="114">
        <v>0.8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</row>
    <row r="16" spans="1:77" customFormat="1" x14ac:dyDescent="0.15">
      <c r="A16" s="191" t="s">
        <v>207</v>
      </c>
      <c r="B16" s="114">
        <v>0</v>
      </c>
      <c r="C16" s="114">
        <v>0</v>
      </c>
      <c r="D16" s="114">
        <v>0</v>
      </c>
      <c r="E16" s="114">
        <v>0</v>
      </c>
      <c r="F16" s="114">
        <v>0.8</v>
      </c>
      <c r="G16" s="114">
        <v>0</v>
      </c>
      <c r="H16" s="114">
        <v>0.8</v>
      </c>
      <c r="I16" s="114">
        <v>0.8</v>
      </c>
      <c r="J16" s="114">
        <v>0</v>
      </c>
      <c r="K16" s="114">
        <v>0</v>
      </c>
      <c r="L16" s="114">
        <v>0.8</v>
      </c>
      <c r="M16" s="114">
        <v>0</v>
      </c>
      <c r="N16" s="114">
        <v>0.8</v>
      </c>
      <c r="O16" s="114">
        <v>0.8</v>
      </c>
      <c r="P16" s="114">
        <v>0</v>
      </c>
      <c r="Q16" s="114">
        <v>0.8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</row>
    <row r="17" spans="1:77" customFormat="1" x14ac:dyDescent="0.15">
      <c r="A17" s="191" t="s">
        <v>208</v>
      </c>
      <c r="B17" s="114">
        <v>0.8</v>
      </c>
      <c r="C17" s="114">
        <v>0.8</v>
      </c>
      <c r="D17" s="114">
        <v>0.8</v>
      </c>
      <c r="E17" s="114">
        <v>0.8</v>
      </c>
      <c r="F17" s="114">
        <v>0.8</v>
      </c>
      <c r="G17" s="114">
        <v>0.8</v>
      </c>
      <c r="H17" s="114">
        <v>0.8</v>
      </c>
      <c r="I17" s="114">
        <v>0.8</v>
      </c>
      <c r="J17" s="114">
        <v>0.8</v>
      </c>
      <c r="K17" s="114">
        <v>0.8</v>
      </c>
      <c r="L17" s="114">
        <v>0.8</v>
      </c>
      <c r="M17" s="114">
        <v>0.8</v>
      </c>
      <c r="N17" s="114">
        <v>0.8</v>
      </c>
      <c r="O17" s="114">
        <v>0.8</v>
      </c>
      <c r="P17" s="114">
        <v>0.8</v>
      </c>
      <c r="Q17" s="114">
        <v>0.8</v>
      </c>
      <c r="R17" s="114">
        <v>0.8</v>
      </c>
      <c r="S17" s="114">
        <v>0.8</v>
      </c>
      <c r="T17" s="114">
        <v>0</v>
      </c>
      <c r="U17" s="114">
        <v>0.8</v>
      </c>
      <c r="V17" s="114">
        <v>0</v>
      </c>
      <c r="W17" s="114">
        <v>0.8</v>
      </c>
      <c r="X17" s="114">
        <v>0.8</v>
      </c>
      <c r="Y17" s="114">
        <v>0</v>
      </c>
      <c r="Z17" s="114">
        <v>0</v>
      </c>
      <c r="AA17" s="114">
        <v>0.8</v>
      </c>
      <c r="AB17" s="114">
        <v>0</v>
      </c>
      <c r="AC17" s="114">
        <v>0</v>
      </c>
      <c r="AD17" s="114">
        <v>0.8</v>
      </c>
      <c r="AE17" s="114">
        <v>0</v>
      </c>
      <c r="AF17" s="114">
        <v>0</v>
      </c>
      <c r="AG17" s="114">
        <v>0.8</v>
      </c>
      <c r="AH17" s="114">
        <v>0</v>
      </c>
      <c r="AI17" s="114">
        <v>0</v>
      </c>
      <c r="AJ17" s="114">
        <v>0.8</v>
      </c>
      <c r="AK17" s="114">
        <v>0.8</v>
      </c>
      <c r="AL17" s="114">
        <v>0.8</v>
      </c>
      <c r="AM17" s="114">
        <v>0.8</v>
      </c>
      <c r="AN17" s="114">
        <v>0.8</v>
      </c>
      <c r="AO17" s="114">
        <v>0</v>
      </c>
      <c r="AP17" s="114">
        <v>0.8</v>
      </c>
      <c r="AQ17" s="114">
        <v>0</v>
      </c>
      <c r="AR17" s="114">
        <v>0</v>
      </c>
      <c r="AS17" s="114">
        <v>0.8</v>
      </c>
      <c r="AT17" s="114">
        <v>0.8</v>
      </c>
      <c r="AU17" s="114">
        <v>0.8</v>
      </c>
      <c r="AV17" s="114">
        <v>0.8</v>
      </c>
      <c r="AW17" s="114">
        <v>0.8</v>
      </c>
      <c r="AX17" s="114">
        <v>0.8</v>
      </c>
      <c r="AY17" s="114">
        <v>0.8</v>
      </c>
      <c r="AZ17" s="114">
        <v>0</v>
      </c>
      <c r="BA17" s="114">
        <v>0</v>
      </c>
      <c r="BB17" s="114">
        <v>0.8</v>
      </c>
      <c r="BC17" s="114">
        <v>0</v>
      </c>
      <c r="BD17" s="114">
        <v>0.8</v>
      </c>
      <c r="BE17" s="114">
        <v>0</v>
      </c>
      <c r="BF17" s="114">
        <v>0</v>
      </c>
      <c r="BG17" s="114">
        <v>0</v>
      </c>
      <c r="BH17" s="114">
        <v>0</v>
      </c>
      <c r="BI17" s="114">
        <v>0.8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</row>
    <row r="18" spans="1:77" customFormat="1" x14ac:dyDescent="0.15">
      <c r="A18" s="191" t="s">
        <v>209</v>
      </c>
      <c r="B18" s="114">
        <v>0.8</v>
      </c>
      <c r="C18" s="114">
        <v>0.8</v>
      </c>
      <c r="D18" s="114">
        <v>0.8</v>
      </c>
      <c r="E18" s="114">
        <v>0.8</v>
      </c>
      <c r="F18" s="114">
        <v>0.8</v>
      </c>
      <c r="G18" s="114">
        <v>0.8</v>
      </c>
      <c r="H18" s="114">
        <v>0.8</v>
      </c>
      <c r="I18" s="114">
        <v>0.8</v>
      </c>
      <c r="J18" s="114">
        <v>0.8</v>
      </c>
      <c r="K18" s="114">
        <v>0.8</v>
      </c>
      <c r="L18" s="114">
        <v>0.8</v>
      </c>
      <c r="M18" s="114">
        <v>0.8</v>
      </c>
      <c r="N18" s="114">
        <v>0.8</v>
      </c>
      <c r="O18" s="114">
        <v>0.8</v>
      </c>
      <c r="P18" s="114">
        <v>0.8</v>
      </c>
      <c r="Q18" s="114">
        <v>0.8</v>
      </c>
      <c r="R18" s="114">
        <v>0.8</v>
      </c>
      <c r="S18" s="114">
        <v>0.8</v>
      </c>
      <c r="T18" s="114">
        <v>0</v>
      </c>
      <c r="U18" s="114">
        <v>0.8</v>
      </c>
      <c r="V18" s="114">
        <v>0</v>
      </c>
      <c r="W18" s="114">
        <v>0.8</v>
      </c>
      <c r="X18" s="114">
        <v>0.8</v>
      </c>
      <c r="Y18" s="114">
        <v>0</v>
      </c>
      <c r="Z18" s="114">
        <v>0</v>
      </c>
      <c r="AA18" s="114">
        <v>0.8</v>
      </c>
      <c r="AB18" s="114">
        <v>0</v>
      </c>
      <c r="AC18" s="114">
        <v>0</v>
      </c>
      <c r="AD18" s="114">
        <v>0.8</v>
      </c>
      <c r="AE18" s="114">
        <v>0</v>
      </c>
      <c r="AF18" s="114">
        <v>0</v>
      </c>
      <c r="AG18" s="114">
        <v>0.8</v>
      </c>
      <c r="AH18" s="114">
        <v>0</v>
      </c>
      <c r="AI18" s="114">
        <v>0</v>
      </c>
      <c r="AJ18" s="114">
        <v>0.8</v>
      </c>
      <c r="AK18" s="114">
        <v>0.8</v>
      </c>
      <c r="AL18" s="114">
        <v>0.8</v>
      </c>
      <c r="AM18" s="114">
        <v>0.8</v>
      </c>
      <c r="AN18" s="114">
        <v>0.8</v>
      </c>
      <c r="AO18" s="114">
        <v>0</v>
      </c>
      <c r="AP18" s="114">
        <v>0.8</v>
      </c>
      <c r="AQ18" s="114">
        <v>0</v>
      </c>
      <c r="AR18" s="114">
        <v>0</v>
      </c>
      <c r="AS18" s="114">
        <v>0.8</v>
      </c>
      <c r="AT18" s="114">
        <v>0.8</v>
      </c>
      <c r="AU18" s="114">
        <v>0.8</v>
      </c>
      <c r="AV18" s="114">
        <v>0.8</v>
      </c>
      <c r="AW18" s="114">
        <v>0.8</v>
      </c>
      <c r="AX18" s="114">
        <v>0.8</v>
      </c>
      <c r="AY18" s="114">
        <v>0.8</v>
      </c>
      <c r="AZ18" s="114">
        <v>0</v>
      </c>
      <c r="BA18" s="114">
        <v>0</v>
      </c>
      <c r="BB18" s="114">
        <v>0.8</v>
      </c>
      <c r="BC18" s="114">
        <v>0</v>
      </c>
      <c r="BD18" s="114">
        <v>0.8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</row>
    <row r="19" spans="1:77" customFormat="1" x14ac:dyDescent="0.15">
      <c r="A19" s="191" t="s">
        <v>210</v>
      </c>
      <c r="B19" s="114">
        <v>0.8</v>
      </c>
      <c r="C19" s="114">
        <v>0</v>
      </c>
      <c r="D19" s="114">
        <v>0</v>
      </c>
      <c r="E19" s="114">
        <v>0.8</v>
      </c>
      <c r="F19" s="114">
        <v>0.8</v>
      </c>
      <c r="G19" s="114">
        <v>0.8</v>
      </c>
      <c r="H19" s="114">
        <v>0.8</v>
      </c>
      <c r="I19" s="114">
        <v>0.8</v>
      </c>
      <c r="J19" s="114">
        <v>0.8</v>
      </c>
      <c r="K19" s="114">
        <v>0.8</v>
      </c>
      <c r="L19" s="114">
        <v>0.8</v>
      </c>
      <c r="M19" s="114">
        <v>0.8</v>
      </c>
      <c r="N19" s="114">
        <v>0.8</v>
      </c>
      <c r="O19" s="114">
        <v>0.8</v>
      </c>
      <c r="P19" s="114">
        <v>0.8</v>
      </c>
      <c r="Q19" s="114">
        <v>0.8</v>
      </c>
      <c r="R19" s="114">
        <v>0.8</v>
      </c>
      <c r="S19" s="114">
        <v>0.8</v>
      </c>
      <c r="T19" s="114">
        <v>0</v>
      </c>
      <c r="U19" s="114">
        <v>0.8</v>
      </c>
      <c r="V19" s="114">
        <v>0</v>
      </c>
      <c r="W19" s="114">
        <v>0.8</v>
      </c>
      <c r="X19" s="114">
        <v>0.8</v>
      </c>
      <c r="Y19" s="114">
        <v>0</v>
      </c>
      <c r="Z19" s="114">
        <v>0</v>
      </c>
      <c r="AA19" s="114">
        <v>0.8</v>
      </c>
      <c r="AB19" s="114">
        <v>0</v>
      </c>
      <c r="AC19" s="114">
        <v>0</v>
      </c>
      <c r="AD19" s="114">
        <v>0.8</v>
      </c>
      <c r="AE19" s="114">
        <v>0</v>
      </c>
      <c r="AF19" s="114">
        <v>0</v>
      </c>
      <c r="AG19" s="114">
        <v>0.8</v>
      </c>
      <c r="AH19" s="114">
        <v>0</v>
      </c>
      <c r="AI19" s="114">
        <v>0</v>
      </c>
      <c r="AJ19" s="114">
        <v>0.8</v>
      </c>
      <c r="AK19" s="114">
        <v>0.8</v>
      </c>
      <c r="AL19" s="114">
        <v>0.8</v>
      </c>
      <c r="AM19" s="114">
        <v>0.8</v>
      </c>
      <c r="AN19" s="114">
        <v>0</v>
      </c>
      <c r="AO19" s="114">
        <v>0</v>
      </c>
      <c r="AP19" s="114">
        <v>0.8</v>
      </c>
      <c r="AQ19" s="114">
        <v>0</v>
      </c>
      <c r="AR19" s="114">
        <v>0</v>
      </c>
      <c r="AS19" s="114">
        <v>0</v>
      </c>
      <c r="AT19" s="114">
        <v>0</v>
      </c>
      <c r="AU19" s="114">
        <v>0.8</v>
      </c>
      <c r="AV19" s="114">
        <v>0</v>
      </c>
      <c r="AW19" s="114">
        <v>0.8</v>
      </c>
      <c r="AX19" s="114">
        <v>0</v>
      </c>
      <c r="AY19" s="114">
        <v>0</v>
      </c>
      <c r="AZ19" s="114">
        <v>0</v>
      </c>
      <c r="BA19" s="114">
        <v>0</v>
      </c>
      <c r="BB19" s="114">
        <v>0.8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</row>
    <row r="20" spans="1:77" customFormat="1" x14ac:dyDescent="0.15">
      <c r="A20" s="191" t="s">
        <v>211</v>
      </c>
      <c r="B20" s="114">
        <v>0.8</v>
      </c>
      <c r="C20" s="114">
        <v>0.8</v>
      </c>
      <c r="D20" s="114">
        <v>0</v>
      </c>
      <c r="E20" s="114">
        <v>0.8</v>
      </c>
      <c r="F20" s="114">
        <v>0.8</v>
      </c>
      <c r="G20" s="114">
        <v>0.8</v>
      </c>
      <c r="H20" s="114">
        <v>0.8</v>
      </c>
      <c r="I20" s="114">
        <v>0.8</v>
      </c>
      <c r="J20" s="114">
        <v>0.8</v>
      </c>
      <c r="K20" s="114">
        <v>0.8</v>
      </c>
      <c r="L20" s="114">
        <v>0.8</v>
      </c>
      <c r="M20" s="114">
        <v>0.8</v>
      </c>
      <c r="N20" s="114">
        <v>0.8</v>
      </c>
      <c r="O20" s="114">
        <v>0.8</v>
      </c>
      <c r="P20" s="114">
        <v>0.8</v>
      </c>
      <c r="Q20" s="114">
        <v>0.8</v>
      </c>
      <c r="R20" s="114">
        <v>0.8</v>
      </c>
      <c r="S20" s="114">
        <v>0.8</v>
      </c>
      <c r="T20" s="114">
        <v>0</v>
      </c>
      <c r="U20" s="114">
        <v>0.8</v>
      </c>
      <c r="V20" s="114">
        <v>0</v>
      </c>
      <c r="W20" s="114">
        <v>0.8</v>
      </c>
      <c r="X20" s="114">
        <v>0.8</v>
      </c>
      <c r="Y20" s="114">
        <v>0</v>
      </c>
      <c r="Z20" s="114">
        <v>0</v>
      </c>
      <c r="AA20" s="114">
        <v>0.8</v>
      </c>
      <c r="AB20" s="114">
        <v>0</v>
      </c>
      <c r="AC20" s="114">
        <v>0</v>
      </c>
      <c r="AD20" s="114">
        <v>0.8</v>
      </c>
      <c r="AE20" s="114">
        <v>0</v>
      </c>
      <c r="AF20" s="114">
        <v>0</v>
      </c>
      <c r="AG20" s="114">
        <v>0.8</v>
      </c>
      <c r="AH20" s="114">
        <v>0</v>
      </c>
      <c r="AI20" s="114">
        <v>0</v>
      </c>
      <c r="AJ20" s="114">
        <v>0</v>
      </c>
      <c r="AK20" s="114">
        <v>0.8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0.8</v>
      </c>
      <c r="AV20" s="114">
        <v>0</v>
      </c>
      <c r="AW20" s="114">
        <v>0.8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</row>
    <row r="21" spans="1:77" customFormat="1" x14ac:dyDescent="0.15">
      <c r="A21" s="191" t="s">
        <v>212</v>
      </c>
      <c r="B21" s="114">
        <v>0.8</v>
      </c>
      <c r="C21" s="114">
        <v>0</v>
      </c>
      <c r="D21" s="114">
        <v>0</v>
      </c>
      <c r="E21" s="114">
        <v>0.8</v>
      </c>
      <c r="F21" s="114">
        <v>0.8</v>
      </c>
      <c r="G21" s="114">
        <v>0.8</v>
      </c>
      <c r="H21" s="114">
        <v>0.8</v>
      </c>
      <c r="I21" s="114">
        <v>0.8</v>
      </c>
      <c r="J21" s="114">
        <v>0.8</v>
      </c>
      <c r="K21" s="114">
        <v>0.8</v>
      </c>
      <c r="L21" s="114">
        <v>0.8</v>
      </c>
      <c r="M21" s="114">
        <v>0.8</v>
      </c>
      <c r="N21" s="114">
        <v>0.8</v>
      </c>
      <c r="O21" s="114">
        <v>0.8</v>
      </c>
      <c r="P21" s="114">
        <v>0.8</v>
      </c>
      <c r="Q21" s="114">
        <v>0.8</v>
      </c>
      <c r="R21" s="114">
        <v>0.8</v>
      </c>
      <c r="S21" s="114">
        <v>0.8</v>
      </c>
      <c r="T21" s="114">
        <v>0</v>
      </c>
      <c r="U21" s="114">
        <v>0.8</v>
      </c>
      <c r="V21" s="114">
        <v>0</v>
      </c>
      <c r="W21" s="114">
        <v>0.8</v>
      </c>
      <c r="X21" s="114">
        <v>0.8</v>
      </c>
      <c r="Y21" s="114">
        <v>0</v>
      </c>
      <c r="Z21" s="114">
        <v>0</v>
      </c>
      <c r="AA21" s="114">
        <v>0.8</v>
      </c>
      <c r="AB21" s="114">
        <v>0</v>
      </c>
      <c r="AC21" s="114">
        <v>0</v>
      </c>
      <c r="AD21" s="114">
        <v>0.8</v>
      </c>
      <c r="AE21" s="114">
        <v>0</v>
      </c>
      <c r="AF21" s="114">
        <v>0</v>
      </c>
      <c r="AG21" s="114">
        <v>0.8</v>
      </c>
      <c r="AH21" s="114">
        <v>0</v>
      </c>
      <c r="AI21" s="114">
        <v>0</v>
      </c>
      <c r="AJ21" s="114">
        <v>0</v>
      </c>
      <c r="AK21" s="114">
        <v>0.8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0.8</v>
      </c>
      <c r="AV21" s="114">
        <v>0</v>
      </c>
      <c r="AW21" s="114">
        <v>0.8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</row>
    <row r="22" spans="1:77" customFormat="1" x14ac:dyDescent="0.15">
      <c r="A22" s="191" t="s">
        <v>213</v>
      </c>
      <c r="B22" s="114">
        <v>0.8</v>
      </c>
      <c r="C22" s="114">
        <v>0.8</v>
      </c>
      <c r="D22" s="114">
        <v>0</v>
      </c>
      <c r="E22" s="114">
        <v>0.8</v>
      </c>
      <c r="F22" s="114">
        <v>0.8</v>
      </c>
      <c r="G22" s="114">
        <v>0.8</v>
      </c>
      <c r="H22" s="114">
        <v>0.8</v>
      </c>
      <c r="I22" s="114">
        <v>0.8</v>
      </c>
      <c r="J22" s="114">
        <v>0.8</v>
      </c>
      <c r="K22" s="114">
        <v>0.8</v>
      </c>
      <c r="L22" s="114">
        <v>0.8</v>
      </c>
      <c r="M22" s="114">
        <v>0.8</v>
      </c>
      <c r="N22" s="114">
        <v>0.8</v>
      </c>
      <c r="O22" s="114">
        <v>0.8</v>
      </c>
      <c r="P22" s="114">
        <v>0.8</v>
      </c>
      <c r="Q22" s="114">
        <v>0.8</v>
      </c>
      <c r="R22" s="114">
        <v>0.8</v>
      </c>
      <c r="S22" s="114">
        <v>0.8</v>
      </c>
      <c r="T22" s="114">
        <v>0</v>
      </c>
      <c r="U22" s="114">
        <v>0.8</v>
      </c>
      <c r="V22" s="114">
        <v>0</v>
      </c>
      <c r="W22" s="114">
        <v>0.8</v>
      </c>
      <c r="X22" s="114">
        <v>0.8</v>
      </c>
      <c r="Y22" s="114">
        <v>0</v>
      </c>
      <c r="Z22" s="114">
        <v>0</v>
      </c>
      <c r="AA22" s="114">
        <v>0.8</v>
      </c>
      <c r="AB22" s="114">
        <v>0</v>
      </c>
      <c r="AC22" s="114">
        <v>0</v>
      </c>
      <c r="AD22" s="114">
        <v>0.8</v>
      </c>
      <c r="AE22" s="114">
        <v>0</v>
      </c>
      <c r="AF22" s="114">
        <v>0</v>
      </c>
      <c r="AG22" s="114">
        <v>0.8</v>
      </c>
      <c r="AH22" s="114">
        <v>0</v>
      </c>
      <c r="AI22" s="114">
        <v>0</v>
      </c>
      <c r="AJ22" s="114">
        <v>0</v>
      </c>
      <c r="AK22" s="114">
        <v>0.8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0.8</v>
      </c>
      <c r="AT22" s="114">
        <v>0.8</v>
      </c>
      <c r="AU22" s="114">
        <v>0.8</v>
      </c>
      <c r="AV22" s="114">
        <v>0</v>
      </c>
      <c r="AW22" s="114">
        <v>0.8</v>
      </c>
      <c r="AX22" s="114">
        <v>0</v>
      </c>
      <c r="AY22" s="114">
        <v>0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</row>
    <row r="23" spans="1:77" customFormat="1" x14ac:dyDescent="0.15">
      <c r="A23" s="191" t="s">
        <v>214</v>
      </c>
      <c r="B23" s="114">
        <v>0.8</v>
      </c>
      <c r="C23" s="114">
        <v>0</v>
      </c>
      <c r="D23" s="114">
        <v>0</v>
      </c>
      <c r="E23" s="114">
        <v>0.8</v>
      </c>
      <c r="F23" s="114">
        <v>0.8</v>
      </c>
      <c r="G23" s="114">
        <v>0.8</v>
      </c>
      <c r="H23" s="114">
        <v>0.8</v>
      </c>
      <c r="I23" s="114">
        <v>0.8</v>
      </c>
      <c r="J23" s="114">
        <v>0.8</v>
      </c>
      <c r="K23" s="114">
        <v>0.8</v>
      </c>
      <c r="L23" s="114">
        <v>0.8</v>
      </c>
      <c r="M23" s="114">
        <v>0.8</v>
      </c>
      <c r="N23" s="114">
        <v>0.8</v>
      </c>
      <c r="O23" s="114">
        <v>0.8</v>
      </c>
      <c r="P23" s="114">
        <v>0.8</v>
      </c>
      <c r="Q23" s="114">
        <v>0.8</v>
      </c>
      <c r="R23" s="114">
        <v>0.8</v>
      </c>
      <c r="S23" s="114">
        <v>0.8</v>
      </c>
      <c r="T23" s="114">
        <v>0</v>
      </c>
      <c r="U23" s="114">
        <v>0.8</v>
      </c>
      <c r="V23" s="114">
        <v>0</v>
      </c>
      <c r="W23" s="114">
        <v>0.8</v>
      </c>
      <c r="X23" s="114">
        <v>0.8</v>
      </c>
      <c r="Y23" s="114">
        <v>0</v>
      </c>
      <c r="Z23" s="114">
        <v>0</v>
      </c>
      <c r="AA23" s="114">
        <v>0.8</v>
      </c>
      <c r="AB23" s="114">
        <v>0</v>
      </c>
      <c r="AC23" s="114">
        <v>0</v>
      </c>
      <c r="AD23" s="114">
        <v>0.8</v>
      </c>
      <c r="AE23" s="114">
        <v>0</v>
      </c>
      <c r="AF23" s="114">
        <v>0</v>
      </c>
      <c r="AG23" s="114">
        <v>0.8</v>
      </c>
      <c r="AH23" s="114">
        <v>0</v>
      </c>
      <c r="AI23" s="114">
        <v>0</v>
      </c>
      <c r="AJ23" s="114">
        <v>0</v>
      </c>
      <c r="AK23" s="114">
        <v>0.8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0.8</v>
      </c>
      <c r="AV23" s="114">
        <v>0</v>
      </c>
      <c r="AW23" s="114">
        <v>0.8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0</v>
      </c>
      <c r="BY23" s="114">
        <v>0</v>
      </c>
    </row>
    <row r="24" spans="1:77" customFormat="1" x14ac:dyDescent="0.15">
      <c r="A24" s="191" t="s">
        <v>215</v>
      </c>
      <c r="B24" s="114">
        <v>0.8</v>
      </c>
      <c r="C24" s="114">
        <v>0</v>
      </c>
      <c r="D24" s="114">
        <v>0.8</v>
      </c>
      <c r="E24" s="114">
        <v>0.8</v>
      </c>
      <c r="F24" s="114">
        <v>0.8</v>
      </c>
      <c r="G24" s="114">
        <v>0.8</v>
      </c>
      <c r="H24" s="114">
        <v>0.8</v>
      </c>
      <c r="I24" s="114">
        <v>0.8</v>
      </c>
      <c r="J24" s="114">
        <v>0.8</v>
      </c>
      <c r="K24" s="114">
        <v>0.8</v>
      </c>
      <c r="L24" s="114">
        <v>0</v>
      </c>
      <c r="M24" s="114">
        <v>0.8</v>
      </c>
      <c r="N24" s="114">
        <v>0</v>
      </c>
      <c r="O24" s="114">
        <v>0</v>
      </c>
      <c r="P24" s="114">
        <v>0.8</v>
      </c>
      <c r="Q24" s="114">
        <v>0</v>
      </c>
      <c r="R24" s="114">
        <v>0.8</v>
      </c>
      <c r="S24" s="114">
        <v>0.8</v>
      </c>
      <c r="T24" s="114">
        <v>0</v>
      </c>
      <c r="U24" s="114">
        <v>0</v>
      </c>
      <c r="V24" s="114">
        <v>0</v>
      </c>
      <c r="W24" s="114">
        <v>0</v>
      </c>
      <c r="X24" s="114">
        <v>0.8</v>
      </c>
      <c r="Y24" s="114">
        <v>0</v>
      </c>
      <c r="Z24" s="114">
        <v>0</v>
      </c>
      <c r="AA24" s="114">
        <v>0.8</v>
      </c>
      <c r="AB24" s="114">
        <v>0</v>
      </c>
      <c r="AC24" s="114">
        <v>0</v>
      </c>
      <c r="AD24" s="114">
        <v>0.8</v>
      </c>
      <c r="AE24" s="114">
        <v>0</v>
      </c>
      <c r="AF24" s="114">
        <v>0</v>
      </c>
      <c r="AG24" s="114">
        <v>0.8</v>
      </c>
      <c r="AH24" s="114">
        <v>0</v>
      </c>
      <c r="AI24" s="114">
        <v>0</v>
      </c>
      <c r="AJ24" s="114">
        <v>0.8</v>
      </c>
      <c r="AK24" s="114">
        <v>0.8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0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0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</row>
    <row r="25" spans="1:77" customFormat="1" x14ac:dyDescent="0.15">
      <c r="A25" s="191" t="s">
        <v>216</v>
      </c>
      <c r="B25" s="114">
        <v>0</v>
      </c>
      <c r="C25" s="114">
        <v>0.8</v>
      </c>
      <c r="D25" s="114">
        <v>0</v>
      </c>
      <c r="E25" s="114">
        <v>0.8</v>
      </c>
      <c r="F25" s="114">
        <v>0.8</v>
      </c>
      <c r="G25" s="114">
        <v>0</v>
      </c>
      <c r="H25" s="114">
        <v>0.8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0</v>
      </c>
      <c r="O25" s="114">
        <v>0</v>
      </c>
      <c r="P25" s="114">
        <v>0</v>
      </c>
      <c r="Q25" s="114">
        <v>0.8</v>
      </c>
      <c r="R25" s="114">
        <v>0.8</v>
      </c>
      <c r="S25" s="114">
        <v>0</v>
      </c>
      <c r="T25" s="114">
        <v>0</v>
      </c>
      <c r="U25" s="114">
        <v>0.8</v>
      </c>
      <c r="V25" s="114">
        <v>0</v>
      </c>
      <c r="W25" s="114">
        <v>0</v>
      </c>
      <c r="X25" s="114">
        <v>0</v>
      </c>
      <c r="Y25" s="114">
        <v>0.8</v>
      </c>
      <c r="Z25" s="114">
        <v>0.8</v>
      </c>
      <c r="AA25" s="114">
        <v>0</v>
      </c>
      <c r="AB25" s="114">
        <v>0.8</v>
      </c>
      <c r="AC25" s="114">
        <v>0.8</v>
      </c>
      <c r="AD25" s="114">
        <v>0</v>
      </c>
      <c r="AE25" s="114">
        <v>0.8</v>
      </c>
      <c r="AF25" s="114">
        <v>0.8</v>
      </c>
      <c r="AG25" s="114">
        <v>0</v>
      </c>
      <c r="AH25" s="114">
        <v>0.8</v>
      </c>
      <c r="AI25" s="114">
        <v>0.8</v>
      </c>
      <c r="AJ25" s="114">
        <v>0</v>
      </c>
      <c r="AK25" s="114">
        <v>0</v>
      </c>
      <c r="AL25" s="114">
        <v>0</v>
      </c>
      <c r="AM25" s="114">
        <v>0.8</v>
      </c>
      <c r="AN25" s="114">
        <v>0.8</v>
      </c>
      <c r="AO25" s="114">
        <v>0</v>
      </c>
      <c r="AP25" s="114">
        <v>0</v>
      </c>
      <c r="AQ25" s="114">
        <v>0</v>
      </c>
      <c r="AR25" s="114">
        <v>0.8</v>
      </c>
      <c r="AS25" s="114">
        <v>0</v>
      </c>
      <c r="AT25" s="114">
        <v>0</v>
      </c>
      <c r="AU25" s="114">
        <v>0</v>
      </c>
      <c r="AV25" s="114">
        <v>0</v>
      </c>
      <c r="AW25" s="114">
        <v>0</v>
      </c>
      <c r="AX25" s="114">
        <v>0</v>
      </c>
      <c r="AY25" s="114">
        <v>0</v>
      </c>
      <c r="AZ25" s="114">
        <v>0</v>
      </c>
      <c r="BA25" s="114">
        <v>0</v>
      </c>
      <c r="BB25" s="114">
        <v>0</v>
      </c>
      <c r="BC25" s="114">
        <v>0</v>
      </c>
      <c r="BD25" s="114">
        <v>0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0</v>
      </c>
      <c r="BW25" s="114">
        <v>0</v>
      </c>
      <c r="BX25" s="114">
        <v>0</v>
      </c>
      <c r="BY25" s="114">
        <v>0</v>
      </c>
    </row>
    <row r="26" spans="1:77" customFormat="1" x14ac:dyDescent="0.15">
      <c r="A26" s="191" t="s">
        <v>217</v>
      </c>
      <c r="B26" s="114">
        <v>0</v>
      </c>
      <c r="C26" s="114">
        <v>0.8</v>
      </c>
      <c r="D26" s="114">
        <v>0</v>
      </c>
      <c r="E26" s="114">
        <v>0.8</v>
      </c>
      <c r="F26" s="114">
        <v>0.8</v>
      </c>
      <c r="G26" s="114">
        <v>0</v>
      </c>
      <c r="H26" s="114">
        <v>0.8</v>
      </c>
      <c r="I26" s="114">
        <v>0</v>
      </c>
      <c r="J26" s="114">
        <v>0</v>
      </c>
      <c r="K26" s="114">
        <v>0</v>
      </c>
      <c r="L26" s="114">
        <v>0.8</v>
      </c>
      <c r="M26" s="114">
        <v>0.8</v>
      </c>
      <c r="N26" s="114">
        <v>0.8</v>
      </c>
      <c r="O26" s="114">
        <v>0.8</v>
      </c>
      <c r="P26" s="114">
        <v>0</v>
      </c>
      <c r="Q26" s="114">
        <v>0.8</v>
      </c>
      <c r="R26" s="114">
        <v>0.8</v>
      </c>
      <c r="S26" s="114">
        <v>0.8</v>
      </c>
      <c r="T26" s="114">
        <v>0</v>
      </c>
      <c r="U26" s="114">
        <v>0.8</v>
      </c>
      <c r="V26" s="114">
        <v>0</v>
      </c>
      <c r="W26" s="114">
        <v>0</v>
      </c>
      <c r="X26" s="114">
        <v>0</v>
      </c>
      <c r="Y26" s="114">
        <v>0</v>
      </c>
      <c r="Z26" s="114">
        <v>0.8</v>
      </c>
      <c r="AA26" s="114">
        <v>0.8</v>
      </c>
      <c r="AB26" s="114">
        <v>0</v>
      </c>
      <c r="AC26" s="114">
        <v>0.8</v>
      </c>
      <c r="AD26" s="114">
        <v>0.8</v>
      </c>
      <c r="AE26" s="114">
        <v>0</v>
      </c>
      <c r="AF26" s="114">
        <v>0.8</v>
      </c>
      <c r="AG26" s="114">
        <v>0.8</v>
      </c>
      <c r="AH26" s="114">
        <v>0</v>
      </c>
      <c r="AI26" s="114">
        <v>0.8</v>
      </c>
      <c r="AJ26" s="114">
        <v>0.8</v>
      </c>
      <c r="AK26" s="114">
        <v>0.8</v>
      </c>
      <c r="AL26" s="114">
        <v>0.8</v>
      </c>
      <c r="AM26" s="114">
        <v>0.8</v>
      </c>
      <c r="AN26" s="114">
        <v>0.8</v>
      </c>
      <c r="AO26" s="114">
        <v>0.8</v>
      </c>
      <c r="AP26" s="114">
        <v>0</v>
      </c>
      <c r="AQ26" s="114">
        <v>0.8</v>
      </c>
      <c r="AR26" s="114">
        <v>0.8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0.8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0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</row>
    <row r="27" spans="1:77" customFormat="1" x14ac:dyDescent="0.15">
      <c r="A27" s="191" t="s">
        <v>218</v>
      </c>
      <c r="B27" s="114">
        <v>0</v>
      </c>
      <c r="C27" s="114">
        <v>0</v>
      </c>
      <c r="D27" s="114">
        <v>0</v>
      </c>
      <c r="E27" s="114">
        <v>0.8</v>
      </c>
      <c r="F27" s="114">
        <v>0.8</v>
      </c>
      <c r="G27" s="114">
        <v>0</v>
      </c>
      <c r="H27" s="114">
        <v>0.8</v>
      </c>
      <c r="I27" s="114">
        <v>0</v>
      </c>
      <c r="J27" s="114">
        <v>0</v>
      </c>
      <c r="K27" s="114">
        <v>0</v>
      </c>
      <c r="L27" s="114">
        <v>0.8</v>
      </c>
      <c r="M27" s="114">
        <v>0.8</v>
      </c>
      <c r="N27" s="114">
        <v>0.8</v>
      </c>
      <c r="O27" s="114">
        <v>0.8</v>
      </c>
      <c r="P27" s="114">
        <v>0</v>
      </c>
      <c r="Q27" s="114">
        <v>0.8</v>
      </c>
      <c r="R27" s="114">
        <v>0.8</v>
      </c>
      <c r="S27" s="114">
        <v>0.8</v>
      </c>
      <c r="T27" s="114">
        <v>0</v>
      </c>
      <c r="U27" s="114">
        <v>0.8</v>
      </c>
      <c r="V27" s="114">
        <v>0</v>
      </c>
      <c r="W27" s="114">
        <v>0</v>
      </c>
      <c r="X27" s="114">
        <v>0</v>
      </c>
      <c r="Y27" s="114">
        <v>0</v>
      </c>
      <c r="Z27" s="114">
        <v>0</v>
      </c>
      <c r="AA27" s="114">
        <v>0.8</v>
      </c>
      <c r="AB27" s="114">
        <v>0</v>
      </c>
      <c r="AC27" s="114">
        <v>0</v>
      </c>
      <c r="AD27" s="114">
        <v>0.8</v>
      </c>
      <c r="AE27" s="114">
        <v>0</v>
      </c>
      <c r="AF27" s="114">
        <v>0</v>
      </c>
      <c r="AG27" s="114">
        <v>0.8</v>
      </c>
      <c r="AH27" s="114">
        <v>0</v>
      </c>
      <c r="AI27" s="114">
        <v>0</v>
      </c>
      <c r="AJ27" s="114">
        <v>0.8</v>
      </c>
      <c r="AK27" s="114">
        <v>0.8</v>
      </c>
      <c r="AL27" s="114">
        <v>0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0</v>
      </c>
      <c r="AX27" s="114">
        <v>0</v>
      </c>
      <c r="AY27" s="114">
        <v>0</v>
      </c>
      <c r="AZ27" s="114">
        <v>0</v>
      </c>
      <c r="BA27" s="114">
        <v>0</v>
      </c>
      <c r="BB27" s="114">
        <v>0.8</v>
      </c>
      <c r="BC27" s="114">
        <v>0</v>
      </c>
      <c r="BD27" s="114">
        <v>0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0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</row>
    <row r="28" spans="1:77" customFormat="1" x14ac:dyDescent="0.15">
      <c r="A28" s="191" t="s">
        <v>219</v>
      </c>
      <c r="B28" s="114">
        <v>0</v>
      </c>
      <c r="C28" s="114">
        <v>0.8</v>
      </c>
      <c r="D28" s="114">
        <v>0</v>
      </c>
      <c r="E28" s="114">
        <v>0.8</v>
      </c>
      <c r="F28" s="114">
        <v>0.8</v>
      </c>
      <c r="G28" s="114">
        <v>0</v>
      </c>
      <c r="H28" s="114">
        <v>0.8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0.8</v>
      </c>
      <c r="R28" s="114">
        <v>0.8</v>
      </c>
      <c r="S28" s="114">
        <v>0</v>
      </c>
      <c r="T28" s="114">
        <v>0</v>
      </c>
      <c r="U28" s="114">
        <v>0.8</v>
      </c>
      <c r="V28" s="114">
        <v>0</v>
      </c>
      <c r="W28" s="114">
        <v>0</v>
      </c>
      <c r="X28" s="114">
        <v>0</v>
      </c>
      <c r="Y28" s="114">
        <v>0.8</v>
      </c>
      <c r="Z28" s="114">
        <v>0.8</v>
      </c>
      <c r="AA28" s="114">
        <v>0</v>
      </c>
      <c r="AB28" s="114">
        <v>0.8</v>
      </c>
      <c r="AC28" s="114">
        <v>0.8</v>
      </c>
      <c r="AD28" s="114">
        <v>0</v>
      </c>
      <c r="AE28" s="114">
        <v>0.8</v>
      </c>
      <c r="AF28" s="114">
        <v>0.8</v>
      </c>
      <c r="AG28" s="114">
        <v>0</v>
      </c>
      <c r="AH28" s="114">
        <v>0.8</v>
      </c>
      <c r="AI28" s="114">
        <v>0.8</v>
      </c>
      <c r="AJ28" s="114">
        <v>0</v>
      </c>
      <c r="AK28" s="114">
        <v>0</v>
      </c>
      <c r="AL28" s="114">
        <v>0</v>
      </c>
      <c r="AM28" s="114">
        <v>0.8</v>
      </c>
      <c r="AN28" s="114">
        <v>0.8</v>
      </c>
      <c r="AO28" s="114">
        <v>0</v>
      </c>
      <c r="AP28" s="114">
        <v>0</v>
      </c>
      <c r="AQ28" s="114">
        <v>0</v>
      </c>
      <c r="AR28" s="114">
        <v>0.8</v>
      </c>
      <c r="AS28" s="114">
        <v>0</v>
      </c>
      <c r="AT28" s="114">
        <v>0</v>
      </c>
      <c r="AU28" s="114">
        <v>0</v>
      </c>
      <c r="AV28" s="114">
        <v>0</v>
      </c>
      <c r="AW28" s="114">
        <v>0</v>
      </c>
      <c r="AX28" s="114">
        <v>0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0</v>
      </c>
      <c r="BE28" s="114">
        <v>0</v>
      </c>
      <c r="BF28" s="114">
        <v>0</v>
      </c>
      <c r="BG28" s="114">
        <v>0</v>
      </c>
      <c r="BH28" s="114">
        <v>0</v>
      </c>
      <c r="BI28" s="114">
        <v>0</v>
      </c>
      <c r="BJ28" s="114">
        <v>0</v>
      </c>
      <c r="BK28" s="114">
        <v>0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0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</row>
    <row r="29" spans="1:77" customFormat="1" x14ac:dyDescent="0.15">
      <c r="A29" s="191" t="s">
        <v>220</v>
      </c>
      <c r="B29" s="114">
        <v>0</v>
      </c>
      <c r="C29" s="114">
        <v>0.8</v>
      </c>
      <c r="D29" s="114">
        <v>0</v>
      </c>
      <c r="E29" s="114">
        <v>0.8</v>
      </c>
      <c r="F29" s="114">
        <v>0.8</v>
      </c>
      <c r="G29" s="114">
        <v>0</v>
      </c>
      <c r="H29" s="114">
        <v>0.8</v>
      </c>
      <c r="I29" s="114">
        <v>0</v>
      </c>
      <c r="J29" s="114">
        <v>0</v>
      </c>
      <c r="K29" s="114">
        <v>0</v>
      </c>
      <c r="L29" s="114">
        <v>0.8</v>
      </c>
      <c r="M29" s="114">
        <v>0.8</v>
      </c>
      <c r="N29" s="114">
        <v>0.8</v>
      </c>
      <c r="O29" s="114">
        <v>0.8</v>
      </c>
      <c r="P29" s="114">
        <v>0</v>
      </c>
      <c r="Q29" s="114">
        <v>0.8</v>
      </c>
      <c r="R29" s="114">
        <v>0.8</v>
      </c>
      <c r="S29" s="114">
        <v>0.8</v>
      </c>
      <c r="T29" s="114">
        <v>0</v>
      </c>
      <c r="U29" s="114">
        <v>0.8</v>
      </c>
      <c r="V29" s="114">
        <v>0</v>
      </c>
      <c r="W29" s="114">
        <v>0</v>
      </c>
      <c r="X29" s="114">
        <v>0</v>
      </c>
      <c r="Y29" s="114">
        <v>0</v>
      </c>
      <c r="Z29" s="114">
        <v>0.8</v>
      </c>
      <c r="AA29" s="114">
        <v>0.8</v>
      </c>
      <c r="AB29" s="114">
        <v>0</v>
      </c>
      <c r="AC29" s="114">
        <v>0.8</v>
      </c>
      <c r="AD29" s="114">
        <v>0.8</v>
      </c>
      <c r="AE29" s="114">
        <v>0</v>
      </c>
      <c r="AF29" s="114">
        <v>0.8</v>
      </c>
      <c r="AG29" s="114">
        <v>0.8</v>
      </c>
      <c r="AH29" s="114">
        <v>0</v>
      </c>
      <c r="AI29" s="114">
        <v>0.8</v>
      </c>
      <c r="AJ29" s="114">
        <v>0.8</v>
      </c>
      <c r="AK29" s="114">
        <v>0.8</v>
      </c>
      <c r="AL29" s="114">
        <v>0.8</v>
      </c>
      <c r="AM29" s="114">
        <v>0.8</v>
      </c>
      <c r="AN29" s="114">
        <v>0.8</v>
      </c>
      <c r="AO29" s="114">
        <v>0.8</v>
      </c>
      <c r="AP29" s="114">
        <v>0</v>
      </c>
      <c r="AQ29" s="114">
        <v>0.8</v>
      </c>
      <c r="AR29" s="114">
        <v>0.8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  <c r="AZ29" s="114">
        <v>0</v>
      </c>
      <c r="BA29" s="114">
        <v>0</v>
      </c>
      <c r="BB29" s="114">
        <v>0.8</v>
      </c>
      <c r="BC29" s="114">
        <v>0</v>
      </c>
      <c r="BD29" s="114">
        <v>0</v>
      </c>
      <c r="BE29" s="114">
        <v>0</v>
      </c>
      <c r="BF29" s="114">
        <v>0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0</v>
      </c>
      <c r="BS29" s="114">
        <v>0</v>
      </c>
      <c r="BT29" s="114">
        <v>0</v>
      </c>
      <c r="BU29" s="114">
        <v>0</v>
      </c>
      <c r="BV29" s="114">
        <v>0</v>
      </c>
      <c r="BW29" s="114">
        <v>0</v>
      </c>
      <c r="BX29" s="114">
        <v>0</v>
      </c>
      <c r="BY29" s="114">
        <v>0</v>
      </c>
    </row>
    <row r="30" spans="1:77" customFormat="1" x14ac:dyDescent="0.15">
      <c r="A30" s="191" t="s">
        <v>221</v>
      </c>
      <c r="B30" s="114">
        <v>0</v>
      </c>
      <c r="C30" s="114">
        <v>0</v>
      </c>
      <c r="D30" s="114">
        <v>0</v>
      </c>
      <c r="E30" s="114">
        <v>0.8</v>
      </c>
      <c r="F30" s="114">
        <v>0.8</v>
      </c>
      <c r="G30" s="114">
        <v>0</v>
      </c>
      <c r="H30" s="114">
        <v>0.8</v>
      </c>
      <c r="I30" s="114">
        <v>0</v>
      </c>
      <c r="J30" s="114">
        <v>0</v>
      </c>
      <c r="K30" s="114">
        <v>0</v>
      </c>
      <c r="L30" s="114">
        <v>0.8</v>
      </c>
      <c r="M30" s="114">
        <v>0.8</v>
      </c>
      <c r="N30" s="114">
        <v>0.8</v>
      </c>
      <c r="O30" s="114">
        <v>0.8</v>
      </c>
      <c r="P30" s="114">
        <v>0</v>
      </c>
      <c r="Q30" s="114">
        <v>0.8</v>
      </c>
      <c r="R30" s="114">
        <v>0.8</v>
      </c>
      <c r="S30" s="114">
        <v>0.8</v>
      </c>
      <c r="T30" s="114">
        <v>0</v>
      </c>
      <c r="U30" s="114">
        <v>0.8</v>
      </c>
      <c r="V30" s="114">
        <v>0</v>
      </c>
      <c r="W30" s="114">
        <v>0</v>
      </c>
      <c r="X30" s="114">
        <v>0</v>
      </c>
      <c r="Y30" s="114">
        <v>0</v>
      </c>
      <c r="Z30" s="114">
        <v>0</v>
      </c>
      <c r="AA30" s="114">
        <v>0.8</v>
      </c>
      <c r="AB30" s="114">
        <v>0</v>
      </c>
      <c r="AC30" s="114">
        <v>0</v>
      </c>
      <c r="AD30" s="114">
        <v>0.8</v>
      </c>
      <c r="AE30" s="114">
        <v>0</v>
      </c>
      <c r="AF30" s="114">
        <v>0</v>
      </c>
      <c r="AG30" s="114">
        <v>0.8</v>
      </c>
      <c r="AH30" s="114">
        <v>0</v>
      </c>
      <c r="AI30" s="114">
        <v>0</v>
      </c>
      <c r="AJ30" s="114">
        <v>0.8</v>
      </c>
      <c r="AK30" s="114">
        <v>0.8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  <c r="AZ30" s="114">
        <v>0</v>
      </c>
      <c r="BA30" s="114">
        <v>0</v>
      </c>
      <c r="BB30" s="114">
        <v>0.8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0</v>
      </c>
      <c r="BJ30" s="114">
        <v>0</v>
      </c>
      <c r="BK30" s="114">
        <v>0</v>
      </c>
      <c r="BL30" s="114">
        <v>0</v>
      </c>
      <c r="BM30" s="114">
        <v>0</v>
      </c>
      <c r="BN30" s="114">
        <v>0</v>
      </c>
      <c r="BO30" s="114">
        <v>0</v>
      </c>
      <c r="BP30" s="114">
        <v>0</v>
      </c>
      <c r="BQ30" s="114">
        <v>0</v>
      </c>
      <c r="BR30" s="114">
        <v>0</v>
      </c>
      <c r="BS30" s="114">
        <v>0</v>
      </c>
      <c r="BT30" s="114">
        <v>0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</row>
    <row r="31" spans="1:77" customFormat="1" x14ac:dyDescent="0.15">
      <c r="A31" s="191" t="s">
        <v>222</v>
      </c>
      <c r="B31" s="114">
        <v>0</v>
      </c>
      <c r="C31" s="114">
        <v>0.8</v>
      </c>
      <c r="D31" s="114">
        <v>0</v>
      </c>
      <c r="E31" s="114">
        <v>0.8</v>
      </c>
      <c r="F31" s="114">
        <v>0.8</v>
      </c>
      <c r="G31" s="114">
        <v>0</v>
      </c>
      <c r="H31" s="114">
        <v>0.8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0.8</v>
      </c>
      <c r="R31" s="114">
        <v>0.8</v>
      </c>
      <c r="S31" s="114">
        <v>0</v>
      </c>
      <c r="T31" s="114">
        <v>0</v>
      </c>
      <c r="U31" s="114">
        <v>0.8</v>
      </c>
      <c r="V31" s="114">
        <v>0</v>
      </c>
      <c r="W31" s="114">
        <v>0</v>
      </c>
      <c r="X31" s="114">
        <v>0</v>
      </c>
      <c r="Y31" s="114">
        <v>0.8</v>
      </c>
      <c r="Z31" s="114">
        <v>0.8</v>
      </c>
      <c r="AA31" s="114">
        <v>0</v>
      </c>
      <c r="AB31" s="114">
        <v>0.8</v>
      </c>
      <c r="AC31" s="114">
        <v>0.8</v>
      </c>
      <c r="AD31" s="114">
        <v>0</v>
      </c>
      <c r="AE31" s="114">
        <v>0.8</v>
      </c>
      <c r="AF31" s="114">
        <v>0.8</v>
      </c>
      <c r="AG31" s="114">
        <v>0.8</v>
      </c>
      <c r="AH31" s="114">
        <v>0.8</v>
      </c>
      <c r="AI31" s="114">
        <v>0.8</v>
      </c>
      <c r="AJ31" s="114">
        <v>0</v>
      </c>
      <c r="AK31" s="114">
        <v>0</v>
      </c>
      <c r="AL31" s="114">
        <v>0</v>
      </c>
      <c r="AM31" s="114">
        <v>0.8</v>
      </c>
      <c r="AN31" s="114">
        <v>0.8</v>
      </c>
      <c r="AO31" s="114">
        <v>0</v>
      </c>
      <c r="AP31" s="114">
        <v>0</v>
      </c>
      <c r="AQ31" s="114">
        <v>0</v>
      </c>
      <c r="AR31" s="114">
        <v>0.8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  <c r="AZ31" s="114">
        <v>0</v>
      </c>
      <c r="BA31" s="114">
        <v>0</v>
      </c>
      <c r="BB31" s="114">
        <v>0</v>
      </c>
      <c r="BC31" s="114">
        <v>0</v>
      </c>
      <c r="BD31" s="114">
        <v>0</v>
      </c>
      <c r="BE31" s="114">
        <v>0</v>
      </c>
      <c r="BF31" s="114">
        <v>0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0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0</v>
      </c>
      <c r="BW31" s="114">
        <v>0</v>
      </c>
      <c r="BX31" s="114">
        <v>0</v>
      </c>
      <c r="BY31" s="114">
        <v>0</v>
      </c>
    </row>
    <row r="32" spans="1:77" customFormat="1" x14ac:dyDescent="0.15">
      <c r="A32" s="191" t="s">
        <v>223</v>
      </c>
      <c r="B32" s="114">
        <v>0</v>
      </c>
      <c r="C32" s="114">
        <v>0.8</v>
      </c>
      <c r="D32" s="114">
        <v>0</v>
      </c>
      <c r="E32" s="114">
        <v>0.8</v>
      </c>
      <c r="F32" s="114">
        <v>0.8</v>
      </c>
      <c r="G32" s="114">
        <v>0</v>
      </c>
      <c r="H32" s="114">
        <v>0.8</v>
      </c>
      <c r="I32" s="114">
        <v>0</v>
      </c>
      <c r="J32" s="114">
        <v>0</v>
      </c>
      <c r="K32" s="114">
        <v>0</v>
      </c>
      <c r="L32" s="114">
        <v>0.8</v>
      </c>
      <c r="M32" s="114">
        <v>0.8</v>
      </c>
      <c r="N32" s="114">
        <v>0.8</v>
      </c>
      <c r="O32" s="114">
        <v>0.8</v>
      </c>
      <c r="P32" s="114">
        <v>0</v>
      </c>
      <c r="Q32" s="114">
        <v>0.8</v>
      </c>
      <c r="R32" s="114">
        <v>0.8</v>
      </c>
      <c r="S32" s="114">
        <v>0.8</v>
      </c>
      <c r="T32" s="114">
        <v>0</v>
      </c>
      <c r="U32" s="114">
        <v>0.8</v>
      </c>
      <c r="V32" s="114">
        <v>0</v>
      </c>
      <c r="W32" s="114">
        <v>0</v>
      </c>
      <c r="X32" s="114">
        <v>0</v>
      </c>
      <c r="Y32" s="114">
        <v>0</v>
      </c>
      <c r="Z32" s="114">
        <v>0.8</v>
      </c>
      <c r="AA32" s="114">
        <v>0.8</v>
      </c>
      <c r="AB32" s="114">
        <v>0</v>
      </c>
      <c r="AC32" s="114">
        <v>0.8</v>
      </c>
      <c r="AD32" s="114">
        <v>0.8</v>
      </c>
      <c r="AE32" s="114">
        <v>0</v>
      </c>
      <c r="AF32" s="114">
        <v>0.8</v>
      </c>
      <c r="AG32" s="114">
        <v>0.8</v>
      </c>
      <c r="AH32" s="114">
        <v>0</v>
      </c>
      <c r="AI32" s="114">
        <v>0.8</v>
      </c>
      <c r="AJ32" s="114">
        <v>0.8</v>
      </c>
      <c r="AK32" s="114">
        <v>0.8</v>
      </c>
      <c r="AL32" s="114">
        <v>0.8</v>
      </c>
      <c r="AM32" s="114">
        <v>0.8</v>
      </c>
      <c r="AN32" s="114">
        <v>0.8</v>
      </c>
      <c r="AO32" s="114">
        <v>0.8</v>
      </c>
      <c r="AP32" s="114">
        <v>0</v>
      </c>
      <c r="AQ32" s="114">
        <v>0.8</v>
      </c>
      <c r="AR32" s="114">
        <v>0.8</v>
      </c>
      <c r="AS32" s="114">
        <v>0</v>
      </c>
      <c r="AT32" s="114">
        <v>0</v>
      </c>
      <c r="AU32" s="114">
        <v>0</v>
      </c>
      <c r="AV32" s="114">
        <v>0</v>
      </c>
      <c r="AW32" s="114">
        <v>0</v>
      </c>
      <c r="AX32" s="114">
        <v>0</v>
      </c>
      <c r="AY32" s="114">
        <v>0</v>
      </c>
      <c r="AZ32" s="114">
        <v>0</v>
      </c>
      <c r="BA32" s="114">
        <v>0</v>
      </c>
      <c r="BB32" s="114">
        <v>0.8</v>
      </c>
      <c r="BC32" s="114">
        <v>0</v>
      </c>
      <c r="BD32" s="114">
        <v>0</v>
      </c>
      <c r="BE32" s="114">
        <v>0</v>
      </c>
      <c r="BF32" s="114">
        <v>0</v>
      </c>
      <c r="BG32" s="114">
        <v>0</v>
      </c>
      <c r="BH32" s="114">
        <v>0</v>
      </c>
      <c r="BI32" s="114">
        <v>0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0</v>
      </c>
      <c r="BR32" s="114">
        <v>0</v>
      </c>
      <c r="BS32" s="114">
        <v>0</v>
      </c>
      <c r="BT32" s="114">
        <v>0</v>
      </c>
      <c r="BU32" s="114">
        <v>0</v>
      </c>
      <c r="BV32" s="114">
        <v>0</v>
      </c>
      <c r="BW32" s="114">
        <v>0</v>
      </c>
      <c r="BX32" s="114">
        <v>0</v>
      </c>
      <c r="BY32" s="114">
        <v>0</v>
      </c>
    </row>
    <row r="33" spans="1:77" x14ac:dyDescent="0.15">
      <c r="A33" s="191" t="s">
        <v>224</v>
      </c>
      <c r="B33" s="114">
        <v>0</v>
      </c>
      <c r="C33" s="114">
        <v>0</v>
      </c>
      <c r="D33" s="114">
        <v>0</v>
      </c>
      <c r="E33" s="114">
        <v>0.8</v>
      </c>
      <c r="F33" s="114">
        <v>0.8</v>
      </c>
      <c r="G33" s="114">
        <v>0</v>
      </c>
      <c r="H33" s="114">
        <v>0.8</v>
      </c>
      <c r="I33" s="114">
        <v>0</v>
      </c>
      <c r="J33" s="114">
        <v>0</v>
      </c>
      <c r="K33" s="114">
        <v>0</v>
      </c>
      <c r="L33" s="114">
        <v>0.8</v>
      </c>
      <c r="M33" s="114">
        <v>0.8</v>
      </c>
      <c r="N33" s="114">
        <v>0.8</v>
      </c>
      <c r="O33" s="114">
        <v>0.8</v>
      </c>
      <c r="P33" s="114">
        <v>0</v>
      </c>
      <c r="Q33" s="114">
        <v>0.8</v>
      </c>
      <c r="R33" s="114">
        <v>0.8</v>
      </c>
      <c r="S33" s="114">
        <v>0.8</v>
      </c>
      <c r="T33" s="114">
        <v>0</v>
      </c>
      <c r="U33" s="114">
        <v>0.8</v>
      </c>
      <c r="V33" s="114">
        <v>0</v>
      </c>
      <c r="W33" s="114">
        <v>0</v>
      </c>
      <c r="X33" s="114">
        <v>0</v>
      </c>
      <c r="Y33" s="114">
        <v>0</v>
      </c>
      <c r="Z33" s="114">
        <v>0</v>
      </c>
      <c r="AA33" s="114">
        <v>0.8</v>
      </c>
      <c r="AB33" s="114">
        <v>0</v>
      </c>
      <c r="AC33" s="114">
        <v>0</v>
      </c>
      <c r="AD33" s="114">
        <v>0.8</v>
      </c>
      <c r="AE33" s="114">
        <v>0</v>
      </c>
      <c r="AF33" s="114">
        <v>0</v>
      </c>
      <c r="AG33" s="114">
        <v>0.8</v>
      </c>
      <c r="AH33" s="114">
        <v>0</v>
      </c>
      <c r="AI33" s="114">
        <v>0</v>
      </c>
      <c r="AJ33" s="114">
        <v>0.8</v>
      </c>
      <c r="AK33" s="114">
        <v>0.8</v>
      </c>
      <c r="AL33" s="114">
        <v>0</v>
      </c>
      <c r="AM33" s="114">
        <v>0</v>
      </c>
      <c r="AN33" s="114">
        <v>0</v>
      </c>
      <c r="AO33" s="114">
        <v>0</v>
      </c>
      <c r="AP33" s="114">
        <v>0</v>
      </c>
      <c r="AQ33" s="114">
        <v>0</v>
      </c>
      <c r="AR33" s="114">
        <v>0</v>
      </c>
      <c r="AS33" s="114">
        <v>0</v>
      </c>
      <c r="AT33" s="114">
        <v>0</v>
      </c>
      <c r="AU33" s="114">
        <v>0</v>
      </c>
      <c r="AV33" s="114">
        <v>0</v>
      </c>
      <c r="AW33" s="114">
        <v>0</v>
      </c>
      <c r="AX33" s="114">
        <v>0</v>
      </c>
      <c r="AY33" s="114">
        <v>0</v>
      </c>
      <c r="AZ33" s="114">
        <v>0</v>
      </c>
      <c r="BA33" s="114">
        <v>0</v>
      </c>
      <c r="BB33" s="114">
        <v>0.8</v>
      </c>
      <c r="BC33" s="114">
        <v>0</v>
      </c>
      <c r="BD33" s="114">
        <v>0</v>
      </c>
      <c r="BE33" s="114">
        <v>0</v>
      </c>
      <c r="BF33" s="114">
        <v>0</v>
      </c>
      <c r="BG33" s="114">
        <v>0</v>
      </c>
      <c r="BH33" s="114">
        <v>0</v>
      </c>
      <c r="BI33" s="114">
        <v>0</v>
      </c>
      <c r="BJ33" s="114">
        <v>0</v>
      </c>
      <c r="BK33" s="114">
        <v>0</v>
      </c>
      <c r="BL33" s="114">
        <v>0</v>
      </c>
      <c r="BM33" s="114">
        <v>0</v>
      </c>
      <c r="BN33" s="114">
        <v>0</v>
      </c>
      <c r="BO33" s="114">
        <v>0</v>
      </c>
      <c r="BP33" s="114">
        <v>0</v>
      </c>
      <c r="BQ33" s="114">
        <v>0</v>
      </c>
      <c r="BR33" s="114">
        <v>0</v>
      </c>
      <c r="BS33" s="114">
        <v>0</v>
      </c>
      <c r="BT33" s="114">
        <v>0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</row>
    <row r="34" spans="1:77" x14ac:dyDescent="0.15">
      <c r="A34" s="191" t="s">
        <v>225</v>
      </c>
      <c r="B34" s="114">
        <v>0</v>
      </c>
      <c r="C34" s="114">
        <v>0</v>
      </c>
      <c r="D34" s="114">
        <v>0</v>
      </c>
      <c r="E34" s="114">
        <v>0</v>
      </c>
      <c r="F34" s="114">
        <v>0.8</v>
      </c>
      <c r="G34" s="114">
        <v>0</v>
      </c>
      <c r="H34" s="114">
        <v>0.8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0.8</v>
      </c>
      <c r="R34" s="114">
        <v>0.8</v>
      </c>
      <c r="S34" s="114">
        <v>0</v>
      </c>
      <c r="T34" s="114">
        <v>0</v>
      </c>
      <c r="U34" s="114">
        <v>0</v>
      </c>
      <c r="V34" s="114">
        <v>0</v>
      </c>
      <c r="W34" s="114">
        <v>0</v>
      </c>
      <c r="X34" s="114">
        <v>0</v>
      </c>
      <c r="Y34" s="114">
        <v>0.8</v>
      </c>
      <c r="Z34" s="114">
        <v>0.8</v>
      </c>
      <c r="AA34" s="114">
        <v>0</v>
      </c>
      <c r="AB34" s="114">
        <v>0.8</v>
      </c>
      <c r="AC34" s="114">
        <v>0.8</v>
      </c>
      <c r="AD34" s="114">
        <v>0</v>
      </c>
      <c r="AE34" s="114">
        <v>0.8</v>
      </c>
      <c r="AF34" s="114">
        <v>0.8</v>
      </c>
      <c r="AG34" s="114">
        <v>0</v>
      </c>
      <c r="AH34" s="114">
        <v>0.8</v>
      </c>
      <c r="AI34" s="114">
        <v>0.8</v>
      </c>
      <c r="AJ34" s="114">
        <v>0</v>
      </c>
      <c r="AK34" s="114">
        <v>0</v>
      </c>
      <c r="AL34" s="114">
        <v>0</v>
      </c>
      <c r="AM34" s="114">
        <v>0.8</v>
      </c>
      <c r="AN34" s="114">
        <v>0.8</v>
      </c>
      <c r="AO34" s="114">
        <v>0</v>
      </c>
      <c r="AP34" s="114">
        <v>0</v>
      </c>
      <c r="AQ34" s="114">
        <v>0</v>
      </c>
      <c r="AR34" s="114">
        <v>0.8</v>
      </c>
      <c r="AS34" s="114">
        <v>0</v>
      </c>
      <c r="AT34" s="114">
        <v>0</v>
      </c>
      <c r="AU34" s="114">
        <v>0</v>
      </c>
      <c r="AV34" s="114">
        <v>0</v>
      </c>
      <c r="AW34" s="114">
        <v>0</v>
      </c>
      <c r="AX34" s="114">
        <v>0</v>
      </c>
      <c r="AY34" s="114">
        <v>0</v>
      </c>
      <c r="AZ34" s="114">
        <v>0</v>
      </c>
      <c r="BA34" s="114">
        <v>0</v>
      </c>
      <c r="BB34" s="114">
        <v>0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0</v>
      </c>
      <c r="BJ34" s="114">
        <v>0</v>
      </c>
      <c r="BK34" s="114">
        <v>0</v>
      </c>
      <c r="BL34" s="114">
        <v>0</v>
      </c>
      <c r="BM34" s="114">
        <v>0</v>
      </c>
      <c r="BN34" s="114">
        <v>0</v>
      </c>
      <c r="BO34" s="114">
        <v>0</v>
      </c>
      <c r="BP34" s="114">
        <v>0</v>
      </c>
      <c r="BQ34" s="114">
        <v>0</v>
      </c>
      <c r="BR34" s="114">
        <v>0</v>
      </c>
      <c r="BS34" s="114">
        <v>0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</row>
    <row r="35" spans="1:77" x14ac:dyDescent="0.15">
      <c r="A35" s="191" t="s">
        <v>226</v>
      </c>
      <c r="B35" s="114">
        <v>0</v>
      </c>
      <c r="C35" s="114">
        <v>0</v>
      </c>
      <c r="D35" s="114">
        <v>0</v>
      </c>
      <c r="E35" s="114">
        <v>0</v>
      </c>
      <c r="F35" s="114">
        <v>0.8</v>
      </c>
      <c r="G35" s="114">
        <v>0</v>
      </c>
      <c r="H35" s="114">
        <v>0.8</v>
      </c>
      <c r="I35" s="114">
        <v>0</v>
      </c>
      <c r="J35" s="114">
        <v>0</v>
      </c>
      <c r="K35" s="114">
        <v>0</v>
      </c>
      <c r="L35" s="114">
        <v>0.8</v>
      </c>
      <c r="M35" s="114">
        <v>0.8</v>
      </c>
      <c r="N35" s="114">
        <v>0.8</v>
      </c>
      <c r="O35" s="114">
        <v>0.8</v>
      </c>
      <c r="P35" s="114">
        <v>0</v>
      </c>
      <c r="Q35" s="114">
        <v>0.8</v>
      </c>
      <c r="R35" s="114">
        <v>0.8</v>
      </c>
      <c r="S35" s="114">
        <v>0.8</v>
      </c>
      <c r="T35" s="114">
        <v>0</v>
      </c>
      <c r="U35" s="114">
        <v>0</v>
      </c>
      <c r="V35" s="114">
        <v>0</v>
      </c>
      <c r="W35" s="114">
        <v>0</v>
      </c>
      <c r="X35" s="114">
        <v>0</v>
      </c>
      <c r="Y35" s="114">
        <v>0</v>
      </c>
      <c r="Z35" s="114">
        <v>0.8</v>
      </c>
      <c r="AA35" s="114">
        <v>0.8</v>
      </c>
      <c r="AB35" s="114">
        <v>0</v>
      </c>
      <c r="AC35" s="114">
        <v>0.8</v>
      </c>
      <c r="AD35" s="114">
        <v>0.8</v>
      </c>
      <c r="AE35" s="114">
        <v>0</v>
      </c>
      <c r="AF35" s="114">
        <v>0.8</v>
      </c>
      <c r="AG35" s="114">
        <v>0</v>
      </c>
      <c r="AH35" s="114">
        <v>0</v>
      </c>
      <c r="AI35" s="114">
        <v>0.8</v>
      </c>
      <c r="AJ35" s="114">
        <v>0.8</v>
      </c>
      <c r="AK35" s="114">
        <v>0</v>
      </c>
      <c r="AL35" s="114">
        <v>0.8</v>
      </c>
      <c r="AM35" s="114">
        <v>0.8</v>
      </c>
      <c r="AN35" s="114">
        <v>0.8</v>
      </c>
      <c r="AO35" s="114">
        <v>0.8</v>
      </c>
      <c r="AP35" s="114">
        <v>0</v>
      </c>
      <c r="AQ35" s="114">
        <v>0.8</v>
      </c>
      <c r="AR35" s="114">
        <v>0.8</v>
      </c>
      <c r="AS35" s="114">
        <v>0</v>
      </c>
      <c r="AT35" s="114">
        <v>0</v>
      </c>
      <c r="AU35" s="114">
        <v>0</v>
      </c>
      <c r="AV35" s="114">
        <v>0</v>
      </c>
      <c r="AW35" s="114">
        <v>0</v>
      </c>
      <c r="AX35" s="114">
        <v>0</v>
      </c>
      <c r="AY35" s="114">
        <v>0</v>
      </c>
      <c r="AZ35" s="114">
        <v>0</v>
      </c>
      <c r="BA35" s="114">
        <v>0</v>
      </c>
      <c r="BB35" s="114">
        <v>0.8</v>
      </c>
      <c r="BC35" s="114">
        <v>0</v>
      </c>
      <c r="BD35" s="114">
        <v>0</v>
      </c>
      <c r="BE35" s="114">
        <v>0</v>
      </c>
      <c r="BF35" s="114">
        <v>0</v>
      </c>
      <c r="BG35" s="114">
        <v>0</v>
      </c>
      <c r="BH35" s="114">
        <v>0</v>
      </c>
      <c r="BI35" s="114">
        <v>0</v>
      </c>
      <c r="BJ35" s="114">
        <v>0</v>
      </c>
      <c r="BK35" s="114">
        <v>0</v>
      </c>
      <c r="BL35" s="114">
        <v>0</v>
      </c>
      <c r="BM35" s="114">
        <v>0</v>
      </c>
      <c r="BN35" s="114">
        <v>0</v>
      </c>
      <c r="BO35" s="114">
        <v>0</v>
      </c>
      <c r="BP35" s="114">
        <v>0</v>
      </c>
      <c r="BQ35" s="114">
        <v>0</v>
      </c>
      <c r="BR35" s="114">
        <v>0</v>
      </c>
      <c r="BS35" s="114">
        <v>0</v>
      </c>
      <c r="BT35" s="114">
        <v>0</v>
      </c>
      <c r="BU35" s="114">
        <v>0</v>
      </c>
      <c r="BV35" s="114">
        <v>0</v>
      </c>
      <c r="BW35" s="114">
        <v>0</v>
      </c>
      <c r="BX35" s="114">
        <v>0</v>
      </c>
      <c r="BY35" s="114">
        <v>0</v>
      </c>
    </row>
    <row r="36" spans="1:77" x14ac:dyDescent="0.15">
      <c r="A36" s="191" t="s">
        <v>227</v>
      </c>
      <c r="B36" s="114">
        <v>0</v>
      </c>
      <c r="C36" s="114">
        <v>0</v>
      </c>
      <c r="D36" s="114">
        <v>0</v>
      </c>
      <c r="E36" s="114">
        <v>0</v>
      </c>
      <c r="F36" s="114">
        <v>0.8</v>
      </c>
      <c r="G36" s="114">
        <v>0</v>
      </c>
      <c r="H36" s="114">
        <v>0.8</v>
      </c>
      <c r="I36" s="114">
        <v>0</v>
      </c>
      <c r="J36" s="114">
        <v>0</v>
      </c>
      <c r="K36" s="114">
        <v>0</v>
      </c>
      <c r="L36" s="114">
        <v>0.8</v>
      </c>
      <c r="M36" s="114">
        <v>0.8</v>
      </c>
      <c r="N36" s="114">
        <v>0.8</v>
      </c>
      <c r="O36" s="114">
        <v>0.8</v>
      </c>
      <c r="P36" s="114">
        <v>0</v>
      </c>
      <c r="Q36" s="114">
        <v>0.8</v>
      </c>
      <c r="R36" s="114">
        <v>0.8</v>
      </c>
      <c r="S36" s="114">
        <v>0.8</v>
      </c>
      <c r="T36" s="114">
        <v>0</v>
      </c>
      <c r="U36" s="114">
        <v>0</v>
      </c>
      <c r="V36" s="114">
        <v>0</v>
      </c>
      <c r="W36" s="114">
        <v>0</v>
      </c>
      <c r="X36" s="114">
        <v>0</v>
      </c>
      <c r="Y36" s="114">
        <v>0</v>
      </c>
      <c r="Z36" s="114">
        <v>0</v>
      </c>
      <c r="AA36" s="114">
        <v>0</v>
      </c>
      <c r="AB36" s="114">
        <v>0</v>
      </c>
      <c r="AC36" s="114">
        <v>0</v>
      </c>
      <c r="AD36" s="114">
        <v>0</v>
      </c>
      <c r="AE36" s="114">
        <v>0</v>
      </c>
      <c r="AF36" s="114">
        <v>0</v>
      </c>
      <c r="AG36" s="114">
        <v>0</v>
      </c>
      <c r="AH36" s="114">
        <v>0</v>
      </c>
      <c r="AI36" s="114">
        <v>0</v>
      </c>
      <c r="AJ36" s="114">
        <v>0.8</v>
      </c>
      <c r="AK36" s="114">
        <v>0</v>
      </c>
      <c r="AL36" s="114">
        <v>0</v>
      </c>
      <c r="AM36" s="114">
        <v>0</v>
      </c>
      <c r="AN36" s="114">
        <v>0</v>
      </c>
      <c r="AO36" s="114">
        <v>0</v>
      </c>
      <c r="AP36" s="114">
        <v>0</v>
      </c>
      <c r="AQ36" s="114">
        <v>0</v>
      </c>
      <c r="AR36" s="114">
        <v>0</v>
      </c>
      <c r="AS36" s="114">
        <v>0</v>
      </c>
      <c r="AT36" s="114">
        <v>0</v>
      </c>
      <c r="AU36" s="114">
        <v>0</v>
      </c>
      <c r="AV36" s="114">
        <v>0</v>
      </c>
      <c r="AW36" s="114">
        <v>0</v>
      </c>
      <c r="AX36" s="114">
        <v>0</v>
      </c>
      <c r="AY36" s="114">
        <v>0</v>
      </c>
      <c r="AZ36" s="114">
        <v>0</v>
      </c>
      <c r="BA36" s="114">
        <v>0</v>
      </c>
      <c r="BB36" s="114">
        <v>0.8</v>
      </c>
      <c r="BC36" s="114">
        <v>0</v>
      </c>
      <c r="BD36" s="114">
        <v>0</v>
      </c>
      <c r="BE36" s="114">
        <v>0</v>
      </c>
      <c r="BF36" s="114">
        <v>0</v>
      </c>
      <c r="BG36" s="114">
        <v>0</v>
      </c>
      <c r="BH36" s="114">
        <v>0</v>
      </c>
      <c r="BI36" s="114">
        <v>0</v>
      </c>
      <c r="BJ36" s="114">
        <v>0</v>
      </c>
      <c r="BK36" s="114">
        <v>0</v>
      </c>
      <c r="BL36" s="114">
        <v>0</v>
      </c>
      <c r="BM36" s="114">
        <v>0</v>
      </c>
      <c r="BN36" s="114">
        <v>0</v>
      </c>
      <c r="BO36" s="114">
        <v>0</v>
      </c>
      <c r="BP36" s="114">
        <v>0</v>
      </c>
      <c r="BQ36" s="114">
        <v>0</v>
      </c>
      <c r="BR36" s="114">
        <v>0</v>
      </c>
      <c r="BS36" s="114">
        <v>0</v>
      </c>
      <c r="BT36" s="114">
        <v>0</v>
      </c>
      <c r="BU36" s="114">
        <v>0</v>
      </c>
      <c r="BV36" s="114">
        <v>0</v>
      </c>
      <c r="BW36" s="114">
        <v>0</v>
      </c>
      <c r="BX36" s="114">
        <v>0</v>
      </c>
      <c r="BY36" s="114">
        <v>0</v>
      </c>
    </row>
    <row r="37" spans="1:77" x14ac:dyDescent="0.15">
      <c r="A37" s="191" t="s">
        <v>228</v>
      </c>
      <c r="B37" s="114">
        <v>0</v>
      </c>
      <c r="C37" s="114">
        <v>0.8</v>
      </c>
      <c r="D37" s="114">
        <v>0</v>
      </c>
      <c r="E37" s="114">
        <v>0.8</v>
      </c>
      <c r="F37" s="114">
        <v>0.8</v>
      </c>
      <c r="G37" s="114">
        <v>0</v>
      </c>
      <c r="H37" s="114">
        <v>0.8</v>
      </c>
      <c r="I37" s="114">
        <v>0</v>
      </c>
      <c r="J37" s="114">
        <v>0</v>
      </c>
      <c r="K37" s="114">
        <v>0</v>
      </c>
      <c r="L37" s="114">
        <v>0.8</v>
      </c>
      <c r="M37" s="114">
        <v>0.8</v>
      </c>
      <c r="N37" s="114">
        <v>0.8</v>
      </c>
      <c r="O37" s="114">
        <v>0.8</v>
      </c>
      <c r="P37" s="114">
        <v>0</v>
      </c>
      <c r="Q37" s="114">
        <v>0.8</v>
      </c>
      <c r="R37" s="114">
        <v>0.8</v>
      </c>
      <c r="S37" s="114">
        <v>0.8</v>
      </c>
      <c r="T37" s="114">
        <v>0</v>
      </c>
      <c r="U37" s="114">
        <v>0.8</v>
      </c>
      <c r="V37" s="114">
        <v>0</v>
      </c>
      <c r="W37" s="114">
        <v>0</v>
      </c>
      <c r="X37" s="114">
        <v>0</v>
      </c>
      <c r="Y37" s="114">
        <v>0.8</v>
      </c>
      <c r="Z37" s="114">
        <v>0.8</v>
      </c>
      <c r="AA37" s="114">
        <v>0.8</v>
      </c>
      <c r="AB37" s="114">
        <v>0.8</v>
      </c>
      <c r="AC37" s="114">
        <v>0.8</v>
      </c>
      <c r="AD37" s="114">
        <v>0.8</v>
      </c>
      <c r="AE37" s="114">
        <v>0.8</v>
      </c>
      <c r="AF37" s="114">
        <v>0.8</v>
      </c>
      <c r="AG37" s="114">
        <v>0.8</v>
      </c>
      <c r="AH37" s="114">
        <v>0.8</v>
      </c>
      <c r="AI37" s="114">
        <v>0.8</v>
      </c>
      <c r="AJ37" s="114">
        <v>0</v>
      </c>
      <c r="AK37" s="114">
        <v>0.8</v>
      </c>
      <c r="AL37" s="114">
        <v>0</v>
      </c>
      <c r="AM37" s="114">
        <v>0.8</v>
      </c>
      <c r="AN37" s="114">
        <v>0.8</v>
      </c>
      <c r="AO37" s="114">
        <v>0.8</v>
      </c>
      <c r="AP37" s="114">
        <v>0</v>
      </c>
      <c r="AQ37" s="114">
        <v>0.8</v>
      </c>
      <c r="AR37" s="114">
        <v>0.8</v>
      </c>
      <c r="AS37" s="114">
        <v>0</v>
      </c>
      <c r="AT37" s="114">
        <v>0</v>
      </c>
      <c r="AU37" s="114">
        <v>0</v>
      </c>
      <c r="AV37" s="114">
        <v>0</v>
      </c>
      <c r="AW37" s="114">
        <v>0</v>
      </c>
      <c r="AX37" s="114">
        <v>0</v>
      </c>
      <c r="AY37" s="114">
        <v>0</v>
      </c>
      <c r="AZ37" s="114">
        <v>0</v>
      </c>
      <c r="BA37" s="114">
        <v>0</v>
      </c>
      <c r="BB37" s="114">
        <v>0.8</v>
      </c>
      <c r="BC37" s="114">
        <v>0</v>
      </c>
      <c r="BD37" s="114">
        <v>0</v>
      </c>
      <c r="BE37" s="114">
        <v>0</v>
      </c>
      <c r="BF37" s="114">
        <v>0</v>
      </c>
      <c r="BG37" s="114">
        <v>0</v>
      </c>
      <c r="BH37" s="114">
        <v>0</v>
      </c>
      <c r="BI37" s="114">
        <v>0</v>
      </c>
      <c r="BJ37" s="114">
        <v>0</v>
      </c>
      <c r="BK37" s="114">
        <v>0</v>
      </c>
      <c r="BL37" s="114">
        <v>0</v>
      </c>
      <c r="BM37" s="114">
        <v>0</v>
      </c>
      <c r="BN37" s="114">
        <v>0</v>
      </c>
      <c r="BO37" s="114">
        <v>0</v>
      </c>
      <c r="BP37" s="114">
        <v>0</v>
      </c>
      <c r="BQ37" s="114">
        <v>0</v>
      </c>
      <c r="BR37" s="114">
        <v>0</v>
      </c>
      <c r="BS37" s="114">
        <v>0</v>
      </c>
      <c r="BT37" s="114">
        <v>0</v>
      </c>
      <c r="BU37" s="114">
        <v>0</v>
      </c>
      <c r="BV37" s="114">
        <v>0</v>
      </c>
      <c r="BW37" s="114">
        <v>0</v>
      </c>
      <c r="BX37" s="114">
        <v>0</v>
      </c>
      <c r="BY37" s="114">
        <v>0</v>
      </c>
    </row>
    <row r="38" spans="1:77" x14ac:dyDescent="0.15">
      <c r="A38" s="191" t="s">
        <v>229</v>
      </c>
      <c r="B38" s="114">
        <v>0</v>
      </c>
      <c r="C38" s="114">
        <v>0</v>
      </c>
      <c r="D38" s="114">
        <v>0</v>
      </c>
      <c r="E38" s="114">
        <v>0</v>
      </c>
      <c r="F38" s="114">
        <v>0.8</v>
      </c>
      <c r="G38" s="114">
        <v>0</v>
      </c>
      <c r="H38" s="114">
        <v>0.8</v>
      </c>
      <c r="I38" s="114">
        <v>0</v>
      </c>
      <c r="J38" s="114">
        <v>0</v>
      </c>
      <c r="K38" s="114">
        <v>0</v>
      </c>
      <c r="L38" s="114">
        <v>0.8</v>
      </c>
      <c r="M38" s="114">
        <v>0.8</v>
      </c>
      <c r="N38" s="114">
        <v>0.8</v>
      </c>
      <c r="O38" s="114">
        <v>0.8</v>
      </c>
      <c r="P38" s="114">
        <v>0</v>
      </c>
      <c r="Q38" s="114">
        <v>0.8</v>
      </c>
      <c r="R38" s="114">
        <v>0.8</v>
      </c>
      <c r="S38" s="114">
        <v>0.8</v>
      </c>
      <c r="T38" s="114">
        <v>0</v>
      </c>
      <c r="U38" s="114">
        <v>0</v>
      </c>
      <c r="V38" s="114">
        <v>0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4">
        <v>0</v>
      </c>
      <c r="AI38" s="114">
        <v>0</v>
      </c>
      <c r="AJ38" s="114">
        <v>0.8</v>
      </c>
      <c r="AK38" s="114">
        <v>0</v>
      </c>
      <c r="AL38" s="114">
        <v>0.8</v>
      </c>
      <c r="AM38" s="114">
        <v>0</v>
      </c>
      <c r="AN38" s="114">
        <v>0</v>
      </c>
      <c r="AO38" s="114">
        <v>0.8</v>
      </c>
      <c r="AP38" s="114">
        <v>0</v>
      </c>
      <c r="AQ38" s="114">
        <v>0</v>
      </c>
      <c r="AR38" s="114">
        <v>0.8</v>
      </c>
      <c r="AS38" s="114">
        <v>0</v>
      </c>
      <c r="AT38" s="114">
        <v>0</v>
      </c>
      <c r="AU38" s="114">
        <v>0</v>
      </c>
      <c r="AV38" s="114">
        <v>0</v>
      </c>
      <c r="AW38" s="114">
        <v>0</v>
      </c>
      <c r="AX38" s="114">
        <v>0</v>
      </c>
      <c r="AY38" s="114">
        <v>0</v>
      </c>
      <c r="AZ38" s="114">
        <v>0</v>
      </c>
      <c r="BA38" s="114">
        <v>0</v>
      </c>
      <c r="BB38" s="114">
        <v>0.8</v>
      </c>
      <c r="BC38" s="114">
        <v>0</v>
      </c>
      <c r="BD38" s="114">
        <v>0</v>
      </c>
      <c r="BE38" s="114">
        <v>0</v>
      </c>
      <c r="BF38" s="114">
        <v>0</v>
      </c>
      <c r="BG38" s="114">
        <v>0</v>
      </c>
      <c r="BH38" s="114">
        <v>0</v>
      </c>
      <c r="BI38" s="114">
        <v>0</v>
      </c>
      <c r="BJ38" s="114">
        <v>0</v>
      </c>
      <c r="BK38" s="114">
        <v>0</v>
      </c>
      <c r="BL38" s="114">
        <v>0</v>
      </c>
      <c r="BM38" s="114">
        <v>0</v>
      </c>
      <c r="BN38" s="114">
        <v>0</v>
      </c>
      <c r="BO38" s="114">
        <v>0</v>
      </c>
      <c r="BP38" s="114">
        <v>0</v>
      </c>
      <c r="BQ38" s="114">
        <v>0</v>
      </c>
      <c r="BR38" s="114">
        <v>0</v>
      </c>
      <c r="BS38" s="114">
        <v>0</v>
      </c>
      <c r="BT38" s="114">
        <v>0</v>
      </c>
      <c r="BU38" s="114">
        <v>0</v>
      </c>
      <c r="BV38" s="114">
        <v>0</v>
      </c>
      <c r="BW38" s="114">
        <v>0</v>
      </c>
      <c r="BX38" s="114">
        <v>0</v>
      </c>
      <c r="BY38" s="114">
        <v>0</v>
      </c>
    </row>
    <row r="39" spans="1:77" x14ac:dyDescent="0.15">
      <c r="A39" s="191" t="s">
        <v>230</v>
      </c>
      <c r="B39" s="114">
        <v>0</v>
      </c>
      <c r="C39" s="114">
        <v>0.8</v>
      </c>
      <c r="D39" s="114">
        <v>0</v>
      </c>
      <c r="E39" s="114">
        <v>0.8</v>
      </c>
      <c r="F39" s="114">
        <v>0.8</v>
      </c>
      <c r="G39" s="114">
        <v>0</v>
      </c>
      <c r="H39" s="114">
        <v>0.8</v>
      </c>
      <c r="I39" s="114">
        <v>0</v>
      </c>
      <c r="J39" s="114">
        <v>0</v>
      </c>
      <c r="K39" s="114">
        <v>0.8</v>
      </c>
      <c r="L39" s="114">
        <v>0.8</v>
      </c>
      <c r="M39" s="114">
        <v>0.8</v>
      </c>
      <c r="N39" s="114">
        <v>0.8</v>
      </c>
      <c r="O39" s="114">
        <v>0.8</v>
      </c>
      <c r="P39" s="114">
        <v>0</v>
      </c>
      <c r="Q39" s="114">
        <v>0.8</v>
      </c>
      <c r="R39" s="114">
        <v>0.8</v>
      </c>
      <c r="S39" s="114">
        <v>0.8</v>
      </c>
      <c r="T39" s="114">
        <v>0</v>
      </c>
      <c r="U39" s="114">
        <v>0.8</v>
      </c>
      <c r="V39" s="114">
        <v>0</v>
      </c>
      <c r="W39" s="114">
        <v>0</v>
      </c>
      <c r="X39" s="114">
        <v>0</v>
      </c>
      <c r="Y39" s="114">
        <v>0.8</v>
      </c>
      <c r="Z39" s="114">
        <v>0.8</v>
      </c>
      <c r="AA39" s="114">
        <v>0.8</v>
      </c>
      <c r="AB39" s="114">
        <v>0.8</v>
      </c>
      <c r="AC39" s="114">
        <v>0.8</v>
      </c>
      <c r="AD39" s="114">
        <v>0.8</v>
      </c>
      <c r="AE39" s="114">
        <v>0.8</v>
      </c>
      <c r="AF39" s="114">
        <v>0.8</v>
      </c>
      <c r="AG39" s="114">
        <v>0.8</v>
      </c>
      <c r="AH39" s="114">
        <v>0.8</v>
      </c>
      <c r="AI39" s="114">
        <v>0.8</v>
      </c>
      <c r="AJ39" s="114">
        <v>0</v>
      </c>
      <c r="AK39" s="114">
        <v>0.8</v>
      </c>
      <c r="AL39" s="114">
        <v>0.8</v>
      </c>
      <c r="AM39" s="114">
        <v>0.8</v>
      </c>
      <c r="AN39" s="114">
        <v>0.8</v>
      </c>
      <c r="AO39" s="114">
        <v>0.8</v>
      </c>
      <c r="AP39" s="114">
        <v>0</v>
      </c>
      <c r="AQ39" s="114">
        <v>0.8</v>
      </c>
      <c r="AR39" s="114">
        <v>0.8</v>
      </c>
      <c r="AS39" s="114">
        <v>0</v>
      </c>
      <c r="AT39" s="114">
        <v>0</v>
      </c>
      <c r="AU39" s="114">
        <v>0</v>
      </c>
      <c r="AV39" s="114">
        <v>0</v>
      </c>
      <c r="AW39" s="114">
        <v>0</v>
      </c>
      <c r="AX39" s="114">
        <v>0</v>
      </c>
      <c r="AY39" s="114">
        <v>0</v>
      </c>
      <c r="AZ39" s="114">
        <v>0</v>
      </c>
      <c r="BA39" s="114">
        <v>0</v>
      </c>
      <c r="BB39" s="114">
        <v>0.8</v>
      </c>
      <c r="BC39" s="114">
        <v>0</v>
      </c>
      <c r="BD39" s="114">
        <v>0</v>
      </c>
      <c r="BE39" s="114">
        <v>0</v>
      </c>
      <c r="BF39" s="114">
        <v>0</v>
      </c>
      <c r="BG39" s="114">
        <v>0</v>
      </c>
      <c r="BH39" s="114">
        <v>0</v>
      </c>
      <c r="BI39" s="114">
        <v>0</v>
      </c>
      <c r="BJ39" s="114">
        <v>0</v>
      </c>
      <c r="BK39" s="114">
        <v>0</v>
      </c>
      <c r="BL39" s="114">
        <v>0</v>
      </c>
      <c r="BM39" s="114">
        <v>0</v>
      </c>
      <c r="BN39" s="114">
        <v>0</v>
      </c>
      <c r="BO39" s="114">
        <v>0</v>
      </c>
      <c r="BP39" s="114">
        <v>0</v>
      </c>
      <c r="BQ39" s="114">
        <v>0</v>
      </c>
      <c r="BR39" s="114">
        <v>0</v>
      </c>
      <c r="BS39" s="114">
        <v>0</v>
      </c>
      <c r="BT39" s="114">
        <v>0</v>
      </c>
      <c r="BU39" s="114">
        <v>0</v>
      </c>
      <c r="BV39" s="114">
        <v>0</v>
      </c>
      <c r="BW39" s="114">
        <v>0</v>
      </c>
      <c r="BX39" s="114">
        <v>0</v>
      </c>
      <c r="BY39" s="114">
        <v>0</v>
      </c>
    </row>
    <row r="40" spans="1:77" x14ac:dyDescent="0.15">
      <c r="A40" s="191" t="s">
        <v>231</v>
      </c>
      <c r="B40" s="114">
        <v>0</v>
      </c>
      <c r="C40" s="114">
        <v>0</v>
      </c>
      <c r="D40" s="114">
        <v>0</v>
      </c>
      <c r="E40" s="114">
        <v>0.8</v>
      </c>
      <c r="F40" s="114">
        <v>0</v>
      </c>
      <c r="G40" s="114">
        <v>0.8</v>
      </c>
      <c r="H40" s="114">
        <v>0.8</v>
      </c>
      <c r="I40" s="114">
        <v>0</v>
      </c>
      <c r="J40" s="114">
        <v>0.8</v>
      </c>
      <c r="K40" s="114">
        <v>0</v>
      </c>
      <c r="L40" s="114">
        <v>0.8</v>
      </c>
      <c r="M40" s="114">
        <v>0</v>
      </c>
      <c r="N40" s="114">
        <v>0.8</v>
      </c>
      <c r="O40" s="114">
        <v>0.8</v>
      </c>
      <c r="P40" s="114">
        <v>0</v>
      </c>
      <c r="Q40" s="114">
        <v>0.8</v>
      </c>
      <c r="R40" s="114">
        <v>0.8</v>
      </c>
      <c r="S40" s="114">
        <v>0.8</v>
      </c>
      <c r="T40" s="114">
        <v>0</v>
      </c>
      <c r="U40" s="114">
        <v>0.8</v>
      </c>
      <c r="V40" s="114">
        <v>0</v>
      </c>
      <c r="W40" s="114">
        <v>0</v>
      </c>
      <c r="X40" s="114">
        <v>0.8</v>
      </c>
      <c r="Y40" s="114">
        <v>0</v>
      </c>
      <c r="Z40" s="114">
        <v>0</v>
      </c>
      <c r="AA40" s="114">
        <v>0</v>
      </c>
      <c r="AB40" s="114">
        <v>0</v>
      </c>
      <c r="AC40" s="114">
        <v>0</v>
      </c>
      <c r="AD40" s="114">
        <v>0.8</v>
      </c>
      <c r="AE40" s="114">
        <v>0.8</v>
      </c>
      <c r="AF40" s="114">
        <v>0.8</v>
      </c>
      <c r="AG40" s="114">
        <v>0</v>
      </c>
      <c r="AH40" s="114">
        <v>0</v>
      </c>
      <c r="AI40" s="114">
        <v>0</v>
      </c>
      <c r="AJ40" s="114">
        <v>0.8</v>
      </c>
      <c r="AK40" s="114">
        <v>0</v>
      </c>
      <c r="AL40" s="114">
        <v>0</v>
      </c>
      <c r="AM40" s="114">
        <v>0.8</v>
      </c>
      <c r="AN40" s="114">
        <v>0.8</v>
      </c>
      <c r="AO40" s="114">
        <v>0</v>
      </c>
      <c r="AP40" s="114">
        <v>0</v>
      </c>
      <c r="AQ40" s="114">
        <v>0.8</v>
      </c>
      <c r="AR40" s="114">
        <v>0</v>
      </c>
      <c r="AS40" s="114">
        <v>0</v>
      </c>
      <c r="AT40" s="114">
        <v>0</v>
      </c>
      <c r="AU40" s="114">
        <v>0</v>
      </c>
      <c r="AV40" s="114">
        <v>0</v>
      </c>
      <c r="AW40" s="114">
        <v>0</v>
      </c>
      <c r="AX40" s="114">
        <v>0.8</v>
      </c>
      <c r="AY40" s="114">
        <v>0</v>
      </c>
      <c r="AZ40" s="114">
        <v>0</v>
      </c>
      <c r="BA40" s="114">
        <v>0</v>
      </c>
      <c r="BB40" s="114">
        <v>0</v>
      </c>
      <c r="BC40" s="114">
        <v>0</v>
      </c>
      <c r="BD40" s="114">
        <v>0</v>
      </c>
      <c r="BE40" s="114">
        <v>0</v>
      </c>
      <c r="BF40" s="114">
        <v>0</v>
      </c>
      <c r="BG40" s="114">
        <v>0</v>
      </c>
      <c r="BH40" s="114">
        <v>0</v>
      </c>
      <c r="BI40" s="114">
        <v>0</v>
      </c>
      <c r="BJ40" s="114">
        <v>0</v>
      </c>
      <c r="BK40" s="114">
        <v>0</v>
      </c>
      <c r="BL40" s="114">
        <v>0</v>
      </c>
      <c r="BM40" s="114">
        <v>0</v>
      </c>
      <c r="BN40" s="114">
        <v>0</v>
      </c>
      <c r="BO40" s="114">
        <v>0</v>
      </c>
      <c r="BP40" s="114">
        <v>0</v>
      </c>
      <c r="BQ40" s="114">
        <v>0</v>
      </c>
      <c r="BR40" s="114">
        <v>0</v>
      </c>
      <c r="BS40" s="114">
        <v>0</v>
      </c>
      <c r="BT40" s="114">
        <v>0</v>
      </c>
      <c r="BU40" s="114">
        <v>0</v>
      </c>
      <c r="BV40" s="114">
        <v>0</v>
      </c>
      <c r="BW40" s="114">
        <v>0</v>
      </c>
      <c r="BX40" s="114">
        <v>0</v>
      </c>
      <c r="BY40" s="114">
        <v>0</v>
      </c>
    </row>
    <row r="41" spans="1:77" x14ac:dyDescent="0.15">
      <c r="A41" s="191" t="s">
        <v>232</v>
      </c>
      <c r="B41" s="114">
        <v>0</v>
      </c>
      <c r="C41" s="114">
        <v>0</v>
      </c>
      <c r="D41" s="114">
        <v>0</v>
      </c>
      <c r="E41" s="114">
        <v>0.8</v>
      </c>
      <c r="F41" s="114">
        <v>0</v>
      </c>
      <c r="G41" s="114">
        <v>0.8</v>
      </c>
      <c r="H41" s="114">
        <v>0.8</v>
      </c>
      <c r="I41" s="114">
        <v>0.8</v>
      </c>
      <c r="J41" s="114">
        <v>0.8</v>
      </c>
      <c r="K41" s="114">
        <v>0</v>
      </c>
      <c r="L41" s="114">
        <v>0.8</v>
      </c>
      <c r="M41" s="114">
        <v>0</v>
      </c>
      <c r="N41" s="114">
        <v>0.8</v>
      </c>
      <c r="O41" s="114">
        <v>0.8</v>
      </c>
      <c r="P41" s="114">
        <v>0</v>
      </c>
      <c r="Q41" s="114">
        <v>0.8</v>
      </c>
      <c r="R41" s="114">
        <v>0.8</v>
      </c>
      <c r="S41" s="114">
        <v>0.8</v>
      </c>
      <c r="T41" s="114">
        <v>0</v>
      </c>
      <c r="U41" s="114">
        <v>0.8</v>
      </c>
      <c r="V41" s="114">
        <v>0</v>
      </c>
      <c r="W41" s="114">
        <v>0</v>
      </c>
      <c r="X41" s="114">
        <v>0.8</v>
      </c>
      <c r="Y41" s="114">
        <v>0</v>
      </c>
      <c r="Z41" s="114">
        <v>0</v>
      </c>
      <c r="AA41" s="114">
        <v>0</v>
      </c>
      <c r="AB41" s="114">
        <v>0</v>
      </c>
      <c r="AC41" s="114">
        <v>0</v>
      </c>
      <c r="AD41" s="114">
        <v>0.8</v>
      </c>
      <c r="AE41" s="114">
        <v>0.8</v>
      </c>
      <c r="AF41" s="114">
        <v>0</v>
      </c>
      <c r="AG41" s="114">
        <v>0</v>
      </c>
      <c r="AH41" s="114">
        <v>0</v>
      </c>
      <c r="AI41" s="114">
        <v>0</v>
      </c>
      <c r="AJ41" s="114">
        <v>0.8</v>
      </c>
      <c r="AK41" s="114">
        <v>0.8</v>
      </c>
      <c r="AL41" s="114">
        <v>0</v>
      </c>
      <c r="AM41" s="114">
        <v>0.8</v>
      </c>
      <c r="AN41" s="114">
        <v>0</v>
      </c>
      <c r="AO41" s="114">
        <v>0.8</v>
      </c>
      <c r="AP41" s="114">
        <v>0</v>
      </c>
      <c r="AQ41" s="114">
        <v>0</v>
      </c>
      <c r="AR41" s="114">
        <v>0</v>
      </c>
      <c r="AS41" s="114">
        <v>0</v>
      </c>
      <c r="AT41" s="114">
        <v>0</v>
      </c>
      <c r="AU41" s="114">
        <v>0</v>
      </c>
      <c r="AV41" s="114">
        <v>0</v>
      </c>
      <c r="AW41" s="114">
        <v>0</v>
      </c>
      <c r="AX41" s="114">
        <v>0</v>
      </c>
      <c r="AY41" s="114">
        <v>0</v>
      </c>
      <c r="AZ41" s="114">
        <v>0</v>
      </c>
      <c r="BA41" s="114">
        <v>0</v>
      </c>
      <c r="BB41" s="114">
        <v>0</v>
      </c>
      <c r="BC41" s="114">
        <v>0</v>
      </c>
      <c r="BD41" s="114">
        <v>0</v>
      </c>
      <c r="BE41" s="114">
        <v>0</v>
      </c>
      <c r="BF41" s="114">
        <v>0</v>
      </c>
      <c r="BG41" s="114">
        <v>0</v>
      </c>
      <c r="BH41" s="114">
        <v>0</v>
      </c>
      <c r="BI41" s="114">
        <v>0</v>
      </c>
      <c r="BJ41" s="114">
        <v>0</v>
      </c>
      <c r="BK41" s="114">
        <v>0</v>
      </c>
      <c r="BL41" s="114">
        <v>0</v>
      </c>
      <c r="BM41" s="114">
        <v>0</v>
      </c>
      <c r="BN41" s="114">
        <v>0</v>
      </c>
      <c r="BO41" s="114">
        <v>0</v>
      </c>
      <c r="BP41" s="114">
        <v>0</v>
      </c>
      <c r="BQ41" s="114">
        <v>0</v>
      </c>
      <c r="BR41" s="114">
        <v>0</v>
      </c>
      <c r="BS41" s="114">
        <v>0</v>
      </c>
      <c r="BT41" s="114">
        <v>0</v>
      </c>
      <c r="BU41" s="114">
        <v>0</v>
      </c>
      <c r="BV41" s="114">
        <v>0</v>
      </c>
      <c r="BW41" s="114">
        <v>0</v>
      </c>
      <c r="BX41" s="114">
        <v>0</v>
      </c>
      <c r="BY41" s="114">
        <v>0</v>
      </c>
    </row>
    <row r="42" spans="1:77" x14ac:dyDescent="0.15">
      <c r="A42" s="191" t="s">
        <v>233</v>
      </c>
      <c r="B42" s="114">
        <v>0</v>
      </c>
      <c r="C42" s="114">
        <v>0</v>
      </c>
      <c r="D42" s="114">
        <v>0</v>
      </c>
      <c r="E42" s="114">
        <v>0.8</v>
      </c>
      <c r="F42" s="114">
        <v>0</v>
      </c>
      <c r="G42" s="114">
        <v>0.8</v>
      </c>
      <c r="H42" s="114">
        <v>0.8</v>
      </c>
      <c r="I42" s="114">
        <v>0.8</v>
      </c>
      <c r="J42" s="114">
        <v>0.8</v>
      </c>
      <c r="K42" s="114">
        <v>0</v>
      </c>
      <c r="L42" s="114">
        <v>0.8</v>
      </c>
      <c r="M42" s="114">
        <v>0</v>
      </c>
      <c r="N42" s="114">
        <v>0.8</v>
      </c>
      <c r="O42" s="114">
        <v>0.8</v>
      </c>
      <c r="P42" s="114">
        <v>0</v>
      </c>
      <c r="Q42" s="114">
        <v>0.8</v>
      </c>
      <c r="R42" s="114">
        <v>0.8</v>
      </c>
      <c r="S42" s="114">
        <v>0</v>
      </c>
      <c r="T42" s="114">
        <v>0</v>
      </c>
      <c r="U42" s="114">
        <v>0.8</v>
      </c>
      <c r="V42" s="114">
        <v>0</v>
      </c>
      <c r="W42" s="114">
        <v>0</v>
      </c>
      <c r="X42" s="114">
        <v>0.8</v>
      </c>
      <c r="Y42" s="114">
        <v>0</v>
      </c>
      <c r="Z42" s="114">
        <v>0.8</v>
      </c>
      <c r="AA42" s="114">
        <v>0.8</v>
      </c>
      <c r="AB42" s="114">
        <v>0</v>
      </c>
      <c r="AC42" s="114">
        <v>0.8</v>
      </c>
      <c r="AD42" s="114">
        <v>0.8</v>
      </c>
      <c r="AE42" s="114">
        <v>0.8</v>
      </c>
      <c r="AF42" s="114">
        <v>0.8</v>
      </c>
      <c r="AG42" s="114">
        <v>0.8</v>
      </c>
      <c r="AH42" s="114">
        <v>0</v>
      </c>
      <c r="AI42" s="114">
        <v>0.8</v>
      </c>
      <c r="AJ42" s="114">
        <v>0.8</v>
      </c>
      <c r="AK42" s="114">
        <v>0.8</v>
      </c>
      <c r="AL42" s="114">
        <v>0.8</v>
      </c>
      <c r="AM42" s="114">
        <v>0.8</v>
      </c>
      <c r="AN42" s="114">
        <v>0.8</v>
      </c>
      <c r="AO42" s="114">
        <v>0.8</v>
      </c>
      <c r="AP42" s="114">
        <v>0.8</v>
      </c>
      <c r="AQ42" s="114">
        <v>0.8</v>
      </c>
      <c r="AR42" s="114">
        <v>0</v>
      </c>
      <c r="AS42" s="114">
        <v>0</v>
      </c>
      <c r="AT42" s="114">
        <v>0</v>
      </c>
      <c r="AU42" s="114">
        <v>0</v>
      </c>
      <c r="AV42" s="114">
        <v>0.8</v>
      </c>
      <c r="AW42" s="114">
        <v>0.8</v>
      </c>
      <c r="AX42" s="114">
        <v>0.8</v>
      </c>
      <c r="AY42" s="114">
        <v>0</v>
      </c>
      <c r="AZ42" s="114">
        <v>0</v>
      </c>
      <c r="BA42" s="114">
        <v>0</v>
      </c>
      <c r="BB42" s="114">
        <v>0</v>
      </c>
      <c r="BC42" s="114">
        <v>0</v>
      </c>
      <c r="BD42" s="114">
        <v>0</v>
      </c>
      <c r="BE42" s="114">
        <v>0</v>
      </c>
      <c r="BF42" s="114">
        <v>0</v>
      </c>
      <c r="BG42" s="114">
        <v>0</v>
      </c>
      <c r="BH42" s="114">
        <v>0</v>
      </c>
      <c r="BI42" s="114">
        <v>0</v>
      </c>
      <c r="BJ42" s="114">
        <v>0</v>
      </c>
      <c r="BK42" s="114">
        <v>0</v>
      </c>
      <c r="BL42" s="114">
        <v>0</v>
      </c>
      <c r="BM42" s="114">
        <v>0</v>
      </c>
      <c r="BN42" s="114">
        <v>0</v>
      </c>
      <c r="BO42" s="114">
        <v>0</v>
      </c>
      <c r="BP42" s="114">
        <v>0</v>
      </c>
      <c r="BQ42" s="114">
        <v>0</v>
      </c>
      <c r="BR42" s="114">
        <v>0</v>
      </c>
      <c r="BS42" s="114">
        <v>0</v>
      </c>
      <c r="BT42" s="114">
        <v>0</v>
      </c>
      <c r="BU42" s="114">
        <v>0</v>
      </c>
      <c r="BV42" s="114">
        <v>0</v>
      </c>
      <c r="BW42" s="114">
        <v>0</v>
      </c>
      <c r="BX42" s="114">
        <v>0</v>
      </c>
      <c r="BY42" s="114">
        <v>0</v>
      </c>
    </row>
    <row r="43" spans="1:77" x14ac:dyDescent="0.15">
      <c r="A43" s="191" t="s">
        <v>234</v>
      </c>
      <c r="B43" s="114">
        <v>0</v>
      </c>
      <c r="C43" s="114">
        <v>0</v>
      </c>
      <c r="D43" s="114">
        <v>0</v>
      </c>
      <c r="E43" s="114">
        <v>0.8</v>
      </c>
      <c r="F43" s="114">
        <v>0</v>
      </c>
      <c r="G43" s="114">
        <v>0.8</v>
      </c>
      <c r="H43" s="114">
        <v>0.8</v>
      </c>
      <c r="I43" s="114">
        <v>0.8</v>
      </c>
      <c r="J43" s="114">
        <v>0.8</v>
      </c>
      <c r="K43" s="114">
        <v>0</v>
      </c>
      <c r="L43" s="114">
        <v>0.8</v>
      </c>
      <c r="M43" s="114">
        <v>0</v>
      </c>
      <c r="N43" s="114">
        <v>0.8</v>
      </c>
      <c r="O43" s="114">
        <v>0.8</v>
      </c>
      <c r="P43" s="114">
        <v>0</v>
      </c>
      <c r="Q43" s="114">
        <v>0.8</v>
      </c>
      <c r="R43" s="114">
        <v>0.8</v>
      </c>
      <c r="S43" s="114">
        <v>0</v>
      </c>
      <c r="T43" s="114">
        <v>0</v>
      </c>
      <c r="U43" s="114">
        <v>0.8</v>
      </c>
      <c r="V43" s="114">
        <v>0</v>
      </c>
      <c r="W43" s="114">
        <v>0</v>
      </c>
      <c r="X43" s="114">
        <v>0.8</v>
      </c>
      <c r="Y43" s="114">
        <v>0</v>
      </c>
      <c r="Z43" s="114">
        <v>0.8</v>
      </c>
      <c r="AA43" s="114">
        <v>0.8</v>
      </c>
      <c r="AB43" s="114">
        <v>0</v>
      </c>
      <c r="AC43" s="114">
        <v>0.8</v>
      </c>
      <c r="AD43" s="114">
        <v>0.8</v>
      </c>
      <c r="AE43" s="114">
        <v>0.8</v>
      </c>
      <c r="AF43" s="114">
        <v>0.8</v>
      </c>
      <c r="AG43" s="114">
        <v>0.8</v>
      </c>
      <c r="AH43" s="114">
        <v>0</v>
      </c>
      <c r="AI43" s="114">
        <v>0.8</v>
      </c>
      <c r="AJ43" s="114">
        <v>0</v>
      </c>
      <c r="AK43" s="114">
        <v>0.8</v>
      </c>
      <c r="AL43" s="114">
        <v>0.8</v>
      </c>
      <c r="AM43" s="114">
        <v>0.8</v>
      </c>
      <c r="AN43" s="114">
        <v>0.8</v>
      </c>
      <c r="AO43" s="114">
        <v>0.8</v>
      </c>
      <c r="AP43" s="114">
        <v>0</v>
      </c>
      <c r="AQ43" s="114">
        <v>0.8</v>
      </c>
      <c r="AR43" s="114">
        <v>0</v>
      </c>
      <c r="AS43" s="114">
        <v>0</v>
      </c>
      <c r="AT43" s="114">
        <v>0</v>
      </c>
      <c r="AU43" s="114">
        <v>0</v>
      </c>
      <c r="AV43" s="114">
        <v>0.8</v>
      </c>
      <c r="AW43" s="114">
        <v>0.8</v>
      </c>
      <c r="AX43" s="114">
        <v>0.8</v>
      </c>
      <c r="AY43" s="114">
        <v>0</v>
      </c>
      <c r="AZ43" s="114">
        <v>0</v>
      </c>
      <c r="BA43" s="114">
        <v>0</v>
      </c>
      <c r="BB43" s="114">
        <v>0</v>
      </c>
      <c r="BC43" s="114">
        <v>0</v>
      </c>
      <c r="BD43" s="114">
        <v>0</v>
      </c>
      <c r="BE43" s="114">
        <v>0</v>
      </c>
      <c r="BF43" s="114">
        <v>0</v>
      </c>
      <c r="BG43" s="114">
        <v>0</v>
      </c>
      <c r="BH43" s="114">
        <v>0</v>
      </c>
      <c r="BI43" s="114">
        <v>0</v>
      </c>
      <c r="BJ43" s="114">
        <v>0</v>
      </c>
      <c r="BK43" s="114">
        <v>0</v>
      </c>
      <c r="BL43" s="114">
        <v>0</v>
      </c>
      <c r="BM43" s="114">
        <v>0</v>
      </c>
      <c r="BN43" s="114">
        <v>0</v>
      </c>
      <c r="BO43" s="114">
        <v>0</v>
      </c>
      <c r="BP43" s="114">
        <v>0</v>
      </c>
      <c r="BQ43" s="114">
        <v>0</v>
      </c>
      <c r="BR43" s="114">
        <v>0</v>
      </c>
      <c r="BS43" s="114">
        <v>0</v>
      </c>
      <c r="BT43" s="114">
        <v>0</v>
      </c>
      <c r="BU43" s="114">
        <v>0</v>
      </c>
      <c r="BV43" s="114">
        <v>0</v>
      </c>
      <c r="BW43" s="114">
        <v>0</v>
      </c>
      <c r="BX43" s="114">
        <v>0</v>
      </c>
      <c r="BY43" s="114">
        <v>0</v>
      </c>
    </row>
    <row r="44" spans="1:77" x14ac:dyDescent="0.15">
      <c r="A44" s="191" t="s">
        <v>235</v>
      </c>
      <c r="B44" s="114">
        <v>0</v>
      </c>
      <c r="C44" s="114">
        <v>0</v>
      </c>
      <c r="D44" s="114">
        <v>0</v>
      </c>
      <c r="E44" s="114">
        <v>0.8</v>
      </c>
      <c r="F44" s="114">
        <v>0</v>
      </c>
      <c r="G44" s="114">
        <v>0.8</v>
      </c>
      <c r="H44" s="114">
        <v>0.8</v>
      </c>
      <c r="I44" s="114">
        <v>0.8</v>
      </c>
      <c r="J44" s="114">
        <v>0.8</v>
      </c>
      <c r="K44" s="114">
        <v>0</v>
      </c>
      <c r="L44" s="114">
        <v>0.8</v>
      </c>
      <c r="M44" s="114">
        <v>0</v>
      </c>
      <c r="N44" s="114">
        <v>0.8</v>
      </c>
      <c r="O44" s="114">
        <v>0.8</v>
      </c>
      <c r="P44" s="114">
        <v>0</v>
      </c>
      <c r="Q44" s="114">
        <v>0.8</v>
      </c>
      <c r="R44" s="114">
        <v>0.8</v>
      </c>
      <c r="S44" s="114">
        <v>0</v>
      </c>
      <c r="T44" s="114">
        <v>0</v>
      </c>
      <c r="U44" s="114">
        <v>0.8</v>
      </c>
      <c r="V44" s="114">
        <v>0</v>
      </c>
      <c r="W44" s="114">
        <v>0</v>
      </c>
      <c r="X44" s="114">
        <v>0.8</v>
      </c>
      <c r="Y44" s="114">
        <v>0.8</v>
      </c>
      <c r="Z44" s="114">
        <v>0.8</v>
      </c>
      <c r="AA44" s="114">
        <v>0.8</v>
      </c>
      <c r="AB44" s="114">
        <v>0.8</v>
      </c>
      <c r="AC44" s="114">
        <v>0.8</v>
      </c>
      <c r="AD44" s="114">
        <v>0.8</v>
      </c>
      <c r="AE44" s="114">
        <v>0.8</v>
      </c>
      <c r="AF44" s="114">
        <v>0.8</v>
      </c>
      <c r="AG44" s="114">
        <v>0.8</v>
      </c>
      <c r="AH44" s="114">
        <v>0.8</v>
      </c>
      <c r="AI44" s="114">
        <v>0.8</v>
      </c>
      <c r="AJ44" s="114">
        <v>0.8</v>
      </c>
      <c r="AK44" s="114">
        <v>0.8</v>
      </c>
      <c r="AL44" s="114">
        <v>0.8</v>
      </c>
      <c r="AM44" s="114">
        <v>0.8</v>
      </c>
      <c r="AN44" s="114">
        <v>0.8</v>
      </c>
      <c r="AO44" s="114">
        <v>0.8</v>
      </c>
      <c r="AP44" s="114">
        <v>0</v>
      </c>
      <c r="AQ44" s="114">
        <v>0.8</v>
      </c>
      <c r="AR44" s="114">
        <v>0</v>
      </c>
      <c r="AS44" s="114">
        <v>0.8</v>
      </c>
      <c r="AT44" s="114">
        <v>0.8</v>
      </c>
      <c r="AU44" s="114">
        <v>0.8</v>
      </c>
      <c r="AV44" s="114">
        <v>0.8</v>
      </c>
      <c r="AW44" s="114">
        <v>0.8</v>
      </c>
      <c r="AX44" s="114">
        <v>0</v>
      </c>
      <c r="AY44" s="114">
        <v>0</v>
      </c>
      <c r="AZ44" s="114">
        <v>0</v>
      </c>
      <c r="BA44" s="114">
        <v>0</v>
      </c>
      <c r="BB44" s="114">
        <v>0</v>
      </c>
      <c r="BC44" s="114">
        <v>0</v>
      </c>
      <c r="BD44" s="114">
        <v>0</v>
      </c>
      <c r="BE44" s="114">
        <v>0</v>
      </c>
      <c r="BF44" s="114">
        <v>0</v>
      </c>
      <c r="BG44" s="114">
        <v>0</v>
      </c>
      <c r="BH44" s="114">
        <v>0</v>
      </c>
      <c r="BI44" s="114">
        <v>0</v>
      </c>
      <c r="BJ44" s="114">
        <v>0</v>
      </c>
      <c r="BK44" s="114">
        <v>0</v>
      </c>
      <c r="BL44" s="114">
        <v>0</v>
      </c>
      <c r="BM44" s="114">
        <v>0</v>
      </c>
      <c r="BN44" s="114">
        <v>0</v>
      </c>
      <c r="BO44" s="114">
        <v>0</v>
      </c>
      <c r="BP44" s="114">
        <v>0</v>
      </c>
      <c r="BQ44" s="114">
        <v>0</v>
      </c>
      <c r="BR44" s="114">
        <v>0</v>
      </c>
      <c r="BS44" s="114">
        <v>0</v>
      </c>
      <c r="BT44" s="114">
        <v>0</v>
      </c>
      <c r="BU44" s="114">
        <v>0</v>
      </c>
      <c r="BV44" s="114">
        <v>0</v>
      </c>
      <c r="BW44" s="114">
        <v>0</v>
      </c>
      <c r="BX44" s="114">
        <v>0</v>
      </c>
      <c r="BY44" s="114">
        <v>0</v>
      </c>
    </row>
    <row r="45" spans="1:77" x14ac:dyDescent="0.15">
      <c r="A45" s="191" t="s">
        <v>236</v>
      </c>
      <c r="B45" s="114">
        <v>0.8</v>
      </c>
      <c r="C45" s="114">
        <v>0.8</v>
      </c>
      <c r="D45" s="114">
        <v>0.8</v>
      </c>
      <c r="E45" s="114">
        <v>0.8</v>
      </c>
      <c r="F45" s="114">
        <v>0.8</v>
      </c>
      <c r="G45" s="114">
        <v>0.8</v>
      </c>
      <c r="H45" s="114">
        <v>0.8</v>
      </c>
      <c r="I45" s="114">
        <v>0.8</v>
      </c>
      <c r="J45" s="114">
        <v>0.8</v>
      </c>
      <c r="K45" s="114">
        <v>0.8</v>
      </c>
      <c r="L45" s="114">
        <v>0</v>
      </c>
      <c r="M45" s="114">
        <v>0.8</v>
      </c>
      <c r="N45" s="114">
        <v>0.8</v>
      </c>
      <c r="O45" s="114">
        <v>0.8</v>
      </c>
      <c r="P45" s="114">
        <v>0</v>
      </c>
      <c r="Q45" s="114">
        <v>0.8</v>
      </c>
      <c r="R45" s="114">
        <v>0</v>
      </c>
      <c r="S45" s="114">
        <v>0.8</v>
      </c>
      <c r="T45" s="114">
        <v>0</v>
      </c>
      <c r="U45" s="114">
        <v>0.8</v>
      </c>
      <c r="V45" s="114">
        <v>0.8</v>
      </c>
      <c r="W45" s="114">
        <v>0.8</v>
      </c>
      <c r="X45" s="114">
        <v>0.8</v>
      </c>
      <c r="Y45" s="114">
        <v>0.8</v>
      </c>
      <c r="Z45" s="114">
        <v>0.8</v>
      </c>
      <c r="AA45" s="114">
        <v>0</v>
      </c>
      <c r="AB45" s="114">
        <v>0.8</v>
      </c>
      <c r="AC45" s="114">
        <v>0.8</v>
      </c>
      <c r="AD45" s="114">
        <v>0</v>
      </c>
      <c r="AE45" s="114">
        <v>0.8</v>
      </c>
      <c r="AF45" s="114">
        <v>0.8</v>
      </c>
      <c r="AG45" s="114">
        <v>0</v>
      </c>
      <c r="AH45" s="114">
        <v>0.8</v>
      </c>
      <c r="AI45" s="114">
        <v>0.8</v>
      </c>
      <c r="AJ45" s="114">
        <v>0</v>
      </c>
      <c r="AK45" s="114">
        <v>0</v>
      </c>
      <c r="AL45" s="114">
        <v>0</v>
      </c>
      <c r="AM45" s="114">
        <v>0</v>
      </c>
      <c r="AN45" s="114">
        <v>0</v>
      </c>
      <c r="AO45" s="114">
        <v>0</v>
      </c>
      <c r="AP45" s="114">
        <v>0</v>
      </c>
      <c r="AQ45" s="114">
        <v>0</v>
      </c>
      <c r="AR45" s="114">
        <v>0</v>
      </c>
      <c r="AS45" s="114">
        <v>0.8</v>
      </c>
      <c r="AT45" s="114">
        <v>0.8</v>
      </c>
      <c r="AU45" s="114">
        <v>0.8</v>
      </c>
      <c r="AV45" s="114">
        <v>0.8</v>
      </c>
      <c r="AW45" s="114">
        <v>0</v>
      </c>
      <c r="AX45" s="114">
        <v>0.8</v>
      </c>
      <c r="AY45" s="114">
        <v>0.8</v>
      </c>
      <c r="AZ45" s="114">
        <v>0</v>
      </c>
      <c r="BA45" s="114">
        <v>0.8</v>
      </c>
      <c r="BB45" s="114">
        <v>0</v>
      </c>
      <c r="BC45" s="114">
        <v>0</v>
      </c>
      <c r="BD45" s="114">
        <v>0</v>
      </c>
      <c r="BE45" s="114">
        <v>0</v>
      </c>
      <c r="BF45" s="114">
        <v>0</v>
      </c>
      <c r="BG45" s="114">
        <v>0</v>
      </c>
      <c r="BH45" s="114">
        <v>0</v>
      </c>
      <c r="BI45" s="114">
        <v>0</v>
      </c>
      <c r="BJ45" s="114">
        <v>0</v>
      </c>
      <c r="BK45" s="114">
        <v>0</v>
      </c>
      <c r="BL45" s="114">
        <v>0</v>
      </c>
      <c r="BM45" s="114">
        <v>0</v>
      </c>
      <c r="BN45" s="114">
        <v>0</v>
      </c>
      <c r="BO45" s="114">
        <v>0</v>
      </c>
      <c r="BP45" s="114">
        <v>0</v>
      </c>
      <c r="BQ45" s="114">
        <v>0</v>
      </c>
      <c r="BR45" s="114">
        <v>0</v>
      </c>
      <c r="BS45" s="114">
        <v>0</v>
      </c>
      <c r="BT45" s="114">
        <v>0</v>
      </c>
      <c r="BU45" s="114">
        <v>0</v>
      </c>
      <c r="BV45" s="114">
        <v>0</v>
      </c>
      <c r="BW45" s="114">
        <v>0</v>
      </c>
      <c r="BX45" s="114">
        <v>0</v>
      </c>
      <c r="BY45" s="114">
        <v>0</v>
      </c>
    </row>
    <row r="46" spans="1:77" x14ac:dyDescent="0.15">
      <c r="A46" s="191" t="s">
        <v>237</v>
      </c>
      <c r="B46" s="114">
        <v>0.8</v>
      </c>
      <c r="C46" s="114">
        <v>0.8</v>
      </c>
      <c r="D46" s="114">
        <v>0.8</v>
      </c>
      <c r="E46" s="114">
        <v>0.8</v>
      </c>
      <c r="F46" s="114">
        <v>0.8</v>
      </c>
      <c r="G46" s="114">
        <v>0.8</v>
      </c>
      <c r="H46" s="114">
        <v>0.8</v>
      </c>
      <c r="I46" s="114">
        <v>0</v>
      </c>
      <c r="J46" s="114">
        <v>0.8</v>
      </c>
      <c r="K46" s="114">
        <v>0.8</v>
      </c>
      <c r="L46" s="114">
        <v>0</v>
      </c>
      <c r="M46" s="114">
        <v>0.8</v>
      </c>
      <c r="N46" s="114">
        <v>0.8</v>
      </c>
      <c r="O46" s="114">
        <v>0.8</v>
      </c>
      <c r="P46" s="114">
        <v>0</v>
      </c>
      <c r="Q46" s="114">
        <v>0.8</v>
      </c>
      <c r="R46" s="114">
        <v>0</v>
      </c>
      <c r="S46" s="114">
        <v>0.8</v>
      </c>
      <c r="T46" s="114">
        <v>0</v>
      </c>
      <c r="U46" s="114">
        <v>0.8</v>
      </c>
      <c r="V46" s="114">
        <v>0.8</v>
      </c>
      <c r="W46" s="114">
        <v>0.8</v>
      </c>
      <c r="X46" s="114">
        <v>0.8</v>
      </c>
      <c r="Y46" s="114">
        <v>0</v>
      </c>
      <c r="Z46" s="114">
        <v>0</v>
      </c>
      <c r="AA46" s="114">
        <v>0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0</v>
      </c>
      <c r="AH46" s="114">
        <v>0</v>
      </c>
      <c r="AI46" s="114">
        <v>0</v>
      </c>
      <c r="AJ46" s="114">
        <v>0</v>
      </c>
      <c r="AK46" s="114">
        <v>0</v>
      </c>
      <c r="AL46" s="114">
        <v>0</v>
      </c>
      <c r="AM46" s="114">
        <v>0</v>
      </c>
      <c r="AN46" s="114">
        <v>0</v>
      </c>
      <c r="AO46" s="114">
        <v>0</v>
      </c>
      <c r="AP46" s="114">
        <v>0</v>
      </c>
      <c r="AQ46" s="114">
        <v>0</v>
      </c>
      <c r="AR46" s="114">
        <v>0</v>
      </c>
      <c r="AS46" s="114">
        <v>0.8</v>
      </c>
      <c r="AT46" s="114">
        <v>0.8</v>
      </c>
      <c r="AU46" s="114">
        <v>0.8</v>
      </c>
      <c r="AV46" s="114">
        <v>0.8</v>
      </c>
      <c r="AW46" s="114">
        <v>0</v>
      </c>
      <c r="AX46" s="114">
        <v>0.8</v>
      </c>
      <c r="AY46" s="114">
        <v>0.8</v>
      </c>
      <c r="AZ46" s="114">
        <v>0</v>
      </c>
      <c r="BA46" s="114">
        <v>0</v>
      </c>
      <c r="BB46" s="114">
        <v>0</v>
      </c>
      <c r="BC46" s="114">
        <v>0</v>
      </c>
      <c r="BD46" s="114">
        <v>0</v>
      </c>
      <c r="BE46" s="114">
        <v>0</v>
      </c>
      <c r="BF46" s="114">
        <v>0</v>
      </c>
      <c r="BG46" s="114">
        <v>0</v>
      </c>
      <c r="BH46" s="114">
        <v>0</v>
      </c>
      <c r="BI46" s="114">
        <v>0</v>
      </c>
      <c r="BJ46" s="114">
        <v>0</v>
      </c>
      <c r="BK46" s="114">
        <v>0</v>
      </c>
      <c r="BL46" s="114">
        <v>0</v>
      </c>
      <c r="BM46" s="114">
        <v>0</v>
      </c>
      <c r="BN46" s="114">
        <v>0</v>
      </c>
      <c r="BO46" s="114">
        <v>0</v>
      </c>
      <c r="BP46" s="114">
        <v>0</v>
      </c>
      <c r="BQ46" s="114">
        <v>0</v>
      </c>
      <c r="BR46" s="114">
        <v>0</v>
      </c>
      <c r="BS46" s="114">
        <v>0</v>
      </c>
      <c r="BT46" s="114">
        <v>0</v>
      </c>
      <c r="BU46" s="114">
        <v>0</v>
      </c>
      <c r="BV46" s="114">
        <v>0</v>
      </c>
      <c r="BW46" s="114">
        <v>0</v>
      </c>
      <c r="BX46" s="114">
        <v>0</v>
      </c>
      <c r="BY46" s="114">
        <v>0</v>
      </c>
    </row>
    <row r="47" spans="1:77" x14ac:dyDescent="0.15">
      <c r="A47" s="191" t="s">
        <v>238</v>
      </c>
      <c r="B47" s="114">
        <v>0.8</v>
      </c>
      <c r="C47" s="114">
        <v>0.8</v>
      </c>
      <c r="D47" s="114">
        <v>0</v>
      </c>
      <c r="E47" s="114">
        <v>0.8</v>
      </c>
      <c r="F47" s="114">
        <v>0.8</v>
      </c>
      <c r="G47" s="114">
        <v>0.8</v>
      </c>
      <c r="H47" s="114">
        <v>0.8</v>
      </c>
      <c r="I47" s="114">
        <v>0.8</v>
      </c>
      <c r="J47" s="114">
        <v>0.8</v>
      </c>
      <c r="K47" s="114">
        <v>0.8</v>
      </c>
      <c r="L47" s="114">
        <v>0.8</v>
      </c>
      <c r="M47" s="114">
        <v>0.8</v>
      </c>
      <c r="N47" s="114">
        <v>0.8</v>
      </c>
      <c r="O47" s="114">
        <v>0.8</v>
      </c>
      <c r="P47" s="114">
        <v>0.8</v>
      </c>
      <c r="Q47" s="114">
        <v>0.8</v>
      </c>
      <c r="R47" s="114">
        <v>0</v>
      </c>
      <c r="S47" s="114">
        <v>0.8</v>
      </c>
      <c r="T47" s="114">
        <v>0</v>
      </c>
      <c r="U47" s="114">
        <v>0.8</v>
      </c>
      <c r="V47" s="114">
        <v>0</v>
      </c>
      <c r="W47" s="114">
        <v>0.8</v>
      </c>
      <c r="X47" s="114">
        <v>0</v>
      </c>
      <c r="Y47" s="114">
        <v>0</v>
      </c>
      <c r="Z47" s="114">
        <v>0</v>
      </c>
      <c r="AA47" s="114">
        <v>0</v>
      </c>
      <c r="AB47" s="114">
        <v>0</v>
      </c>
      <c r="AC47" s="114">
        <v>0</v>
      </c>
      <c r="AD47" s="114">
        <v>0</v>
      </c>
      <c r="AE47" s="114">
        <v>0</v>
      </c>
      <c r="AF47" s="114">
        <v>0</v>
      </c>
      <c r="AG47" s="114">
        <v>0</v>
      </c>
      <c r="AH47" s="114">
        <v>0</v>
      </c>
      <c r="AI47" s="114">
        <v>0</v>
      </c>
      <c r="AJ47" s="114">
        <v>0.8</v>
      </c>
      <c r="AK47" s="114">
        <v>0</v>
      </c>
      <c r="AL47" s="114">
        <v>0</v>
      </c>
      <c r="AM47" s="114">
        <v>0</v>
      </c>
      <c r="AN47" s="114">
        <v>0.8</v>
      </c>
      <c r="AO47" s="114">
        <v>0.8</v>
      </c>
      <c r="AP47" s="114">
        <v>0.8</v>
      </c>
      <c r="AQ47" s="114">
        <v>0</v>
      </c>
      <c r="AR47" s="114">
        <v>0</v>
      </c>
      <c r="AS47" s="114">
        <v>0</v>
      </c>
      <c r="AT47" s="114">
        <v>0</v>
      </c>
      <c r="AU47" s="114">
        <v>0.8</v>
      </c>
      <c r="AV47" s="114">
        <v>0.8</v>
      </c>
      <c r="AW47" s="114">
        <v>0</v>
      </c>
      <c r="AX47" s="114">
        <v>0.8</v>
      </c>
      <c r="AY47" s="114">
        <v>0.8</v>
      </c>
      <c r="AZ47" s="114">
        <v>0</v>
      </c>
      <c r="BA47" s="114">
        <v>0</v>
      </c>
      <c r="BB47" s="114">
        <v>0.8</v>
      </c>
      <c r="BC47" s="114">
        <v>0</v>
      </c>
      <c r="BD47" s="114">
        <v>0</v>
      </c>
      <c r="BE47" s="114">
        <v>0</v>
      </c>
      <c r="BF47" s="114">
        <v>0</v>
      </c>
      <c r="BG47" s="114">
        <v>0</v>
      </c>
      <c r="BH47" s="114">
        <v>0</v>
      </c>
      <c r="BI47" s="114">
        <v>0</v>
      </c>
      <c r="BJ47" s="114">
        <v>0</v>
      </c>
      <c r="BK47" s="114">
        <v>0</v>
      </c>
      <c r="BL47" s="114">
        <v>0</v>
      </c>
      <c r="BM47" s="114">
        <v>0</v>
      </c>
      <c r="BN47" s="114">
        <v>0</v>
      </c>
      <c r="BO47" s="114">
        <v>0</v>
      </c>
      <c r="BP47" s="114">
        <v>0</v>
      </c>
      <c r="BQ47" s="114">
        <v>0</v>
      </c>
      <c r="BR47" s="114">
        <v>0</v>
      </c>
      <c r="BS47" s="114">
        <v>0</v>
      </c>
      <c r="BT47" s="114">
        <v>0</v>
      </c>
      <c r="BU47" s="114">
        <v>0</v>
      </c>
      <c r="BV47" s="114">
        <v>0</v>
      </c>
      <c r="BW47" s="114">
        <v>0</v>
      </c>
      <c r="BX47" s="114">
        <v>0</v>
      </c>
      <c r="BY47" s="114">
        <v>0</v>
      </c>
    </row>
    <row r="48" spans="1:77" x14ac:dyDescent="0.15">
      <c r="A48" s="191" t="s">
        <v>239</v>
      </c>
      <c r="B48" s="114">
        <v>0.8</v>
      </c>
      <c r="C48" s="114">
        <v>0.8</v>
      </c>
      <c r="D48" s="114">
        <v>0.8</v>
      </c>
      <c r="E48" s="114">
        <v>0.8</v>
      </c>
      <c r="F48" s="114">
        <v>0.8</v>
      </c>
      <c r="G48" s="114">
        <v>0.8</v>
      </c>
      <c r="H48" s="114">
        <v>0.8</v>
      </c>
      <c r="I48" s="114">
        <v>0.8</v>
      </c>
      <c r="J48" s="114">
        <v>0.8</v>
      </c>
      <c r="K48" s="114">
        <v>0.8</v>
      </c>
      <c r="L48" s="114">
        <v>0.8</v>
      </c>
      <c r="M48" s="114">
        <v>0.8</v>
      </c>
      <c r="N48" s="114">
        <v>0.8</v>
      </c>
      <c r="O48" s="114">
        <v>0.8</v>
      </c>
      <c r="P48" s="114">
        <v>0</v>
      </c>
      <c r="Q48" s="114">
        <v>0.8</v>
      </c>
      <c r="R48" s="114">
        <v>0.8</v>
      </c>
      <c r="S48" s="114">
        <v>0.8</v>
      </c>
      <c r="T48" s="114">
        <v>0.8</v>
      </c>
      <c r="U48" s="114">
        <v>0.8</v>
      </c>
      <c r="V48" s="114">
        <v>0</v>
      </c>
      <c r="W48" s="114">
        <v>0.8</v>
      </c>
      <c r="X48" s="114">
        <v>0.8</v>
      </c>
      <c r="Y48" s="114">
        <v>0.8</v>
      </c>
      <c r="Z48" s="114">
        <v>0.8</v>
      </c>
      <c r="AA48" s="114">
        <v>0.8</v>
      </c>
      <c r="AB48" s="114">
        <v>0</v>
      </c>
      <c r="AC48" s="114">
        <v>0.8</v>
      </c>
      <c r="AD48" s="114">
        <v>0.8</v>
      </c>
      <c r="AE48" s="114">
        <v>0</v>
      </c>
      <c r="AF48" s="114">
        <v>0</v>
      </c>
      <c r="AG48" s="114">
        <v>0.8</v>
      </c>
      <c r="AH48" s="114">
        <v>0.8</v>
      </c>
      <c r="AI48" s="114">
        <v>0.8</v>
      </c>
      <c r="AJ48" s="114">
        <v>0.8</v>
      </c>
      <c r="AK48" s="114">
        <v>0</v>
      </c>
      <c r="AL48" s="114">
        <v>0.8</v>
      </c>
      <c r="AM48" s="114">
        <v>0.8</v>
      </c>
      <c r="AN48" s="114">
        <v>0.8</v>
      </c>
      <c r="AO48" s="114">
        <v>0.8</v>
      </c>
      <c r="AP48" s="114">
        <v>0</v>
      </c>
      <c r="AQ48" s="114">
        <v>0.8</v>
      </c>
      <c r="AR48" s="114">
        <v>0.8</v>
      </c>
      <c r="AS48" s="114">
        <v>0.8</v>
      </c>
      <c r="AT48" s="114">
        <v>0.8</v>
      </c>
      <c r="AU48" s="114">
        <v>0.8</v>
      </c>
      <c r="AV48" s="114">
        <v>0.8</v>
      </c>
      <c r="AW48" s="114">
        <v>0.8</v>
      </c>
      <c r="AX48" s="114">
        <v>0.8</v>
      </c>
      <c r="AY48" s="114">
        <v>0.8</v>
      </c>
      <c r="AZ48" s="114">
        <v>0.8</v>
      </c>
      <c r="BA48" s="114">
        <v>0.8</v>
      </c>
      <c r="BB48" s="114">
        <v>0.8</v>
      </c>
      <c r="BC48" s="114">
        <v>0</v>
      </c>
      <c r="BD48" s="114">
        <v>0</v>
      </c>
      <c r="BE48" s="114">
        <v>0</v>
      </c>
      <c r="BF48" s="114">
        <v>0</v>
      </c>
      <c r="BG48" s="114">
        <v>0</v>
      </c>
      <c r="BH48" s="114">
        <v>0</v>
      </c>
      <c r="BI48" s="114">
        <v>0.8</v>
      </c>
      <c r="BJ48" s="114">
        <v>0</v>
      </c>
      <c r="BK48" s="114">
        <v>0</v>
      </c>
      <c r="BL48" s="114">
        <v>0</v>
      </c>
      <c r="BM48" s="114">
        <v>0</v>
      </c>
      <c r="BN48" s="114">
        <v>0</v>
      </c>
      <c r="BO48" s="114">
        <v>0</v>
      </c>
      <c r="BP48" s="114">
        <v>0</v>
      </c>
      <c r="BQ48" s="114">
        <v>0</v>
      </c>
      <c r="BR48" s="114">
        <v>0</v>
      </c>
      <c r="BS48" s="114">
        <v>0</v>
      </c>
      <c r="BT48" s="114">
        <v>0</v>
      </c>
      <c r="BU48" s="114">
        <v>0</v>
      </c>
      <c r="BV48" s="114">
        <v>0</v>
      </c>
      <c r="BW48" s="114">
        <v>0</v>
      </c>
      <c r="BX48" s="114">
        <v>0</v>
      </c>
      <c r="BY48" s="114">
        <v>0</v>
      </c>
    </row>
    <row r="49" spans="1:77" x14ac:dyDescent="0.15">
      <c r="A49" s="191" t="s">
        <v>240</v>
      </c>
      <c r="B49" s="114">
        <v>0</v>
      </c>
      <c r="C49" s="114">
        <v>0</v>
      </c>
      <c r="D49" s="114">
        <v>0</v>
      </c>
      <c r="E49" s="114">
        <v>0.8</v>
      </c>
      <c r="F49" s="114">
        <v>0.8</v>
      </c>
      <c r="G49" s="114">
        <v>0.8</v>
      </c>
      <c r="H49" s="114">
        <v>0.8</v>
      </c>
      <c r="I49" s="114">
        <v>0.8</v>
      </c>
      <c r="J49" s="114">
        <v>0.8</v>
      </c>
      <c r="K49" s="114">
        <v>0.8</v>
      </c>
      <c r="L49" s="114">
        <v>0.8</v>
      </c>
      <c r="M49" s="114">
        <v>0.8</v>
      </c>
      <c r="N49" s="114">
        <v>0.8</v>
      </c>
      <c r="O49" s="114">
        <v>0.8</v>
      </c>
      <c r="P49" s="114">
        <v>0.8</v>
      </c>
      <c r="Q49" s="114">
        <v>0.8</v>
      </c>
      <c r="R49" s="114">
        <v>0</v>
      </c>
      <c r="S49" s="114">
        <v>0</v>
      </c>
      <c r="T49" s="114">
        <v>0</v>
      </c>
      <c r="U49" s="114">
        <v>0.8</v>
      </c>
      <c r="V49" s="114">
        <v>0</v>
      </c>
      <c r="W49" s="114">
        <v>0</v>
      </c>
      <c r="X49" s="114">
        <v>0</v>
      </c>
      <c r="Y49" s="114">
        <v>0</v>
      </c>
      <c r="Z49" s="114">
        <v>0</v>
      </c>
      <c r="AA49" s="114">
        <v>0</v>
      </c>
      <c r="AB49" s="114">
        <v>0</v>
      </c>
      <c r="AC49" s="114">
        <v>0</v>
      </c>
      <c r="AD49" s="114">
        <v>0.8</v>
      </c>
      <c r="AE49" s="114">
        <v>0</v>
      </c>
      <c r="AF49" s="114">
        <v>0</v>
      </c>
      <c r="AG49" s="114">
        <v>0</v>
      </c>
      <c r="AH49" s="114">
        <v>0</v>
      </c>
      <c r="AI49" s="114">
        <v>0</v>
      </c>
      <c r="AJ49" s="114">
        <v>0.8</v>
      </c>
      <c r="AK49" s="114">
        <v>0.8</v>
      </c>
      <c r="AL49" s="114">
        <v>0.8</v>
      </c>
      <c r="AM49" s="114">
        <v>0.8</v>
      </c>
      <c r="AN49" s="114">
        <v>0.8</v>
      </c>
      <c r="AO49" s="114">
        <v>0.8</v>
      </c>
      <c r="AP49" s="114">
        <v>0</v>
      </c>
      <c r="AQ49" s="114">
        <v>0</v>
      </c>
      <c r="AR49" s="114">
        <v>0</v>
      </c>
      <c r="AS49" s="114">
        <v>0</v>
      </c>
      <c r="AT49" s="114">
        <v>0</v>
      </c>
      <c r="AU49" s="114">
        <v>0.8</v>
      </c>
      <c r="AV49" s="114">
        <v>0.8</v>
      </c>
      <c r="AW49" s="114">
        <v>0.8</v>
      </c>
      <c r="AX49" s="114">
        <v>0</v>
      </c>
      <c r="AY49" s="114">
        <v>0</v>
      </c>
      <c r="AZ49" s="114">
        <v>0</v>
      </c>
      <c r="BA49" s="114">
        <v>0</v>
      </c>
      <c r="BB49" s="114">
        <v>0.8</v>
      </c>
      <c r="BC49" s="114">
        <v>0</v>
      </c>
      <c r="BD49" s="114">
        <v>0</v>
      </c>
      <c r="BE49" s="114">
        <v>0</v>
      </c>
      <c r="BF49" s="114">
        <v>0</v>
      </c>
      <c r="BG49" s="114">
        <v>0</v>
      </c>
      <c r="BH49" s="114">
        <v>0</v>
      </c>
      <c r="BI49" s="114">
        <v>0</v>
      </c>
      <c r="BJ49" s="114">
        <v>0</v>
      </c>
      <c r="BK49" s="114">
        <v>0</v>
      </c>
      <c r="BL49" s="114">
        <v>0</v>
      </c>
      <c r="BM49" s="114">
        <v>0</v>
      </c>
      <c r="BN49" s="114">
        <v>0</v>
      </c>
      <c r="BO49" s="114">
        <v>0</v>
      </c>
      <c r="BP49" s="114">
        <v>0</v>
      </c>
      <c r="BQ49" s="114">
        <v>0</v>
      </c>
      <c r="BR49" s="114">
        <v>0</v>
      </c>
      <c r="BS49" s="114">
        <v>0</v>
      </c>
      <c r="BT49" s="114">
        <v>0</v>
      </c>
      <c r="BU49" s="114">
        <v>0</v>
      </c>
      <c r="BV49" s="114">
        <v>0</v>
      </c>
      <c r="BW49" s="114">
        <v>0</v>
      </c>
      <c r="BX49" s="114">
        <v>0</v>
      </c>
      <c r="BY49" s="114">
        <v>0</v>
      </c>
    </row>
    <row r="50" spans="1:77" x14ac:dyDescent="0.15">
      <c r="A50" s="191" t="s">
        <v>241</v>
      </c>
      <c r="B50" s="114">
        <v>0.8</v>
      </c>
      <c r="C50" s="114">
        <v>0.8</v>
      </c>
      <c r="D50" s="114">
        <v>0.8</v>
      </c>
      <c r="E50" s="114">
        <v>0.8</v>
      </c>
      <c r="F50" s="114">
        <v>0.8</v>
      </c>
      <c r="G50" s="114">
        <v>0.8</v>
      </c>
      <c r="H50" s="114">
        <v>0.8</v>
      </c>
      <c r="I50" s="114">
        <v>0.8</v>
      </c>
      <c r="J50" s="114">
        <v>0.8</v>
      </c>
      <c r="K50" s="114">
        <v>0.8</v>
      </c>
      <c r="L50" s="114">
        <v>0.8</v>
      </c>
      <c r="M50" s="114">
        <v>0.8</v>
      </c>
      <c r="N50" s="114">
        <v>0.8</v>
      </c>
      <c r="O50" s="114">
        <v>0.8</v>
      </c>
      <c r="P50" s="114">
        <v>0.8</v>
      </c>
      <c r="Q50" s="114">
        <v>0.8</v>
      </c>
      <c r="R50" s="114">
        <v>0.8</v>
      </c>
      <c r="S50" s="114">
        <v>0.8</v>
      </c>
      <c r="T50" s="114">
        <v>0.8</v>
      </c>
      <c r="U50" s="114">
        <v>0.8</v>
      </c>
      <c r="V50" s="114">
        <v>0.8</v>
      </c>
      <c r="W50" s="114">
        <v>0.8</v>
      </c>
      <c r="X50" s="114">
        <v>0.8</v>
      </c>
      <c r="Y50" s="114">
        <v>0.8</v>
      </c>
      <c r="Z50" s="114">
        <v>0.8</v>
      </c>
      <c r="AA50" s="114">
        <v>0.8</v>
      </c>
      <c r="AB50" s="114">
        <v>0.8</v>
      </c>
      <c r="AC50" s="114">
        <v>0.8</v>
      </c>
      <c r="AD50" s="114">
        <v>0.8</v>
      </c>
      <c r="AE50" s="114">
        <v>0.8</v>
      </c>
      <c r="AF50" s="114">
        <v>0.8</v>
      </c>
      <c r="AG50" s="114">
        <v>0.8</v>
      </c>
      <c r="AH50" s="114">
        <v>0.8</v>
      </c>
      <c r="AI50" s="114">
        <v>0.8</v>
      </c>
      <c r="AJ50" s="114">
        <v>0.8</v>
      </c>
      <c r="AK50" s="114">
        <v>0.8</v>
      </c>
      <c r="AL50" s="114">
        <v>0.8</v>
      </c>
      <c r="AM50" s="114">
        <v>0.8</v>
      </c>
      <c r="AN50" s="114">
        <v>0.8</v>
      </c>
      <c r="AO50" s="114">
        <v>0.8</v>
      </c>
      <c r="AP50" s="114">
        <v>0</v>
      </c>
      <c r="AQ50" s="114">
        <v>0.8</v>
      </c>
      <c r="AR50" s="114">
        <v>0.8</v>
      </c>
      <c r="AS50" s="114">
        <v>0.8</v>
      </c>
      <c r="AT50" s="114">
        <v>0.8</v>
      </c>
      <c r="AU50" s="114">
        <v>0.8</v>
      </c>
      <c r="AV50" s="114">
        <v>0.8</v>
      </c>
      <c r="AW50" s="114">
        <v>0.8</v>
      </c>
      <c r="AX50" s="114">
        <v>0.8</v>
      </c>
      <c r="AY50" s="114">
        <v>0.8</v>
      </c>
      <c r="AZ50" s="114">
        <v>0.8</v>
      </c>
      <c r="BA50" s="114">
        <v>0.8</v>
      </c>
      <c r="BB50" s="114">
        <v>0.8</v>
      </c>
      <c r="BC50" s="114">
        <v>0</v>
      </c>
      <c r="BD50" s="114">
        <v>0</v>
      </c>
      <c r="BE50" s="114">
        <v>0</v>
      </c>
      <c r="BF50" s="114">
        <v>0</v>
      </c>
      <c r="BG50" s="114">
        <v>0</v>
      </c>
      <c r="BH50" s="114">
        <v>0</v>
      </c>
      <c r="BI50" s="114">
        <v>0.8</v>
      </c>
      <c r="BJ50" s="114">
        <v>0</v>
      </c>
      <c r="BK50" s="114">
        <v>0</v>
      </c>
      <c r="BL50" s="114">
        <v>0</v>
      </c>
      <c r="BM50" s="114">
        <v>0</v>
      </c>
      <c r="BN50" s="114">
        <v>0.8</v>
      </c>
      <c r="BO50" s="114">
        <v>0</v>
      </c>
      <c r="BP50" s="114">
        <v>0.8</v>
      </c>
      <c r="BQ50" s="114">
        <v>0</v>
      </c>
      <c r="BR50" s="114">
        <v>0</v>
      </c>
      <c r="BS50" s="114">
        <v>0</v>
      </c>
      <c r="BT50" s="114">
        <v>0</v>
      </c>
      <c r="BU50" s="114">
        <v>0</v>
      </c>
      <c r="BV50" s="114">
        <v>0</v>
      </c>
      <c r="BW50" s="114">
        <v>0</v>
      </c>
      <c r="BX50" s="114">
        <v>0</v>
      </c>
      <c r="BY50" s="114">
        <v>0</v>
      </c>
    </row>
    <row r="51" spans="1:77" x14ac:dyDescent="0.15">
      <c r="A51" s="191" t="s">
        <v>242</v>
      </c>
      <c r="B51" s="114">
        <v>0.8</v>
      </c>
      <c r="C51" s="114">
        <v>0.8</v>
      </c>
      <c r="D51" s="114">
        <v>0.8</v>
      </c>
      <c r="E51" s="114">
        <v>0.8</v>
      </c>
      <c r="F51" s="114">
        <v>0.8</v>
      </c>
      <c r="G51" s="114">
        <v>0.8</v>
      </c>
      <c r="H51" s="114">
        <v>0.8</v>
      </c>
      <c r="I51" s="114">
        <v>0.8</v>
      </c>
      <c r="J51" s="114">
        <v>0.8</v>
      </c>
      <c r="K51" s="114">
        <v>0.8</v>
      </c>
      <c r="L51" s="114">
        <v>0.8</v>
      </c>
      <c r="M51" s="114">
        <v>0.8</v>
      </c>
      <c r="N51" s="114">
        <v>0.8</v>
      </c>
      <c r="O51" s="114">
        <v>0.8</v>
      </c>
      <c r="P51" s="114">
        <v>0.8</v>
      </c>
      <c r="Q51" s="114">
        <v>0.8</v>
      </c>
      <c r="R51" s="114">
        <v>0.8</v>
      </c>
      <c r="S51" s="114">
        <v>0.8</v>
      </c>
      <c r="T51" s="114">
        <v>0.8</v>
      </c>
      <c r="U51" s="114">
        <v>0.8</v>
      </c>
      <c r="V51" s="114">
        <v>0.8</v>
      </c>
      <c r="W51" s="114">
        <v>0.8</v>
      </c>
      <c r="X51" s="114">
        <v>0.8</v>
      </c>
      <c r="Y51" s="114">
        <v>0.8</v>
      </c>
      <c r="Z51" s="114">
        <v>0.8</v>
      </c>
      <c r="AA51" s="114">
        <v>0.8</v>
      </c>
      <c r="AB51" s="114">
        <v>0.8</v>
      </c>
      <c r="AC51" s="114">
        <v>0.8</v>
      </c>
      <c r="AD51" s="114">
        <v>0.8</v>
      </c>
      <c r="AE51" s="114">
        <v>0.8</v>
      </c>
      <c r="AF51" s="114">
        <v>0.8</v>
      </c>
      <c r="AG51" s="114">
        <v>0.8</v>
      </c>
      <c r="AH51" s="114">
        <v>0.8</v>
      </c>
      <c r="AI51" s="114">
        <v>0.8</v>
      </c>
      <c r="AJ51" s="114">
        <v>0.8</v>
      </c>
      <c r="AK51" s="114">
        <v>0.8</v>
      </c>
      <c r="AL51" s="114">
        <v>0.8</v>
      </c>
      <c r="AM51" s="114">
        <v>0.8</v>
      </c>
      <c r="AN51" s="114">
        <v>0.8</v>
      </c>
      <c r="AO51" s="114">
        <v>0.8</v>
      </c>
      <c r="AP51" s="114">
        <v>0.8</v>
      </c>
      <c r="AQ51" s="114">
        <v>0.8</v>
      </c>
      <c r="AR51" s="114">
        <v>0.8</v>
      </c>
      <c r="AS51" s="114">
        <v>0.8</v>
      </c>
      <c r="AT51" s="114">
        <v>0.8</v>
      </c>
      <c r="AU51" s="114">
        <v>0.8</v>
      </c>
      <c r="AV51" s="114">
        <v>0.8</v>
      </c>
      <c r="AW51" s="114">
        <v>0.8</v>
      </c>
      <c r="AX51" s="114">
        <v>0.8</v>
      </c>
      <c r="AY51" s="114">
        <v>0.8</v>
      </c>
      <c r="AZ51" s="114">
        <v>0.8</v>
      </c>
      <c r="BA51" s="114">
        <v>0.8</v>
      </c>
      <c r="BB51" s="114">
        <v>0.8</v>
      </c>
      <c r="BC51" s="114">
        <v>0</v>
      </c>
      <c r="BD51" s="114">
        <v>0.8</v>
      </c>
      <c r="BE51" s="114">
        <v>0</v>
      </c>
      <c r="BF51" s="114">
        <v>0</v>
      </c>
      <c r="BG51" s="114">
        <v>0</v>
      </c>
      <c r="BH51" s="114">
        <v>0</v>
      </c>
      <c r="BI51" s="114">
        <v>0.8</v>
      </c>
      <c r="BJ51" s="114">
        <v>0</v>
      </c>
      <c r="BK51" s="114">
        <v>0</v>
      </c>
      <c r="BL51" s="114">
        <v>0</v>
      </c>
      <c r="BM51" s="114">
        <v>0</v>
      </c>
      <c r="BN51" s="114">
        <v>0.8</v>
      </c>
      <c r="BO51" s="114">
        <v>0</v>
      </c>
      <c r="BP51" s="114">
        <v>0</v>
      </c>
      <c r="BQ51" s="114">
        <v>0</v>
      </c>
      <c r="BR51" s="114">
        <v>0</v>
      </c>
      <c r="BS51" s="114">
        <v>0</v>
      </c>
      <c r="BT51" s="114">
        <v>0</v>
      </c>
      <c r="BU51" s="114">
        <v>0</v>
      </c>
      <c r="BV51" s="114">
        <v>0</v>
      </c>
      <c r="BW51" s="114">
        <v>0</v>
      </c>
      <c r="BX51" s="114">
        <v>0</v>
      </c>
      <c r="BY51" s="114">
        <v>0</v>
      </c>
    </row>
    <row r="52" spans="1:77" x14ac:dyDescent="0.15">
      <c r="A52" s="191" t="s">
        <v>243</v>
      </c>
      <c r="B52" s="114">
        <v>0.8</v>
      </c>
      <c r="C52" s="114">
        <v>0</v>
      </c>
      <c r="D52" s="114">
        <v>0</v>
      </c>
      <c r="E52" s="114">
        <v>0.8</v>
      </c>
      <c r="F52" s="114">
        <v>0</v>
      </c>
      <c r="G52" s="114">
        <v>0</v>
      </c>
      <c r="H52" s="114">
        <v>0.8</v>
      </c>
      <c r="I52" s="114">
        <v>0</v>
      </c>
      <c r="J52" s="114">
        <v>0.8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0.8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0</v>
      </c>
      <c r="X52" s="114">
        <v>0</v>
      </c>
      <c r="Y52" s="114">
        <v>0</v>
      </c>
      <c r="Z52" s="114">
        <v>0</v>
      </c>
      <c r="AA52" s="114">
        <v>0</v>
      </c>
      <c r="AB52" s="114">
        <v>0</v>
      </c>
      <c r="AC52" s="114">
        <v>0</v>
      </c>
      <c r="AD52" s="114">
        <v>0</v>
      </c>
      <c r="AE52" s="114">
        <v>0</v>
      </c>
      <c r="AF52" s="114">
        <v>0</v>
      </c>
      <c r="AG52" s="114">
        <v>0</v>
      </c>
      <c r="AH52" s="114">
        <v>0</v>
      </c>
      <c r="AI52" s="114">
        <v>0</v>
      </c>
      <c r="AJ52" s="114">
        <v>0</v>
      </c>
      <c r="AK52" s="114">
        <v>0</v>
      </c>
      <c r="AL52" s="114">
        <v>0</v>
      </c>
      <c r="AM52" s="114">
        <v>0</v>
      </c>
      <c r="AN52" s="114">
        <v>0</v>
      </c>
      <c r="AO52" s="114">
        <v>0</v>
      </c>
      <c r="AP52" s="114">
        <v>0</v>
      </c>
      <c r="AQ52" s="114">
        <v>0</v>
      </c>
      <c r="AR52" s="114">
        <v>0</v>
      </c>
      <c r="AS52" s="114">
        <v>0.8</v>
      </c>
      <c r="AT52" s="114">
        <v>0</v>
      </c>
      <c r="AU52" s="114">
        <v>0</v>
      </c>
      <c r="AV52" s="114">
        <v>0</v>
      </c>
      <c r="AW52" s="114">
        <v>0</v>
      </c>
      <c r="AX52" s="114">
        <v>0</v>
      </c>
      <c r="AY52" s="114">
        <v>0</v>
      </c>
      <c r="AZ52" s="114">
        <v>0</v>
      </c>
      <c r="BA52" s="114">
        <v>0</v>
      </c>
      <c r="BB52" s="114">
        <v>0</v>
      </c>
      <c r="BC52" s="114">
        <v>0</v>
      </c>
      <c r="BD52" s="114">
        <v>0</v>
      </c>
      <c r="BE52" s="114">
        <v>0</v>
      </c>
      <c r="BF52" s="114">
        <v>0</v>
      </c>
      <c r="BG52" s="114">
        <v>0</v>
      </c>
      <c r="BH52" s="114">
        <v>0</v>
      </c>
      <c r="BI52" s="114">
        <v>0</v>
      </c>
      <c r="BJ52" s="114">
        <v>0</v>
      </c>
      <c r="BK52" s="114">
        <v>0</v>
      </c>
      <c r="BL52" s="114">
        <v>0</v>
      </c>
      <c r="BM52" s="114">
        <v>0</v>
      </c>
      <c r="BN52" s="114">
        <v>0</v>
      </c>
      <c r="BO52" s="114">
        <v>0</v>
      </c>
      <c r="BP52" s="114">
        <v>0</v>
      </c>
      <c r="BQ52" s="114">
        <v>0</v>
      </c>
      <c r="BR52" s="114">
        <v>0</v>
      </c>
      <c r="BS52" s="114">
        <v>0</v>
      </c>
      <c r="BT52" s="114">
        <v>0</v>
      </c>
      <c r="BU52" s="114">
        <v>0</v>
      </c>
      <c r="BV52" s="114">
        <v>0</v>
      </c>
      <c r="BW52" s="114">
        <v>0</v>
      </c>
      <c r="BX52" s="114">
        <v>0</v>
      </c>
      <c r="BY52" s="114">
        <v>0</v>
      </c>
    </row>
    <row r="53" spans="1:77" x14ac:dyDescent="0.15">
      <c r="A53" s="191" t="s">
        <v>244</v>
      </c>
      <c r="B53" s="114">
        <v>0.8</v>
      </c>
      <c r="C53" s="114">
        <v>0.8</v>
      </c>
      <c r="D53" s="114">
        <v>0.8</v>
      </c>
      <c r="E53" s="114">
        <v>0.8</v>
      </c>
      <c r="F53" s="114">
        <v>0.8</v>
      </c>
      <c r="G53" s="114">
        <v>0.8</v>
      </c>
      <c r="H53" s="114">
        <v>0.8</v>
      </c>
      <c r="I53" s="114">
        <v>0.8</v>
      </c>
      <c r="J53" s="114">
        <v>0.8</v>
      </c>
      <c r="K53" s="114">
        <v>0.8</v>
      </c>
      <c r="L53" s="114">
        <v>0.8</v>
      </c>
      <c r="M53" s="114">
        <v>0.8</v>
      </c>
      <c r="N53" s="114">
        <v>0.8</v>
      </c>
      <c r="O53" s="114">
        <v>0.8</v>
      </c>
      <c r="P53" s="114">
        <v>0.8</v>
      </c>
      <c r="Q53" s="114">
        <v>0.8</v>
      </c>
      <c r="R53" s="114">
        <v>0.8</v>
      </c>
      <c r="S53" s="114">
        <v>0.8</v>
      </c>
      <c r="T53" s="114">
        <v>0.8</v>
      </c>
      <c r="U53" s="114">
        <v>0.8</v>
      </c>
      <c r="V53" s="114">
        <v>0.8</v>
      </c>
      <c r="W53" s="114">
        <v>0.8</v>
      </c>
      <c r="X53" s="114">
        <v>0.8</v>
      </c>
      <c r="Y53" s="114">
        <v>0.8</v>
      </c>
      <c r="Z53" s="114">
        <v>0.8</v>
      </c>
      <c r="AA53" s="114">
        <v>0.8</v>
      </c>
      <c r="AB53" s="114">
        <v>0.8</v>
      </c>
      <c r="AC53" s="114">
        <v>0.8</v>
      </c>
      <c r="AD53" s="114">
        <v>0.8</v>
      </c>
      <c r="AE53" s="114">
        <v>0.8</v>
      </c>
      <c r="AF53" s="114">
        <v>0.8</v>
      </c>
      <c r="AG53" s="114">
        <v>0.8</v>
      </c>
      <c r="AH53" s="114">
        <v>0.8</v>
      </c>
      <c r="AI53" s="114">
        <v>0.8</v>
      </c>
      <c r="AJ53" s="114">
        <v>0.8</v>
      </c>
      <c r="AK53" s="114">
        <v>0.8</v>
      </c>
      <c r="AL53" s="114">
        <v>0.8</v>
      </c>
      <c r="AM53" s="114">
        <v>0.8</v>
      </c>
      <c r="AN53" s="114">
        <v>0.8</v>
      </c>
      <c r="AO53" s="114">
        <v>0.8</v>
      </c>
      <c r="AP53" s="114">
        <v>0.8</v>
      </c>
      <c r="AQ53" s="114">
        <v>0.8</v>
      </c>
      <c r="AR53" s="114">
        <v>0.8</v>
      </c>
      <c r="AS53" s="114">
        <v>0.8</v>
      </c>
      <c r="AT53" s="114">
        <v>0.8</v>
      </c>
      <c r="AU53" s="114">
        <v>0.8</v>
      </c>
      <c r="AV53" s="114">
        <v>0.8</v>
      </c>
      <c r="AW53" s="114">
        <v>0.8</v>
      </c>
      <c r="AX53" s="114">
        <v>0.8</v>
      </c>
      <c r="AY53" s="114">
        <v>0.8</v>
      </c>
      <c r="AZ53" s="114">
        <v>0.8</v>
      </c>
      <c r="BA53" s="114">
        <v>0.8</v>
      </c>
      <c r="BB53" s="114">
        <v>0.8</v>
      </c>
      <c r="BC53" s="114">
        <v>0.8</v>
      </c>
      <c r="BD53" s="114">
        <v>0.8</v>
      </c>
      <c r="BE53" s="114">
        <v>0.8</v>
      </c>
      <c r="BF53" s="114">
        <v>0</v>
      </c>
      <c r="BG53" s="114">
        <v>0</v>
      </c>
      <c r="BH53" s="114">
        <v>0</v>
      </c>
      <c r="BI53" s="114">
        <v>0.8</v>
      </c>
      <c r="BJ53" s="114">
        <v>0</v>
      </c>
      <c r="BK53" s="114">
        <v>0</v>
      </c>
      <c r="BL53" s="114">
        <v>0</v>
      </c>
      <c r="BM53" s="114">
        <v>0</v>
      </c>
      <c r="BN53" s="114">
        <v>0.8</v>
      </c>
      <c r="BO53" s="114">
        <v>0</v>
      </c>
      <c r="BP53" s="114">
        <v>0</v>
      </c>
      <c r="BQ53" s="114">
        <v>0</v>
      </c>
      <c r="BR53" s="114">
        <v>0</v>
      </c>
      <c r="BS53" s="114">
        <v>0</v>
      </c>
      <c r="BT53" s="114">
        <v>0</v>
      </c>
      <c r="BU53" s="114">
        <v>0</v>
      </c>
      <c r="BV53" s="114">
        <v>0</v>
      </c>
      <c r="BW53" s="114">
        <v>0</v>
      </c>
      <c r="BX53" s="114">
        <v>0</v>
      </c>
      <c r="BY53" s="114">
        <v>0</v>
      </c>
    </row>
    <row r="54" spans="1:77" x14ac:dyDescent="0.15">
      <c r="A54" s="191" t="s">
        <v>245</v>
      </c>
      <c r="B54" s="114">
        <v>0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0.8</v>
      </c>
      <c r="J54" s="114">
        <v>0</v>
      </c>
      <c r="K54" s="114">
        <v>0</v>
      </c>
      <c r="L54" s="114">
        <v>0.8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0.8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0</v>
      </c>
      <c r="AB54" s="114">
        <v>0</v>
      </c>
      <c r="AC54" s="114">
        <v>0</v>
      </c>
      <c r="AD54" s="114">
        <v>0</v>
      </c>
      <c r="AE54" s="114">
        <v>0</v>
      </c>
      <c r="AF54" s="114">
        <v>0</v>
      </c>
      <c r="AG54" s="114">
        <v>0</v>
      </c>
      <c r="AH54" s="114">
        <v>0</v>
      </c>
      <c r="AI54" s="114">
        <v>0</v>
      </c>
      <c r="AJ54" s="114">
        <v>0</v>
      </c>
      <c r="AK54" s="114">
        <v>0</v>
      </c>
      <c r="AL54" s="114">
        <v>0</v>
      </c>
      <c r="AM54" s="114">
        <v>0</v>
      </c>
      <c r="AN54" s="114">
        <v>0</v>
      </c>
      <c r="AO54" s="114">
        <v>0</v>
      </c>
      <c r="AP54" s="114">
        <v>0</v>
      </c>
      <c r="AQ54" s="114">
        <v>0</v>
      </c>
      <c r="AR54" s="114">
        <v>0</v>
      </c>
      <c r="AS54" s="114">
        <v>0</v>
      </c>
      <c r="AT54" s="114">
        <v>0</v>
      </c>
      <c r="AU54" s="114">
        <v>0.8</v>
      </c>
      <c r="AV54" s="114">
        <v>0</v>
      </c>
      <c r="AW54" s="114">
        <v>0</v>
      </c>
      <c r="AX54" s="114">
        <v>0</v>
      </c>
      <c r="AY54" s="114">
        <v>0</v>
      </c>
      <c r="AZ54" s="114">
        <v>0</v>
      </c>
      <c r="BA54" s="114">
        <v>0</v>
      </c>
      <c r="BB54" s="114">
        <v>0.8</v>
      </c>
      <c r="BC54" s="114">
        <v>0</v>
      </c>
      <c r="BD54" s="114">
        <v>0</v>
      </c>
      <c r="BE54" s="114">
        <v>0</v>
      </c>
      <c r="BF54" s="114">
        <v>0</v>
      </c>
      <c r="BG54" s="114">
        <v>0</v>
      </c>
      <c r="BH54" s="114">
        <v>0</v>
      </c>
      <c r="BI54" s="114">
        <v>0</v>
      </c>
      <c r="BJ54" s="114">
        <v>0</v>
      </c>
      <c r="BK54" s="114">
        <v>0</v>
      </c>
      <c r="BL54" s="114">
        <v>0</v>
      </c>
      <c r="BM54" s="114">
        <v>0</v>
      </c>
      <c r="BN54" s="114">
        <v>0</v>
      </c>
      <c r="BO54" s="114">
        <v>0</v>
      </c>
      <c r="BP54" s="114">
        <v>0</v>
      </c>
      <c r="BQ54" s="114">
        <v>0</v>
      </c>
      <c r="BR54" s="114">
        <v>0</v>
      </c>
      <c r="BS54" s="114">
        <v>0</v>
      </c>
      <c r="BT54" s="114">
        <v>0</v>
      </c>
      <c r="BU54" s="114">
        <v>0</v>
      </c>
      <c r="BV54" s="114">
        <v>0</v>
      </c>
      <c r="BW54" s="114">
        <v>0</v>
      </c>
      <c r="BX54" s="114">
        <v>0</v>
      </c>
      <c r="BY54" s="114">
        <v>0</v>
      </c>
    </row>
    <row r="55" spans="1:77" x14ac:dyDescent="0.15">
      <c r="A55" s="191" t="s">
        <v>246</v>
      </c>
      <c r="B55" s="114">
        <v>0.8</v>
      </c>
      <c r="C55" s="114">
        <v>0</v>
      </c>
      <c r="D55" s="114">
        <v>0</v>
      </c>
      <c r="E55" s="114">
        <v>0.8</v>
      </c>
      <c r="F55" s="114">
        <v>0.8</v>
      </c>
      <c r="G55" s="114">
        <v>0.8</v>
      </c>
      <c r="H55" s="114">
        <v>0.8</v>
      </c>
      <c r="I55" s="114">
        <v>0.8</v>
      </c>
      <c r="J55" s="114">
        <v>0</v>
      </c>
      <c r="K55" s="114">
        <v>0</v>
      </c>
      <c r="L55" s="114">
        <v>0.8</v>
      </c>
      <c r="M55" s="114">
        <v>0.8</v>
      </c>
      <c r="N55" s="114">
        <v>0.8</v>
      </c>
      <c r="O55" s="114">
        <v>0.8</v>
      </c>
      <c r="P55" s="114">
        <v>0.8</v>
      </c>
      <c r="Q55" s="114">
        <v>0.8</v>
      </c>
      <c r="R55" s="114">
        <v>0.8</v>
      </c>
      <c r="S55" s="114">
        <v>0.8</v>
      </c>
      <c r="T55" s="114">
        <v>0</v>
      </c>
      <c r="U55" s="114">
        <v>0.8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>
        <v>0</v>
      </c>
      <c r="AC55" s="114">
        <v>0</v>
      </c>
      <c r="AD55" s="114">
        <v>0</v>
      </c>
      <c r="AE55" s="114">
        <v>0</v>
      </c>
      <c r="AF55" s="114">
        <v>0</v>
      </c>
      <c r="AG55" s="114">
        <v>0</v>
      </c>
      <c r="AH55" s="114">
        <v>0</v>
      </c>
      <c r="AI55" s="114">
        <v>0</v>
      </c>
      <c r="AJ55" s="114">
        <v>0</v>
      </c>
      <c r="AK55" s="114">
        <v>0</v>
      </c>
      <c r="AL55" s="114">
        <v>0</v>
      </c>
      <c r="AM55" s="114">
        <v>0</v>
      </c>
      <c r="AN55" s="114">
        <v>0</v>
      </c>
      <c r="AO55" s="114">
        <v>0</v>
      </c>
      <c r="AP55" s="114">
        <v>0</v>
      </c>
      <c r="AQ55" s="114">
        <v>0</v>
      </c>
      <c r="AR55" s="114">
        <v>0.8</v>
      </c>
      <c r="AS55" s="114">
        <v>0</v>
      </c>
      <c r="AT55" s="114">
        <v>0</v>
      </c>
      <c r="AU55" s="114">
        <v>0.8</v>
      </c>
      <c r="AV55" s="114">
        <v>0</v>
      </c>
      <c r="AW55" s="114">
        <v>0</v>
      </c>
      <c r="AX55" s="114">
        <v>0</v>
      </c>
      <c r="AY55" s="114">
        <v>0</v>
      </c>
      <c r="AZ55" s="114">
        <v>0</v>
      </c>
      <c r="BA55" s="114">
        <v>0</v>
      </c>
      <c r="BB55" s="114">
        <v>0</v>
      </c>
      <c r="BC55" s="114">
        <v>0</v>
      </c>
      <c r="BD55" s="114">
        <v>0</v>
      </c>
      <c r="BE55" s="114">
        <v>0</v>
      </c>
      <c r="BF55" s="114">
        <v>0</v>
      </c>
      <c r="BG55" s="114">
        <v>0</v>
      </c>
      <c r="BH55" s="114">
        <v>0</v>
      </c>
      <c r="BI55" s="114">
        <v>0</v>
      </c>
      <c r="BJ55" s="114">
        <v>0</v>
      </c>
      <c r="BK55" s="114">
        <v>0</v>
      </c>
      <c r="BL55" s="114">
        <v>0</v>
      </c>
      <c r="BM55" s="114">
        <v>0</v>
      </c>
      <c r="BN55" s="114">
        <v>0</v>
      </c>
      <c r="BO55" s="114">
        <v>0</v>
      </c>
      <c r="BP55" s="114">
        <v>0</v>
      </c>
      <c r="BQ55" s="114">
        <v>0</v>
      </c>
      <c r="BR55" s="114">
        <v>0</v>
      </c>
      <c r="BS55" s="114">
        <v>0</v>
      </c>
      <c r="BT55" s="114">
        <v>0</v>
      </c>
      <c r="BU55" s="114">
        <v>0</v>
      </c>
      <c r="BV55" s="114">
        <v>0</v>
      </c>
      <c r="BW55" s="114">
        <v>0</v>
      </c>
      <c r="BX55" s="114">
        <v>0</v>
      </c>
      <c r="BY55" s="114">
        <v>0</v>
      </c>
    </row>
    <row r="56" spans="1:77" x14ac:dyDescent="0.15">
      <c r="A56" s="191" t="s">
        <v>247</v>
      </c>
      <c r="B56" s="114">
        <v>0.8</v>
      </c>
      <c r="C56" s="114">
        <v>0.8</v>
      </c>
      <c r="D56" s="114">
        <v>0</v>
      </c>
      <c r="E56" s="114">
        <v>0.8</v>
      </c>
      <c r="F56" s="114">
        <v>0.8</v>
      </c>
      <c r="G56" s="114">
        <v>0.8</v>
      </c>
      <c r="H56" s="114">
        <v>0.8</v>
      </c>
      <c r="I56" s="114">
        <v>0.8</v>
      </c>
      <c r="J56" s="114">
        <v>0.8</v>
      </c>
      <c r="K56" s="114">
        <v>0.8</v>
      </c>
      <c r="L56" s="114">
        <v>0.8</v>
      </c>
      <c r="M56" s="114">
        <v>0.8</v>
      </c>
      <c r="N56" s="114">
        <v>0.8</v>
      </c>
      <c r="O56" s="114">
        <v>0.8</v>
      </c>
      <c r="P56" s="114">
        <v>0.8</v>
      </c>
      <c r="Q56" s="114">
        <v>0.8</v>
      </c>
      <c r="R56" s="114">
        <v>0.8</v>
      </c>
      <c r="S56" s="114">
        <v>0.8</v>
      </c>
      <c r="T56" s="114">
        <v>0.8</v>
      </c>
      <c r="U56" s="114">
        <v>0.8</v>
      </c>
      <c r="V56" s="114">
        <v>0.8</v>
      </c>
      <c r="W56" s="114">
        <v>0.8</v>
      </c>
      <c r="X56" s="114">
        <v>0.8</v>
      </c>
      <c r="Y56" s="114">
        <v>0.8</v>
      </c>
      <c r="Z56" s="114">
        <v>0.8</v>
      </c>
      <c r="AA56" s="114">
        <v>0.8</v>
      </c>
      <c r="AB56" s="114">
        <v>0.8</v>
      </c>
      <c r="AC56" s="114">
        <v>0.8</v>
      </c>
      <c r="AD56" s="114">
        <v>0.8</v>
      </c>
      <c r="AE56" s="114">
        <v>0.8</v>
      </c>
      <c r="AF56" s="114">
        <v>0.8</v>
      </c>
      <c r="AG56" s="114">
        <v>0.8</v>
      </c>
      <c r="AH56" s="114">
        <v>0.8</v>
      </c>
      <c r="AI56" s="114">
        <v>0.8</v>
      </c>
      <c r="AJ56" s="114">
        <v>0.8</v>
      </c>
      <c r="AK56" s="114">
        <v>0.8</v>
      </c>
      <c r="AL56" s="114">
        <v>0</v>
      </c>
      <c r="AM56" s="114">
        <v>0.8</v>
      </c>
      <c r="AN56" s="114">
        <v>0.8</v>
      </c>
      <c r="AO56" s="114">
        <v>0.8</v>
      </c>
      <c r="AP56" s="114">
        <v>0</v>
      </c>
      <c r="AQ56" s="114">
        <v>0.8</v>
      </c>
      <c r="AR56" s="114">
        <v>0.8</v>
      </c>
      <c r="AS56" s="114">
        <v>0.8</v>
      </c>
      <c r="AT56" s="114">
        <v>0.8</v>
      </c>
      <c r="AU56" s="114">
        <v>0.8</v>
      </c>
      <c r="AV56" s="114">
        <v>0.8</v>
      </c>
      <c r="AW56" s="114">
        <v>0.8</v>
      </c>
      <c r="AX56" s="114">
        <v>0.8</v>
      </c>
      <c r="AY56" s="114">
        <v>0.8</v>
      </c>
      <c r="AZ56" s="114">
        <v>0.8</v>
      </c>
      <c r="BA56" s="114">
        <v>0.8</v>
      </c>
      <c r="BB56" s="114">
        <v>0</v>
      </c>
      <c r="BC56" s="114">
        <v>0</v>
      </c>
      <c r="BD56" s="114">
        <v>0</v>
      </c>
      <c r="BE56" s="114">
        <v>0</v>
      </c>
      <c r="BF56" s="114">
        <v>0</v>
      </c>
      <c r="BG56" s="114">
        <v>0</v>
      </c>
      <c r="BH56" s="114">
        <v>0</v>
      </c>
      <c r="BI56" s="114">
        <v>0.8</v>
      </c>
      <c r="BJ56" s="114">
        <v>0</v>
      </c>
      <c r="BK56" s="114">
        <v>0</v>
      </c>
      <c r="BL56" s="114">
        <v>0</v>
      </c>
      <c r="BM56" s="114">
        <v>0</v>
      </c>
      <c r="BN56" s="114">
        <v>0.8</v>
      </c>
      <c r="BO56" s="114">
        <v>0</v>
      </c>
      <c r="BP56" s="114">
        <v>0.8</v>
      </c>
      <c r="BQ56" s="114">
        <v>0</v>
      </c>
      <c r="BR56" s="114">
        <v>0.8</v>
      </c>
      <c r="BS56" s="114">
        <v>0</v>
      </c>
      <c r="BT56" s="114">
        <v>0.8</v>
      </c>
      <c r="BU56" s="114">
        <v>0</v>
      </c>
      <c r="BV56" s="114">
        <v>0</v>
      </c>
      <c r="BW56" s="114">
        <v>0</v>
      </c>
      <c r="BX56" s="114">
        <v>0</v>
      </c>
      <c r="BY56" s="114">
        <v>0</v>
      </c>
    </row>
    <row r="57" spans="1:77" x14ac:dyDescent="0.15">
      <c r="A57" s="191" t="s">
        <v>248</v>
      </c>
      <c r="B57" s="114">
        <v>0.8</v>
      </c>
      <c r="C57" s="114">
        <v>0.8</v>
      </c>
      <c r="D57" s="114">
        <v>0</v>
      </c>
      <c r="E57" s="114">
        <v>0.8</v>
      </c>
      <c r="F57" s="114">
        <v>0.8</v>
      </c>
      <c r="G57" s="114">
        <v>0.8</v>
      </c>
      <c r="H57" s="114">
        <v>0.8</v>
      </c>
      <c r="I57" s="114">
        <v>0.8</v>
      </c>
      <c r="J57" s="114">
        <v>0</v>
      </c>
      <c r="K57" s="114">
        <v>0.8</v>
      </c>
      <c r="L57" s="114">
        <v>0.8</v>
      </c>
      <c r="M57" s="114">
        <v>0.8</v>
      </c>
      <c r="N57" s="114">
        <v>0.8</v>
      </c>
      <c r="O57" s="114">
        <v>0.8</v>
      </c>
      <c r="P57" s="114">
        <v>0.8</v>
      </c>
      <c r="Q57" s="114">
        <v>0.8</v>
      </c>
      <c r="R57" s="114">
        <v>0.8</v>
      </c>
      <c r="S57" s="114">
        <v>0.8</v>
      </c>
      <c r="T57" s="114">
        <v>0</v>
      </c>
      <c r="U57" s="114">
        <v>0.8</v>
      </c>
      <c r="V57" s="114">
        <v>0</v>
      </c>
      <c r="W57" s="114">
        <v>0.8</v>
      </c>
      <c r="X57" s="114">
        <v>0.8</v>
      </c>
      <c r="Y57" s="114">
        <v>0.8</v>
      </c>
      <c r="Z57" s="114">
        <v>0.8</v>
      </c>
      <c r="AA57" s="114">
        <v>0.8</v>
      </c>
      <c r="AB57" s="114">
        <v>0.8</v>
      </c>
      <c r="AC57" s="114">
        <v>0.8</v>
      </c>
      <c r="AD57" s="114">
        <v>0.8</v>
      </c>
      <c r="AE57" s="114">
        <v>0.8</v>
      </c>
      <c r="AF57" s="114">
        <v>0.8</v>
      </c>
      <c r="AG57" s="114">
        <v>0.8</v>
      </c>
      <c r="AH57" s="114">
        <v>0.8</v>
      </c>
      <c r="AI57" s="114">
        <v>0.8</v>
      </c>
      <c r="AJ57" s="114">
        <v>0.8</v>
      </c>
      <c r="AK57" s="114">
        <v>0.8</v>
      </c>
      <c r="AL57" s="114">
        <v>0</v>
      </c>
      <c r="AM57" s="114">
        <v>0.8</v>
      </c>
      <c r="AN57" s="114">
        <v>0.8</v>
      </c>
      <c r="AO57" s="114">
        <v>0.8</v>
      </c>
      <c r="AP57" s="114">
        <v>0</v>
      </c>
      <c r="AQ57" s="114">
        <v>0.8</v>
      </c>
      <c r="AR57" s="114">
        <v>0.8</v>
      </c>
      <c r="AS57" s="114">
        <v>0.8</v>
      </c>
      <c r="AT57" s="114">
        <v>0.8</v>
      </c>
      <c r="AU57" s="114">
        <v>0.8</v>
      </c>
      <c r="AV57" s="114">
        <v>0</v>
      </c>
      <c r="AW57" s="114">
        <v>0.8</v>
      </c>
      <c r="AX57" s="114">
        <v>0.8</v>
      </c>
      <c r="AY57" s="114">
        <v>0.8</v>
      </c>
      <c r="AZ57" s="114">
        <v>0.8</v>
      </c>
      <c r="BA57" s="114">
        <v>0</v>
      </c>
      <c r="BB57" s="114">
        <v>0.8</v>
      </c>
      <c r="BC57" s="114">
        <v>0</v>
      </c>
      <c r="BD57" s="114">
        <v>0</v>
      </c>
      <c r="BE57" s="114">
        <v>0</v>
      </c>
      <c r="BF57" s="114">
        <v>0</v>
      </c>
      <c r="BG57" s="114">
        <v>0</v>
      </c>
      <c r="BH57" s="114">
        <v>0</v>
      </c>
      <c r="BI57" s="114">
        <v>0</v>
      </c>
      <c r="BJ57" s="114">
        <v>0</v>
      </c>
      <c r="BK57" s="114">
        <v>0</v>
      </c>
      <c r="BL57" s="114">
        <v>0</v>
      </c>
      <c r="BM57" s="114">
        <v>0</v>
      </c>
      <c r="BN57" s="114">
        <v>0.8</v>
      </c>
      <c r="BO57" s="114">
        <v>0</v>
      </c>
      <c r="BP57" s="114">
        <v>0</v>
      </c>
      <c r="BQ57" s="114">
        <v>0</v>
      </c>
      <c r="BR57" s="114">
        <v>0</v>
      </c>
      <c r="BS57" s="114">
        <v>0</v>
      </c>
      <c r="BT57" s="114">
        <v>0</v>
      </c>
      <c r="BU57" s="114">
        <v>0</v>
      </c>
      <c r="BV57" s="114">
        <v>0</v>
      </c>
      <c r="BW57" s="114">
        <v>0</v>
      </c>
      <c r="BX57" s="114">
        <v>0</v>
      </c>
      <c r="BY57" s="114">
        <v>0</v>
      </c>
    </row>
    <row r="58" spans="1:77" x14ac:dyDescent="0.15">
      <c r="A58" s="191" t="s">
        <v>249</v>
      </c>
      <c r="B58" s="114">
        <v>0.8</v>
      </c>
      <c r="C58" s="114">
        <v>0.8</v>
      </c>
      <c r="D58" s="114">
        <v>0</v>
      </c>
      <c r="E58" s="114">
        <v>0.8</v>
      </c>
      <c r="F58" s="114">
        <v>0.8</v>
      </c>
      <c r="G58" s="114">
        <v>0.8</v>
      </c>
      <c r="H58" s="114">
        <v>0.8</v>
      </c>
      <c r="I58" s="114">
        <v>0.8</v>
      </c>
      <c r="J58" s="114">
        <v>0</v>
      </c>
      <c r="K58" s="114">
        <v>0</v>
      </c>
      <c r="L58" s="114">
        <v>0.8</v>
      </c>
      <c r="M58" s="114">
        <v>0.8</v>
      </c>
      <c r="N58" s="114">
        <v>0.8</v>
      </c>
      <c r="O58" s="114">
        <v>0.8</v>
      </c>
      <c r="P58" s="114">
        <v>0.8</v>
      </c>
      <c r="Q58" s="114">
        <v>0.8</v>
      </c>
      <c r="R58" s="114">
        <v>0.8</v>
      </c>
      <c r="S58" s="114">
        <v>0</v>
      </c>
      <c r="T58" s="114">
        <v>0</v>
      </c>
      <c r="U58" s="114">
        <v>0.8</v>
      </c>
      <c r="V58" s="114">
        <v>0</v>
      </c>
      <c r="W58" s="114">
        <v>0.8</v>
      </c>
      <c r="X58" s="114">
        <v>0.8</v>
      </c>
      <c r="Y58" s="114">
        <v>0</v>
      </c>
      <c r="Z58" s="114">
        <v>0</v>
      </c>
      <c r="AA58" s="114">
        <v>0</v>
      </c>
      <c r="AB58" s="114">
        <v>0</v>
      </c>
      <c r="AC58" s="114">
        <v>0</v>
      </c>
      <c r="AD58" s="114">
        <v>0</v>
      </c>
      <c r="AE58" s="114">
        <v>0</v>
      </c>
      <c r="AF58" s="114">
        <v>0</v>
      </c>
      <c r="AG58" s="114">
        <v>0</v>
      </c>
      <c r="AH58" s="114">
        <v>0</v>
      </c>
      <c r="AI58" s="114">
        <v>0</v>
      </c>
      <c r="AJ58" s="114">
        <v>0</v>
      </c>
      <c r="AK58" s="114">
        <v>0</v>
      </c>
      <c r="AL58" s="114">
        <v>0</v>
      </c>
      <c r="AM58" s="114">
        <v>0</v>
      </c>
      <c r="AN58" s="114">
        <v>0</v>
      </c>
      <c r="AO58" s="114">
        <v>0</v>
      </c>
      <c r="AP58" s="114">
        <v>0</v>
      </c>
      <c r="AQ58" s="114">
        <v>0</v>
      </c>
      <c r="AR58" s="114">
        <v>0.8</v>
      </c>
      <c r="AS58" s="114">
        <v>0.8</v>
      </c>
      <c r="AT58" s="114">
        <v>0.8</v>
      </c>
      <c r="AU58" s="114">
        <v>0.8</v>
      </c>
      <c r="AV58" s="114">
        <v>0.8</v>
      </c>
      <c r="AW58" s="114">
        <v>0.8</v>
      </c>
      <c r="AX58" s="114">
        <v>0.8</v>
      </c>
      <c r="AY58" s="114">
        <v>0.8</v>
      </c>
      <c r="AZ58" s="114">
        <v>0</v>
      </c>
      <c r="BA58" s="114">
        <v>0.8</v>
      </c>
      <c r="BB58" s="114">
        <v>0</v>
      </c>
      <c r="BC58" s="114">
        <v>0.8</v>
      </c>
      <c r="BD58" s="114">
        <v>0</v>
      </c>
      <c r="BE58" s="114">
        <v>0</v>
      </c>
      <c r="BF58" s="114">
        <v>0.8</v>
      </c>
      <c r="BG58" s="114">
        <v>0</v>
      </c>
      <c r="BH58" s="114">
        <v>0</v>
      </c>
      <c r="BI58" s="114">
        <v>0.8</v>
      </c>
      <c r="BJ58" s="114">
        <v>0</v>
      </c>
      <c r="BK58" s="114">
        <v>0</v>
      </c>
      <c r="BL58" s="114">
        <v>0</v>
      </c>
      <c r="BM58" s="114">
        <v>0</v>
      </c>
      <c r="BN58" s="114">
        <v>0</v>
      </c>
      <c r="BO58" s="114">
        <v>0</v>
      </c>
      <c r="BP58" s="114">
        <v>0</v>
      </c>
      <c r="BQ58" s="114">
        <v>0</v>
      </c>
      <c r="BR58" s="114">
        <v>0</v>
      </c>
      <c r="BS58" s="114">
        <v>0</v>
      </c>
      <c r="BT58" s="114">
        <v>0</v>
      </c>
      <c r="BU58" s="114">
        <v>0</v>
      </c>
      <c r="BV58" s="114">
        <v>0</v>
      </c>
      <c r="BW58" s="114">
        <v>0</v>
      </c>
      <c r="BX58" s="114">
        <v>0</v>
      </c>
      <c r="BY58" s="114">
        <v>0</v>
      </c>
    </row>
    <row r="59" spans="1:77" x14ac:dyDescent="0.15">
      <c r="A59" s="191" t="s">
        <v>250</v>
      </c>
      <c r="B59" s="114">
        <v>0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0.8</v>
      </c>
      <c r="I59" s="114">
        <v>0.8</v>
      </c>
      <c r="J59" s="114">
        <v>0</v>
      </c>
      <c r="K59" s="114">
        <v>0</v>
      </c>
      <c r="L59" s="114">
        <v>0.8</v>
      </c>
      <c r="M59" s="114">
        <v>0</v>
      </c>
      <c r="N59" s="114">
        <v>0.8</v>
      </c>
      <c r="O59" s="114">
        <v>0.8</v>
      </c>
      <c r="P59" s="114">
        <v>0</v>
      </c>
      <c r="Q59" s="114">
        <v>0.8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>
        <v>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</v>
      </c>
      <c r="AI59" s="114">
        <v>0</v>
      </c>
      <c r="AJ59" s="114">
        <v>0</v>
      </c>
      <c r="AK59" s="114">
        <v>0</v>
      </c>
      <c r="AL59" s="114">
        <v>0</v>
      </c>
      <c r="AM59" s="114">
        <v>0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0.8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</v>
      </c>
      <c r="BE59" s="114">
        <v>0</v>
      </c>
      <c r="BF59" s="114">
        <v>0</v>
      </c>
      <c r="BG59" s="114">
        <v>0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</row>
    <row r="60" spans="1:77" x14ac:dyDescent="0.15">
      <c r="A60" s="191" t="s">
        <v>251</v>
      </c>
      <c r="B60" s="114">
        <v>0.8</v>
      </c>
      <c r="C60" s="114">
        <v>0.8</v>
      </c>
      <c r="D60" s="114">
        <v>0.8</v>
      </c>
      <c r="E60" s="114">
        <v>0.8</v>
      </c>
      <c r="F60" s="114">
        <v>0.8</v>
      </c>
      <c r="G60" s="114">
        <v>0.8</v>
      </c>
      <c r="H60" s="114">
        <v>0.8</v>
      </c>
      <c r="I60" s="114">
        <v>0.8</v>
      </c>
      <c r="J60" s="114">
        <v>0</v>
      </c>
      <c r="K60" s="114">
        <v>0</v>
      </c>
      <c r="L60" s="114">
        <v>0.8</v>
      </c>
      <c r="M60" s="114">
        <v>0.8</v>
      </c>
      <c r="N60" s="114">
        <v>0.8</v>
      </c>
      <c r="O60" s="114">
        <v>0.8</v>
      </c>
      <c r="P60" s="114">
        <v>0.8</v>
      </c>
      <c r="Q60" s="114">
        <v>0.8</v>
      </c>
      <c r="R60" s="114">
        <v>0.8</v>
      </c>
      <c r="S60" s="114">
        <v>0</v>
      </c>
      <c r="T60" s="114">
        <v>0.8</v>
      </c>
      <c r="U60" s="114">
        <v>0</v>
      </c>
      <c r="V60" s="114">
        <v>0</v>
      </c>
      <c r="W60" s="114">
        <v>0</v>
      </c>
      <c r="X60" s="114">
        <v>0.8</v>
      </c>
      <c r="Y60" s="114">
        <v>0</v>
      </c>
      <c r="Z60" s="114">
        <v>0</v>
      </c>
      <c r="AA60" s="114">
        <v>0</v>
      </c>
      <c r="AB60" s="114">
        <v>0</v>
      </c>
      <c r="AC60" s="114">
        <v>0</v>
      </c>
      <c r="AD60" s="114">
        <v>0</v>
      </c>
      <c r="AE60" s="114">
        <v>0</v>
      </c>
      <c r="AF60" s="114">
        <v>0</v>
      </c>
      <c r="AG60" s="114">
        <v>0</v>
      </c>
      <c r="AH60" s="114">
        <v>0</v>
      </c>
      <c r="AI60" s="114">
        <v>0</v>
      </c>
      <c r="AJ60" s="114">
        <v>0</v>
      </c>
      <c r="AK60" s="114">
        <v>0</v>
      </c>
      <c r="AL60" s="114">
        <v>0</v>
      </c>
      <c r="AM60" s="114">
        <v>0</v>
      </c>
      <c r="AN60" s="114">
        <v>0.8</v>
      </c>
      <c r="AO60" s="114">
        <v>0.8</v>
      </c>
      <c r="AP60" s="114">
        <v>0</v>
      </c>
      <c r="AQ60" s="114">
        <v>0</v>
      </c>
      <c r="AR60" s="114">
        <v>0</v>
      </c>
      <c r="AS60" s="114">
        <v>0</v>
      </c>
      <c r="AT60" s="114">
        <v>0</v>
      </c>
      <c r="AU60" s="114">
        <v>0.8</v>
      </c>
      <c r="AV60" s="114">
        <v>0.8</v>
      </c>
      <c r="AW60" s="114">
        <v>0.8</v>
      </c>
      <c r="AX60" s="114">
        <v>0.8</v>
      </c>
      <c r="AY60" s="114">
        <v>0.8</v>
      </c>
      <c r="AZ60" s="114">
        <v>0</v>
      </c>
      <c r="BA60" s="114">
        <v>0</v>
      </c>
      <c r="BB60" s="114">
        <v>0.8</v>
      </c>
      <c r="BC60" s="114">
        <v>0</v>
      </c>
      <c r="BD60" s="114">
        <v>0</v>
      </c>
      <c r="BE60" s="114">
        <v>0</v>
      </c>
      <c r="BF60" s="114">
        <v>0</v>
      </c>
      <c r="BG60" s="114">
        <v>0.8</v>
      </c>
      <c r="BH60" s="114">
        <v>0.8</v>
      </c>
      <c r="BI60" s="114">
        <v>0.8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</v>
      </c>
    </row>
    <row r="61" spans="1:77" x14ac:dyDescent="0.15">
      <c r="A61" s="191" t="s">
        <v>252</v>
      </c>
      <c r="B61" s="114">
        <v>0.8</v>
      </c>
      <c r="C61" s="114">
        <v>0.8</v>
      </c>
      <c r="D61" s="114">
        <v>0.8</v>
      </c>
      <c r="E61" s="114">
        <v>0.8</v>
      </c>
      <c r="F61" s="114">
        <v>0.8</v>
      </c>
      <c r="G61" s="114">
        <v>0.8</v>
      </c>
      <c r="H61" s="114">
        <v>0.8</v>
      </c>
      <c r="I61" s="114">
        <v>0.8</v>
      </c>
      <c r="J61" s="114">
        <v>0.8</v>
      </c>
      <c r="K61" s="114">
        <v>0.8</v>
      </c>
      <c r="L61" s="114">
        <v>0.8</v>
      </c>
      <c r="M61" s="114">
        <v>0.8</v>
      </c>
      <c r="N61" s="114">
        <v>0.8</v>
      </c>
      <c r="O61" s="114">
        <v>0.8</v>
      </c>
      <c r="P61" s="114">
        <v>0.8</v>
      </c>
      <c r="Q61" s="114">
        <v>0.8</v>
      </c>
      <c r="R61" s="114">
        <v>0.8</v>
      </c>
      <c r="S61" s="114">
        <v>0.8</v>
      </c>
      <c r="T61" s="114">
        <v>0.8</v>
      </c>
      <c r="U61" s="114">
        <v>0.8</v>
      </c>
      <c r="V61" s="114">
        <v>0.8</v>
      </c>
      <c r="W61" s="114">
        <v>0.8</v>
      </c>
      <c r="X61" s="114">
        <v>0.8</v>
      </c>
      <c r="Y61" s="114">
        <v>0.8</v>
      </c>
      <c r="Z61" s="114">
        <v>0.8</v>
      </c>
      <c r="AA61" s="114">
        <v>0.8</v>
      </c>
      <c r="AB61" s="114">
        <v>0.8</v>
      </c>
      <c r="AC61" s="114">
        <v>0.8</v>
      </c>
      <c r="AD61" s="114">
        <v>0.8</v>
      </c>
      <c r="AE61" s="114">
        <v>0.8</v>
      </c>
      <c r="AF61" s="114">
        <v>0.8</v>
      </c>
      <c r="AG61" s="114">
        <v>0.8</v>
      </c>
      <c r="AH61" s="114">
        <v>0.8</v>
      </c>
      <c r="AI61" s="114">
        <v>0.8</v>
      </c>
      <c r="AJ61" s="114">
        <v>0.8</v>
      </c>
      <c r="AK61" s="114">
        <v>0.8</v>
      </c>
      <c r="AL61" s="114">
        <v>0.8</v>
      </c>
      <c r="AM61" s="114">
        <v>0.8</v>
      </c>
      <c r="AN61" s="114">
        <v>0.8</v>
      </c>
      <c r="AO61" s="114">
        <v>0.8</v>
      </c>
      <c r="AP61" s="114">
        <v>0.8</v>
      </c>
      <c r="AQ61" s="114">
        <v>0.8</v>
      </c>
      <c r="AR61" s="114">
        <v>0.8</v>
      </c>
      <c r="AS61" s="114">
        <v>0.8</v>
      </c>
      <c r="AT61" s="114">
        <v>0.8</v>
      </c>
      <c r="AU61" s="114">
        <v>0.8</v>
      </c>
      <c r="AV61" s="114">
        <v>0.8</v>
      </c>
      <c r="AW61" s="114">
        <v>0.8</v>
      </c>
      <c r="AX61" s="114">
        <v>0.8</v>
      </c>
      <c r="AY61" s="114">
        <v>0.8</v>
      </c>
      <c r="AZ61" s="114">
        <v>0</v>
      </c>
      <c r="BA61" s="114">
        <v>0.8</v>
      </c>
      <c r="BB61" s="114">
        <v>0.8</v>
      </c>
      <c r="BC61" s="114">
        <v>0</v>
      </c>
      <c r="BD61" s="114">
        <v>0.8</v>
      </c>
      <c r="BE61" s="114">
        <v>0</v>
      </c>
      <c r="BF61" s="114">
        <v>0.8</v>
      </c>
      <c r="BG61" s="114">
        <v>0</v>
      </c>
      <c r="BH61" s="114">
        <v>0</v>
      </c>
      <c r="BI61" s="114">
        <v>0.8</v>
      </c>
      <c r="BJ61" s="114">
        <v>0</v>
      </c>
      <c r="BK61" s="114">
        <v>0.8</v>
      </c>
      <c r="BL61" s="114">
        <v>0</v>
      </c>
      <c r="BM61" s="114">
        <v>0</v>
      </c>
      <c r="BN61" s="114">
        <v>0.8</v>
      </c>
      <c r="BO61" s="114">
        <v>0</v>
      </c>
      <c r="BP61" s="114">
        <v>0.8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</row>
    <row r="62" spans="1:77" x14ac:dyDescent="0.15">
      <c r="A62" s="191" t="s">
        <v>253</v>
      </c>
      <c r="B62" s="114">
        <v>0.8</v>
      </c>
      <c r="C62" s="114">
        <v>0.8</v>
      </c>
      <c r="D62" s="114">
        <v>0.8</v>
      </c>
      <c r="E62" s="114">
        <v>0.8</v>
      </c>
      <c r="F62" s="114">
        <v>0.8</v>
      </c>
      <c r="G62" s="114">
        <v>0.8</v>
      </c>
      <c r="H62" s="114">
        <v>0.8</v>
      </c>
      <c r="I62" s="114">
        <v>0.8</v>
      </c>
      <c r="J62" s="114">
        <v>0.8</v>
      </c>
      <c r="K62" s="114">
        <v>0.8</v>
      </c>
      <c r="L62" s="114">
        <v>0.8</v>
      </c>
      <c r="M62" s="114">
        <v>0.8</v>
      </c>
      <c r="N62" s="114">
        <v>0.8</v>
      </c>
      <c r="O62" s="114">
        <v>0.8</v>
      </c>
      <c r="P62" s="114">
        <v>0.8</v>
      </c>
      <c r="Q62" s="114">
        <v>0.8</v>
      </c>
      <c r="R62" s="114">
        <v>0.8</v>
      </c>
      <c r="S62" s="114">
        <v>0.8</v>
      </c>
      <c r="T62" s="114">
        <v>0.8</v>
      </c>
      <c r="U62" s="114">
        <v>0.8</v>
      </c>
      <c r="V62" s="114">
        <v>0.8</v>
      </c>
      <c r="W62" s="114">
        <v>0.8</v>
      </c>
      <c r="X62" s="114">
        <v>0.8</v>
      </c>
      <c r="Y62" s="114">
        <v>0.8</v>
      </c>
      <c r="Z62" s="114">
        <v>0.8</v>
      </c>
      <c r="AA62" s="114">
        <v>0.8</v>
      </c>
      <c r="AB62" s="114">
        <v>0.8</v>
      </c>
      <c r="AC62" s="114">
        <v>0.8</v>
      </c>
      <c r="AD62" s="114">
        <v>0.8</v>
      </c>
      <c r="AE62" s="114">
        <v>0</v>
      </c>
      <c r="AF62" s="114">
        <v>0</v>
      </c>
      <c r="AG62" s="114">
        <v>0</v>
      </c>
      <c r="AH62" s="114">
        <v>0.8</v>
      </c>
      <c r="AI62" s="114">
        <v>0.8</v>
      </c>
      <c r="AJ62" s="114">
        <v>0</v>
      </c>
      <c r="AK62" s="114">
        <v>0</v>
      </c>
      <c r="AL62" s="114">
        <v>0.8</v>
      </c>
      <c r="AM62" s="114">
        <v>0.8</v>
      </c>
      <c r="AN62" s="114">
        <v>0.8</v>
      </c>
      <c r="AO62" s="114">
        <v>0.8</v>
      </c>
      <c r="AP62" s="114">
        <v>0</v>
      </c>
      <c r="AQ62" s="114">
        <v>0.8</v>
      </c>
      <c r="AR62" s="114">
        <v>0.8</v>
      </c>
      <c r="AS62" s="114">
        <v>0.8</v>
      </c>
      <c r="AT62" s="114">
        <v>0.8</v>
      </c>
      <c r="AU62" s="114">
        <v>0.8</v>
      </c>
      <c r="AV62" s="114">
        <v>0.8</v>
      </c>
      <c r="AW62" s="114">
        <v>0.8</v>
      </c>
      <c r="AX62" s="114">
        <v>0.8</v>
      </c>
      <c r="AY62" s="114">
        <v>0.8</v>
      </c>
      <c r="AZ62" s="114">
        <v>0.8</v>
      </c>
      <c r="BA62" s="114">
        <v>0.8</v>
      </c>
      <c r="BB62" s="114">
        <v>0</v>
      </c>
      <c r="BC62" s="114">
        <v>0</v>
      </c>
      <c r="BD62" s="114">
        <v>0</v>
      </c>
      <c r="BE62" s="114">
        <v>0</v>
      </c>
      <c r="BF62" s="114">
        <v>0</v>
      </c>
      <c r="BG62" s="114">
        <v>0</v>
      </c>
      <c r="BH62" s="114">
        <v>0</v>
      </c>
      <c r="BI62" s="114">
        <v>0.8</v>
      </c>
      <c r="BJ62" s="114">
        <v>0</v>
      </c>
      <c r="BK62" s="114">
        <v>0.8</v>
      </c>
      <c r="BL62" s="114">
        <v>0</v>
      </c>
      <c r="BM62" s="114">
        <v>0</v>
      </c>
      <c r="BN62" s="114">
        <v>0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</v>
      </c>
    </row>
    <row r="63" spans="1:77" x14ac:dyDescent="0.15">
      <c r="A63" s="191" t="s">
        <v>254</v>
      </c>
      <c r="B63" s="114">
        <v>0.8</v>
      </c>
      <c r="C63" s="114">
        <v>0.8</v>
      </c>
      <c r="D63" s="114">
        <v>0.8</v>
      </c>
      <c r="E63" s="114">
        <v>0.8</v>
      </c>
      <c r="F63" s="114">
        <v>0.8</v>
      </c>
      <c r="G63" s="114">
        <v>0.8</v>
      </c>
      <c r="H63" s="114">
        <v>0.8</v>
      </c>
      <c r="I63" s="114">
        <v>0.8</v>
      </c>
      <c r="J63" s="114">
        <v>0.8</v>
      </c>
      <c r="K63" s="114">
        <v>0.8</v>
      </c>
      <c r="L63" s="114">
        <v>0.8</v>
      </c>
      <c r="M63" s="114">
        <v>0.8</v>
      </c>
      <c r="N63" s="114">
        <v>0.8</v>
      </c>
      <c r="O63" s="114">
        <v>0.8</v>
      </c>
      <c r="P63" s="114">
        <v>0.8</v>
      </c>
      <c r="Q63" s="114">
        <v>0.8</v>
      </c>
      <c r="R63" s="114">
        <v>0.8</v>
      </c>
      <c r="S63" s="114">
        <v>0.8</v>
      </c>
      <c r="T63" s="114">
        <v>0.8</v>
      </c>
      <c r="U63" s="114">
        <v>0.8</v>
      </c>
      <c r="V63" s="114">
        <v>0.8</v>
      </c>
      <c r="W63" s="114">
        <v>0.8</v>
      </c>
      <c r="X63" s="114">
        <v>0.8</v>
      </c>
      <c r="Y63" s="114">
        <v>0.8</v>
      </c>
      <c r="Z63" s="114">
        <v>0.8</v>
      </c>
      <c r="AA63" s="114">
        <v>0</v>
      </c>
      <c r="AB63" s="114">
        <v>0.8</v>
      </c>
      <c r="AC63" s="114">
        <v>0.8</v>
      </c>
      <c r="AD63" s="114">
        <v>0</v>
      </c>
      <c r="AE63" s="114">
        <v>0.8</v>
      </c>
      <c r="AF63" s="114">
        <v>0.8</v>
      </c>
      <c r="AG63" s="114">
        <v>0.8</v>
      </c>
      <c r="AH63" s="114">
        <v>0.8</v>
      </c>
      <c r="AI63" s="114">
        <v>0.8</v>
      </c>
      <c r="AJ63" s="114">
        <v>0</v>
      </c>
      <c r="AK63" s="114">
        <v>0.8</v>
      </c>
      <c r="AL63" s="114">
        <v>0.8</v>
      </c>
      <c r="AM63" s="114">
        <v>0.8</v>
      </c>
      <c r="AN63" s="114">
        <v>0.8</v>
      </c>
      <c r="AO63" s="114">
        <v>0.8</v>
      </c>
      <c r="AP63" s="114">
        <v>0</v>
      </c>
      <c r="AQ63" s="114">
        <v>0.8</v>
      </c>
      <c r="AR63" s="114">
        <v>0.8</v>
      </c>
      <c r="AS63" s="114">
        <v>0.8</v>
      </c>
      <c r="AT63" s="114">
        <v>0.8</v>
      </c>
      <c r="AU63" s="114">
        <v>0.8</v>
      </c>
      <c r="AV63" s="114">
        <v>0.8</v>
      </c>
      <c r="AW63" s="114">
        <v>0.8</v>
      </c>
      <c r="AX63" s="114">
        <v>0.8</v>
      </c>
      <c r="AY63" s="114">
        <v>0.8</v>
      </c>
      <c r="AZ63" s="114">
        <v>0.8</v>
      </c>
      <c r="BA63" s="114">
        <v>0.8</v>
      </c>
      <c r="BB63" s="114">
        <v>0</v>
      </c>
      <c r="BC63" s="114">
        <v>0</v>
      </c>
      <c r="BD63" s="114">
        <v>0.8</v>
      </c>
      <c r="BE63" s="114">
        <v>0</v>
      </c>
      <c r="BF63" s="114">
        <v>0.8</v>
      </c>
      <c r="BG63" s="114">
        <v>0</v>
      </c>
      <c r="BH63" s="114">
        <v>0</v>
      </c>
      <c r="BI63" s="114">
        <v>0.8</v>
      </c>
      <c r="BJ63" s="114">
        <v>0</v>
      </c>
      <c r="BK63" s="114">
        <v>0.8</v>
      </c>
      <c r="BL63" s="114">
        <v>0</v>
      </c>
      <c r="BM63" s="114">
        <v>0</v>
      </c>
      <c r="BN63" s="114">
        <v>0.8</v>
      </c>
      <c r="BO63" s="114">
        <v>0</v>
      </c>
      <c r="BP63" s="114">
        <v>0.8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</row>
    <row r="64" spans="1:77" x14ac:dyDescent="0.15">
      <c r="A64" s="191" t="s">
        <v>255</v>
      </c>
      <c r="B64" s="114">
        <v>0.8</v>
      </c>
      <c r="C64" s="114">
        <v>0.8</v>
      </c>
      <c r="D64" s="114">
        <v>0.8</v>
      </c>
      <c r="E64" s="114">
        <v>0.8</v>
      </c>
      <c r="F64" s="114">
        <v>0.8</v>
      </c>
      <c r="G64" s="114">
        <v>0.8</v>
      </c>
      <c r="H64" s="114">
        <v>0.8</v>
      </c>
      <c r="I64" s="114">
        <v>0.8</v>
      </c>
      <c r="J64" s="114">
        <v>0.8</v>
      </c>
      <c r="K64" s="114">
        <v>0.8</v>
      </c>
      <c r="L64" s="114">
        <v>0.8</v>
      </c>
      <c r="M64" s="114">
        <v>0.8</v>
      </c>
      <c r="N64" s="114">
        <v>0.8</v>
      </c>
      <c r="O64" s="114">
        <v>0.8</v>
      </c>
      <c r="P64" s="114">
        <v>0</v>
      </c>
      <c r="Q64" s="114">
        <v>0.8</v>
      </c>
      <c r="R64" s="114">
        <v>0.8</v>
      </c>
      <c r="S64" s="114">
        <v>0.8</v>
      </c>
      <c r="T64" s="114">
        <v>0.8</v>
      </c>
      <c r="U64" s="114">
        <v>0.8</v>
      </c>
      <c r="V64" s="114">
        <v>0.8</v>
      </c>
      <c r="W64" s="114">
        <v>0.8</v>
      </c>
      <c r="X64" s="114">
        <v>0.8</v>
      </c>
      <c r="Y64" s="114">
        <v>0</v>
      </c>
      <c r="Z64" s="114">
        <v>0</v>
      </c>
      <c r="AA64" s="114">
        <v>0.8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0.8</v>
      </c>
      <c r="AH64" s="114">
        <v>0</v>
      </c>
      <c r="AI64" s="114">
        <v>0</v>
      </c>
      <c r="AJ64" s="114">
        <v>0</v>
      </c>
      <c r="AK64" s="114">
        <v>0.8</v>
      </c>
      <c r="AL64" s="114">
        <v>0</v>
      </c>
      <c r="AM64" s="114">
        <v>0</v>
      </c>
      <c r="AN64" s="114">
        <v>0</v>
      </c>
      <c r="AO64" s="114">
        <v>0</v>
      </c>
      <c r="AP64" s="114">
        <v>0</v>
      </c>
      <c r="AQ64" s="114">
        <v>0.8</v>
      </c>
      <c r="AR64" s="114">
        <v>0.8</v>
      </c>
      <c r="AS64" s="114">
        <v>0.8</v>
      </c>
      <c r="AT64" s="114">
        <v>0.8</v>
      </c>
      <c r="AU64" s="114">
        <v>0.8</v>
      </c>
      <c r="AV64" s="114">
        <v>0.8</v>
      </c>
      <c r="AW64" s="114">
        <v>0.8</v>
      </c>
      <c r="AX64" s="114">
        <v>0</v>
      </c>
      <c r="AY64" s="114">
        <v>0.8</v>
      </c>
      <c r="AZ64" s="114">
        <v>0.8</v>
      </c>
      <c r="BA64" s="114">
        <v>0</v>
      </c>
      <c r="BB64" s="114">
        <v>0</v>
      </c>
      <c r="BC64" s="114">
        <v>0</v>
      </c>
      <c r="BD64" s="114">
        <v>0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</v>
      </c>
      <c r="BO64" s="114">
        <v>0</v>
      </c>
      <c r="BP64" s="114">
        <v>0.8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</row>
    <row r="65" spans="1:77" x14ac:dyDescent="0.15">
      <c r="A65" s="191" t="s">
        <v>256</v>
      </c>
      <c r="B65" s="114">
        <v>0.8</v>
      </c>
      <c r="C65" s="114">
        <v>0.8</v>
      </c>
      <c r="D65" s="114">
        <v>0.8</v>
      </c>
      <c r="E65" s="114">
        <v>0.8</v>
      </c>
      <c r="F65" s="114">
        <v>0.8</v>
      </c>
      <c r="G65" s="114">
        <v>0.8</v>
      </c>
      <c r="H65" s="114">
        <v>0.8</v>
      </c>
      <c r="I65" s="114">
        <v>0.8</v>
      </c>
      <c r="J65" s="114">
        <v>0.8</v>
      </c>
      <c r="K65" s="114">
        <v>0.8</v>
      </c>
      <c r="L65" s="114">
        <v>0.8</v>
      </c>
      <c r="M65" s="114">
        <v>0.8</v>
      </c>
      <c r="N65" s="114">
        <v>0.8</v>
      </c>
      <c r="O65" s="114">
        <v>0.8</v>
      </c>
      <c r="P65" s="114">
        <v>0.8</v>
      </c>
      <c r="Q65" s="114">
        <v>0.8</v>
      </c>
      <c r="R65" s="114">
        <v>0.8</v>
      </c>
      <c r="S65" s="114">
        <v>0.8</v>
      </c>
      <c r="T65" s="114">
        <v>0.8</v>
      </c>
      <c r="U65" s="114">
        <v>0.8</v>
      </c>
      <c r="V65" s="114">
        <v>0.8</v>
      </c>
      <c r="W65" s="114">
        <v>0.8</v>
      </c>
      <c r="X65" s="114">
        <v>0.8</v>
      </c>
      <c r="Y65" s="114">
        <v>0</v>
      </c>
      <c r="Z65" s="114">
        <v>0</v>
      </c>
      <c r="AA65" s="114">
        <v>0</v>
      </c>
      <c r="AB65" s="114">
        <v>0</v>
      </c>
      <c r="AC65" s="114">
        <v>0</v>
      </c>
      <c r="AD65" s="114">
        <v>0</v>
      </c>
      <c r="AE65" s="114">
        <v>0</v>
      </c>
      <c r="AF65" s="114">
        <v>0</v>
      </c>
      <c r="AG65" s="114">
        <v>0</v>
      </c>
      <c r="AH65" s="114">
        <v>0</v>
      </c>
      <c r="AI65" s="114">
        <v>0</v>
      </c>
      <c r="AJ65" s="114">
        <v>0</v>
      </c>
      <c r="AK65" s="114">
        <v>0</v>
      </c>
      <c r="AL65" s="114">
        <v>0.8</v>
      </c>
      <c r="AM65" s="114">
        <v>0</v>
      </c>
      <c r="AN65" s="114">
        <v>0.8</v>
      </c>
      <c r="AO65" s="114">
        <v>0.8</v>
      </c>
      <c r="AP65" s="114">
        <v>0</v>
      </c>
      <c r="AQ65" s="114">
        <v>0.8</v>
      </c>
      <c r="AR65" s="114">
        <v>0.8</v>
      </c>
      <c r="AS65" s="114">
        <v>0</v>
      </c>
      <c r="AT65" s="114">
        <v>0</v>
      </c>
      <c r="AU65" s="114">
        <v>0.8</v>
      </c>
      <c r="AV65" s="114">
        <v>0.8</v>
      </c>
      <c r="AW65" s="114">
        <v>0</v>
      </c>
      <c r="AX65" s="114">
        <v>0</v>
      </c>
      <c r="AY65" s="114">
        <v>0.8</v>
      </c>
      <c r="AZ65" s="114">
        <v>0</v>
      </c>
      <c r="BA65" s="114">
        <v>0</v>
      </c>
      <c r="BB65" s="114">
        <v>0.8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</row>
    <row r="66" spans="1:77" x14ac:dyDescent="0.15">
      <c r="A66" s="191" t="s">
        <v>257</v>
      </c>
      <c r="B66" s="114">
        <v>0.8</v>
      </c>
      <c r="C66" s="114">
        <v>0.8</v>
      </c>
      <c r="D66" s="114">
        <v>0.8</v>
      </c>
      <c r="E66" s="114">
        <v>0.8</v>
      </c>
      <c r="F66" s="114">
        <v>0.8</v>
      </c>
      <c r="G66" s="114">
        <v>0.8</v>
      </c>
      <c r="H66" s="114">
        <v>0.8</v>
      </c>
      <c r="I66" s="114">
        <v>0.8</v>
      </c>
      <c r="J66" s="114">
        <v>0.8</v>
      </c>
      <c r="K66" s="114">
        <v>0.8</v>
      </c>
      <c r="L66" s="114">
        <v>0.8</v>
      </c>
      <c r="M66" s="114">
        <v>0.8</v>
      </c>
      <c r="N66" s="114">
        <v>0.8</v>
      </c>
      <c r="O66" s="114">
        <v>0.8</v>
      </c>
      <c r="P66" s="114">
        <v>0.8</v>
      </c>
      <c r="Q66" s="114">
        <v>0.8</v>
      </c>
      <c r="R66" s="114">
        <v>0.8</v>
      </c>
      <c r="S66" s="114">
        <v>0.8</v>
      </c>
      <c r="T66" s="114">
        <v>0.8</v>
      </c>
      <c r="U66" s="114">
        <v>0.8</v>
      </c>
      <c r="V66" s="114">
        <v>0.8</v>
      </c>
      <c r="W66" s="114">
        <v>0.8</v>
      </c>
      <c r="X66" s="114">
        <v>0.8</v>
      </c>
      <c r="Y66" s="114">
        <v>0.8</v>
      </c>
      <c r="Z66" s="114">
        <v>0.8</v>
      </c>
      <c r="AA66" s="114">
        <v>0.8</v>
      </c>
      <c r="AB66" s="114">
        <v>0.8</v>
      </c>
      <c r="AC66" s="114">
        <v>0.8</v>
      </c>
      <c r="AD66" s="114">
        <v>0.8</v>
      </c>
      <c r="AE66" s="114">
        <v>0.8</v>
      </c>
      <c r="AF66" s="114">
        <v>0.8</v>
      </c>
      <c r="AG66" s="114">
        <v>0.8</v>
      </c>
      <c r="AH66" s="114">
        <v>0.8</v>
      </c>
      <c r="AI66" s="114">
        <v>0.8</v>
      </c>
      <c r="AJ66" s="114">
        <v>0.8</v>
      </c>
      <c r="AK66" s="114">
        <v>0.8</v>
      </c>
      <c r="AL66" s="114">
        <v>0.8</v>
      </c>
      <c r="AM66" s="114">
        <v>0.8</v>
      </c>
      <c r="AN66" s="114">
        <v>0.8</v>
      </c>
      <c r="AO66" s="114">
        <v>0.8</v>
      </c>
      <c r="AP66" s="114">
        <v>0.8</v>
      </c>
      <c r="AQ66" s="114">
        <v>0.8</v>
      </c>
      <c r="AR66" s="114">
        <v>0.8</v>
      </c>
      <c r="AS66" s="114">
        <v>0.8</v>
      </c>
      <c r="AT66" s="114">
        <v>0.8</v>
      </c>
      <c r="AU66" s="114">
        <v>0.8</v>
      </c>
      <c r="AV66" s="114">
        <v>0.8</v>
      </c>
      <c r="AW66" s="114">
        <v>0.8</v>
      </c>
      <c r="AX66" s="114">
        <v>0.8</v>
      </c>
      <c r="AY66" s="114">
        <v>0.8</v>
      </c>
      <c r="AZ66" s="114">
        <v>0.8</v>
      </c>
      <c r="BA66" s="114">
        <v>0.8</v>
      </c>
      <c r="BB66" s="114">
        <v>0.8</v>
      </c>
      <c r="BC66" s="114">
        <v>0.8</v>
      </c>
      <c r="BD66" s="114">
        <v>0.8</v>
      </c>
      <c r="BE66" s="114">
        <v>0</v>
      </c>
      <c r="BF66" s="114">
        <v>0.8</v>
      </c>
      <c r="BG66" s="114">
        <v>0.8</v>
      </c>
      <c r="BH66" s="114">
        <v>0.8</v>
      </c>
      <c r="BI66" s="114">
        <v>0.8</v>
      </c>
      <c r="BJ66" s="114">
        <v>0</v>
      </c>
      <c r="BK66" s="114">
        <v>0</v>
      </c>
      <c r="BL66" s="114">
        <v>0</v>
      </c>
      <c r="BM66" s="114">
        <v>0</v>
      </c>
      <c r="BN66" s="114">
        <v>0.8</v>
      </c>
      <c r="BO66" s="114">
        <v>0</v>
      </c>
      <c r="BP66" s="114">
        <v>0.8</v>
      </c>
      <c r="BQ66" s="114">
        <v>0</v>
      </c>
      <c r="BR66" s="114">
        <v>0.8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</row>
    <row r="67" spans="1:77" x14ac:dyDescent="0.15">
      <c r="A67" s="191" t="s">
        <v>258</v>
      </c>
      <c r="B67" s="114">
        <v>0.8</v>
      </c>
      <c r="C67" s="114">
        <v>0.8</v>
      </c>
      <c r="D67" s="114">
        <v>0.8</v>
      </c>
      <c r="E67" s="114">
        <v>0.8</v>
      </c>
      <c r="F67" s="114">
        <v>0.8</v>
      </c>
      <c r="G67" s="114">
        <v>0.8</v>
      </c>
      <c r="H67" s="114">
        <v>0.8</v>
      </c>
      <c r="I67" s="114">
        <v>0.8</v>
      </c>
      <c r="J67" s="114">
        <v>0.8</v>
      </c>
      <c r="K67" s="114">
        <v>0.8</v>
      </c>
      <c r="L67" s="114">
        <v>0.8</v>
      </c>
      <c r="M67" s="114">
        <v>0.8</v>
      </c>
      <c r="N67" s="114">
        <v>0.8</v>
      </c>
      <c r="O67" s="114">
        <v>0.8</v>
      </c>
      <c r="P67" s="114">
        <v>0.8</v>
      </c>
      <c r="Q67" s="114">
        <v>0.8</v>
      </c>
      <c r="R67" s="114">
        <v>0.8</v>
      </c>
      <c r="S67" s="114">
        <v>0.8</v>
      </c>
      <c r="T67" s="114">
        <v>0.8</v>
      </c>
      <c r="U67" s="114">
        <v>0.8</v>
      </c>
      <c r="V67" s="114">
        <v>0.8</v>
      </c>
      <c r="W67" s="114">
        <v>0.8</v>
      </c>
      <c r="X67" s="114">
        <v>0.8</v>
      </c>
      <c r="Y67" s="114">
        <v>0.8</v>
      </c>
      <c r="Z67" s="114">
        <v>0.8</v>
      </c>
      <c r="AA67" s="114">
        <v>0.8</v>
      </c>
      <c r="AB67" s="114">
        <v>0.8</v>
      </c>
      <c r="AC67" s="114">
        <v>0.8</v>
      </c>
      <c r="AD67" s="114">
        <v>0.8</v>
      </c>
      <c r="AE67" s="114">
        <v>0.8</v>
      </c>
      <c r="AF67" s="114">
        <v>0.8</v>
      </c>
      <c r="AG67" s="114">
        <v>0.8</v>
      </c>
      <c r="AH67" s="114">
        <v>0.8</v>
      </c>
      <c r="AI67" s="114">
        <v>0.8</v>
      </c>
      <c r="AJ67" s="114">
        <v>0.8</v>
      </c>
      <c r="AK67" s="114">
        <v>0.8</v>
      </c>
      <c r="AL67" s="114">
        <v>0.8</v>
      </c>
      <c r="AM67" s="114">
        <v>0.8</v>
      </c>
      <c r="AN67" s="114">
        <v>0.8</v>
      </c>
      <c r="AO67" s="114">
        <v>0.8</v>
      </c>
      <c r="AP67" s="114">
        <v>0.8</v>
      </c>
      <c r="AQ67" s="114">
        <v>0.8</v>
      </c>
      <c r="AR67" s="114">
        <v>0.8</v>
      </c>
      <c r="AS67" s="114">
        <v>0.8</v>
      </c>
      <c r="AT67" s="114">
        <v>0.8</v>
      </c>
      <c r="AU67" s="114">
        <v>0.8</v>
      </c>
      <c r="AV67" s="114">
        <v>0.8</v>
      </c>
      <c r="AW67" s="114">
        <v>0.8</v>
      </c>
      <c r="AX67" s="114">
        <v>0.8</v>
      </c>
      <c r="AY67" s="114">
        <v>0.8</v>
      </c>
      <c r="AZ67" s="114">
        <v>0.8</v>
      </c>
      <c r="BA67" s="114">
        <v>0.8</v>
      </c>
      <c r="BB67" s="114">
        <v>0.8</v>
      </c>
      <c r="BC67" s="114">
        <v>0.8</v>
      </c>
      <c r="BD67" s="114">
        <v>0.8</v>
      </c>
      <c r="BE67" s="114">
        <v>0.8</v>
      </c>
      <c r="BF67" s="114">
        <v>0.8</v>
      </c>
      <c r="BG67" s="114">
        <v>0</v>
      </c>
      <c r="BH67" s="114">
        <v>0.8</v>
      </c>
      <c r="BI67" s="114">
        <v>0.8</v>
      </c>
      <c r="BJ67" s="114">
        <v>0</v>
      </c>
      <c r="BK67" s="114">
        <v>0.8</v>
      </c>
      <c r="BL67" s="114">
        <v>0</v>
      </c>
      <c r="BM67" s="114">
        <v>0.8</v>
      </c>
      <c r="BN67" s="114">
        <v>0</v>
      </c>
      <c r="BO67" s="114">
        <v>0</v>
      </c>
      <c r="BP67" s="114">
        <v>0.8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</row>
    <row r="68" spans="1:77" x14ac:dyDescent="0.15">
      <c r="A68" s="191" t="s">
        <v>259</v>
      </c>
      <c r="B68" s="114">
        <v>0.8</v>
      </c>
      <c r="C68" s="114">
        <v>0.8</v>
      </c>
      <c r="D68" s="114">
        <v>0.8</v>
      </c>
      <c r="E68" s="114">
        <v>0.8</v>
      </c>
      <c r="F68" s="114">
        <v>0.8</v>
      </c>
      <c r="G68" s="114">
        <v>0.8</v>
      </c>
      <c r="H68" s="114">
        <v>0.8</v>
      </c>
      <c r="I68" s="114">
        <v>0.8</v>
      </c>
      <c r="J68" s="114">
        <v>0.8</v>
      </c>
      <c r="K68" s="114">
        <v>0.8</v>
      </c>
      <c r="L68" s="114">
        <v>0.8</v>
      </c>
      <c r="M68" s="114">
        <v>0.8</v>
      </c>
      <c r="N68" s="114">
        <v>0.8</v>
      </c>
      <c r="O68" s="114">
        <v>0.8</v>
      </c>
      <c r="P68" s="114">
        <v>0.8</v>
      </c>
      <c r="Q68" s="114">
        <v>0.8</v>
      </c>
      <c r="R68" s="114">
        <v>0.8</v>
      </c>
      <c r="S68" s="114">
        <v>0.8</v>
      </c>
      <c r="T68" s="114">
        <v>0</v>
      </c>
      <c r="U68" s="114">
        <v>0.8</v>
      </c>
      <c r="V68" s="114">
        <v>0.8</v>
      </c>
      <c r="W68" s="114">
        <v>0.8</v>
      </c>
      <c r="X68" s="114">
        <v>0.8</v>
      </c>
      <c r="Y68" s="114">
        <v>0.8</v>
      </c>
      <c r="Z68" s="114">
        <v>0.8</v>
      </c>
      <c r="AA68" s="114">
        <v>0.8</v>
      </c>
      <c r="AB68" s="114">
        <v>0.8</v>
      </c>
      <c r="AC68" s="114">
        <v>0.8</v>
      </c>
      <c r="AD68" s="114">
        <v>0.8</v>
      </c>
      <c r="AE68" s="114">
        <v>0.8</v>
      </c>
      <c r="AF68" s="114">
        <v>0.8</v>
      </c>
      <c r="AG68" s="114">
        <v>0.8</v>
      </c>
      <c r="AH68" s="114">
        <v>0.8</v>
      </c>
      <c r="AI68" s="114">
        <v>0.8</v>
      </c>
      <c r="AJ68" s="114">
        <v>0.8</v>
      </c>
      <c r="AK68" s="114">
        <v>0.8</v>
      </c>
      <c r="AL68" s="114">
        <v>0.8</v>
      </c>
      <c r="AM68" s="114">
        <v>0.8</v>
      </c>
      <c r="AN68" s="114">
        <v>0.8</v>
      </c>
      <c r="AO68" s="114">
        <v>0.8</v>
      </c>
      <c r="AP68" s="114">
        <v>0.8</v>
      </c>
      <c r="AQ68" s="114">
        <v>0.8</v>
      </c>
      <c r="AR68" s="114">
        <v>0.8</v>
      </c>
      <c r="AS68" s="114">
        <v>0.8</v>
      </c>
      <c r="AT68" s="114">
        <v>0.8</v>
      </c>
      <c r="AU68" s="114">
        <v>0.8</v>
      </c>
      <c r="AV68" s="114">
        <v>0.8</v>
      </c>
      <c r="AW68" s="114">
        <v>0.8</v>
      </c>
      <c r="AX68" s="114">
        <v>0.8</v>
      </c>
      <c r="AY68" s="114">
        <v>0.8</v>
      </c>
      <c r="AZ68" s="114">
        <v>0.8</v>
      </c>
      <c r="BA68" s="114">
        <v>0.8</v>
      </c>
      <c r="BB68" s="114">
        <v>0.8</v>
      </c>
      <c r="BC68" s="114">
        <v>0.8</v>
      </c>
      <c r="BD68" s="114">
        <v>0.8</v>
      </c>
      <c r="BE68" s="114">
        <v>0.8</v>
      </c>
      <c r="BF68" s="114">
        <v>0.8</v>
      </c>
      <c r="BG68" s="114">
        <v>0</v>
      </c>
      <c r="BH68" s="114">
        <v>0</v>
      </c>
      <c r="BI68" s="114">
        <v>0.8</v>
      </c>
      <c r="BJ68" s="114">
        <v>0</v>
      </c>
      <c r="BK68" s="114">
        <v>0.8</v>
      </c>
      <c r="BL68" s="114">
        <v>0</v>
      </c>
      <c r="BM68" s="114">
        <v>0</v>
      </c>
      <c r="BN68" s="114">
        <v>0</v>
      </c>
      <c r="BO68" s="114">
        <v>0</v>
      </c>
      <c r="BP68" s="114">
        <v>0.8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</row>
    <row r="69" spans="1:77" x14ac:dyDescent="0.15">
      <c r="A69" s="191" t="s">
        <v>260</v>
      </c>
      <c r="B69" s="114">
        <v>0</v>
      </c>
      <c r="C69" s="114">
        <v>0.8</v>
      </c>
      <c r="D69" s="114">
        <v>0.8</v>
      </c>
      <c r="E69" s="114">
        <v>0</v>
      </c>
      <c r="F69" s="114">
        <v>0.8</v>
      </c>
      <c r="G69" s="114">
        <v>0.8</v>
      </c>
      <c r="H69" s="114">
        <v>0.8</v>
      </c>
      <c r="I69" s="114">
        <v>0.8</v>
      </c>
      <c r="J69" s="114">
        <v>0.8</v>
      </c>
      <c r="K69" s="114">
        <v>0.8</v>
      </c>
      <c r="L69" s="114">
        <v>0.8</v>
      </c>
      <c r="M69" s="114">
        <v>0.8</v>
      </c>
      <c r="N69" s="114">
        <v>0.8</v>
      </c>
      <c r="O69" s="114">
        <v>0.8</v>
      </c>
      <c r="P69" s="114">
        <v>0</v>
      </c>
      <c r="Q69" s="114">
        <v>0.8</v>
      </c>
      <c r="R69" s="114">
        <v>0.8</v>
      </c>
      <c r="S69" s="114">
        <v>0.8</v>
      </c>
      <c r="T69" s="114">
        <v>0</v>
      </c>
      <c r="U69" s="114">
        <v>0</v>
      </c>
      <c r="V69" s="114">
        <v>0</v>
      </c>
      <c r="W69" s="114">
        <v>0</v>
      </c>
      <c r="X69" s="114">
        <v>0.8</v>
      </c>
      <c r="Y69" s="114">
        <v>0</v>
      </c>
      <c r="Z69" s="114">
        <v>0.8</v>
      </c>
      <c r="AA69" s="114">
        <v>0.8</v>
      </c>
      <c r="AB69" s="114">
        <v>0.8</v>
      </c>
      <c r="AC69" s="114">
        <v>0.8</v>
      </c>
      <c r="AD69" s="114">
        <v>0.8</v>
      </c>
      <c r="AE69" s="114">
        <v>0</v>
      </c>
      <c r="AF69" s="114">
        <v>0</v>
      </c>
      <c r="AG69" s="114">
        <v>0.8</v>
      </c>
      <c r="AH69" s="114">
        <v>0</v>
      </c>
      <c r="AI69" s="114">
        <v>0.8</v>
      </c>
      <c r="AJ69" s="114">
        <v>0.8</v>
      </c>
      <c r="AK69" s="114">
        <v>0</v>
      </c>
      <c r="AL69" s="114">
        <v>0.8</v>
      </c>
      <c r="AM69" s="114">
        <v>0.8</v>
      </c>
      <c r="AN69" s="114">
        <v>0.8</v>
      </c>
      <c r="AO69" s="114">
        <v>0.8</v>
      </c>
      <c r="AP69" s="114">
        <v>0.8</v>
      </c>
      <c r="AQ69" s="114">
        <v>0.8</v>
      </c>
      <c r="AR69" s="114">
        <v>0.8</v>
      </c>
      <c r="AS69" s="114">
        <v>0.8</v>
      </c>
      <c r="AT69" s="114">
        <v>0.8</v>
      </c>
      <c r="AU69" s="114">
        <v>0.8</v>
      </c>
      <c r="AV69" s="114">
        <v>0.8</v>
      </c>
      <c r="AW69" s="114">
        <v>0.8</v>
      </c>
      <c r="AX69" s="114">
        <v>0.8</v>
      </c>
      <c r="AY69" s="114">
        <v>0.8</v>
      </c>
      <c r="AZ69" s="114">
        <v>0.8</v>
      </c>
      <c r="BA69" s="114">
        <v>0.8</v>
      </c>
      <c r="BB69" s="114">
        <v>0.8</v>
      </c>
      <c r="BC69" s="114">
        <v>0.8</v>
      </c>
      <c r="BD69" s="114">
        <v>0.8</v>
      </c>
      <c r="BE69" s="114">
        <v>0.8</v>
      </c>
      <c r="BF69" s="114">
        <v>0.8</v>
      </c>
      <c r="BG69" s="114">
        <v>0</v>
      </c>
      <c r="BH69" s="114">
        <v>0</v>
      </c>
      <c r="BI69" s="114">
        <v>0.8</v>
      </c>
      <c r="BJ69" s="114">
        <v>0</v>
      </c>
      <c r="BK69" s="114">
        <v>0.8</v>
      </c>
      <c r="BL69" s="114">
        <v>0</v>
      </c>
      <c r="BM69" s="114">
        <v>0.8</v>
      </c>
      <c r="BN69" s="114">
        <v>0</v>
      </c>
      <c r="BO69" s="114">
        <v>0.8</v>
      </c>
      <c r="BP69" s="114">
        <v>0</v>
      </c>
      <c r="BQ69" s="114">
        <v>0</v>
      </c>
      <c r="BR69" s="114">
        <v>0.8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</row>
    <row r="70" spans="1:77" x14ac:dyDescent="0.15">
      <c r="A70" s="191" t="s">
        <v>261</v>
      </c>
      <c r="B70" s="114">
        <v>0.8</v>
      </c>
      <c r="C70" s="114">
        <v>0.8</v>
      </c>
      <c r="D70" s="114">
        <v>0.8</v>
      </c>
      <c r="E70" s="114">
        <v>0.8</v>
      </c>
      <c r="F70" s="114">
        <v>0.8</v>
      </c>
      <c r="G70" s="114">
        <v>0.8</v>
      </c>
      <c r="H70" s="114">
        <v>0.8</v>
      </c>
      <c r="I70" s="114">
        <v>0.8</v>
      </c>
      <c r="J70" s="114">
        <v>0.8</v>
      </c>
      <c r="K70" s="114">
        <v>0.8</v>
      </c>
      <c r="L70" s="114">
        <v>0.8</v>
      </c>
      <c r="M70" s="114">
        <v>0.8</v>
      </c>
      <c r="N70" s="114">
        <v>0.8</v>
      </c>
      <c r="O70" s="114">
        <v>0.8</v>
      </c>
      <c r="P70" s="114">
        <v>0.8</v>
      </c>
      <c r="Q70" s="114">
        <v>0.8</v>
      </c>
      <c r="R70" s="114">
        <v>0.8</v>
      </c>
      <c r="S70" s="114">
        <v>0.8</v>
      </c>
      <c r="T70" s="114">
        <v>0.8</v>
      </c>
      <c r="U70" s="114">
        <v>0.8</v>
      </c>
      <c r="V70" s="114">
        <v>0.8</v>
      </c>
      <c r="W70" s="114">
        <v>0.8</v>
      </c>
      <c r="X70" s="114">
        <v>0.8</v>
      </c>
      <c r="Y70" s="114">
        <v>0.8</v>
      </c>
      <c r="Z70" s="114">
        <v>0.8</v>
      </c>
      <c r="AA70" s="114">
        <v>0.8</v>
      </c>
      <c r="AB70" s="114">
        <v>0.8</v>
      </c>
      <c r="AC70" s="114">
        <v>0.8</v>
      </c>
      <c r="AD70" s="114">
        <v>0.8</v>
      </c>
      <c r="AE70" s="114">
        <v>0.8</v>
      </c>
      <c r="AF70" s="114">
        <v>0.8</v>
      </c>
      <c r="AG70" s="114">
        <v>0.8</v>
      </c>
      <c r="AH70" s="114">
        <v>0.8</v>
      </c>
      <c r="AI70" s="114">
        <v>0.8</v>
      </c>
      <c r="AJ70" s="114">
        <v>0.8</v>
      </c>
      <c r="AK70" s="114">
        <v>0.8</v>
      </c>
      <c r="AL70" s="114">
        <v>0.8</v>
      </c>
      <c r="AM70" s="114">
        <v>0.8</v>
      </c>
      <c r="AN70" s="114">
        <v>0.8</v>
      </c>
      <c r="AO70" s="114">
        <v>0.8</v>
      </c>
      <c r="AP70" s="114">
        <v>0.8</v>
      </c>
      <c r="AQ70" s="114">
        <v>0.8</v>
      </c>
      <c r="AR70" s="114">
        <v>0.8</v>
      </c>
      <c r="AS70" s="114">
        <v>0.8</v>
      </c>
      <c r="AT70" s="114">
        <v>0.8</v>
      </c>
      <c r="AU70" s="114">
        <v>0.8</v>
      </c>
      <c r="AV70" s="114">
        <v>0.8</v>
      </c>
      <c r="AW70" s="114">
        <v>0.8</v>
      </c>
      <c r="AX70" s="114">
        <v>0.8</v>
      </c>
      <c r="AY70" s="114">
        <v>0.8</v>
      </c>
      <c r="AZ70" s="114">
        <v>0.8</v>
      </c>
      <c r="BA70" s="114">
        <v>0.8</v>
      </c>
      <c r="BB70" s="114">
        <v>0.8</v>
      </c>
      <c r="BC70" s="114">
        <v>0.8</v>
      </c>
      <c r="BD70" s="114">
        <v>0.8</v>
      </c>
      <c r="BE70" s="114">
        <v>0.8</v>
      </c>
      <c r="BF70" s="114">
        <v>0.8</v>
      </c>
      <c r="BG70" s="114">
        <v>0.8</v>
      </c>
      <c r="BH70" s="114">
        <v>0.8</v>
      </c>
      <c r="BI70" s="114">
        <v>0.8</v>
      </c>
      <c r="BJ70" s="114">
        <v>0.8</v>
      </c>
      <c r="BK70" s="114">
        <v>0.8</v>
      </c>
      <c r="BL70" s="114">
        <v>0.8</v>
      </c>
      <c r="BM70" s="114">
        <v>0.8</v>
      </c>
      <c r="BN70" s="114">
        <v>0.8</v>
      </c>
      <c r="BO70" s="114">
        <v>0.8</v>
      </c>
      <c r="BP70" s="114">
        <v>0.8</v>
      </c>
      <c r="BQ70" s="114">
        <v>0.8</v>
      </c>
      <c r="BR70" s="114">
        <v>0.8</v>
      </c>
      <c r="BS70" s="114">
        <v>0</v>
      </c>
      <c r="BT70" s="114">
        <v>0.8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</row>
    <row r="71" spans="1:77" x14ac:dyDescent="0.15">
      <c r="A71" s="191" t="s">
        <v>262</v>
      </c>
      <c r="B71" s="114">
        <v>0.8</v>
      </c>
      <c r="C71" s="114">
        <v>0.8</v>
      </c>
      <c r="D71" s="114">
        <v>0.8</v>
      </c>
      <c r="E71" s="114">
        <v>0.8</v>
      </c>
      <c r="F71" s="114">
        <v>0.8</v>
      </c>
      <c r="G71" s="114">
        <v>0.8</v>
      </c>
      <c r="H71" s="114">
        <v>0.8</v>
      </c>
      <c r="I71" s="114">
        <v>0.8</v>
      </c>
      <c r="J71" s="114">
        <v>0.8</v>
      </c>
      <c r="K71" s="114">
        <v>0.8</v>
      </c>
      <c r="L71" s="114">
        <v>0.8</v>
      </c>
      <c r="M71" s="114">
        <v>0.8</v>
      </c>
      <c r="N71" s="114">
        <v>0.8</v>
      </c>
      <c r="O71" s="114">
        <v>0.8</v>
      </c>
      <c r="P71" s="114">
        <v>0.8</v>
      </c>
      <c r="Q71" s="114">
        <v>0.8</v>
      </c>
      <c r="R71" s="114">
        <v>0.8</v>
      </c>
      <c r="S71" s="114">
        <v>0.8</v>
      </c>
      <c r="T71" s="114">
        <v>0.8</v>
      </c>
      <c r="U71" s="114">
        <v>0.8</v>
      </c>
      <c r="V71" s="114">
        <v>0.8</v>
      </c>
      <c r="W71" s="114">
        <v>0.8</v>
      </c>
      <c r="X71" s="114">
        <v>0.8</v>
      </c>
      <c r="Y71" s="114">
        <v>0.8</v>
      </c>
      <c r="Z71" s="114">
        <v>0.8</v>
      </c>
      <c r="AA71" s="114">
        <v>0.8</v>
      </c>
      <c r="AB71" s="114">
        <v>0.8</v>
      </c>
      <c r="AC71" s="114">
        <v>0.8</v>
      </c>
      <c r="AD71" s="114">
        <v>0.8</v>
      </c>
      <c r="AE71" s="114">
        <v>0.8</v>
      </c>
      <c r="AF71" s="114">
        <v>0</v>
      </c>
      <c r="AG71" s="114">
        <v>0.8</v>
      </c>
      <c r="AH71" s="114">
        <v>0.8</v>
      </c>
      <c r="AI71" s="114">
        <v>0.8</v>
      </c>
      <c r="AJ71" s="114">
        <v>0</v>
      </c>
      <c r="AK71" s="114">
        <v>0.8</v>
      </c>
      <c r="AL71" s="114">
        <v>0.8</v>
      </c>
      <c r="AM71" s="114">
        <v>0.8</v>
      </c>
      <c r="AN71" s="114">
        <v>0.8</v>
      </c>
      <c r="AO71" s="114">
        <v>0.8</v>
      </c>
      <c r="AP71" s="114">
        <v>0.8</v>
      </c>
      <c r="AQ71" s="114">
        <v>0.8</v>
      </c>
      <c r="AR71" s="114">
        <v>0.8</v>
      </c>
      <c r="AS71" s="114">
        <v>0.8</v>
      </c>
      <c r="AT71" s="114">
        <v>0.8</v>
      </c>
      <c r="AU71" s="114">
        <v>0.8</v>
      </c>
      <c r="AV71" s="114">
        <v>0.8</v>
      </c>
      <c r="AW71" s="114">
        <v>0.8</v>
      </c>
      <c r="AX71" s="114">
        <v>0.8</v>
      </c>
      <c r="AY71" s="114">
        <v>0.8</v>
      </c>
      <c r="AZ71" s="114">
        <v>0.8</v>
      </c>
      <c r="BA71" s="114">
        <v>0.8</v>
      </c>
      <c r="BB71" s="114">
        <v>0.8</v>
      </c>
      <c r="BC71" s="114">
        <v>0.8</v>
      </c>
      <c r="BD71" s="114">
        <v>0.8</v>
      </c>
      <c r="BE71" s="114">
        <v>0.8</v>
      </c>
      <c r="BF71" s="114">
        <v>0.8</v>
      </c>
      <c r="BG71" s="114">
        <v>0.8</v>
      </c>
      <c r="BH71" s="114">
        <v>0.8</v>
      </c>
      <c r="BI71" s="114">
        <v>0.8</v>
      </c>
      <c r="BJ71" s="114">
        <v>0.8</v>
      </c>
      <c r="BK71" s="114">
        <v>0.8</v>
      </c>
      <c r="BL71" s="114">
        <v>0.8</v>
      </c>
      <c r="BM71" s="114">
        <v>0.8</v>
      </c>
      <c r="BN71" s="114">
        <v>0.8</v>
      </c>
      <c r="BO71" s="114">
        <v>0</v>
      </c>
      <c r="BP71" s="114">
        <v>0</v>
      </c>
      <c r="BQ71" s="114">
        <v>0.8</v>
      </c>
      <c r="BR71" s="114">
        <v>0</v>
      </c>
      <c r="BS71" s="114">
        <v>0.8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</row>
    <row r="72" spans="1:77" x14ac:dyDescent="0.15">
      <c r="A72" s="191" t="s">
        <v>263</v>
      </c>
      <c r="B72" s="114">
        <v>0.8</v>
      </c>
      <c r="C72" s="114">
        <v>0.8</v>
      </c>
      <c r="D72" s="114">
        <v>0.8</v>
      </c>
      <c r="E72" s="114">
        <v>0.8</v>
      </c>
      <c r="F72" s="114">
        <v>0.8</v>
      </c>
      <c r="G72" s="114">
        <v>0.8</v>
      </c>
      <c r="H72" s="114">
        <v>0.8</v>
      </c>
      <c r="I72" s="114">
        <v>0.8</v>
      </c>
      <c r="J72" s="114">
        <v>0.8</v>
      </c>
      <c r="K72" s="114">
        <v>0.8</v>
      </c>
      <c r="L72" s="114">
        <v>0.8</v>
      </c>
      <c r="M72" s="114">
        <v>0.8</v>
      </c>
      <c r="N72" s="114">
        <v>0.8</v>
      </c>
      <c r="O72" s="114">
        <v>0.8</v>
      </c>
      <c r="P72" s="114">
        <v>0.8</v>
      </c>
      <c r="Q72" s="114">
        <v>0.8</v>
      </c>
      <c r="R72" s="114">
        <v>0.8</v>
      </c>
      <c r="S72" s="114">
        <v>0.8</v>
      </c>
      <c r="T72" s="114">
        <v>0</v>
      </c>
      <c r="U72" s="114">
        <v>0.8</v>
      </c>
      <c r="V72" s="114">
        <v>0.8</v>
      </c>
      <c r="W72" s="114">
        <v>0.8</v>
      </c>
      <c r="X72" s="114">
        <v>0.8</v>
      </c>
      <c r="Y72" s="114">
        <v>0.8</v>
      </c>
      <c r="Z72" s="114">
        <v>0.8</v>
      </c>
      <c r="AA72" s="114">
        <v>0.8</v>
      </c>
      <c r="AB72" s="114">
        <v>0.8</v>
      </c>
      <c r="AC72" s="114">
        <v>0.8</v>
      </c>
      <c r="AD72" s="114">
        <v>0.8</v>
      </c>
      <c r="AE72" s="114">
        <v>0.8</v>
      </c>
      <c r="AF72" s="114">
        <v>0</v>
      </c>
      <c r="AG72" s="114">
        <v>0.8</v>
      </c>
      <c r="AH72" s="114">
        <v>0.8</v>
      </c>
      <c r="AI72" s="114">
        <v>0.8</v>
      </c>
      <c r="AJ72" s="114">
        <v>0.8</v>
      </c>
      <c r="AK72" s="114">
        <v>0.8</v>
      </c>
      <c r="AL72" s="114">
        <v>0.8</v>
      </c>
      <c r="AM72" s="114">
        <v>0.8</v>
      </c>
      <c r="AN72" s="114">
        <v>0.8</v>
      </c>
      <c r="AO72" s="114">
        <v>0.8</v>
      </c>
      <c r="AP72" s="114">
        <v>0.8</v>
      </c>
      <c r="AQ72" s="114">
        <v>0.8</v>
      </c>
      <c r="AR72" s="114">
        <v>0.8</v>
      </c>
      <c r="AS72" s="114">
        <v>0.8</v>
      </c>
      <c r="AT72" s="114">
        <v>0.8</v>
      </c>
      <c r="AU72" s="114">
        <v>0.8</v>
      </c>
      <c r="AV72" s="114">
        <v>0.8</v>
      </c>
      <c r="AW72" s="114">
        <v>0.8</v>
      </c>
      <c r="AX72" s="114">
        <v>0.8</v>
      </c>
      <c r="AY72" s="114">
        <v>0.8</v>
      </c>
      <c r="AZ72" s="114">
        <v>0.8</v>
      </c>
      <c r="BA72" s="114">
        <v>0.8</v>
      </c>
      <c r="BB72" s="114">
        <v>0.8</v>
      </c>
      <c r="BC72" s="114">
        <v>0.8</v>
      </c>
      <c r="BD72" s="114">
        <v>0.8</v>
      </c>
      <c r="BE72" s="114">
        <v>0.8</v>
      </c>
      <c r="BF72" s="114">
        <v>0.8</v>
      </c>
      <c r="BG72" s="114">
        <v>0</v>
      </c>
      <c r="BH72" s="114">
        <v>0.8</v>
      </c>
      <c r="BI72" s="114">
        <v>0.8</v>
      </c>
      <c r="BJ72" s="114">
        <v>0.8</v>
      </c>
      <c r="BK72" s="114">
        <v>0.8</v>
      </c>
      <c r="BL72" s="114">
        <v>0.8</v>
      </c>
      <c r="BM72" s="114">
        <v>0.8</v>
      </c>
      <c r="BN72" s="114">
        <v>0.8</v>
      </c>
      <c r="BO72" s="114">
        <v>0.8</v>
      </c>
      <c r="BP72" s="114">
        <v>0.8</v>
      </c>
      <c r="BQ72" s="114">
        <v>0.8</v>
      </c>
      <c r="BR72" s="114">
        <v>0.8</v>
      </c>
      <c r="BS72" s="114">
        <v>0</v>
      </c>
      <c r="BT72" s="114">
        <v>0.8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</row>
    <row r="73" spans="1:77" x14ac:dyDescent="0.15">
      <c r="A73" s="191" t="s">
        <v>264</v>
      </c>
      <c r="B73" s="114">
        <v>0.8</v>
      </c>
      <c r="C73" s="114">
        <v>0</v>
      </c>
      <c r="D73" s="114">
        <v>0.8</v>
      </c>
      <c r="E73" s="114">
        <v>0.8</v>
      </c>
      <c r="F73" s="114">
        <v>0</v>
      </c>
      <c r="G73" s="114">
        <v>0.8</v>
      </c>
      <c r="H73" s="114">
        <v>0.8</v>
      </c>
      <c r="I73" s="114">
        <v>0.8</v>
      </c>
      <c r="J73" s="114">
        <v>0.8</v>
      </c>
      <c r="K73" s="114">
        <v>0.8</v>
      </c>
      <c r="L73" s="114">
        <v>0.8</v>
      </c>
      <c r="M73" s="114">
        <v>0.8</v>
      </c>
      <c r="N73" s="114">
        <v>0.8</v>
      </c>
      <c r="O73" s="114">
        <v>0.8</v>
      </c>
      <c r="P73" s="114">
        <v>0</v>
      </c>
      <c r="Q73" s="114">
        <v>0.8</v>
      </c>
      <c r="R73" s="114">
        <v>0</v>
      </c>
      <c r="S73" s="114">
        <v>0</v>
      </c>
      <c r="T73" s="114">
        <v>0</v>
      </c>
      <c r="U73" s="114">
        <v>0</v>
      </c>
      <c r="V73" s="114">
        <v>0</v>
      </c>
      <c r="W73" s="114">
        <v>0</v>
      </c>
      <c r="X73" s="114">
        <v>0.8</v>
      </c>
      <c r="Y73" s="114">
        <v>0.8</v>
      </c>
      <c r="Z73" s="114">
        <v>0</v>
      </c>
      <c r="AA73" s="114">
        <v>0</v>
      </c>
      <c r="AB73" s="114">
        <v>0</v>
      </c>
      <c r="AC73" s="114">
        <v>0</v>
      </c>
      <c r="AD73" s="114">
        <v>0</v>
      </c>
      <c r="AE73" s="114">
        <v>0</v>
      </c>
      <c r="AF73" s="114">
        <v>0</v>
      </c>
      <c r="AG73" s="114">
        <v>0</v>
      </c>
      <c r="AH73" s="114">
        <v>0</v>
      </c>
      <c r="AI73" s="114">
        <v>0</v>
      </c>
      <c r="AJ73" s="114">
        <v>0</v>
      </c>
      <c r="AK73" s="114">
        <v>0</v>
      </c>
      <c r="AL73" s="114">
        <v>0</v>
      </c>
      <c r="AM73" s="114">
        <v>0</v>
      </c>
      <c r="AN73" s="114">
        <v>0.8</v>
      </c>
      <c r="AO73" s="114">
        <v>0.8</v>
      </c>
      <c r="AP73" s="114">
        <v>0.8</v>
      </c>
      <c r="AQ73" s="114">
        <v>0.8</v>
      </c>
      <c r="AR73" s="114">
        <v>0.8</v>
      </c>
      <c r="AS73" s="114">
        <v>0.8</v>
      </c>
      <c r="AT73" s="114">
        <v>0.8</v>
      </c>
      <c r="AU73" s="114">
        <v>0.8</v>
      </c>
      <c r="AV73" s="114">
        <v>0.8</v>
      </c>
      <c r="AW73" s="114">
        <v>0</v>
      </c>
      <c r="AX73" s="114">
        <v>0.8</v>
      </c>
      <c r="AY73" s="114">
        <v>0.8</v>
      </c>
      <c r="AZ73" s="114">
        <v>0.8</v>
      </c>
      <c r="BA73" s="114">
        <v>0.8</v>
      </c>
      <c r="BB73" s="114">
        <v>0</v>
      </c>
      <c r="BC73" s="114">
        <v>0.8</v>
      </c>
      <c r="BD73" s="114">
        <v>0.8</v>
      </c>
      <c r="BE73" s="114">
        <v>0.8</v>
      </c>
      <c r="BF73" s="114">
        <v>0.8</v>
      </c>
      <c r="BG73" s="114">
        <v>0</v>
      </c>
      <c r="BH73" s="114">
        <v>0</v>
      </c>
      <c r="BI73" s="114">
        <v>0.8</v>
      </c>
      <c r="BJ73" s="114">
        <v>0.8</v>
      </c>
      <c r="BK73" s="114">
        <v>0.8</v>
      </c>
      <c r="BL73" s="114">
        <v>0.8</v>
      </c>
      <c r="BM73" s="114">
        <v>0.8</v>
      </c>
      <c r="BN73" s="114">
        <v>0</v>
      </c>
      <c r="BO73" s="114">
        <v>0.8</v>
      </c>
      <c r="BP73" s="114">
        <v>0.8</v>
      </c>
      <c r="BQ73" s="114">
        <v>0</v>
      </c>
      <c r="BR73" s="114">
        <v>0.8</v>
      </c>
      <c r="BS73" s="114">
        <v>0</v>
      </c>
      <c r="BT73" s="114">
        <v>0</v>
      </c>
      <c r="BU73" s="114">
        <v>0</v>
      </c>
      <c r="BV73" s="114">
        <v>0</v>
      </c>
      <c r="BW73" s="114">
        <v>0</v>
      </c>
      <c r="BX73" s="114">
        <v>0</v>
      </c>
      <c r="BY73" s="114">
        <v>0</v>
      </c>
    </row>
    <row r="74" spans="1:77" x14ac:dyDescent="0.15">
      <c r="A74" s="191" t="s">
        <v>265</v>
      </c>
      <c r="B74" s="114">
        <v>0</v>
      </c>
      <c r="C74" s="114">
        <v>0.8</v>
      </c>
      <c r="D74" s="114">
        <v>0.8</v>
      </c>
      <c r="E74" s="114">
        <v>0.8</v>
      </c>
      <c r="F74" s="114">
        <v>0.8</v>
      </c>
      <c r="G74" s="114">
        <v>0.8</v>
      </c>
      <c r="H74" s="114">
        <v>0.8</v>
      </c>
      <c r="I74" s="114">
        <v>0.8</v>
      </c>
      <c r="J74" s="114">
        <v>0.8</v>
      </c>
      <c r="K74" s="114">
        <v>0.8</v>
      </c>
      <c r="L74" s="114">
        <v>0.8</v>
      </c>
      <c r="M74" s="114">
        <v>0.8</v>
      </c>
      <c r="N74" s="114">
        <v>0</v>
      </c>
      <c r="O74" s="114">
        <v>0.8</v>
      </c>
      <c r="P74" s="114">
        <v>0.8</v>
      </c>
      <c r="Q74" s="114">
        <v>0.8</v>
      </c>
      <c r="R74" s="114">
        <v>0.8</v>
      </c>
      <c r="S74" s="114">
        <v>0</v>
      </c>
      <c r="T74" s="114">
        <v>0</v>
      </c>
      <c r="U74" s="114">
        <v>0.8</v>
      </c>
      <c r="V74" s="114">
        <v>0</v>
      </c>
      <c r="W74" s="114">
        <v>0</v>
      </c>
      <c r="X74" s="114">
        <v>0.8</v>
      </c>
      <c r="Y74" s="114">
        <v>0.8</v>
      </c>
      <c r="Z74" s="114">
        <v>0</v>
      </c>
      <c r="AA74" s="114">
        <v>0</v>
      </c>
      <c r="AB74" s="114">
        <v>0</v>
      </c>
      <c r="AC74" s="114">
        <v>0.8</v>
      </c>
      <c r="AD74" s="114">
        <v>0</v>
      </c>
      <c r="AE74" s="114">
        <v>0.8</v>
      </c>
      <c r="AF74" s="114">
        <v>0.8</v>
      </c>
      <c r="AG74" s="114">
        <v>0</v>
      </c>
      <c r="AH74" s="114">
        <v>0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0.8</v>
      </c>
      <c r="AR74" s="114">
        <v>0.8</v>
      </c>
      <c r="AS74" s="114">
        <v>0.8</v>
      </c>
      <c r="AT74" s="114">
        <v>0.8</v>
      </c>
      <c r="AU74" s="114">
        <v>0.8</v>
      </c>
      <c r="AV74" s="114">
        <v>0.8</v>
      </c>
      <c r="AW74" s="114">
        <v>0.8</v>
      </c>
      <c r="AX74" s="114">
        <v>0.8</v>
      </c>
      <c r="AY74" s="114">
        <v>0.8</v>
      </c>
      <c r="AZ74" s="114">
        <v>0.8</v>
      </c>
      <c r="BA74" s="114">
        <v>0.8</v>
      </c>
      <c r="BB74" s="114">
        <v>0</v>
      </c>
      <c r="BC74" s="114">
        <v>0.8</v>
      </c>
      <c r="BD74" s="114">
        <v>0.8</v>
      </c>
      <c r="BE74" s="114">
        <v>0.8</v>
      </c>
      <c r="BF74" s="114">
        <v>0.8</v>
      </c>
      <c r="BG74" s="114">
        <v>0.8</v>
      </c>
      <c r="BH74" s="114">
        <v>0</v>
      </c>
      <c r="BI74" s="114">
        <v>0.8</v>
      </c>
      <c r="BJ74" s="114">
        <v>0</v>
      </c>
      <c r="BK74" s="114">
        <v>0.8</v>
      </c>
      <c r="BL74" s="114">
        <v>0.8</v>
      </c>
      <c r="BM74" s="114">
        <v>0.8</v>
      </c>
      <c r="BN74" s="114">
        <v>0</v>
      </c>
      <c r="BO74" s="114">
        <v>0</v>
      </c>
      <c r="BP74" s="114">
        <v>0</v>
      </c>
      <c r="BQ74" s="114">
        <v>0</v>
      </c>
      <c r="BR74" s="114">
        <v>0.8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</row>
    <row r="75" spans="1:77" x14ac:dyDescent="0.15">
      <c r="A75" s="191" t="s">
        <v>266</v>
      </c>
      <c r="B75" s="114">
        <v>0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0.8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0</v>
      </c>
      <c r="AA75" s="114">
        <v>0</v>
      </c>
      <c r="AB75" s="114">
        <v>0</v>
      </c>
      <c r="AC75" s="114">
        <v>0</v>
      </c>
      <c r="AD75" s="114">
        <v>0</v>
      </c>
      <c r="AE75" s="114">
        <v>0</v>
      </c>
      <c r="AF75" s="114">
        <v>0</v>
      </c>
      <c r="AG75" s="114">
        <v>0</v>
      </c>
      <c r="AH75" s="114">
        <v>0</v>
      </c>
      <c r="AI75" s="114">
        <v>0</v>
      </c>
      <c r="AJ75" s="114">
        <v>0</v>
      </c>
      <c r="AK75" s="114">
        <v>0</v>
      </c>
      <c r="AL75" s="114">
        <v>0</v>
      </c>
      <c r="AM75" s="114">
        <v>0.8</v>
      </c>
      <c r="AN75" s="114">
        <v>0</v>
      </c>
      <c r="AO75" s="114">
        <v>0</v>
      </c>
      <c r="AP75" s="114">
        <v>0</v>
      </c>
      <c r="AQ75" s="114">
        <v>0.8</v>
      </c>
      <c r="AR75" s="114">
        <v>0.8</v>
      </c>
      <c r="AS75" s="114">
        <v>0.8</v>
      </c>
      <c r="AT75" s="114">
        <v>0.8</v>
      </c>
      <c r="AU75" s="114">
        <v>0</v>
      </c>
      <c r="AV75" s="114">
        <v>0</v>
      </c>
      <c r="AW75" s="114">
        <v>0.8</v>
      </c>
      <c r="AX75" s="114">
        <v>0.8</v>
      </c>
      <c r="AY75" s="114">
        <v>0.8</v>
      </c>
      <c r="AZ75" s="114">
        <v>0</v>
      </c>
      <c r="BA75" s="114">
        <v>0.8</v>
      </c>
      <c r="BB75" s="114">
        <v>0</v>
      </c>
      <c r="BC75" s="114">
        <v>0.8</v>
      </c>
      <c r="BD75" s="114">
        <v>0.8</v>
      </c>
      <c r="BE75" s="114">
        <v>0.8</v>
      </c>
      <c r="BF75" s="114">
        <v>0.8</v>
      </c>
      <c r="BG75" s="114">
        <v>0</v>
      </c>
      <c r="BH75" s="114">
        <v>0</v>
      </c>
      <c r="BI75" s="114">
        <v>0.8</v>
      </c>
      <c r="BJ75" s="114">
        <v>0.8</v>
      </c>
      <c r="BK75" s="114">
        <v>0.8</v>
      </c>
      <c r="BL75" s="114">
        <v>0.8</v>
      </c>
      <c r="BM75" s="114">
        <v>0.8</v>
      </c>
      <c r="BN75" s="114">
        <v>0</v>
      </c>
      <c r="BO75" s="114">
        <v>0.8</v>
      </c>
      <c r="BP75" s="114">
        <v>0</v>
      </c>
      <c r="BQ75" s="114">
        <v>0.8</v>
      </c>
      <c r="BR75" s="114">
        <v>0.8</v>
      </c>
      <c r="BS75" s="114">
        <v>0.8</v>
      </c>
      <c r="BT75" s="114">
        <v>0.8</v>
      </c>
      <c r="BU75" s="114">
        <v>0</v>
      </c>
      <c r="BV75" s="114">
        <v>0</v>
      </c>
      <c r="BW75" s="114">
        <v>0</v>
      </c>
      <c r="BX75" s="114">
        <v>0</v>
      </c>
      <c r="BY75" s="114">
        <v>0</v>
      </c>
    </row>
    <row r="76" spans="1:77" x14ac:dyDescent="0.15">
      <c r="A76" s="191" t="s">
        <v>267</v>
      </c>
      <c r="B76" s="114">
        <v>0.8</v>
      </c>
      <c r="C76" s="114">
        <v>0.8</v>
      </c>
      <c r="D76" s="114">
        <v>0</v>
      </c>
      <c r="E76" s="114">
        <v>0.8</v>
      </c>
      <c r="F76" s="114">
        <v>0.8</v>
      </c>
      <c r="G76" s="114">
        <v>0.8</v>
      </c>
      <c r="H76" s="114">
        <v>0.8</v>
      </c>
      <c r="I76" s="114">
        <v>0.8</v>
      </c>
      <c r="J76" s="114">
        <v>0.8</v>
      </c>
      <c r="K76" s="114">
        <v>0.8</v>
      </c>
      <c r="L76" s="114">
        <v>0.8</v>
      </c>
      <c r="M76" s="114">
        <v>0.8</v>
      </c>
      <c r="N76" s="114">
        <v>0.8</v>
      </c>
      <c r="O76" s="114">
        <v>0.8</v>
      </c>
      <c r="P76" s="114">
        <v>0.8</v>
      </c>
      <c r="Q76" s="114">
        <v>0.8</v>
      </c>
      <c r="R76" s="114">
        <v>0.8</v>
      </c>
      <c r="S76" s="114">
        <v>0.8</v>
      </c>
      <c r="T76" s="114">
        <v>0</v>
      </c>
      <c r="U76" s="114">
        <v>0.8</v>
      </c>
      <c r="V76" s="114">
        <v>0</v>
      </c>
      <c r="W76" s="114">
        <v>0.8</v>
      </c>
      <c r="X76" s="114">
        <v>0.8</v>
      </c>
      <c r="Y76" s="114">
        <v>0.8</v>
      </c>
      <c r="Z76" s="114">
        <v>0</v>
      </c>
      <c r="AA76" s="114">
        <v>0.8</v>
      </c>
      <c r="AB76" s="114">
        <v>0</v>
      </c>
      <c r="AC76" s="114">
        <v>0</v>
      </c>
      <c r="AD76" s="114">
        <v>0.8</v>
      </c>
      <c r="AE76" s="114">
        <v>0</v>
      </c>
      <c r="AF76" s="114">
        <v>0</v>
      </c>
      <c r="AG76" s="114">
        <v>0.8</v>
      </c>
      <c r="AH76" s="114">
        <v>0</v>
      </c>
      <c r="AI76" s="114">
        <v>0</v>
      </c>
      <c r="AJ76" s="114">
        <v>0.8</v>
      </c>
      <c r="AK76" s="114">
        <v>0.8</v>
      </c>
      <c r="AL76" s="114">
        <v>0.8</v>
      </c>
      <c r="AM76" s="114">
        <v>0.8</v>
      </c>
      <c r="AN76" s="114">
        <v>0.8</v>
      </c>
      <c r="AO76" s="114">
        <v>0.8</v>
      </c>
      <c r="AP76" s="114">
        <v>0.8</v>
      </c>
      <c r="AQ76" s="114">
        <v>0.8</v>
      </c>
      <c r="AR76" s="114">
        <v>0.8</v>
      </c>
      <c r="AS76" s="114">
        <v>0.8</v>
      </c>
      <c r="AT76" s="114">
        <v>0.8</v>
      </c>
      <c r="AU76" s="114">
        <v>0.8</v>
      </c>
      <c r="AV76" s="114">
        <v>0.8</v>
      </c>
      <c r="AW76" s="114">
        <v>0.8</v>
      </c>
      <c r="AX76" s="114">
        <v>0.8</v>
      </c>
      <c r="AY76" s="114">
        <v>0.8</v>
      </c>
      <c r="AZ76" s="114">
        <v>0.8</v>
      </c>
      <c r="BA76" s="114">
        <v>0.8</v>
      </c>
      <c r="BB76" s="114">
        <v>0.8</v>
      </c>
      <c r="BC76" s="114">
        <v>0.8</v>
      </c>
      <c r="BD76" s="114">
        <v>0.8</v>
      </c>
      <c r="BE76" s="114">
        <v>0.8</v>
      </c>
      <c r="BF76" s="114">
        <v>0.8</v>
      </c>
      <c r="BG76" s="114">
        <v>0</v>
      </c>
      <c r="BH76" s="114">
        <v>0</v>
      </c>
      <c r="BI76" s="114">
        <v>0.8</v>
      </c>
      <c r="BJ76" s="114">
        <v>0.8</v>
      </c>
      <c r="BK76" s="114">
        <v>0.8</v>
      </c>
      <c r="BL76" s="114">
        <v>0.8</v>
      </c>
      <c r="BM76" s="114">
        <v>0.8</v>
      </c>
      <c r="BN76" s="114">
        <v>0.8</v>
      </c>
      <c r="BO76" s="114">
        <v>0.8</v>
      </c>
      <c r="BP76" s="114">
        <v>0.8</v>
      </c>
      <c r="BQ76" s="114">
        <v>0.8</v>
      </c>
      <c r="BR76" s="114">
        <v>0.8</v>
      </c>
      <c r="BS76" s="114">
        <v>0.8</v>
      </c>
      <c r="BT76" s="114">
        <v>0.8</v>
      </c>
      <c r="BU76" s="114">
        <v>0</v>
      </c>
      <c r="BV76" s="114">
        <v>0</v>
      </c>
      <c r="BW76" s="114">
        <v>0</v>
      </c>
      <c r="BX76" s="114">
        <v>0</v>
      </c>
      <c r="BY76" s="114">
        <v>0</v>
      </c>
    </row>
    <row r="77" spans="1:77" x14ac:dyDescent="0.15">
      <c r="A77" s="191" t="s">
        <v>268</v>
      </c>
      <c r="B77" s="114">
        <v>0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0</v>
      </c>
      <c r="T77" s="114">
        <v>0</v>
      </c>
      <c r="U77" s="114">
        <v>0</v>
      </c>
      <c r="V77" s="114">
        <v>0</v>
      </c>
      <c r="W77" s="114">
        <v>0</v>
      </c>
      <c r="X77" s="114">
        <v>0</v>
      </c>
      <c r="Y77" s="114">
        <v>0</v>
      </c>
      <c r="Z77" s="114">
        <v>0</v>
      </c>
      <c r="AA77" s="114">
        <v>0</v>
      </c>
      <c r="AB77" s="114">
        <v>0</v>
      </c>
      <c r="AC77" s="114">
        <v>0</v>
      </c>
      <c r="AD77" s="114">
        <v>0</v>
      </c>
      <c r="AE77" s="114">
        <v>0</v>
      </c>
      <c r="AF77" s="114">
        <v>0</v>
      </c>
      <c r="AG77" s="114">
        <v>0</v>
      </c>
      <c r="AH77" s="114">
        <v>0</v>
      </c>
      <c r="AI77" s="114">
        <v>0</v>
      </c>
      <c r="AJ77" s="114">
        <v>0</v>
      </c>
      <c r="AK77" s="114">
        <v>0</v>
      </c>
      <c r="AL77" s="114">
        <v>0</v>
      </c>
      <c r="AM77" s="114">
        <v>0</v>
      </c>
      <c r="AN77" s="114">
        <v>0</v>
      </c>
      <c r="AO77" s="114">
        <v>0</v>
      </c>
      <c r="AP77" s="114">
        <v>0</v>
      </c>
      <c r="AQ77" s="114">
        <v>0</v>
      </c>
      <c r="AR77" s="114">
        <v>0</v>
      </c>
      <c r="AS77" s="114">
        <v>0</v>
      </c>
      <c r="AT77" s="114">
        <v>0</v>
      </c>
      <c r="AU77" s="114">
        <v>0</v>
      </c>
      <c r="AV77" s="114">
        <v>0</v>
      </c>
      <c r="AW77" s="114">
        <v>0</v>
      </c>
      <c r="AX77" s="114">
        <v>0</v>
      </c>
      <c r="AY77" s="114">
        <v>0</v>
      </c>
      <c r="AZ77" s="114">
        <v>0</v>
      </c>
      <c r="BA77" s="114">
        <v>0</v>
      </c>
      <c r="BB77" s="114">
        <v>0</v>
      </c>
      <c r="BC77" s="114">
        <v>0</v>
      </c>
      <c r="BD77" s="114">
        <v>0</v>
      </c>
      <c r="BE77" s="114">
        <v>0</v>
      </c>
      <c r="BF77" s="114">
        <v>0</v>
      </c>
      <c r="BG77" s="114">
        <v>0</v>
      </c>
      <c r="BH77" s="114">
        <v>0</v>
      </c>
      <c r="BI77" s="114">
        <v>0</v>
      </c>
      <c r="BJ77" s="114">
        <v>0</v>
      </c>
      <c r="BK77" s="114">
        <v>0</v>
      </c>
      <c r="BL77" s="114">
        <v>0</v>
      </c>
      <c r="BM77" s="114">
        <v>0</v>
      </c>
      <c r="BN77" s="114">
        <v>0</v>
      </c>
      <c r="BO77" s="114">
        <v>0</v>
      </c>
      <c r="BP77" s="114">
        <v>0</v>
      </c>
      <c r="BQ77" s="114">
        <v>0</v>
      </c>
      <c r="BR77" s="114">
        <v>0</v>
      </c>
      <c r="BS77" s="114">
        <v>0</v>
      </c>
      <c r="BT77" s="114">
        <v>0</v>
      </c>
      <c r="BU77" s="114">
        <v>0</v>
      </c>
      <c r="BV77" s="114">
        <v>0</v>
      </c>
      <c r="BW77" s="114">
        <v>0</v>
      </c>
      <c r="BX77" s="114">
        <v>0</v>
      </c>
      <c r="BY77" s="114">
        <v>0</v>
      </c>
    </row>
    <row r="78" spans="1:77" x14ac:dyDescent="0.15">
      <c r="A78" s="191" t="s">
        <v>293</v>
      </c>
      <c r="B78" s="114">
        <v>0.8</v>
      </c>
      <c r="C78" s="114">
        <v>0.8</v>
      </c>
      <c r="D78" s="114">
        <v>0.8</v>
      </c>
      <c r="E78" s="114">
        <v>0.8</v>
      </c>
      <c r="F78" s="114">
        <v>0.8</v>
      </c>
      <c r="G78" s="114">
        <v>0.8</v>
      </c>
      <c r="H78" s="114">
        <v>0.8</v>
      </c>
      <c r="I78" s="114">
        <v>0.8</v>
      </c>
      <c r="J78" s="114">
        <v>0.8</v>
      </c>
      <c r="K78" s="114">
        <v>0.8</v>
      </c>
      <c r="L78" s="114">
        <v>0.8</v>
      </c>
      <c r="M78" s="114">
        <v>0.8</v>
      </c>
      <c r="N78" s="114">
        <v>0.8</v>
      </c>
      <c r="O78" s="114">
        <v>0.8</v>
      </c>
      <c r="P78" s="114">
        <v>0.8</v>
      </c>
      <c r="Q78" s="114">
        <v>0.8</v>
      </c>
      <c r="R78" s="114">
        <v>0</v>
      </c>
      <c r="S78" s="114">
        <v>0</v>
      </c>
      <c r="T78" s="114">
        <v>0.8</v>
      </c>
      <c r="U78" s="114">
        <v>0</v>
      </c>
      <c r="V78" s="114">
        <v>0</v>
      </c>
      <c r="W78" s="114">
        <v>0</v>
      </c>
      <c r="X78" s="114">
        <v>0.8</v>
      </c>
      <c r="Y78" s="114">
        <v>0.8</v>
      </c>
      <c r="Z78" s="114">
        <v>0</v>
      </c>
      <c r="AA78" s="114">
        <v>0</v>
      </c>
      <c r="AB78" s="114">
        <v>0</v>
      </c>
      <c r="AC78" s="114">
        <v>0</v>
      </c>
      <c r="AD78" s="114">
        <v>0</v>
      </c>
      <c r="AE78" s="114">
        <v>0</v>
      </c>
      <c r="AF78" s="114">
        <v>0</v>
      </c>
      <c r="AG78" s="114">
        <v>0</v>
      </c>
      <c r="AH78" s="114">
        <v>0</v>
      </c>
      <c r="AI78" s="114">
        <v>0</v>
      </c>
      <c r="AJ78" s="114">
        <v>0</v>
      </c>
      <c r="AK78" s="114">
        <v>0</v>
      </c>
      <c r="AL78" s="114">
        <v>0</v>
      </c>
      <c r="AM78" s="114">
        <v>0</v>
      </c>
      <c r="AN78" s="114">
        <v>0.8</v>
      </c>
      <c r="AO78" s="114">
        <v>0.8</v>
      </c>
      <c r="AP78" s="114">
        <v>0</v>
      </c>
      <c r="AQ78" s="114">
        <v>0</v>
      </c>
      <c r="AR78" s="114">
        <v>0.8</v>
      </c>
      <c r="AS78" s="114">
        <v>0.8</v>
      </c>
      <c r="AT78" s="114">
        <v>0.8</v>
      </c>
      <c r="AU78" s="114">
        <v>0.8</v>
      </c>
      <c r="AV78" s="114">
        <v>0.8</v>
      </c>
      <c r="AW78" s="114">
        <v>0.8</v>
      </c>
      <c r="AX78" s="114">
        <v>0.8</v>
      </c>
      <c r="AY78" s="114">
        <v>0.8</v>
      </c>
      <c r="AZ78" s="114">
        <v>0</v>
      </c>
      <c r="BA78" s="114">
        <v>0.8</v>
      </c>
      <c r="BB78" s="114">
        <v>0</v>
      </c>
      <c r="BC78" s="114">
        <v>0.8</v>
      </c>
      <c r="BD78" s="114">
        <v>0.8</v>
      </c>
      <c r="BE78" s="114">
        <v>0</v>
      </c>
      <c r="BF78" s="114">
        <v>0</v>
      </c>
      <c r="BG78" s="114">
        <v>0</v>
      </c>
      <c r="BH78" s="114">
        <v>0.8</v>
      </c>
      <c r="BI78" s="114">
        <v>0.8</v>
      </c>
      <c r="BJ78" s="114">
        <v>0</v>
      </c>
      <c r="BK78" s="114">
        <v>0.8</v>
      </c>
      <c r="BL78" s="114">
        <v>0.8</v>
      </c>
      <c r="BM78" s="114">
        <v>0</v>
      </c>
      <c r="BN78" s="114">
        <v>0</v>
      </c>
      <c r="BO78" s="114">
        <v>0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Y78"/>
  <sheetViews>
    <sheetView workbookViewId="0">
      <selection activeCell="A3" sqref="A3"/>
    </sheetView>
  </sheetViews>
  <sheetFormatPr baseColWidth="10" defaultRowHeight="13" x14ac:dyDescent="0.15"/>
  <cols>
    <col min="1" max="1" width="21.6640625" style="114" bestFit="1" customWidth="1"/>
    <col min="2" max="77" width="2.33203125" style="114" customWidth="1"/>
    <col min="78" max="16384" width="10.83203125" style="114"/>
  </cols>
  <sheetData>
    <row r="1" spans="1:77" x14ac:dyDescent="0.15">
      <c r="A1" s="63" t="s">
        <v>139</v>
      </c>
      <c r="B1" s="194" t="s">
        <v>193</v>
      </c>
      <c r="C1" s="194" t="s">
        <v>194</v>
      </c>
      <c r="D1" s="194" t="s">
        <v>195</v>
      </c>
      <c r="E1" s="194" t="s">
        <v>196</v>
      </c>
      <c r="F1" s="194" t="s">
        <v>197</v>
      </c>
      <c r="G1" s="194" t="s">
        <v>198</v>
      </c>
      <c r="H1" s="194" t="s">
        <v>199</v>
      </c>
      <c r="I1" s="194" t="s">
        <v>200</v>
      </c>
      <c r="J1" s="194" t="s">
        <v>201</v>
      </c>
      <c r="K1" s="194" t="s">
        <v>202</v>
      </c>
      <c r="L1" s="194" t="s">
        <v>203</v>
      </c>
      <c r="M1" s="194" t="s">
        <v>204</v>
      </c>
      <c r="N1" s="194" t="s">
        <v>205</v>
      </c>
      <c r="O1" s="194" t="s">
        <v>206</v>
      </c>
      <c r="P1" s="194" t="s">
        <v>207</v>
      </c>
      <c r="Q1" s="194" t="s">
        <v>208</v>
      </c>
      <c r="R1" s="194" t="s">
        <v>209</v>
      </c>
      <c r="S1" s="194" t="s">
        <v>210</v>
      </c>
      <c r="T1" s="194" t="s">
        <v>211</v>
      </c>
      <c r="U1" s="194" t="s">
        <v>212</v>
      </c>
      <c r="V1" s="194" t="s">
        <v>213</v>
      </c>
      <c r="W1" s="194" t="s">
        <v>214</v>
      </c>
      <c r="X1" s="194" t="s">
        <v>215</v>
      </c>
      <c r="Y1" s="194" t="s">
        <v>216</v>
      </c>
      <c r="Z1" s="194" t="s">
        <v>217</v>
      </c>
      <c r="AA1" s="194" t="s">
        <v>218</v>
      </c>
      <c r="AB1" s="194" t="s">
        <v>219</v>
      </c>
      <c r="AC1" s="194" t="s">
        <v>220</v>
      </c>
      <c r="AD1" s="194" t="s">
        <v>221</v>
      </c>
      <c r="AE1" s="194" t="s">
        <v>222</v>
      </c>
      <c r="AF1" s="194" t="s">
        <v>223</v>
      </c>
      <c r="AG1" s="194" t="s">
        <v>224</v>
      </c>
      <c r="AH1" s="194" t="s">
        <v>225</v>
      </c>
      <c r="AI1" s="194" t="s">
        <v>226</v>
      </c>
      <c r="AJ1" s="194" t="s">
        <v>227</v>
      </c>
      <c r="AK1" s="194" t="s">
        <v>228</v>
      </c>
      <c r="AL1" s="194" t="s">
        <v>229</v>
      </c>
      <c r="AM1" s="194" t="s">
        <v>230</v>
      </c>
      <c r="AN1" s="194" t="s">
        <v>231</v>
      </c>
      <c r="AO1" s="194" t="s">
        <v>232</v>
      </c>
      <c r="AP1" s="194" t="s">
        <v>233</v>
      </c>
      <c r="AQ1" s="194" t="s">
        <v>234</v>
      </c>
      <c r="AR1" s="194" t="s">
        <v>235</v>
      </c>
      <c r="AS1" s="194" t="s">
        <v>236</v>
      </c>
      <c r="AT1" s="194" t="s">
        <v>237</v>
      </c>
      <c r="AU1" s="194" t="s">
        <v>238</v>
      </c>
      <c r="AV1" s="194" t="s">
        <v>239</v>
      </c>
      <c r="AW1" s="194" t="s">
        <v>240</v>
      </c>
      <c r="AX1" s="194" t="s">
        <v>241</v>
      </c>
      <c r="AY1" s="194" t="s">
        <v>242</v>
      </c>
      <c r="AZ1" s="194" t="s">
        <v>243</v>
      </c>
      <c r="BA1" s="194" t="s">
        <v>244</v>
      </c>
      <c r="BB1" s="194" t="s">
        <v>245</v>
      </c>
      <c r="BC1" s="194" t="s">
        <v>246</v>
      </c>
      <c r="BD1" s="194" t="s">
        <v>247</v>
      </c>
      <c r="BE1" s="194" t="s">
        <v>248</v>
      </c>
      <c r="BF1" s="194" t="s">
        <v>249</v>
      </c>
      <c r="BG1" s="194" t="s">
        <v>250</v>
      </c>
      <c r="BH1" s="194" t="s">
        <v>251</v>
      </c>
      <c r="BI1" s="194" t="s">
        <v>252</v>
      </c>
      <c r="BJ1" s="194" t="s">
        <v>253</v>
      </c>
      <c r="BK1" s="194" t="s">
        <v>254</v>
      </c>
      <c r="BL1" s="194" t="s">
        <v>255</v>
      </c>
      <c r="BM1" s="194" t="s">
        <v>256</v>
      </c>
      <c r="BN1" s="194" t="s">
        <v>257</v>
      </c>
      <c r="BO1" s="194" t="s">
        <v>258</v>
      </c>
      <c r="BP1" s="194" t="s">
        <v>259</v>
      </c>
      <c r="BQ1" s="194" t="s">
        <v>260</v>
      </c>
      <c r="BR1" s="194" t="s">
        <v>261</v>
      </c>
      <c r="BS1" s="194" t="s">
        <v>262</v>
      </c>
      <c r="BT1" s="194" t="s">
        <v>263</v>
      </c>
      <c r="BU1" s="194" t="s">
        <v>264</v>
      </c>
      <c r="BV1" s="194" t="s">
        <v>265</v>
      </c>
      <c r="BW1" s="194" t="s">
        <v>266</v>
      </c>
      <c r="BX1" s="194" t="s">
        <v>267</v>
      </c>
      <c r="BY1" s="194" t="s">
        <v>268</v>
      </c>
    </row>
    <row r="2" spans="1:77" customFormat="1" x14ac:dyDescent="0.15">
      <c r="A2" s="193" t="s">
        <v>193</v>
      </c>
      <c r="B2" s="114">
        <v>0</v>
      </c>
      <c r="C2" s="114">
        <v>0</v>
      </c>
      <c r="D2" s="114">
        <v>0</v>
      </c>
      <c r="E2" s="114">
        <v>1</v>
      </c>
      <c r="F2" s="114">
        <v>1</v>
      </c>
      <c r="G2" s="114">
        <v>1</v>
      </c>
      <c r="H2" s="114">
        <v>1</v>
      </c>
      <c r="I2" s="114">
        <v>1</v>
      </c>
      <c r="J2" s="114">
        <v>0</v>
      </c>
      <c r="K2" s="114">
        <v>0</v>
      </c>
      <c r="L2" s="114">
        <v>0</v>
      </c>
      <c r="M2" s="114">
        <v>0</v>
      </c>
      <c r="N2" s="114">
        <v>1</v>
      </c>
      <c r="O2" s="114">
        <v>0</v>
      </c>
      <c r="P2" s="114">
        <v>0</v>
      </c>
      <c r="Q2" s="114">
        <v>0</v>
      </c>
      <c r="R2" s="114">
        <v>0</v>
      </c>
      <c r="S2" s="114">
        <v>0</v>
      </c>
      <c r="T2" s="114">
        <v>0</v>
      </c>
      <c r="U2" s="114">
        <v>0</v>
      </c>
      <c r="V2" s="114">
        <v>0</v>
      </c>
      <c r="W2" s="114">
        <v>0</v>
      </c>
      <c r="X2" s="114">
        <v>0</v>
      </c>
      <c r="Y2" s="114">
        <v>0</v>
      </c>
      <c r="Z2" s="114">
        <v>0</v>
      </c>
      <c r="AA2" s="114">
        <v>0</v>
      </c>
      <c r="AB2" s="114">
        <v>0</v>
      </c>
      <c r="AC2" s="114">
        <v>0</v>
      </c>
      <c r="AD2" s="114">
        <v>0</v>
      </c>
      <c r="AE2" s="114">
        <v>0</v>
      </c>
      <c r="AF2" s="114">
        <v>0</v>
      </c>
      <c r="AG2" s="114">
        <v>0</v>
      </c>
      <c r="AH2" s="114">
        <v>0</v>
      </c>
      <c r="AI2" s="114">
        <v>0</v>
      </c>
      <c r="AJ2" s="114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0</v>
      </c>
      <c r="AP2" s="114">
        <v>0</v>
      </c>
      <c r="AQ2" s="114">
        <v>0</v>
      </c>
      <c r="AR2" s="114">
        <v>0</v>
      </c>
      <c r="AS2" s="114">
        <v>0</v>
      </c>
      <c r="AT2" s="114">
        <v>0</v>
      </c>
      <c r="AU2" s="114">
        <v>0</v>
      </c>
      <c r="AV2" s="114">
        <v>0</v>
      </c>
      <c r="AW2" s="114">
        <v>0</v>
      </c>
      <c r="AX2" s="114">
        <v>0</v>
      </c>
      <c r="AY2" s="114">
        <v>0</v>
      </c>
      <c r="AZ2" s="114">
        <v>0</v>
      </c>
      <c r="BA2" s="114">
        <v>0</v>
      </c>
      <c r="BB2" s="114">
        <v>0</v>
      </c>
      <c r="BC2" s="114">
        <v>0</v>
      </c>
      <c r="BD2" s="114">
        <v>0</v>
      </c>
      <c r="BE2" s="114">
        <v>0</v>
      </c>
      <c r="BF2" s="114">
        <v>0</v>
      </c>
      <c r="BG2" s="114">
        <v>0</v>
      </c>
      <c r="BH2" s="114">
        <v>0</v>
      </c>
      <c r="BI2" s="114">
        <v>0</v>
      </c>
      <c r="BJ2" s="114">
        <v>0</v>
      </c>
      <c r="BK2" s="114">
        <v>0</v>
      </c>
      <c r="BL2" s="114">
        <v>0</v>
      </c>
      <c r="BM2" s="114">
        <v>0</v>
      </c>
      <c r="BN2" s="114">
        <v>0</v>
      </c>
      <c r="BO2" s="114">
        <v>0</v>
      </c>
      <c r="BP2" s="114">
        <v>0</v>
      </c>
      <c r="BQ2" s="114">
        <v>0</v>
      </c>
      <c r="BR2" s="114">
        <v>0</v>
      </c>
      <c r="BS2" s="114">
        <v>0</v>
      </c>
      <c r="BT2" s="114">
        <v>0</v>
      </c>
      <c r="BU2" s="114">
        <v>0</v>
      </c>
      <c r="BV2" s="114">
        <v>0</v>
      </c>
      <c r="BW2" s="114">
        <v>0</v>
      </c>
      <c r="BX2" s="114">
        <v>0</v>
      </c>
      <c r="BY2" s="114">
        <v>0</v>
      </c>
    </row>
    <row r="3" spans="1:77" customFormat="1" x14ac:dyDescent="0.15">
      <c r="A3" s="193" t="s">
        <v>194</v>
      </c>
      <c r="B3" s="114">
        <v>0</v>
      </c>
      <c r="C3" s="114">
        <v>1</v>
      </c>
      <c r="D3" s="114">
        <v>0</v>
      </c>
      <c r="E3" s="114">
        <v>0</v>
      </c>
      <c r="F3" s="114">
        <v>1</v>
      </c>
      <c r="G3" s="114">
        <v>0</v>
      </c>
      <c r="H3" s="114">
        <v>1</v>
      </c>
      <c r="I3" s="114">
        <v>1</v>
      </c>
      <c r="J3" s="114">
        <v>0</v>
      </c>
      <c r="K3" s="114">
        <v>0</v>
      </c>
      <c r="L3" s="114">
        <v>0</v>
      </c>
      <c r="M3" s="114">
        <v>0</v>
      </c>
      <c r="N3" s="114">
        <v>0</v>
      </c>
      <c r="O3" s="114">
        <v>0</v>
      </c>
      <c r="P3" s="114">
        <v>0</v>
      </c>
      <c r="Q3" s="114">
        <v>0</v>
      </c>
      <c r="R3" s="114">
        <v>0</v>
      </c>
      <c r="S3" s="114">
        <v>0</v>
      </c>
      <c r="T3" s="114">
        <v>0</v>
      </c>
      <c r="U3" s="114">
        <v>0</v>
      </c>
      <c r="V3" s="114">
        <v>0</v>
      </c>
      <c r="W3" s="114">
        <v>0</v>
      </c>
      <c r="X3" s="114">
        <v>0</v>
      </c>
      <c r="Y3" s="114">
        <v>0</v>
      </c>
      <c r="Z3" s="114">
        <v>0</v>
      </c>
      <c r="AA3" s="114">
        <v>0</v>
      </c>
      <c r="AB3" s="114">
        <v>0</v>
      </c>
      <c r="AC3" s="114">
        <v>0</v>
      </c>
      <c r="AD3" s="114">
        <v>0</v>
      </c>
      <c r="AE3" s="114">
        <v>0</v>
      </c>
      <c r="AF3" s="114">
        <v>0</v>
      </c>
      <c r="AG3" s="114">
        <v>0</v>
      </c>
      <c r="AH3" s="114">
        <v>0</v>
      </c>
      <c r="AI3" s="114">
        <v>0</v>
      </c>
      <c r="AJ3" s="114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0</v>
      </c>
      <c r="AP3" s="114">
        <v>0</v>
      </c>
      <c r="AQ3" s="114">
        <v>0</v>
      </c>
      <c r="AR3" s="114">
        <v>0</v>
      </c>
      <c r="AS3" s="114">
        <v>0</v>
      </c>
      <c r="AT3" s="114">
        <v>0</v>
      </c>
      <c r="AU3" s="114">
        <v>0</v>
      </c>
      <c r="AV3" s="114">
        <v>0</v>
      </c>
      <c r="AW3" s="114">
        <v>0</v>
      </c>
      <c r="AX3" s="114">
        <v>0</v>
      </c>
      <c r="AY3" s="114">
        <v>0</v>
      </c>
      <c r="AZ3" s="114">
        <v>0</v>
      </c>
      <c r="BA3" s="114">
        <v>0</v>
      </c>
      <c r="BB3" s="114">
        <v>0</v>
      </c>
      <c r="BC3" s="114">
        <v>0</v>
      </c>
      <c r="BD3" s="114">
        <v>0</v>
      </c>
      <c r="BE3" s="114">
        <v>0</v>
      </c>
      <c r="BF3" s="114">
        <v>0</v>
      </c>
      <c r="BG3" s="114">
        <v>0</v>
      </c>
      <c r="BH3" s="114">
        <v>0</v>
      </c>
      <c r="BI3" s="114">
        <v>0</v>
      </c>
      <c r="BJ3" s="114">
        <v>0</v>
      </c>
      <c r="BK3" s="114">
        <v>0</v>
      </c>
      <c r="BL3" s="114">
        <v>0</v>
      </c>
      <c r="BM3" s="114">
        <v>0</v>
      </c>
      <c r="BN3" s="114">
        <v>0</v>
      </c>
      <c r="BO3" s="114">
        <v>0</v>
      </c>
      <c r="BP3" s="114">
        <v>0</v>
      </c>
      <c r="BQ3" s="114">
        <v>0</v>
      </c>
      <c r="BR3" s="114">
        <v>0</v>
      </c>
      <c r="BS3" s="114">
        <v>0</v>
      </c>
      <c r="BT3" s="114">
        <v>0</v>
      </c>
      <c r="BU3" s="114">
        <v>0</v>
      </c>
      <c r="BV3" s="114">
        <v>0</v>
      </c>
      <c r="BW3" s="114">
        <v>0</v>
      </c>
      <c r="BX3" s="114">
        <v>0</v>
      </c>
      <c r="BY3" s="114">
        <v>0</v>
      </c>
    </row>
    <row r="4" spans="1:77" customFormat="1" x14ac:dyDescent="0.15">
      <c r="A4" s="193" t="s">
        <v>195</v>
      </c>
      <c r="B4" s="114">
        <v>0</v>
      </c>
      <c r="C4" s="114">
        <v>0</v>
      </c>
      <c r="D4" s="114">
        <v>0</v>
      </c>
      <c r="E4" s="114">
        <v>0</v>
      </c>
      <c r="F4" s="114">
        <v>1</v>
      </c>
      <c r="G4" s="114">
        <v>0</v>
      </c>
      <c r="H4" s="114">
        <v>1</v>
      </c>
      <c r="I4" s="114">
        <v>1</v>
      </c>
      <c r="J4" s="114">
        <v>0</v>
      </c>
      <c r="K4" s="114">
        <v>0</v>
      </c>
      <c r="L4" s="114">
        <v>0</v>
      </c>
      <c r="M4" s="114">
        <v>0</v>
      </c>
      <c r="N4" s="114">
        <v>0</v>
      </c>
      <c r="O4" s="114">
        <v>1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K4" s="114">
        <v>1</v>
      </c>
      <c r="AL4" s="114">
        <v>0</v>
      </c>
      <c r="AM4" s="114">
        <v>0</v>
      </c>
      <c r="AN4" s="114">
        <v>0</v>
      </c>
      <c r="AO4" s="114">
        <v>0</v>
      </c>
      <c r="AP4" s="114">
        <v>0</v>
      </c>
      <c r="AQ4" s="114">
        <v>0</v>
      </c>
      <c r="AR4" s="114">
        <v>0</v>
      </c>
      <c r="AS4" s="114">
        <v>0</v>
      </c>
      <c r="AT4" s="114">
        <v>0</v>
      </c>
      <c r="AU4" s="114">
        <v>0</v>
      </c>
      <c r="AV4" s="114">
        <v>0</v>
      </c>
      <c r="AW4" s="114">
        <v>0</v>
      </c>
      <c r="AX4" s="114">
        <v>0</v>
      </c>
      <c r="AY4" s="114">
        <v>0</v>
      </c>
      <c r="AZ4" s="114">
        <v>0</v>
      </c>
      <c r="BA4" s="114">
        <v>0</v>
      </c>
      <c r="BB4" s="114">
        <v>0</v>
      </c>
      <c r="BC4" s="114">
        <v>0</v>
      </c>
      <c r="BD4" s="114">
        <v>0</v>
      </c>
      <c r="BE4" s="114">
        <v>0</v>
      </c>
      <c r="BF4" s="114">
        <v>0</v>
      </c>
      <c r="BG4" s="114">
        <v>0</v>
      </c>
      <c r="BH4" s="114">
        <v>0</v>
      </c>
      <c r="BI4" s="114">
        <v>0</v>
      </c>
      <c r="BJ4" s="114">
        <v>0</v>
      </c>
      <c r="BK4" s="114">
        <v>0</v>
      </c>
      <c r="BL4" s="114">
        <v>0</v>
      </c>
      <c r="BM4" s="114">
        <v>0</v>
      </c>
      <c r="BN4" s="114">
        <v>0</v>
      </c>
      <c r="BO4" s="114">
        <v>0</v>
      </c>
      <c r="BP4" s="114">
        <v>0</v>
      </c>
      <c r="BQ4" s="114">
        <v>0</v>
      </c>
      <c r="BR4" s="114">
        <v>0</v>
      </c>
      <c r="BS4" s="114">
        <v>0</v>
      </c>
      <c r="BT4" s="114">
        <v>0</v>
      </c>
      <c r="BU4" s="114">
        <v>0</v>
      </c>
      <c r="BV4" s="114">
        <v>0</v>
      </c>
      <c r="BW4" s="114">
        <v>0</v>
      </c>
      <c r="BX4" s="114">
        <v>0</v>
      </c>
      <c r="BY4" s="114">
        <v>0</v>
      </c>
    </row>
    <row r="5" spans="1:77" customFormat="1" x14ac:dyDescent="0.15">
      <c r="A5" s="193" t="s">
        <v>196</v>
      </c>
      <c r="B5" s="114">
        <v>0</v>
      </c>
      <c r="C5" s="114">
        <v>0</v>
      </c>
      <c r="D5" s="114">
        <v>0</v>
      </c>
      <c r="E5" s="114">
        <v>1</v>
      </c>
      <c r="F5" s="114">
        <v>1</v>
      </c>
      <c r="G5" s="114">
        <v>1</v>
      </c>
      <c r="H5" s="114">
        <v>1</v>
      </c>
      <c r="I5" s="114">
        <v>1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4">
        <v>0</v>
      </c>
      <c r="AP5" s="114">
        <v>0</v>
      </c>
      <c r="AQ5" s="114">
        <v>0</v>
      </c>
      <c r="AR5" s="114">
        <v>0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  <c r="BB5" s="114">
        <v>0</v>
      </c>
      <c r="BC5" s="114">
        <v>0</v>
      </c>
      <c r="BD5" s="114">
        <v>0</v>
      </c>
      <c r="BE5" s="114">
        <v>0</v>
      </c>
      <c r="BF5" s="114">
        <v>0</v>
      </c>
      <c r="BG5" s="114">
        <v>0</v>
      </c>
      <c r="BH5" s="114">
        <v>0</v>
      </c>
      <c r="BI5" s="114">
        <v>0</v>
      </c>
      <c r="BJ5" s="114">
        <v>0</v>
      </c>
      <c r="BK5" s="114">
        <v>0</v>
      </c>
      <c r="BL5" s="114">
        <v>0</v>
      </c>
      <c r="BM5" s="114">
        <v>0</v>
      </c>
      <c r="BN5" s="114">
        <v>0</v>
      </c>
      <c r="BO5" s="114">
        <v>0</v>
      </c>
      <c r="BP5" s="114">
        <v>0</v>
      </c>
      <c r="BQ5" s="114">
        <v>0</v>
      </c>
      <c r="BR5" s="114">
        <v>0</v>
      </c>
      <c r="BS5" s="114">
        <v>0</v>
      </c>
      <c r="BT5" s="114">
        <v>0</v>
      </c>
      <c r="BU5" s="114">
        <v>0</v>
      </c>
      <c r="BV5" s="114">
        <v>0</v>
      </c>
      <c r="BW5" s="114">
        <v>0</v>
      </c>
      <c r="BX5" s="114">
        <v>0</v>
      </c>
      <c r="BY5" s="114">
        <v>0</v>
      </c>
    </row>
    <row r="6" spans="1:77" customFormat="1" x14ac:dyDescent="0.15">
      <c r="A6" s="193" t="s">
        <v>197</v>
      </c>
      <c r="B6" s="114">
        <v>0</v>
      </c>
      <c r="C6" s="114">
        <v>0</v>
      </c>
      <c r="D6" s="114">
        <v>0</v>
      </c>
      <c r="E6" s="114">
        <v>1</v>
      </c>
      <c r="F6" s="114">
        <v>1</v>
      </c>
      <c r="G6" s="114">
        <v>1</v>
      </c>
      <c r="H6" s="114">
        <v>1</v>
      </c>
      <c r="I6" s="114">
        <v>1</v>
      </c>
      <c r="J6" s="114">
        <v>0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K6" s="114">
        <v>0</v>
      </c>
      <c r="AL6" s="114">
        <v>0</v>
      </c>
      <c r="AM6" s="114">
        <v>0</v>
      </c>
      <c r="AN6" s="114">
        <v>0</v>
      </c>
      <c r="AO6" s="114">
        <v>0</v>
      </c>
      <c r="AP6" s="114">
        <v>0</v>
      </c>
      <c r="AQ6" s="114">
        <v>0</v>
      </c>
      <c r="AR6" s="114">
        <v>0</v>
      </c>
      <c r="AS6" s="114">
        <v>0</v>
      </c>
      <c r="AT6" s="114">
        <v>0</v>
      </c>
      <c r="AU6" s="114">
        <v>0</v>
      </c>
      <c r="AV6" s="114">
        <v>0</v>
      </c>
      <c r="AW6" s="114">
        <v>0</v>
      </c>
      <c r="AX6" s="114">
        <v>0</v>
      </c>
      <c r="AY6" s="114">
        <v>0</v>
      </c>
      <c r="AZ6" s="114">
        <v>0</v>
      </c>
      <c r="BA6" s="114">
        <v>0</v>
      </c>
      <c r="BB6" s="114">
        <v>0</v>
      </c>
      <c r="BC6" s="114">
        <v>0</v>
      </c>
      <c r="BD6" s="114">
        <v>0</v>
      </c>
      <c r="BE6" s="114">
        <v>0</v>
      </c>
      <c r="BF6" s="114">
        <v>0</v>
      </c>
      <c r="BG6" s="114">
        <v>0</v>
      </c>
      <c r="BH6" s="114">
        <v>0</v>
      </c>
      <c r="BI6" s="114">
        <v>0</v>
      </c>
      <c r="BJ6" s="114">
        <v>0</v>
      </c>
      <c r="BK6" s="114">
        <v>0</v>
      </c>
      <c r="BL6" s="114">
        <v>0</v>
      </c>
      <c r="BM6" s="114">
        <v>0</v>
      </c>
      <c r="BN6" s="114">
        <v>0</v>
      </c>
      <c r="BO6" s="114">
        <v>0</v>
      </c>
      <c r="BP6" s="114">
        <v>0</v>
      </c>
      <c r="BQ6" s="114">
        <v>0</v>
      </c>
      <c r="BR6" s="114">
        <v>0</v>
      </c>
      <c r="BS6" s="114">
        <v>0</v>
      </c>
      <c r="BT6" s="114">
        <v>0</v>
      </c>
      <c r="BU6" s="114">
        <v>0</v>
      </c>
      <c r="BV6" s="114">
        <v>0</v>
      </c>
      <c r="BW6" s="114">
        <v>0</v>
      </c>
      <c r="BX6" s="114">
        <v>0</v>
      </c>
      <c r="BY6" s="114">
        <v>0</v>
      </c>
    </row>
    <row r="7" spans="1:77" customFormat="1" x14ac:dyDescent="0.15">
      <c r="A7" s="193" t="s">
        <v>198</v>
      </c>
      <c r="B7" s="114">
        <v>0</v>
      </c>
      <c r="C7" s="114">
        <v>0</v>
      </c>
      <c r="D7" s="114">
        <v>0</v>
      </c>
      <c r="E7" s="114">
        <v>1</v>
      </c>
      <c r="F7" s="114">
        <v>1</v>
      </c>
      <c r="G7" s="114">
        <v>1</v>
      </c>
      <c r="H7" s="114">
        <v>1</v>
      </c>
      <c r="I7" s="114">
        <v>1</v>
      </c>
      <c r="J7" s="114">
        <v>0</v>
      </c>
      <c r="K7" s="114">
        <v>0</v>
      </c>
      <c r="L7" s="114">
        <v>0</v>
      </c>
      <c r="M7" s="114">
        <v>0</v>
      </c>
      <c r="N7" s="114">
        <v>0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K7" s="114">
        <v>0</v>
      </c>
      <c r="AL7" s="114">
        <v>0</v>
      </c>
      <c r="AM7" s="114">
        <v>0</v>
      </c>
      <c r="AN7" s="114">
        <v>0</v>
      </c>
      <c r="AO7" s="114">
        <v>0</v>
      </c>
      <c r="AP7" s="114">
        <v>0</v>
      </c>
      <c r="AQ7" s="114">
        <v>0</v>
      </c>
      <c r="AR7" s="114">
        <v>0</v>
      </c>
      <c r="AS7" s="114">
        <v>0</v>
      </c>
      <c r="AT7" s="114">
        <v>0</v>
      </c>
      <c r="AU7" s="114">
        <v>0</v>
      </c>
      <c r="AV7" s="114">
        <v>0</v>
      </c>
      <c r="AW7" s="114">
        <v>0</v>
      </c>
      <c r="AX7" s="114">
        <v>0</v>
      </c>
      <c r="AY7" s="114">
        <v>0</v>
      </c>
      <c r="AZ7" s="114">
        <v>0</v>
      </c>
      <c r="BA7" s="114">
        <v>0</v>
      </c>
      <c r="BB7" s="114">
        <v>0</v>
      </c>
      <c r="BC7" s="114">
        <v>0</v>
      </c>
      <c r="BD7" s="114">
        <v>0</v>
      </c>
      <c r="BE7" s="114">
        <v>0</v>
      </c>
      <c r="BF7" s="114">
        <v>0</v>
      </c>
      <c r="BG7" s="114">
        <v>0</v>
      </c>
      <c r="BH7" s="114">
        <v>0</v>
      </c>
      <c r="BI7" s="114">
        <v>0</v>
      </c>
      <c r="BJ7" s="114">
        <v>0</v>
      </c>
      <c r="BK7" s="114">
        <v>0</v>
      </c>
      <c r="BL7" s="114">
        <v>0</v>
      </c>
      <c r="BM7" s="114">
        <v>0</v>
      </c>
      <c r="BN7" s="114">
        <v>0</v>
      </c>
      <c r="BO7" s="114">
        <v>0</v>
      </c>
      <c r="BP7" s="114">
        <v>0</v>
      </c>
      <c r="BQ7" s="114">
        <v>0</v>
      </c>
      <c r="BR7" s="114">
        <v>0</v>
      </c>
      <c r="BS7" s="114">
        <v>0</v>
      </c>
      <c r="BT7" s="114">
        <v>0</v>
      </c>
      <c r="BU7" s="114">
        <v>0</v>
      </c>
      <c r="BV7" s="114">
        <v>0</v>
      </c>
      <c r="BW7" s="114">
        <v>0</v>
      </c>
      <c r="BX7" s="114">
        <v>0</v>
      </c>
      <c r="BY7" s="114">
        <v>0</v>
      </c>
    </row>
    <row r="8" spans="1:77" customFormat="1" x14ac:dyDescent="0.15">
      <c r="A8" s="193" t="s">
        <v>199</v>
      </c>
      <c r="B8" s="114">
        <v>0</v>
      </c>
      <c r="C8" s="114">
        <v>0</v>
      </c>
      <c r="D8" s="114">
        <v>0</v>
      </c>
      <c r="E8" s="114">
        <v>1</v>
      </c>
      <c r="F8" s="114">
        <v>1</v>
      </c>
      <c r="G8" s="114">
        <v>1</v>
      </c>
      <c r="H8" s="114">
        <v>1</v>
      </c>
      <c r="I8" s="114">
        <v>1</v>
      </c>
      <c r="J8" s="114">
        <v>0</v>
      </c>
      <c r="K8" s="114">
        <v>0</v>
      </c>
      <c r="L8" s="114">
        <v>1</v>
      </c>
      <c r="M8" s="114">
        <v>0</v>
      </c>
      <c r="N8" s="114">
        <v>0</v>
      </c>
      <c r="O8" s="114">
        <v>0</v>
      </c>
      <c r="P8" s="114">
        <v>0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4">
        <v>0</v>
      </c>
      <c r="AP8" s="114">
        <v>0</v>
      </c>
      <c r="AQ8" s="114">
        <v>0</v>
      </c>
      <c r="AR8" s="114">
        <v>0</v>
      </c>
      <c r="AS8" s="114">
        <v>0</v>
      </c>
      <c r="AT8" s="114">
        <v>0</v>
      </c>
      <c r="AU8" s="114">
        <v>0</v>
      </c>
      <c r="AV8" s="114">
        <v>0</v>
      </c>
      <c r="AW8" s="114">
        <v>0</v>
      </c>
      <c r="AX8" s="114">
        <v>0</v>
      </c>
      <c r="AY8" s="114">
        <v>0</v>
      </c>
      <c r="AZ8" s="114">
        <v>0</v>
      </c>
      <c r="BA8" s="114">
        <v>0</v>
      </c>
      <c r="BB8" s="114">
        <v>0</v>
      </c>
      <c r="BC8" s="114">
        <v>0</v>
      </c>
      <c r="BD8" s="114">
        <v>0</v>
      </c>
      <c r="BE8" s="114">
        <v>0</v>
      </c>
      <c r="BF8" s="114">
        <v>0</v>
      </c>
      <c r="BG8" s="114">
        <v>0</v>
      </c>
      <c r="BH8" s="114">
        <v>0</v>
      </c>
      <c r="BI8" s="114">
        <v>0</v>
      </c>
      <c r="BJ8" s="114">
        <v>0</v>
      </c>
      <c r="BK8" s="114">
        <v>0</v>
      </c>
      <c r="BL8" s="114">
        <v>0</v>
      </c>
      <c r="BM8" s="114">
        <v>0</v>
      </c>
      <c r="BN8" s="114">
        <v>0</v>
      </c>
      <c r="BO8" s="114">
        <v>0</v>
      </c>
      <c r="BP8" s="114">
        <v>0</v>
      </c>
      <c r="BQ8" s="114">
        <v>0</v>
      </c>
      <c r="BR8" s="114">
        <v>0</v>
      </c>
      <c r="BS8" s="114">
        <v>0</v>
      </c>
      <c r="BT8" s="114">
        <v>0</v>
      </c>
      <c r="BU8" s="114">
        <v>0</v>
      </c>
      <c r="BV8" s="114">
        <v>0</v>
      </c>
      <c r="BW8" s="114">
        <v>0</v>
      </c>
      <c r="BX8" s="114">
        <v>0</v>
      </c>
      <c r="BY8" s="114">
        <v>0</v>
      </c>
    </row>
    <row r="9" spans="1:77" customFormat="1" x14ac:dyDescent="0.15">
      <c r="A9" s="193" t="s">
        <v>200</v>
      </c>
      <c r="B9" s="114">
        <v>0</v>
      </c>
      <c r="C9" s="114">
        <v>0</v>
      </c>
      <c r="D9" s="114">
        <v>0</v>
      </c>
      <c r="E9" s="114">
        <v>0</v>
      </c>
      <c r="F9" s="114">
        <v>1</v>
      </c>
      <c r="G9" s="114">
        <v>1</v>
      </c>
      <c r="H9" s="114">
        <v>1</v>
      </c>
      <c r="I9" s="114">
        <v>1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4">
        <v>0</v>
      </c>
      <c r="AP9" s="114">
        <v>0</v>
      </c>
      <c r="AQ9" s="114">
        <v>0</v>
      </c>
      <c r="AR9" s="114">
        <v>0</v>
      </c>
      <c r="AS9" s="114">
        <v>0</v>
      </c>
      <c r="AT9" s="114">
        <v>0</v>
      </c>
      <c r="AU9" s="114">
        <v>0</v>
      </c>
      <c r="AV9" s="114">
        <v>0</v>
      </c>
      <c r="AW9" s="114">
        <v>0</v>
      </c>
      <c r="AX9" s="114">
        <v>0</v>
      </c>
      <c r="AY9" s="114">
        <v>0</v>
      </c>
      <c r="AZ9" s="114">
        <v>0</v>
      </c>
      <c r="BA9" s="114">
        <v>0</v>
      </c>
      <c r="BB9" s="114">
        <v>0</v>
      </c>
      <c r="BC9" s="114">
        <v>0</v>
      </c>
      <c r="BD9" s="114">
        <v>0</v>
      </c>
      <c r="BE9" s="114">
        <v>0</v>
      </c>
      <c r="BF9" s="114">
        <v>0</v>
      </c>
      <c r="BG9" s="114">
        <v>0</v>
      </c>
      <c r="BH9" s="114">
        <v>0</v>
      </c>
      <c r="BI9" s="114">
        <v>0</v>
      </c>
      <c r="BJ9" s="114">
        <v>0</v>
      </c>
      <c r="BK9" s="114">
        <v>0</v>
      </c>
      <c r="BL9" s="114">
        <v>0</v>
      </c>
      <c r="BM9" s="114">
        <v>0</v>
      </c>
      <c r="BN9" s="114">
        <v>0</v>
      </c>
      <c r="BO9" s="114">
        <v>0</v>
      </c>
      <c r="BP9" s="114">
        <v>0</v>
      </c>
      <c r="BQ9" s="114">
        <v>0</v>
      </c>
      <c r="BR9" s="114">
        <v>0</v>
      </c>
      <c r="BS9" s="114">
        <v>0</v>
      </c>
      <c r="BT9" s="114">
        <v>0</v>
      </c>
      <c r="BU9" s="114">
        <v>0</v>
      </c>
      <c r="BV9" s="114">
        <v>0</v>
      </c>
      <c r="BW9" s="114">
        <v>0</v>
      </c>
      <c r="BX9" s="114">
        <v>0</v>
      </c>
      <c r="BY9" s="114">
        <v>0</v>
      </c>
    </row>
    <row r="10" spans="1:77" customFormat="1" x14ac:dyDescent="0.15">
      <c r="A10" s="193" t="s">
        <v>201</v>
      </c>
      <c r="B10" s="114">
        <v>1</v>
      </c>
      <c r="C10" s="114">
        <v>0</v>
      </c>
      <c r="D10" s="114">
        <v>1</v>
      </c>
      <c r="E10" s="114">
        <v>1</v>
      </c>
      <c r="F10" s="114">
        <v>1</v>
      </c>
      <c r="G10" s="114">
        <v>1</v>
      </c>
      <c r="H10" s="114">
        <v>1</v>
      </c>
      <c r="I10" s="114">
        <v>1</v>
      </c>
      <c r="J10" s="114">
        <v>1</v>
      </c>
      <c r="K10" s="114">
        <v>1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1</v>
      </c>
      <c r="AB10" s="114">
        <v>0</v>
      </c>
      <c r="AC10" s="114">
        <v>0</v>
      </c>
      <c r="AD10" s="114">
        <v>1</v>
      </c>
      <c r="AE10" s="114">
        <v>0</v>
      </c>
      <c r="AF10" s="114">
        <v>0</v>
      </c>
      <c r="AG10" s="114">
        <v>1</v>
      </c>
      <c r="AH10" s="114">
        <v>0</v>
      </c>
      <c r="AI10" s="114">
        <v>0</v>
      </c>
      <c r="AJ10" s="114">
        <v>1</v>
      </c>
      <c r="AK10" s="114">
        <v>1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</row>
    <row r="11" spans="1:77" customFormat="1" x14ac:dyDescent="0.15">
      <c r="A11" s="193" t="s">
        <v>202</v>
      </c>
      <c r="B11" s="114">
        <v>1</v>
      </c>
      <c r="C11" s="114">
        <v>0</v>
      </c>
      <c r="D11" s="114">
        <v>1</v>
      </c>
      <c r="E11" s="114">
        <v>1</v>
      </c>
      <c r="F11" s="114">
        <v>1</v>
      </c>
      <c r="G11" s="114">
        <v>1</v>
      </c>
      <c r="H11" s="114">
        <v>1</v>
      </c>
      <c r="I11" s="114">
        <v>1</v>
      </c>
      <c r="J11" s="114">
        <v>1</v>
      </c>
      <c r="K11" s="114">
        <v>1</v>
      </c>
      <c r="L11" s="114">
        <v>0</v>
      </c>
      <c r="M11" s="114">
        <v>1</v>
      </c>
      <c r="N11" s="114">
        <v>0</v>
      </c>
      <c r="O11" s="114">
        <v>0</v>
      </c>
      <c r="P11" s="114">
        <v>1</v>
      </c>
      <c r="Q11" s="114">
        <v>0</v>
      </c>
      <c r="R11" s="114">
        <v>0</v>
      </c>
      <c r="S11" s="114">
        <v>1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1</v>
      </c>
      <c r="AB11" s="114">
        <v>0</v>
      </c>
      <c r="AC11" s="114">
        <v>0</v>
      </c>
      <c r="AD11" s="114">
        <v>1</v>
      </c>
      <c r="AE11" s="114">
        <v>0</v>
      </c>
      <c r="AF11" s="114">
        <v>0</v>
      </c>
      <c r="AG11" s="114">
        <v>1</v>
      </c>
      <c r="AH11" s="114">
        <v>0</v>
      </c>
      <c r="AI11" s="114">
        <v>0</v>
      </c>
      <c r="AJ11" s="114">
        <v>1</v>
      </c>
      <c r="AK11" s="114">
        <v>1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1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1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</row>
    <row r="12" spans="1:77" customFormat="1" x14ac:dyDescent="0.15">
      <c r="A12" s="193" t="s">
        <v>203</v>
      </c>
      <c r="B12" s="114">
        <v>0</v>
      </c>
      <c r="C12" s="114">
        <v>0</v>
      </c>
      <c r="D12" s="114">
        <v>0</v>
      </c>
      <c r="E12" s="114">
        <v>1</v>
      </c>
      <c r="F12" s="114">
        <v>1</v>
      </c>
      <c r="G12" s="114">
        <v>1</v>
      </c>
      <c r="H12" s="114">
        <v>1</v>
      </c>
      <c r="I12" s="114">
        <v>1</v>
      </c>
      <c r="J12" s="114">
        <v>0</v>
      </c>
      <c r="K12" s="114">
        <v>0</v>
      </c>
      <c r="L12" s="114">
        <v>1</v>
      </c>
      <c r="M12" s="114">
        <v>1</v>
      </c>
      <c r="N12" s="114">
        <v>1</v>
      </c>
      <c r="O12" s="114">
        <v>1</v>
      </c>
      <c r="P12" s="114">
        <v>1</v>
      </c>
      <c r="Q12" s="114">
        <v>1</v>
      </c>
      <c r="R12" s="114">
        <v>0</v>
      </c>
      <c r="S12" s="114">
        <v>1</v>
      </c>
      <c r="T12" s="114">
        <v>0</v>
      </c>
      <c r="U12" s="114">
        <v>1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1</v>
      </c>
      <c r="AB12" s="114">
        <v>0</v>
      </c>
      <c r="AC12" s="114">
        <v>0</v>
      </c>
      <c r="AD12" s="114">
        <v>1</v>
      </c>
      <c r="AE12" s="114">
        <v>0</v>
      </c>
      <c r="AF12" s="114">
        <v>0</v>
      </c>
      <c r="AG12" s="114">
        <v>1</v>
      </c>
      <c r="AH12" s="114">
        <v>0</v>
      </c>
      <c r="AI12" s="114">
        <v>0</v>
      </c>
      <c r="AJ12" s="114">
        <v>1</v>
      </c>
      <c r="AK12" s="114">
        <v>1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1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</row>
    <row r="13" spans="1:77" customFormat="1" x14ac:dyDescent="0.15">
      <c r="A13" s="193" t="s">
        <v>204</v>
      </c>
      <c r="B13" s="114">
        <v>0</v>
      </c>
      <c r="C13" s="114">
        <v>0</v>
      </c>
      <c r="D13" s="114">
        <v>0</v>
      </c>
      <c r="E13" s="114">
        <v>1</v>
      </c>
      <c r="F13" s="114">
        <v>1</v>
      </c>
      <c r="G13" s="114">
        <v>1</v>
      </c>
      <c r="H13" s="114">
        <v>1</v>
      </c>
      <c r="I13" s="114">
        <v>1</v>
      </c>
      <c r="J13" s="114">
        <v>0</v>
      </c>
      <c r="K13" s="114">
        <v>0</v>
      </c>
      <c r="L13" s="114">
        <v>1</v>
      </c>
      <c r="M13" s="114">
        <v>1</v>
      </c>
      <c r="N13" s="114">
        <v>1</v>
      </c>
      <c r="O13" s="114">
        <v>1</v>
      </c>
      <c r="P13" s="114">
        <v>1</v>
      </c>
      <c r="Q13" s="114">
        <v>1</v>
      </c>
      <c r="R13" s="114">
        <v>0</v>
      </c>
      <c r="S13" s="114">
        <v>1</v>
      </c>
      <c r="T13" s="114">
        <v>0</v>
      </c>
      <c r="U13" s="114">
        <v>1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1</v>
      </c>
      <c r="AB13" s="114">
        <v>0</v>
      </c>
      <c r="AC13" s="114">
        <v>0</v>
      </c>
      <c r="AD13" s="114">
        <v>1</v>
      </c>
      <c r="AE13" s="114">
        <v>0</v>
      </c>
      <c r="AF13" s="114">
        <v>0</v>
      </c>
      <c r="AG13" s="114">
        <v>1</v>
      </c>
      <c r="AH13" s="114">
        <v>0</v>
      </c>
      <c r="AI13" s="114">
        <v>0</v>
      </c>
      <c r="AJ13" s="114">
        <v>1</v>
      </c>
      <c r="AK13" s="114">
        <v>1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1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</row>
    <row r="14" spans="1:77" customFormat="1" x14ac:dyDescent="0.15">
      <c r="A14" s="193" t="s">
        <v>205</v>
      </c>
      <c r="B14" s="114">
        <v>0</v>
      </c>
      <c r="C14" s="114">
        <v>0</v>
      </c>
      <c r="D14" s="114">
        <v>0</v>
      </c>
      <c r="E14" s="114">
        <v>1</v>
      </c>
      <c r="F14" s="114">
        <v>1</v>
      </c>
      <c r="G14" s="114">
        <v>1</v>
      </c>
      <c r="H14" s="114">
        <v>1</v>
      </c>
      <c r="I14" s="114">
        <v>1</v>
      </c>
      <c r="J14" s="114">
        <v>0</v>
      </c>
      <c r="K14" s="114">
        <v>0</v>
      </c>
      <c r="L14" s="114">
        <v>1</v>
      </c>
      <c r="M14" s="114">
        <v>1</v>
      </c>
      <c r="N14" s="114">
        <v>1</v>
      </c>
      <c r="O14" s="114">
        <v>1</v>
      </c>
      <c r="P14" s="114">
        <v>1</v>
      </c>
      <c r="Q14" s="114">
        <v>1</v>
      </c>
      <c r="R14" s="114">
        <v>0</v>
      </c>
      <c r="S14" s="114">
        <v>1</v>
      </c>
      <c r="T14" s="114">
        <v>0</v>
      </c>
      <c r="U14" s="114">
        <v>1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1</v>
      </c>
      <c r="AB14" s="114">
        <v>0</v>
      </c>
      <c r="AC14" s="114">
        <v>0</v>
      </c>
      <c r="AD14" s="114">
        <v>1</v>
      </c>
      <c r="AE14" s="114">
        <v>0</v>
      </c>
      <c r="AF14" s="114">
        <v>0</v>
      </c>
      <c r="AG14" s="114">
        <v>1</v>
      </c>
      <c r="AH14" s="114">
        <v>0</v>
      </c>
      <c r="AI14" s="114">
        <v>0</v>
      </c>
      <c r="AJ14" s="114">
        <v>1</v>
      </c>
      <c r="AK14" s="114">
        <v>1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1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</row>
    <row r="15" spans="1:77" customFormat="1" x14ac:dyDescent="0.15">
      <c r="A15" s="193" t="s">
        <v>206</v>
      </c>
      <c r="B15" s="114">
        <v>0</v>
      </c>
      <c r="C15" s="114">
        <v>0</v>
      </c>
      <c r="D15" s="114">
        <v>0</v>
      </c>
      <c r="E15" s="114">
        <v>0</v>
      </c>
      <c r="F15" s="114">
        <v>1</v>
      </c>
      <c r="G15" s="114">
        <v>0</v>
      </c>
      <c r="H15" s="114">
        <v>1</v>
      </c>
      <c r="I15" s="114">
        <v>1</v>
      </c>
      <c r="J15" s="114">
        <v>0</v>
      </c>
      <c r="K15" s="114">
        <v>0</v>
      </c>
      <c r="L15" s="114">
        <v>1</v>
      </c>
      <c r="M15" s="114">
        <v>0</v>
      </c>
      <c r="N15" s="114">
        <v>1</v>
      </c>
      <c r="O15" s="114">
        <v>1</v>
      </c>
      <c r="P15" s="114">
        <v>0</v>
      </c>
      <c r="Q15" s="114">
        <v>1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</row>
    <row r="16" spans="1:77" customFormat="1" x14ac:dyDescent="0.15">
      <c r="A16" s="193" t="s">
        <v>207</v>
      </c>
      <c r="B16" s="114">
        <v>0</v>
      </c>
      <c r="C16" s="114">
        <v>0</v>
      </c>
      <c r="D16" s="114">
        <v>0</v>
      </c>
      <c r="E16" s="114">
        <v>0</v>
      </c>
      <c r="F16" s="114">
        <v>1</v>
      </c>
      <c r="G16" s="114">
        <v>0</v>
      </c>
      <c r="H16" s="114">
        <v>1</v>
      </c>
      <c r="I16" s="114">
        <v>1</v>
      </c>
      <c r="J16" s="114">
        <v>0</v>
      </c>
      <c r="K16" s="114">
        <v>0</v>
      </c>
      <c r="L16" s="114">
        <v>1</v>
      </c>
      <c r="M16" s="114">
        <v>0</v>
      </c>
      <c r="N16" s="114">
        <v>1</v>
      </c>
      <c r="O16" s="114">
        <v>1</v>
      </c>
      <c r="P16" s="114">
        <v>0</v>
      </c>
      <c r="Q16" s="114">
        <v>1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</row>
    <row r="17" spans="1:77" customFormat="1" x14ac:dyDescent="0.15">
      <c r="A17" s="193" t="s">
        <v>208</v>
      </c>
      <c r="B17" s="114">
        <v>1</v>
      </c>
      <c r="C17" s="114">
        <v>1</v>
      </c>
      <c r="D17" s="114">
        <v>1</v>
      </c>
      <c r="E17" s="114">
        <v>1</v>
      </c>
      <c r="F17" s="114">
        <v>1</v>
      </c>
      <c r="G17" s="114">
        <v>1</v>
      </c>
      <c r="H17" s="114">
        <v>1</v>
      </c>
      <c r="I17" s="114">
        <v>1</v>
      </c>
      <c r="J17" s="114">
        <v>1</v>
      </c>
      <c r="K17" s="114">
        <v>1</v>
      </c>
      <c r="L17" s="114">
        <v>1</v>
      </c>
      <c r="M17" s="114">
        <v>1</v>
      </c>
      <c r="N17" s="114">
        <v>1</v>
      </c>
      <c r="O17" s="114">
        <v>1</v>
      </c>
      <c r="P17" s="114">
        <v>1</v>
      </c>
      <c r="Q17" s="114">
        <v>1</v>
      </c>
      <c r="R17" s="114">
        <v>1</v>
      </c>
      <c r="S17" s="114">
        <v>1</v>
      </c>
      <c r="T17" s="114">
        <v>0</v>
      </c>
      <c r="U17" s="114">
        <v>1</v>
      </c>
      <c r="V17" s="114">
        <v>0</v>
      </c>
      <c r="W17" s="114">
        <v>1</v>
      </c>
      <c r="X17" s="114">
        <v>1</v>
      </c>
      <c r="Y17" s="114">
        <v>0</v>
      </c>
      <c r="Z17" s="114">
        <v>0</v>
      </c>
      <c r="AA17" s="114">
        <v>1</v>
      </c>
      <c r="AB17" s="114">
        <v>0</v>
      </c>
      <c r="AC17" s="114">
        <v>0</v>
      </c>
      <c r="AD17" s="114">
        <v>1</v>
      </c>
      <c r="AE17" s="114">
        <v>0</v>
      </c>
      <c r="AF17" s="114">
        <v>0</v>
      </c>
      <c r="AG17" s="114">
        <v>1</v>
      </c>
      <c r="AH17" s="114">
        <v>0</v>
      </c>
      <c r="AI17" s="114">
        <v>0</v>
      </c>
      <c r="AJ17" s="114">
        <v>1</v>
      </c>
      <c r="AK17" s="114">
        <v>1</v>
      </c>
      <c r="AL17" s="114">
        <v>1</v>
      </c>
      <c r="AM17" s="114">
        <v>1</v>
      </c>
      <c r="AN17" s="114">
        <v>1</v>
      </c>
      <c r="AO17" s="114">
        <v>0</v>
      </c>
      <c r="AP17" s="114">
        <v>1</v>
      </c>
      <c r="AQ17" s="114">
        <v>0</v>
      </c>
      <c r="AR17" s="114">
        <v>0</v>
      </c>
      <c r="AS17" s="114">
        <v>1</v>
      </c>
      <c r="AT17" s="114">
        <v>1</v>
      </c>
      <c r="AU17" s="114">
        <v>1</v>
      </c>
      <c r="AV17" s="114">
        <v>1</v>
      </c>
      <c r="AW17" s="114">
        <v>1</v>
      </c>
      <c r="AX17" s="114">
        <v>1</v>
      </c>
      <c r="AY17" s="114">
        <v>1</v>
      </c>
      <c r="AZ17" s="114">
        <v>0</v>
      </c>
      <c r="BA17" s="114">
        <v>0</v>
      </c>
      <c r="BB17" s="114">
        <v>1</v>
      </c>
      <c r="BC17" s="114">
        <v>0</v>
      </c>
      <c r="BD17" s="114">
        <v>1</v>
      </c>
      <c r="BE17" s="114">
        <v>0</v>
      </c>
      <c r="BF17" s="114">
        <v>0</v>
      </c>
      <c r="BG17" s="114">
        <v>0</v>
      </c>
      <c r="BH17" s="114">
        <v>0</v>
      </c>
      <c r="BI17" s="114">
        <v>1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</row>
    <row r="18" spans="1:77" customFormat="1" x14ac:dyDescent="0.15">
      <c r="A18" s="193" t="s">
        <v>209</v>
      </c>
      <c r="B18" s="114">
        <v>1</v>
      </c>
      <c r="C18" s="114">
        <v>1</v>
      </c>
      <c r="D18" s="114">
        <v>1</v>
      </c>
      <c r="E18" s="114">
        <v>1</v>
      </c>
      <c r="F18" s="114">
        <v>1</v>
      </c>
      <c r="G18" s="114">
        <v>1</v>
      </c>
      <c r="H18" s="114">
        <v>1</v>
      </c>
      <c r="I18" s="114">
        <v>1</v>
      </c>
      <c r="J18" s="114">
        <v>1</v>
      </c>
      <c r="K18" s="114">
        <v>1</v>
      </c>
      <c r="L18" s="114">
        <v>1</v>
      </c>
      <c r="M18" s="114">
        <v>1</v>
      </c>
      <c r="N18" s="114">
        <v>1</v>
      </c>
      <c r="O18" s="114">
        <v>1</v>
      </c>
      <c r="P18" s="114">
        <v>1</v>
      </c>
      <c r="Q18" s="114">
        <v>1</v>
      </c>
      <c r="R18" s="114">
        <v>1</v>
      </c>
      <c r="S18" s="114">
        <v>1</v>
      </c>
      <c r="T18" s="114">
        <v>0</v>
      </c>
      <c r="U18" s="114">
        <v>1</v>
      </c>
      <c r="V18" s="114">
        <v>0</v>
      </c>
      <c r="W18" s="114">
        <v>1</v>
      </c>
      <c r="X18" s="114">
        <v>1</v>
      </c>
      <c r="Y18" s="114">
        <v>0</v>
      </c>
      <c r="Z18" s="114">
        <v>0</v>
      </c>
      <c r="AA18" s="114">
        <v>1</v>
      </c>
      <c r="AB18" s="114">
        <v>0</v>
      </c>
      <c r="AC18" s="114">
        <v>0</v>
      </c>
      <c r="AD18" s="114">
        <v>1</v>
      </c>
      <c r="AE18" s="114">
        <v>0</v>
      </c>
      <c r="AF18" s="114">
        <v>0</v>
      </c>
      <c r="AG18" s="114">
        <v>1</v>
      </c>
      <c r="AH18" s="114">
        <v>0</v>
      </c>
      <c r="AI18" s="114">
        <v>0</v>
      </c>
      <c r="AJ18" s="114">
        <v>1</v>
      </c>
      <c r="AK18" s="114">
        <v>1</v>
      </c>
      <c r="AL18" s="114">
        <v>1</v>
      </c>
      <c r="AM18" s="114">
        <v>1</v>
      </c>
      <c r="AN18" s="114">
        <v>1</v>
      </c>
      <c r="AO18" s="114">
        <v>0</v>
      </c>
      <c r="AP18" s="114">
        <v>1</v>
      </c>
      <c r="AQ18" s="114">
        <v>0</v>
      </c>
      <c r="AR18" s="114">
        <v>0</v>
      </c>
      <c r="AS18" s="114">
        <v>1</v>
      </c>
      <c r="AT18" s="114">
        <v>1</v>
      </c>
      <c r="AU18" s="114">
        <v>1</v>
      </c>
      <c r="AV18" s="114">
        <v>1</v>
      </c>
      <c r="AW18" s="114">
        <v>1</v>
      </c>
      <c r="AX18" s="114">
        <v>1</v>
      </c>
      <c r="AY18" s="114">
        <v>1</v>
      </c>
      <c r="AZ18" s="114">
        <v>0</v>
      </c>
      <c r="BA18" s="114">
        <v>0</v>
      </c>
      <c r="BB18" s="114">
        <v>1</v>
      </c>
      <c r="BC18" s="114">
        <v>0</v>
      </c>
      <c r="BD18" s="114">
        <v>1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</row>
    <row r="19" spans="1:77" customFormat="1" x14ac:dyDescent="0.15">
      <c r="A19" s="193" t="s">
        <v>210</v>
      </c>
      <c r="B19" s="114">
        <v>1</v>
      </c>
      <c r="C19" s="114">
        <v>0</v>
      </c>
      <c r="D19" s="114">
        <v>0</v>
      </c>
      <c r="E19" s="114">
        <v>1</v>
      </c>
      <c r="F19" s="114">
        <v>1</v>
      </c>
      <c r="G19" s="114">
        <v>1</v>
      </c>
      <c r="H19" s="114">
        <v>1</v>
      </c>
      <c r="I19" s="114">
        <v>1</v>
      </c>
      <c r="J19" s="114">
        <v>1</v>
      </c>
      <c r="K19" s="114">
        <v>1</v>
      </c>
      <c r="L19" s="114">
        <v>1</v>
      </c>
      <c r="M19" s="114">
        <v>1</v>
      </c>
      <c r="N19" s="114">
        <v>1</v>
      </c>
      <c r="O19" s="114">
        <v>1</v>
      </c>
      <c r="P19" s="114">
        <v>1</v>
      </c>
      <c r="Q19" s="114">
        <v>1</v>
      </c>
      <c r="R19" s="114">
        <v>1</v>
      </c>
      <c r="S19" s="114">
        <v>1</v>
      </c>
      <c r="T19" s="114">
        <v>0</v>
      </c>
      <c r="U19" s="114">
        <v>1</v>
      </c>
      <c r="V19" s="114">
        <v>0</v>
      </c>
      <c r="W19" s="114">
        <v>1</v>
      </c>
      <c r="X19" s="114">
        <v>1</v>
      </c>
      <c r="Y19" s="114">
        <v>0</v>
      </c>
      <c r="Z19" s="114">
        <v>0</v>
      </c>
      <c r="AA19" s="114">
        <v>1</v>
      </c>
      <c r="AB19" s="114">
        <v>0</v>
      </c>
      <c r="AC19" s="114">
        <v>0</v>
      </c>
      <c r="AD19" s="114">
        <v>1</v>
      </c>
      <c r="AE19" s="114">
        <v>0</v>
      </c>
      <c r="AF19" s="114">
        <v>0</v>
      </c>
      <c r="AG19" s="114">
        <v>1</v>
      </c>
      <c r="AH19" s="114">
        <v>0</v>
      </c>
      <c r="AI19" s="114">
        <v>0</v>
      </c>
      <c r="AJ19" s="114">
        <v>1</v>
      </c>
      <c r="AK19" s="114">
        <v>1</v>
      </c>
      <c r="AL19" s="114">
        <v>1</v>
      </c>
      <c r="AM19" s="114">
        <v>1</v>
      </c>
      <c r="AN19" s="114">
        <v>0</v>
      </c>
      <c r="AO19" s="114">
        <v>0</v>
      </c>
      <c r="AP19" s="114">
        <v>1</v>
      </c>
      <c r="AQ19" s="114">
        <v>0</v>
      </c>
      <c r="AR19" s="114">
        <v>0</v>
      </c>
      <c r="AS19" s="114">
        <v>0</v>
      </c>
      <c r="AT19" s="114">
        <v>0</v>
      </c>
      <c r="AU19" s="114">
        <v>1</v>
      </c>
      <c r="AV19" s="114">
        <v>0</v>
      </c>
      <c r="AW19" s="114">
        <v>1</v>
      </c>
      <c r="AX19" s="114">
        <v>0</v>
      </c>
      <c r="AY19" s="114">
        <v>0</v>
      </c>
      <c r="AZ19" s="114">
        <v>0</v>
      </c>
      <c r="BA19" s="114">
        <v>0</v>
      </c>
      <c r="BB19" s="114">
        <v>1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</row>
    <row r="20" spans="1:77" customFormat="1" x14ac:dyDescent="0.15">
      <c r="A20" s="193" t="s">
        <v>211</v>
      </c>
      <c r="B20" s="114">
        <v>1</v>
      </c>
      <c r="C20" s="114">
        <v>1</v>
      </c>
      <c r="D20" s="114">
        <v>0</v>
      </c>
      <c r="E20" s="114">
        <v>1</v>
      </c>
      <c r="F20" s="114">
        <v>1</v>
      </c>
      <c r="G20" s="114">
        <v>1</v>
      </c>
      <c r="H20" s="114">
        <v>1</v>
      </c>
      <c r="I20" s="114">
        <v>1</v>
      </c>
      <c r="J20" s="114">
        <v>1</v>
      </c>
      <c r="K20" s="114">
        <v>1</v>
      </c>
      <c r="L20" s="114">
        <v>1</v>
      </c>
      <c r="M20" s="114">
        <v>1</v>
      </c>
      <c r="N20" s="114">
        <v>1</v>
      </c>
      <c r="O20" s="114">
        <v>1</v>
      </c>
      <c r="P20" s="114">
        <v>1</v>
      </c>
      <c r="Q20" s="114">
        <v>1</v>
      </c>
      <c r="R20" s="114">
        <v>1</v>
      </c>
      <c r="S20" s="114">
        <v>1</v>
      </c>
      <c r="T20" s="114">
        <v>0</v>
      </c>
      <c r="U20" s="114">
        <v>1</v>
      </c>
      <c r="V20" s="114">
        <v>0</v>
      </c>
      <c r="W20" s="114">
        <v>1</v>
      </c>
      <c r="X20" s="114">
        <v>1</v>
      </c>
      <c r="Y20" s="114">
        <v>0</v>
      </c>
      <c r="Z20" s="114">
        <v>0</v>
      </c>
      <c r="AA20" s="114">
        <v>1</v>
      </c>
      <c r="AB20" s="114">
        <v>0</v>
      </c>
      <c r="AC20" s="114">
        <v>0</v>
      </c>
      <c r="AD20" s="114">
        <v>1</v>
      </c>
      <c r="AE20" s="114">
        <v>0</v>
      </c>
      <c r="AF20" s="114">
        <v>0</v>
      </c>
      <c r="AG20" s="114">
        <v>1</v>
      </c>
      <c r="AH20" s="114">
        <v>0</v>
      </c>
      <c r="AI20" s="114">
        <v>0</v>
      </c>
      <c r="AJ20" s="114">
        <v>0</v>
      </c>
      <c r="AK20" s="114">
        <v>1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1</v>
      </c>
      <c r="AV20" s="114">
        <v>0</v>
      </c>
      <c r="AW20" s="114">
        <v>1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</row>
    <row r="21" spans="1:77" customFormat="1" x14ac:dyDescent="0.15">
      <c r="A21" s="193" t="s">
        <v>212</v>
      </c>
      <c r="B21" s="114">
        <v>1</v>
      </c>
      <c r="C21" s="114">
        <v>0</v>
      </c>
      <c r="D21" s="114">
        <v>0</v>
      </c>
      <c r="E21" s="114">
        <v>1</v>
      </c>
      <c r="F21" s="114">
        <v>1</v>
      </c>
      <c r="G21" s="114">
        <v>1</v>
      </c>
      <c r="H21" s="114">
        <v>1</v>
      </c>
      <c r="I21" s="114">
        <v>1</v>
      </c>
      <c r="J21" s="114">
        <v>1</v>
      </c>
      <c r="K21" s="114">
        <v>1</v>
      </c>
      <c r="L21" s="114">
        <v>1</v>
      </c>
      <c r="M21" s="114">
        <v>1</v>
      </c>
      <c r="N21" s="114">
        <v>1</v>
      </c>
      <c r="O21" s="114">
        <v>1</v>
      </c>
      <c r="P21" s="114">
        <v>1</v>
      </c>
      <c r="Q21" s="114">
        <v>1</v>
      </c>
      <c r="R21" s="114">
        <v>1</v>
      </c>
      <c r="S21" s="114">
        <v>1</v>
      </c>
      <c r="T21" s="114">
        <v>0</v>
      </c>
      <c r="U21" s="114">
        <v>1</v>
      </c>
      <c r="V21" s="114">
        <v>0</v>
      </c>
      <c r="W21" s="114">
        <v>1</v>
      </c>
      <c r="X21" s="114">
        <v>1</v>
      </c>
      <c r="Y21" s="114">
        <v>0</v>
      </c>
      <c r="Z21" s="114">
        <v>0</v>
      </c>
      <c r="AA21" s="114">
        <v>1</v>
      </c>
      <c r="AB21" s="114">
        <v>0</v>
      </c>
      <c r="AC21" s="114">
        <v>0</v>
      </c>
      <c r="AD21" s="114">
        <v>1</v>
      </c>
      <c r="AE21" s="114">
        <v>0</v>
      </c>
      <c r="AF21" s="114">
        <v>0</v>
      </c>
      <c r="AG21" s="114">
        <v>1</v>
      </c>
      <c r="AH21" s="114">
        <v>0</v>
      </c>
      <c r="AI21" s="114">
        <v>0</v>
      </c>
      <c r="AJ21" s="114">
        <v>0</v>
      </c>
      <c r="AK21" s="114">
        <v>1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1</v>
      </c>
      <c r="AV21" s="114">
        <v>0</v>
      </c>
      <c r="AW21" s="114">
        <v>1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</row>
    <row r="22" spans="1:77" customFormat="1" x14ac:dyDescent="0.15">
      <c r="A22" s="193" t="s">
        <v>213</v>
      </c>
      <c r="B22" s="114">
        <v>1</v>
      </c>
      <c r="C22" s="114">
        <v>1</v>
      </c>
      <c r="D22" s="114">
        <v>0</v>
      </c>
      <c r="E22" s="114">
        <v>1</v>
      </c>
      <c r="F22" s="114">
        <v>1</v>
      </c>
      <c r="G22" s="114">
        <v>1</v>
      </c>
      <c r="H22" s="114">
        <v>1</v>
      </c>
      <c r="I22" s="114">
        <v>1</v>
      </c>
      <c r="J22" s="114">
        <v>1</v>
      </c>
      <c r="K22" s="114">
        <v>1</v>
      </c>
      <c r="L22" s="114">
        <v>1</v>
      </c>
      <c r="M22" s="114">
        <v>1</v>
      </c>
      <c r="N22" s="114">
        <v>1</v>
      </c>
      <c r="O22" s="114">
        <v>1</v>
      </c>
      <c r="P22" s="114">
        <v>1</v>
      </c>
      <c r="Q22" s="114">
        <v>1</v>
      </c>
      <c r="R22" s="114">
        <v>1</v>
      </c>
      <c r="S22" s="114">
        <v>1</v>
      </c>
      <c r="T22" s="114">
        <v>0</v>
      </c>
      <c r="U22" s="114">
        <v>1</v>
      </c>
      <c r="V22" s="114">
        <v>0</v>
      </c>
      <c r="W22" s="114">
        <v>1</v>
      </c>
      <c r="X22" s="114">
        <v>1</v>
      </c>
      <c r="Y22" s="114">
        <v>0</v>
      </c>
      <c r="Z22" s="114">
        <v>0</v>
      </c>
      <c r="AA22" s="114">
        <v>1</v>
      </c>
      <c r="AB22" s="114">
        <v>0</v>
      </c>
      <c r="AC22" s="114">
        <v>0</v>
      </c>
      <c r="AD22" s="114">
        <v>1</v>
      </c>
      <c r="AE22" s="114">
        <v>0</v>
      </c>
      <c r="AF22" s="114">
        <v>0</v>
      </c>
      <c r="AG22" s="114">
        <v>1</v>
      </c>
      <c r="AH22" s="114">
        <v>0</v>
      </c>
      <c r="AI22" s="114">
        <v>0</v>
      </c>
      <c r="AJ22" s="114">
        <v>0</v>
      </c>
      <c r="AK22" s="114">
        <v>1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1</v>
      </c>
      <c r="AT22" s="114">
        <v>1</v>
      </c>
      <c r="AU22" s="114">
        <v>1</v>
      </c>
      <c r="AV22" s="114">
        <v>0</v>
      </c>
      <c r="AW22" s="114">
        <v>1</v>
      </c>
      <c r="AX22" s="114">
        <v>0</v>
      </c>
      <c r="AY22" s="114">
        <v>0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</row>
    <row r="23" spans="1:77" customFormat="1" x14ac:dyDescent="0.15">
      <c r="A23" s="193" t="s">
        <v>214</v>
      </c>
      <c r="B23" s="114">
        <v>1</v>
      </c>
      <c r="C23" s="114">
        <v>0</v>
      </c>
      <c r="D23" s="114">
        <v>0</v>
      </c>
      <c r="E23" s="114">
        <v>1</v>
      </c>
      <c r="F23" s="114">
        <v>1</v>
      </c>
      <c r="G23" s="114">
        <v>1</v>
      </c>
      <c r="H23" s="114">
        <v>1</v>
      </c>
      <c r="I23" s="114">
        <v>1</v>
      </c>
      <c r="J23" s="114">
        <v>1</v>
      </c>
      <c r="K23" s="114">
        <v>1</v>
      </c>
      <c r="L23" s="114">
        <v>1</v>
      </c>
      <c r="M23" s="114">
        <v>1</v>
      </c>
      <c r="N23" s="114">
        <v>1</v>
      </c>
      <c r="O23" s="114">
        <v>1</v>
      </c>
      <c r="P23" s="114">
        <v>1</v>
      </c>
      <c r="Q23" s="114">
        <v>1</v>
      </c>
      <c r="R23" s="114">
        <v>1</v>
      </c>
      <c r="S23" s="114">
        <v>1</v>
      </c>
      <c r="T23" s="114">
        <v>0</v>
      </c>
      <c r="U23" s="114">
        <v>1</v>
      </c>
      <c r="V23" s="114">
        <v>0</v>
      </c>
      <c r="W23" s="114">
        <v>1</v>
      </c>
      <c r="X23" s="114">
        <v>1</v>
      </c>
      <c r="Y23" s="114">
        <v>0</v>
      </c>
      <c r="Z23" s="114">
        <v>0</v>
      </c>
      <c r="AA23" s="114">
        <v>1</v>
      </c>
      <c r="AB23" s="114">
        <v>0</v>
      </c>
      <c r="AC23" s="114">
        <v>0</v>
      </c>
      <c r="AD23" s="114">
        <v>1</v>
      </c>
      <c r="AE23" s="114">
        <v>0</v>
      </c>
      <c r="AF23" s="114">
        <v>0</v>
      </c>
      <c r="AG23" s="114">
        <v>1</v>
      </c>
      <c r="AH23" s="114">
        <v>0</v>
      </c>
      <c r="AI23" s="114">
        <v>0</v>
      </c>
      <c r="AJ23" s="114">
        <v>0</v>
      </c>
      <c r="AK23" s="114">
        <v>1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1</v>
      </c>
      <c r="AV23" s="114">
        <v>0</v>
      </c>
      <c r="AW23" s="114">
        <v>1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0</v>
      </c>
      <c r="BY23" s="114">
        <v>0</v>
      </c>
    </row>
    <row r="24" spans="1:77" customFormat="1" x14ac:dyDescent="0.15">
      <c r="A24" s="193" t="s">
        <v>215</v>
      </c>
      <c r="B24" s="114">
        <v>1</v>
      </c>
      <c r="C24" s="114">
        <v>0</v>
      </c>
      <c r="D24" s="114">
        <v>1</v>
      </c>
      <c r="E24" s="114">
        <v>1</v>
      </c>
      <c r="F24" s="114">
        <v>1</v>
      </c>
      <c r="G24" s="114">
        <v>1</v>
      </c>
      <c r="H24" s="114">
        <v>1</v>
      </c>
      <c r="I24" s="114">
        <v>1</v>
      </c>
      <c r="J24" s="114">
        <v>1</v>
      </c>
      <c r="K24" s="114">
        <v>1</v>
      </c>
      <c r="L24" s="114">
        <v>0</v>
      </c>
      <c r="M24" s="114">
        <v>1</v>
      </c>
      <c r="N24" s="114">
        <v>0</v>
      </c>
      <c r="O24" s="114">
        <v>0</v>
      </c>
      <c r="P24" s="114">
        <v>1</v>
      </c>
      <c r="Q24" s="114">
        <v>0</v>
      </c>
      <c r="R24" s="114">
        <v>1</v>
      </c>
      <c r="S24" s="114">
        <v>1</v>
      </c>
      <c r="T24" s="114">
        <v>0</v>
      </c>
      <c r="U24" s="114">
        <v>0</v>
      </c>
      <c r="V24" s="114">
        <v>0</v>
      </c>
      <c r="W24" s="114">
        <v>0</v>
      </c>
      <c r="X24" s="114">
        <v>1</v>
      </c>
      <c r="Y24" s="114">
        <v>0</v>
      </c>
      <c r="Z24" s="114">
        <v>0</v>
      </c>
      <c r="AA24" s="114">
        <v>1</v>
      </c>
      <c r="AB24" s="114">
        <v>0</v>
      </c>
      <c r="AC24" s="114">
        <v>0</v>
      </c>
      <c r="AD24" s="114">
        <v>1</v>
      </c>
      <c r="AE24" s="114">
        <v>0</v>
      </c>
      <c r="AF24" s="114">
        <v>0</v>
      </c>
      <c r="AG24" s="114">
        <v>1</v>
      </c>
      <c r="AH24" s="114">
        <v>0</v>
      </c>
      <c r="AI24" s="114">
        <v>0</v>
      </c>
      <c r="AJ24" s="114">
        <v>1</v>
      </c>
      <c r="AK24" s="114">
        <v>1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0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0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</row>
    <row r="25" spans="1:77" customFormat="1" x14ac:dyDescent="0.15">
      <c r="A25" s="193" t="s">
        <v>216</v>
      </c>
      <c r="B25" s="114">
        <v>0</v>
      </c>
      <c r="C25" s="114">
        <v>1</v>
      </c>
      <c r="D25" s="114">
        <v>0</v>
      </c>
      <c r="E25" s="114">
        <v>1</v>
      </c>
      <c r="F25" s="114">
        <v>1</v>
      </c>
      <c r="G25" s="114">
        <v>0</v>
      </c>
      <c r="H25" s="114">
        <v>1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0</v>
      </c>
      <c r="O25" s="114">
        <v>0</v>
      </c>
      <c r="P25" s="114">
        <v>0</v>
      </c>
      <c r="Q25" s="114">
        <v>1</v>
      </c>
      <c r="R25" s="114">
        <v>1</v>
      </c>
      <c r="S25" s="114">
        <v>0</v>
      </c>
      <c r="T25" s="114">
        <v>0</v>
      </c>
      <c r="U25" s="114">
        <v>1</v>
      </c>
      <c r="V25" s="114">
        <v>0</v>
      </c>
      <c r="W25" s="114">
        <v>0</v>
      </c>
      <c r="X25" s="114">
        <v>0</v>
      </c>
      <c r="Y25" s="114">
        <v>1</v>
      </c>
      <c r="Z25" s="114">
        <v>1</v>
      </c>
      <c r="AA25" s="114">
        <v>0</v>
      </c>
      <c r="AB25" s="114">
        <v>1</v>
      </c>
      <c r="AC25" s="114">
        <v>1</v>
      </c>
      <c r="AD25" s="114">
        <v>0</v>
      </c>
      <c r="AE25" s="114">
        <v>1</v>
      </c>
      <c r="AF25" s="114">
        <v>1</v>
      </c>
      <c r="AG25" s="114">
        <v>0</v>
      </c>
      <c r="AH25" s="114">
        <v>1</v>
      </c>
      <c r="AI25" s="114">
        <v>1</v>
      </c>
      <c r="AJ25" s="114">
        <v>0</v>
      </c>
      <c r="AK25" s="114">
        <v>0</v>
      </c>
      <c r="AL25" s="114">
        <v>0</v>
      </c>
      <c r="AM25" s="114">
        <v>1</v>
      </c>
      <c r="AN25" s="114">
        <v>1</v>
      </c>
      <c r="AO25" s="114">
        <v>0</v>
      </c>
      <c r="AP25" s="114">
        <v>0</v>
      </c>
      <c r="AQ25" s="114">
        <v>0</v>
      </c>
      <c r="AR25" s="114">
        <v>1</v>
      </c>
      <c r="AS25" s="114">
        <v>0</v>
      </c>
      <c r="AT25" s="114">
        <v>0</v>
      </c>
      <c r="AU25" s="114">
        <v>0</v>
      </c>
      <c r="AV25" s="114">
        <v>0</v>
      </c>
      <c r="AW25" s="114">
        <v>0</v>
      </c>
      <c r="AX25" s="114">
        <v>0</v>
      </c>
      <c r="AY25" s="114">
        <v>0</v>
      </c>
      <c r="AZ25" s="114">
        <v>0</v>
      </c>
      <c r="BA25" s="114">
        <v>0</v>
      </c>
      <c r="BB25" s="114">
        <v>0</v>
      </c>
      <c r="BC25" s="114">
        <v>0</v>
      </c>
      <c r="BD25" s="114">
        <v>0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0</v>
      </c>
      <c r="BW25" s="114">
        <v>0</v>
      </c>
      <c r="BX25" s="114">
        <v>0</v>
      </c>
      <c r="BY25" s="114">
        <v>0</v>
      </c>
    </row>
    <row r="26" spans="1:77" customFormat="1" x14ac:dyDescent="0.15">
      <c r="A26" s="193" t="s">
        <v>217</v>
      </c>
      <c r="B26" s="114">
        <v>0</v>
      </c>
      <c r="C26" s="114">
        <v>1</v>
      </c>
      <c r="D26" s="114">
        <v>0</v>
      </c>
      <c r="E26" s="114">
        <v>1</v>
      </c>
      <c r="F26" s="114">
        <v>1</v>
      </c>
      <c r="G26" s="114">
        <v>0</v>
      </c>
      <c r="H26" s="114">
        <v>1</v>
      </c>
      <c r="I26" s="114">
        <v>0</v>
      </c>
      <c r="J26" s="114">
        <v>0</v>
      </c>
      <c r="K26" s="114">
        <v>0</v>
      </c>
      <c r="L26" s="114">
        <v>1</v>
      </c>
      <c r="M26" s="114">
        <v>1</v>
      </c>
      <c r="N26" s="114">
        <v>1</v>
      </c>
      <c r="O26" s="114">
        <v>1</v>
      </c>
      <c r="P26" s="114">
        <v>0</v>
      </c>
      <c r="Q26" s="114">
        <v>1</v>
      </c>
      <c r="R26" s="114">
        <v>1</v>
      </c>
      <c r="S26" s="114">
        <v>1</v>
      </c>
      <c r="T26" s="114">
        <v>0</v>
      </c>
      <c r="U26" s="114">
        <v>1</v>
      </c>
      <c r="V26" s="114">
        <v>0</v>
      </c>
      <c r="W26" s="114">
        <v>0</v>
      </c>
      <c r="X26" s="114">
        <v>0</v>
      </c>
      <c r="Y26" s="114">
        <v>0</v>
      </c>
      <c r="Z26" s="114">
        <v>1</v>
      </c>
      <c r="AA26" s="114">
        <v>1</v>
      </c>
      <c r="AB26" s="114">
        <v>0</v>
      </c>
      <c r="AC26" s="114">
        <v>1</v>
      </c>
      <c r="AD26" s="114">
        <v>1</v>
      </c>
      <c r="AE26" s="114">
        <v>0</v>
      </c>
      <c r="AF26" s="114">
        <v>1</v>
      </c>
      <c r="AG26" s="114">
        <v>1</v>
      </c>
      <c r="AH26" s="114">
        <v>0</v>
      </c>
      <c r="AI26" s="114">
        <v>1</v>
      </c>
      <c r="AJ26" s="114">
        <v>1</v>
      </c>
      <c r="AK26" s="114">
        <v>1</v>
      </c>
      <c r="AL26" s="114">
        <v>1</v>
      </c>
      <c r="AM26" s="114">
        <v>1</v>
      </c>
      <c r="AN26" s="114">
        <v>1</v>
      </c>
      <c r="AO26" s="114">
        <v>1</v>
      </c>
      <c r="AP26" s="114">
        <v>0</v>
      </c>
      <c r="AQ26" s="114">
        <v>1</v>
      </c>
      <c r="AR26" s="114">
        <v>1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1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0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</row>
    <row r="27" spans="1:77" customFormat="1" x14ac:dyDescent="0.15">
      <c r="A27" s="193" t="s">
        <v>218</v>
      </c>
      <c r="B27" s="114">
        <v>0</v>
      </c>
      <c r="C27" s="114">
        <v>0</v>
      </c>
      <c r="D27" s="114">
        <v>0</v>
      </c>
      <c r="E27" s="114">
        <v>1</v>
      </c>
      <c r="F27" s="114">
        <v>1</v>
      </c>
      <c r="G27" s="114">
        <v>0</v>
      </c>
      <c r="H27" s="114">
        <v>1</v>
      </c>
      <c r="I27" s="114">
        <v>0</v>
      </c>
      <c r="J27" s="114">
        <v>0</v>
      </c>
      <c r="K27" s="114">
        <v>0</v>
      </c>
      <c r="L27" s="114">
        <v>1</v>
      </c>
      <c r="M27" s="114">
        <v>1</v>
      </c>
      <c r="N27" s="114">
        <v>1</v>
      </c>
      <c r="O27" s="114">
        <v>1</v>
      </c>
      <c r="P27" s="114">
        <v>0</v>
      </c>
      <c r="Q27" s="114">
        <v>1</v>
      </c>
      <c r="R27" s="114">
        <v>1</v>
      </c>
      <c r="S27" s="114">
        <v>1</v>
      </c>
      <c r="T27" s="114">
        <v>0</v>
      </c>
      <c r="U27" s="114">
        <v>1</v>
      </c>
      <c r="V27" s="114">
        <v>0</v>
      </c>
      <c r="W27" s="114">
        <v>0</v>
      </c>
      <c r="X27" s="114">
        <v>0</v>
      </c>
      <c r="Y27" s="114">
        <v>0</v>
      </c>
      <c r="Z27" s="114">
        <v>0</v>
      </c>
      <c r="AA27" s="114">
        <v>1</v>
      </c>
      <c r="AB27" s="114">
        <v>0</v>
      </c>
      <c r="AC27" s="114">
        <v>0</v>
      </c>
      <c r="AD27" s="114">
        <v>1</v>
      </c>
      <c r="AE27" s="114">
        <v>0</v>
      </c>
      <c r="AF27" s="114">
        <v>0</v>
      </c>
      <c r="AG27" s="114">
        <v>1</v>
      </c>
      <c r="AH27" s="114">
        <v>0</v>
      </c>
      <c r="AI27" s="114">
        <v>0</v>
      </c>
      <c r="AJ27" s="114">
        <v>1</v>
      </c>
      <c r="AK27" s="114">
        <v>1</v>
      </c>
      <c r="AL27" s="114">
        <v>0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0</v>
      </c>
      <c r="AX27" s="114">
        <v>0</v>
      </c>
      <c r="AY27" s="114">
        <v>0</v>
      </c>
      <c r="AZ27" s="114">
        <v>0</v>
      </c>
      <c r="BA27" s="114">
        <v>0</v>
      </c>
      <c r="BB27" s="114">
        <v>1</v>
      </c>
      <c r="BC27" s="114">
        <v>0</v>
      </c>
      <c r="BD27" s="114">
        <v>0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0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</row>
    <row r="28" spans="1:77" customFormat="1" x14ac:dyDescent="0.15">
      <c r="A28" s="193" t="s">
        <v>219</v>
      </c>
      <c r="B28" s="114">
        <v>0</v>
      </c>
      <c r="C28" s="114">
        <v>1</v>
      </c>
      <c r="D28" s="114">
        <v>0</v>
      </c>
      <c r="E28" s="114">
        <v>1</v>
      </c>
      <c r="F28" s="114">
        <v>1</v>
      </c>
      <c r="G28" s="114">
        <v>0</v>
      </c>
      <c r="H28" s="114">
        <v>1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1</v>
      </c>
      <c r="R28" s="114">
        <v>1</v>
      </c>
      <c r="S28" s="114">
        <v>0</v>
      </c>
      <c r="T28" s="114">
        <v>0</v>
      </c>
      <c r="U28" s="114">
        <v>1</v>
      </c>
      <c r="V28" s="114">
        <v>0</v>
      </c>
      <c r="W28" s="114">
        <v>0</v>
      </c>
      <c r="X28" s="114">
        <v>0</v>
      </c>
      <c r="Y28" s="114">
        <v>1</v>
      </c>
      <c r="Z28" s="114">
        <v>1</v>
      </c>
      <c r="AA28" s="114">
        <v>0</v>
      </c>
      <c r="AB28" s="114">
        <v>1</v>
      </c>
      <c r="AC28" s="114">
        <v>1</v>
      </c>
      <c r="AD28" s="114">
        <v>0</v>
      </c>
      <c r="AE28" s="114">
        <v>1</v>
      </c>
      <c r="AF28" s="114">
        <v>1</v>
      </c>
      <c r="AG28" s="114">
        <v>0</v>
      </c>
      <c r="AH28" s="114">
        <v>1</v>
      </c>
      <c r="AI28" s="114">
        <v>1</v>
      </c>
      <c r="AJ28" s="114">
        <v>0</v>
      </c>
      <c r="AK28" s="114">
        <v>0</v>
      </c>
      <c r="AL28" s="114">
        <v>0</v>
      </c>
      <c r="AM28" s="114">
        <v>1</v>
      </c>
      <c r="AN28" s="114">
        <v>1</v>
      </c>
      <c r="AO28" s="114">
        <v>0</v>
      </c>
      <c r="AP28" s="114">
        <v>0</v>
      </c>
      <c r="AQ28" s="114">
        <v>0</v>
      </c>
      <c r="AR28" s="114">
        <v>1</v>
      </c>
      <c r="AS28" s="114">
        <v>0</v>
      </c>
      <c r="AT28" s="114">
        <v>0</v>
      </c>
      <c r="AU28" s="114">
        <v>0</v>
      </c>
      <c r="AV28" s="114">
        <v>0</v>
      </c>
      <c r="AW28" s="114">
        <v>0</v>
      </c>
      <c r="AX28" s="114">
        <v>0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0</v>
      </c>
      <c r="BE28" s="114">
        <v>0</v>
      </c>
      <c r="BF28" s="114">
        <v>0</v>
      </c>
      <c r="BG28" s="114">
        <v>0</v>
      </c>
      <c r="BH28" s="114">
        <v>0</v>
      </c>
      <c r="BI28" s="114">
        <v>0</v>
      </c>
      <c r="BJ28" s="114">
        <v>0</v>
      </c>
      <c r="BK28" s="114">
        <v>0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0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</row>
    <row r="29" spans="1:77" customFormat="1" x14ac:dyDescent="0.15">
      <c r="A29" s="193" t="s">
        <v>220</v>
      </c>
      <c r="B29" s="114">
        <v>0</v>
      </c>
      <c r="C29" s="114">
        <v>1</v>
      </c>
      <c r="D29" s="114">
        <v>0</v>
      </c>
      <c r="E29" s="114">
        <v>1</v>
      </c>
      <c r="F29" s="114">
        <v>1</v>
      </c>
      <c r="G29" s="114">
        <v>0</v>
      </c>
      <c r="H29" s="114">
        <v>1</v>
      </c>
      <c r="I29" s="114">
        <v>0</v>
      </c>
      <c r="J29" s="114">
        <v>0</v>
      </c>
      <c r="K29" s="114">
        <v>0</v>
      </c>
      <c r="L29" s="114">
        <v>1</v>
      </c>
      <c r="M29" s="114">
        <v>1</v>
      </c>
      <c r="N29" s="114">
        <v>1</v>
      </c>
      <c r="O29" s="114">
        <v>1</v>
      </c>
      <c r="P29" s="114">
        <v>0</v>
      </c>
      <c r="Q29" s="114">
        <v>1</v>
      </c>
      <c r="R29" s="114">
        <v>1</v>
      </c>
      <c r="S29" s="114">
        <v>1</v>
      </c>
      <c r="T29" s="114">
        <v>0</v>
      </c>
      <c r="U29" s="114">
        <v>1</v>
      </c>
      <c r="V29" s="114">
        <v>0</v>
      </c>
      <c r="W29" s="114">
        <v>0</v>
      </c>
      <c r="X29" s="114">
        <v>0</v>
      </c>
      <c r="Y29" s="114">
        <v>0</v>
      </c>
      <c r="Z29" s="114">
        <v>1</v>
      </c>
      <c r="AA29" s="114">
        <v>1</v>
      </c>
      <c r="AB29" s="114">
        <v>0</v>
      </c>
      <c r="AC29" s="114">
        <v>1</v>
      </c>
      <c r="AD29" s="114">
        <v>1</v>
      </c>
      <c r="AE29" s="114">
        <v>0</v>
      </c>
      <c r="AF29" s="114">
        <v>1</v>
      </c>
      <c r="AG29" s="114">
        <v>1</v>
      </c>
      <c r="AH29" s="114">
        <v>0</v>
      </c>
      <c r="AI29" s="114">
        <v>1</v>
      </c>
      <c r="AJ29" s="114">
        <v>1</v>
      </c>
      <c r="AK29" s="114">
        <v>1</v>
      </c>
      <c r="AL29" s="114">
        <v>1</v>
      </c>
      <c r="AM29" s="114">
        <v>1</v>
      </c>
      <c r="AN29" s="114">
        <v>1</v>
      </c>
      <c r="AO29" s="114">
        <v>1</v>
      </c>
      <c r="AP29" s="114">
        <v>0</v>
      </c>
      <c r="AQ29" s="114">
        <v>1</v>
      </c>
      <c r="AR29" s="114">
        <v>1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  <c r="AZ29" s="114">
        <v>0</v>
      </c>
      <c r="BA29" s="114">
        <v>0</v>
      </c>
      <c r="BB29" s="114">
        <v>1</v>
      </c>
      <c r="BC29" s="114">
        <v>0</v>
      </c>
      <c r="BD29" s="114">
        <v>0</v>
      </c>
      <c r="BE29" s="114">
        <v>0</v>
      </c>
      <c r="BF29" s="114">
        <v>0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0</v>
      </c>
      <c r="BS29" s="114">
        <v>0</v>
      </c>
      <c r="BT29" s="114">
        <v>0</v>
      </c>
      <c r="BU29" s="114">
        <v>0</v>
      </c>
      <c r="BV29" s="114">
        <v>0</v>
      </c>
      <c r="BW29" s="114">
        <v>0</v>
      </c>
      <c r="BX29" s="114">
        <v>0</v>
      </c>
      <c r="BY29" s="114">
        <v>0</v>
      </c>
    </row>
    <row r="30" spans="1:77" customFormat="1" x14ac:dyDescent="0.15">
      <c r="A30" s="193" t="s">
        <v>221</v>
      </c>
      <c r="B30" s="114">
        <v>0</v>
      </c>
      <c r="C30" s="114">
        <v>0</v>
      </c>
      <c r="D30" s="114">
        <v>0</v>
      </c>
      <c r="E30" s="114">
        <v>1</v>
      </c>
      <c r="F30" s="114">
        <v>1</v>
      </c>
      <c r="G30" s="114">
        <v>0</v>
      </c>
      <c r="H30" s="114">
        <v>1</v>
      </c>
      <c r="I30" s="114">
        <v>0</v>
      </c>
      <c r="J30" s="114">
        <v>0</v>
      </c>
      <c r="K30" s="114">
        <v>0</v>
      </c>
      <c r="L30" s="114">
        <v>1</v>
      </c>
      <c r="M30" s="114">
        <v>1</v>
      </c>
      <c r="N30" s="114">
        <v>1</v>
      </c>
      <c r="O30" s="114">
        <v>1</v>
      </c>
      <c r="P30" s="114">
        <v>0</v>
      </c>
      <c r="Q30" s="114">
        <v>1</v>
      </c>
      <c r="R30" s="114">
        <v>1</v>
      </c>
      <c r="S30" s="114">
        <v>1</v>
      </c>
      <c r="T30" s="114">
        <v>0</v>
      </c>
      <c r="U30" s="114">
        <v>1</v>
      </c>
      <c r="V30" s="114">
        <v>0</v>
      </c>
      <c r="W30" s="114">
        <v>0</v>
      </c>
      <c r="X30" s="114">
        <v>0</v>
      </c>
      <c r="Y30" s="114">
        <v>0</v>
      </c>
      <c r="Z30" s="114">
        <v>0</v>
      </c>
      <c r="AA30" s="114">
        <v>1</v>
      </c>
      <c r="AB30" s="114">
        <v>0</v>
      </c>
      <c r="AC30" s="114">
        <v>0</v>
      </c>
      <c r="AD30" s="114">
        <v>1</v>
      </c>
      <c r="AE30" s="114">
        <v>0</v>
      </c>
      <c r="AF30" s="114">
        <v>0</v>
      </c>
      <c r="AG30" s="114">
        <v>1</v>
      </c>
      <c r="AH30" s="114">
        <v>0</v>
      </c>
      <c r="AI30" s="114">
        <v>0</v>
      </c>
      <c r="AJ30" s="114">
        <v>1</v>
      </c>
      <c r="AK30" s="114">
        <v>1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  <c r="AZ30" s="114">
        <v>0</v>
      </c>
      <c r="BA30" s="114">
        <v>0</v>
      </c>
      <c r="BB30" s="114">
        <v>1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0</v>
      </c>
      <c r="BJ30" s="114">
        <v>0</v>
      </c>
      <c r="BK30" s="114">
        <v>0</v>
      </c>
      <c r="BL30" s="114">
        <v>0</v>
      </c>
      <c r="BM30" s="114">
        <v>0</v>
      </c>
      <c r="BN30" s="114">
        <v>0</v>
      </c>
      <c r="BO30" s="114">
        <v>0</v>
      </c>
      <c r="BP30" s="114">
        <v>0</v>
      </c>
      <c r="BQ30" s="114">
        <v>0</v>
      </c>
      <c r="BR30" s="114">
        <v>0</v>
      </c>
      <c r="BS30" s="114">
        <v>0</v>
      </c>
      <c r="BT30" s="114">
        <v>0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</row>
    <row r="31" spans="1:77" customFormat="1" x14ac:dyDescent="0.15">
      <c r="A31" s="193" t="s">
        <v>222</v>
      </c>
      <c r="B31" s="114">
        <v>0</v>
      </c>
      <c r="C31" s="114">
        <v>1</v>
      </c>
      <c r="D31" s="114">
        <v>0</v>
      </c>
      <c r="E31" s="114">
        <v>1</v>
      </c>
      <c r="F31" s="114">
        <v>1</v>
      </c>
      <c r="G31" s="114">
        <v>0</v>
      </c>
      <c r="H31" s="114">
        <v>1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1</v>
      </c>
      <c r="R31" s="114">
        <v>1</v>
      </c>
      <c r="S31" s="114">
        <v>0</v>
      </c>
      <c r="T31" s="114">
        <v>0</v>
      </c>
      <c r="U31" s="114">
        <v>1</v>
      </c>
      <c r="V31" s="114">
        <v>0</v>
      </c>
      <c r="W31" s="114">
        <v>0</v>
      </c>
      <c r="X31" s="114">
        <v>0</v>
      </c>
      <c r="Y31" s="114">
        <v>1</v>
      </c>
      <c r="Z31" s="114">
        <v>1</v>
      </c>
      <c r="AA31" s="114">
        <v>0</v>
      </c>
      <c r="AB31" s="114">
        <v>1</v>
      </c>
      <c r="AC31" s="114">
        <v>1</v>
      </c>
      <c r="AD31" s="114">
        <v>0</v>
      </c>
      <c r="AE31" s="114">
        <v>1</v>
      </c>
      <c r="AF31" s="114">
        <v>1</v>
      </c>
      <c r="AG31" s="114">
        <v>1</v>
      </c>
      <c r="AH31" s="114">
        <v>1</v>
      </c>
      <c r="AI31" s="114">
        <v>1</v>
      </c>
      <c r="AJ31" s="114">
        <v>0</v>
      </c>
      <c r="AK31" s="114">
        <v>0</v>
      </c>
      <c r="AL31" s="114">
        <v>0</v>
      </c>
      <c r="AM31" s="114">
        <v>1</v>
      </c>
      <c r="AN31" s="114">
        <v>1</v>
      </c>
      <c r="AO31" s="114">
        <v>0</v>
      </c>
      <c r="AP31" s="114">
        <v>0</v>
      </c>
      <c r="AQ31" s="114">
        <v>0</v>
      </c>
      <c r="AR31" s="114">
        <v>1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  <c r="AZ31" s="114">
        <v>0</v>
      </c>
      <c r="BA31" s="114">
        <v>0</v>
      </c>
      <c r="BB31" s="114">
        <v>0</v>
      </c>
      <c r="BC31" s="114">
        <v>0</v>
      </c>
      <c r="BD31" s="114">
        <v>0</v>
      </c>
      <c r="BE31" s="114">
        <v>0</v>
      </c>
      <c r="BF31" s="114">
        <v>0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0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0</v>
      </c>
      <c r="BW31" s="114">
        <v>0</v>
      </c>
      <c r="BX31" s="114">
        <v>0</v>
      </c>
      <c r="BY31" s="114">
        <v>0</v>
      </c>
    </row>
    <row r="32" spans="1:77" x14ac:dyDescent="0.15">
      <c r="A32" s="193" t="s">
        <v>223</v>
      </c>
      <c r="B32" s="114">
        <v>0</v>
      </c>
      <c r="C32" s="114">
        <v>1</v>
      </c>
      <c r="D32" s="114">
        <v>0</v>
      </c>
      <c r="E32" s="114">
        <v>1</v>
      </c>
      <c r="F32" s="114">
        <v>1</v>
      </c>
      <c r="G32" s="114">
        <v>0</v>
      </c>
      <c r="H32" s="114">
        <v>1</v>
      </c>
      <c r="I32" s="114">
        <v>0</v>
      </c>
      <c r="J32" s="114">
        <v>0</v>
      </c>
      <c r="K32" s="114">
        <v>0</v>
      </c>
      <c r="L32" s="114">
        <v>1</v>
      </c>
      <c r="M32" s="114">
        <v>1</v>
      </c>
      <c r="N32" s="114">
        <v>1</v>
      </c>
      <c r="O32" s="114">
        <v>1</v>
      </c>
      <c r="P32" s="114">
        <v>0</v>
      </c>
      <c r="Q32" s="114">
        <v>1</v>
      </c>
      <c r="R32" s="114">
        <v>1</v>
      </c>
      <c r="S32" s="114">
        <v>1</v>
      </c>
      <c r="T32" s="114">
        <v>0</v>
      </c>
      <c r="U32" s="114">
        <v>1</v>
      </c>
      <c r="V32" s="114">
        <v>0</v>
      </c>
      <c r="W32" s="114">
        <v>0</v>
      </c>
      <c r="X32" s="114">
        <v>0</v>
      </c>
      <c r="Y32" s="114">
        <v>0</v>
      </c>
      <c r="Z32" s="114">
        <v>1</v>
      </c>
      <c r="AA32" s="114">
        <v>1</v>
      </c>
      <c r="AB32" s="114">
        <v>0</v>
      </c>
      <c r="AC32" s="114">
        <v>1</v>
      </c>
      <c r="AD32" s="114">
        <v>1</v>
      </c>
      <c r="AE32" s="114">
        <v>0</v>
      </c>
      <c r="AF32" s="114">
        <v>1</v>
      </c>
      <c r="AG32" s="114">
        <v>1</v>
      </c>
      <c r="AH32" s="114">
        <v>0</v>
      </c>
      <c r="AI32" s="114">
        <v>1</v>
      </c>
      <c r="AJ32" s="114">
        <v>1</v>
      </c>
      <c r="AK32" s="114">
        <v>1</v>
      </c>
      <c r="AL32" s="114">
        <v>1</v>
      </c>
      <c r="AM32" s="114">
        <v>1</v>
      </c>
      <c r="AN32" s="114">
        <v>1</v>
      </c>
      <c r="AO32" s="114">
        <v>1</v>
      </c>
      <c r="AP32" s="114">
        <v>0</v>
      </c>
      <c r="AQ32" s="114">
        <v>1</v>
      </c>
      <c r="AR32" s="114">
        <v>1</v>
      </c>
      <c r="AS32" s="114">
        <v>0</v>
      </c>
      <c r="AT32" s="114">
        <v>0</v>
      </c>
      <c r="AU32" s="114">
        <v>0</v>
      </c>
      <c r="AV32" s="114">
        <v>0</v>
      </c>
      <c r="AW32" s="114">
        <v>0</v>
      </c>
      <c r="AX32" s="114">
        <v>0</v>
      </c>
      <c r="AY32" s="114">
        <v>0</v>
      </c>
      <c r="AZ32" s="114">
        <v>0</v>
      </c>
      <c r="BA32" s="114">
        <v>0</v>
      </c>
      <c r="BB32" s="114">
        <v>1</v>
      </c>
      <c r="BC32" s="114">
        <v>0</v>
      </c>
      <c r="BD32" s="114">
        <v>0</v>
      </c>
      <c r="BE32" s="114">
        <v>0</v>
      </c>
      <c r="BF32" s="114">
        <v>0</v>
      </c>
      <c r="BG32" s="114">
        <v>0</v>
      </c>
      <c r="BH32" s="114">
        <v>0</v>
      </c>
      <c r="BI32" s="114">
        <v>0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0</v>
      </c>
      <c r="BR32" s="114">
        <v>0</v>
      </c>
      <c r="BS32" s="114">
        <v>0</v>
      </c>
      <c r="BT32" s="114">
        <v>0</v>
      </c>
      <c r="BU32" s="114">
        <v>0</v>
      </c>
      <c r="BV32" s="114">
        <v>0</v>
      </c>
      <c r="BW32" s="114">
        <v>0</v>
      </c>
      <c r="BX32" s="114">
        <v>0</v>
      </c>
      <c r="BY32" s="114">
        <v>0</v>
      </c>
    </row>
    <row r="33" spans="1:77" x14ac:dyDescent="0.15">
      <c r="A33" s="193" t="s">
        <v>224</v>
      </c>
      <c r="B33" s="114">
        <v>0</v>
      </c>
      <c r="C33" s="114">
        <v>0</v>
      </c>
      <c r="D33" s="114">
        <v>0</v>
      </c>
      <c r="E33" s="114">
        <v>1</v>
      </c>
      <c r="F33" s="114">
        <v>1</v>
      </c>
      <c r="G33" s="114">
        <v>0</v>
      </c>
      <c r="H33" s="114">
        <v>1</v>
      </c>
      <c r="I33" s="114">
        <v>0</v>
      </c>
      <c r="J33" s="114">
        <v>0</v>
      </c>
      <c r="K33" s="114">
        <v>0</v>
      </c>
      <c r="L33" s="114">
        <v>1</v>
      </c>
      <c r="M33" s="114">
        <v>1</v>
      </c>
      <c r="N33" s="114">
        <v>1</v>
      </c>
      <c r="O33" s="114">
        <v>1</v>
      </c>
      <c r="P33" s="114">
        <v>0</v>
      </c>
      <c r="Q33" s="114">
        <v>1</v>
      </c>
      <c r="R33" s="114">
        <v>1</v>
      </c>
      <c r="S33" s="114">
        <v>1</v>
      </c>
      <c r="T33" s="114">
        <v>0</v>
      </c>
      <c r="U33" s="114">
        <v>1</v>
      </c>
      <c r="V33" s="114">
        <v>0</v>
      </c>
      <c r="W33" s="114">
        <v>0</v>
      </c>
      <c r="X33" s="114">
        <v>0</v>
      </c>
      <c r="Y33" s="114">
        <v>0</v>
      </c>
      <c r="Z33" s="114">
        <v>0</v>
      </c>
      <c r="AA33" s="114">
        <v>1</v>
      </c>
      <c r="AB33" s="114">
        <v>0</v>
      </c>
      <c r="AC33" s="114">
        <v>0</v>
      </c>
      <c r="AD33" s="114">
        <v>1</v>
      </c>
      <c r="AE33" s="114">
        <v>0</v>
      </c>
      <c r="AF33" s="114">
        <v>0</v>
      </c>
      <c r="AG33" s="114">
        <v>1</v>
      </c>
      <c r="AH33" s="114">
        <v>0</v>
      </c>
      <c r="AI33" s="114">
        <v>0</v>
      </c>
      <c r="AJ33" s="114">
        <v>1</v>
      </c>
      <c r="AK33" s="114">
        <v>1</v>
      </c>
      <c r="AL33" s="114">
        <v>0</v>
      </c>
      <c r="AM33" s="114">
        <v>0</v>
      </c>
      <c r="AN33" s="114">
        <v>0</v>
      </c>
      <c r="AO33" s="114">
        <v>0</v>
      </c>
      <c r="AP33" s="114">
        <v>0</v>
      </c>
      <c r="AQ33" s="114">
        <v>0</v>
      </c>
      <c r="AR33" s="114">
        <v>0</v>
      </c>
      <c r="AS33" s="114">
        <v>0</v>
      </c>
      <c r="AT33" s="114">
        <v>0</v>
      </c>
      <c r="AU33" s="114">
        <v>0</v>
      </c>
      <c r="AV33" s="114">
        <v>0</v>
      </c>
      <c r="AW33" s="114">
        <v>0</v>
      </c>
      <c r="AX33" s="114">
        <v>0</v>
      </c>
      <c r="AY33" s="114">
        <v>0</v>
      </c>
      <c r="AZ33" s="114">
        <v>0</v>
      </c>
      <c r="BA33" s="114">
        <v>0</v>
      </c>
      <c r="BB33" s="114">
        <v>1</v>
      </c>
      <c r="BC33" s="114">
        <v>0</v>
      </c>
      <c r="BD33" s="114">
        <v>0</v>
      </c>
      <c r="BE33" s="114">
        <v>0</v>
      </c>
      <c r="BF33" s="114">
        <v>0</v>
      </c>
      <c r="BG33" s="114">
        <v>0</v>
      </c>
      <c r="BH33" s="114">
        <v>0</v>
      </c>
      <c r="BI33" s="114">
        <v>0</v>
      </c>
      <c r="BJ33" s="114">
        <v>0</v>
      </c>
      <c r="BK33" s="114">
        <v>0</v>
      </c>
      <c r="BL33" s="114">
        <v>0</v>
      </c>
      <c r="BM33" s="114">
        <v>0</v>
      </c>
      <c r="BN33" s="114">
        <v>0</v>
      </c>
      <c r="BO33" s="114">
        <v>0</v>
      </c>
      <c r="BP33" s="114">
        <v>0</v>
      </c>
      <c r="BQ33" s="114">
        <v>0</v>
      </c>
      <c r="BR33" s="114">
        <v>0</v>
      </c>
      <c r="BS33" s="114">
        <v>0</v>
      </c>
      <c r="BT33" s="114">
        <v>0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</row>
    <row r="34" spans="1:77" x14ac:dyDescent="0.15">
      <c r="A34" s="193" t="s">
        <v>225</v>
      </c>
      <c r="B34" s="114">
        <v>0</v>
      </c>
      <c r="C34" s="114">
        <v>0</v>
      </c>
      <c r="D34" s="114">
        <v>0</v>
      </c>
      <c r="E34" s="114">
        <v>0</v>
      </c>
      <c r="F34" s="114">
        <v>1</v>
      </c>
      <c r="G34" s="114">
        <v>0</v>
      </c>
      <c r="H34" s="114">
        <v>1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1</v>
      </c>
      <c r="R34" s="114">
        <v>1</v>
      </c>
      <c r="S34" s="114">
        <v>0</v>
      </c>
      <c r="T34" s="114">
        <v>0</v>
      </c>
      <c r="U34" s="114">
        <v>0</v>
      </c>
      <c r="V34" s="114">
        <v>0</v>
      </c>
      <c r="W34" s="114">
        <v>0</v>
      </c>
      <c r="X34" s="114">
        <v>0</v>
      </c>
      <c r="Y34" s="114">
        <v>1</v>
      </c>
      <c r="Z34" s="114">
        <v>1</v>
      </c>
      <c r="AA34" s="114">
        <v>0</v>
      </c>
      <c r="AB34" s="114">
        <v>1</v>
      </c>
      <c r="AC34" s="114">
        <v>1</v>
      </c>
      <c r="AD34" s="114">
        <v>0</v>
      </c>
      <c r="AE34" s="114">
        <v>1</v>
      </c>
      <c r="AF34" s="114">
        <v>1</v>
      </c>
      <c r="AG34" s="114">
        <v>0</v>
      </c>
      <c r="AH34" s="114">
        <v>1</v>
      </c>
      <c r="AI34" s="114">
        <v>1</v>
      </c>
      <c r="AJ34" s="114">
        <v>0</v>
      </c>
      <c r="AK34" s="114">
        <v>0</v>
      </c>
      <c r="AL34" s="114">
        <v>0</v>
      </c>
      <c r="AM34" s="114">
        <v>1</v>
      </c>
      <c r="AN34" s="114">
        <v>1</v>
      </c>
      <c r="AO34" s="114">
        <v>0</v>
      </c>
      <c r="AP34" s="114">
        <v>0</v>
      </c>
      <c r="AQ34" s="114">
        <v>0</v>
      </c>
      <c r="AR34" s="114">
        <v>1</v>
      </c>
      <c r="AS34" s="114">
        <v>0</v>
      </c>
      <c r="AT34" s="114">
        <v>0</v>
      </c>
      <c r="AU34" s="114">
        <v>0</v>
      </c>
      <c r="AV34" s="114">
        <v>0</v>
      </c>
      <c r="AW34" s="114">
        <v>0</v>
      </c>
      <c r="AX34" s="114">
        <v>0</v>
      </c>
      <c r="AY34" s="114">
        <v>0</v>
      </c>
      <c r="AZ34" s="114">
        <v>0</v>
      </c>
      <c r="BA34" s="114">
        <v>0</v>
      </c>
      <c r="BB34" s="114">
        <v>0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0</v>
      </c>
      <c r="BJ34" s="114">
        <v>0</v>
      </c>
      <c r="BK34" s="114">
        <v>0</v>
      </c>
      <c r="BL34" s="114">
        <v>0</v>
      </c>
      <c r="BM34" s="114">
        <v>0</v>
      </c>
      <c r="BN34" s="114">
        <v>0</v>
      </c>
      <c r="BO34" s="114">
        <v>0</v>
      </c>
      <c r="BP34" s="114">
        <v>0</v>
      </c>
      <c r="BQ34" s="114">
        <v>0</v>
      </c>
      <c r="BR34" s="114">
        <v>0</v>
      </c>
      <c r="BS34" s="114">
        <v>0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</row>
    <row r="35" spans="1:77" x14ac:dyDescent="0.15">
      <c r="A35" s="193" t="s">
        <v>226</v>
      </c>
      <c r="B35" s="114">
        <v>0</v>
      </c>
      <c r="C35" s="114">
        <v>0</v>
      </c>
      <c r="D35" s="114">
        <v>0</v>
      </c>
      <c r="E35" s="114">
        <v>0</v>
      </c>
      <c r="F35" s="114">
        <v>1</v>
      </c>
      <c r="G35" s="114">
        <v>0</v>
      </c>
      <c r="H35" s="114">
        <v>1</v>
      </c>
      <c r="I35" s="114">
        <v>0</v>
      </c>
      <c r="J35" s="114">
        <v>0</v>
      </c>
      <c r="K35" s="114">
        <v>0</v>
      </c>
      <c r="L35" s="114">
        <v>1</v>
      </c>
      <c r="M35" s="114">
        <v>1</v>
      </c>
      <c r="N35" s="114">
        <v>1</v>
      </c>
      <c r="O35" s="114">
        <v>1</v>
      </c>
      <c r="P35" s="114">
        <v>0</v>
      </c>
      <c r="Q35" s="114">
        <v>1</v>
      </c>
      <c r="R35" s="114">
        <v>1</v>
      </c>
      <c r="S35" s="114">
        <v>1</v>
      </c>
      <c r="T35" s="114">
        <v>0</v>
      </c>
      <c r="U35" s="114">
        <v>0</v>
      </c>
      <c r="V35" s="114">
        <v>0</v>
      </c>
      <c r="W35" s="114">
        <v>0</v>
      </c>
      <c r="X35" s="114">
        <v>0</v>
      </c>
      <c r="Y35" s="114">
        <v>0</v>
      </c>
      <c r="Z35" s="114">
        <v>1</v>
      </c>
      <c r="AA35" s="114">
        <v>1</v>
      </c>
      <c r="AB35" s="114">
        <v>0</v>
      </c>
      <c r="AC35" s="114">
        <v>1</v>
      </c>
      <c r="AD35" s="114">
        <v>1</v>
      </c>
      <c r="AE35" s="114">
        <v>0</v>
      </c>
      <c r="AF35" s="114">
        <v>1</v>
      </c>
      <c r="AG35" s="114">
        <v>0</v>
      </c>
      <c r="AH35" s="114">
        <v>0</v>
      </c>
      <c r="AI35" s="114">
        <v>1</v>
      </c>
      <c r="AJ35" s="114">
        <v>1</v>
      </c>
      <c r="AK35" s="114">
        <v>0</v>
      </c>
      <c r="AL35" s="114">
        <v>1</v>
      </c>
      <c r="AM35" s="114">
        <v>1</v>
      </c>
      <c r="AN35" s="114">
        <v>1</v>
      </c>
      <c r="AO35" s="114">
        <v>1</v>
      </c>
      <c r="AP35" s="114">
        <v>0</v>
      </c>
      <c r="AQ35" s="114">
        <v>1</v>
      </c>
      <c r="AR35" s="114">
        <v>1</v>
      </c>
      <c r="AS35" s="114">
        <v>0</v>
      </c>
      <c r="AT35" s="114">
        <v>0</v>
      </c>
      <c r="AU35" s="114">
        <v>0</v>
      </c>
      <c r="AV35" s="114">
        <v>0</v>
      </c>
      <c r="AW35" s="114">
        <v>0</v>
      </c>
      <c r="AX35" s="114">
        <v>0</v>
      </c>
      <c r="AY35" s="114">
        <v>0</v>
      </c>
      <c r="AZ35" s="114">
        <v>0</v>
      </c>
      <c r="BA35" s="114">
        <v>0</v>
      </c>
      <c r="BB35" s="114">
        <v>1</v>
      </c>
      <c r="BC35" s="114">
        <v>0</v>
      </c>
      <c r="BD35" s="114">
        <v>0</v>
      </c>
      <c r="BE35" s="114">
        <v>0</v>
      </c>
      <c r="BF35" s="114">
        <v>0</v>
      </c>
      <c r="BG35" s="114">
        <v>0</v>
      </c>
      <c r="BH35" s="114">
        <v>0</v>
      </c>
      <c r="BI35" s="114">
        <v>0</v>
      </c>
      <c r="BJ35" s="114">
        <v>0</v>
      </c>
      <c r="BK35" s="114">
        <v>0</v>
      </c>
      <c r="BL35" s="114">
        <v>0</v>
      </c>
      <c r="BM35" s="114">
        <v>0</v>
      </c>
      <c r="BN35" s="114">
        <v>0</v>
      </c>
      <c r="BO35" s="114">
        <v>0</v>
      </c>
      <c r="BP35" s="114">
        <v>0</v>
      </c>
      <c r="BQ35" s="114">
        <v>0</v>
      </c>
      <c r="BR35" s="114">
        <v>0</v>
      </c>
      <c r="BS35" s="114">
        <v>0</v>
      </c>
      <c r="BT35" s="114">
        <v>0</v>
      </c>
      <c r="BU35" s="114">
        <v>0</v>
      </c>
      <c r="BV35" s="114">
        <v>0</v>
      </c>
      <c r="BW35" s="114">
        <v>0</v>
      </c>
      <c r="BX35" s="114">
        <v>0</v>
      </c>
      <c r="BY35" s="114">
        <v>0</v>
      </c>
    </row>
    <row r="36" spans="1:77" x14ac:dyDescent="0.15">
      <c r="A36" s="193" t="s">
        <v>227</v>
      </c>
      <c r="B36" s="114">
        <v>0</v>
      </c>
      <c r="C36" s="114">
        <v>0</v>
      </c>
      <c r="D36" s="114">
        <v>0</v>
      </c>
      <c r="E36" s="114">
        <v>0</v>
      </c>
      <c r="F36" s="114">
        <v>1</v>
      </c>
      <c r="G36" s="114">
        <v>0</v>
      </c>
      <c r="H36" s="114">
        <v>1</v>
      </c>
      <c r="I36" s="114">
        <v>0</v>
      </c>
      <c r="J36" s="114">
        <v>0</v>
      </c>
      <c r="K36" s="114">
        <v>0</v>
      </c>
      <c r="L36" s="114">
        <v>1</v>
      </c>
      <c r="M36" s="114">
        <v>1</v>
      </c>
      <c r="N36" s="114">
        <v>1</v>
      </c>
      <c r="O36" s="114">
        <v>1</v>
      </c>
      <c r="P36" s="114">
        <v>0</v>
      </c>
      <c r="Q36" s="114">
        <v>1</v>
      </c>
      <c r="R36" s="114">
        <v>1</v>
      </c>
      <c r="S36" s="114">
        <v>1</v>
      </c>
      <c r="T36" s="114">
        <v>0</v>
      </c>
      <c r="U36" s="114">
        <v>0</v>
      </c>
      <c r="V36" s="114">
        <v>0</v>
      </c>
      <c r="W36" s="114">
        <v>0</v>
      </c>
      <c r="X36" s="114">
        <v>0</v>
      </c>
      <c r="Y36" s="114">
        <v>0</v>
      </c>
      <c r="Z36" s="114">
        <v>0</v>
      </c>
      <c r="AA36" s="114">
        <v>0</v>
      </c>
      <c r="AB36" s="114">
        <v>0</v>
      </c>
      <c r="AC36" s="114">
        <v>0</v>
      </c>
      <c r="AD36" s="114">
        <v>0</v>
      </c>
      <c r="AE36" s="114">
        <v>0</v>
      </c>
      <c r="AF36" s="114">
        <v>0</v>
      </c>
      <c r="AG36" s="114">
        <v>0</v>
      </c>
      <c r="AH36" s="114">
        <v>0</v>
      </c>
      <c r="AI36" s="114">
        <v>0</v>
      </c>
      <c r="AJ36" s="114">
        <v>1</v>
      </c>
      <c r="AK36" s="114">
        <v>0</v>
      </c>
      <c r="AL36" s="114">
        <v>0</v>
      </c>
      <c r="AM36" s="114">
        <v>0</v>
      </c>
      <c r="AN36" s="114">
        <v>0</v>
      </c>
      <c r="AO36" s="114">
        <v>0</v>
      </c>
      <c r="AP36" s="114">
        <v>0</v>
      </c>
      <c r="AQ36" s="114">
        <v>0</v>
      </c>
      <c r="AR36" s="114">
        <v>0</v>
      </c>
      <c r="AS36" s="114">
        <v>0</v>
      </c>
      <c r="AT36" s="114">
        <v>0</v>
      </c>
      <c r="AU36" s="114">
        <v>0</v>
      </c>
      <c r="AV36" s="114">
        <v>0</v>
      </c>
      <c r="AW36" s="114">
        <v>0</v>
      </c>
      <c r="AX36" s="114">
        <v>0</v>
      </c>
      <c r="AY36" s="114">
        <v>0</v>
      </c>
      <c r="AZ36" s="114">
        <v>0</v>
      </c>
      <c r="BA36" s="114">
        <v>0</v>
      </c>
      <c r="BB36" s="114">
        <v>1</v>
      </c>
      <c r="BC36" s="114">
        <v>0</v>
      </c>
      <c r="BD36" s="114">
        <v>0</v>
      </c>
      <c r="BE36" s="114">
        <v>0</v>
      </c>
      <c r="BF36" s="114">
        <v>0</v>
      </c>
      <c r="BG36" s="114">
        <v>0</v>
      </c>
      <c r="BH36" s="114">
        <v>0</v>
      </c>
      <c r="BI36" s="114">
        <v>0</v>
      </c>
      <c r="BJ36" s="114">
        <v>0</v>
      </c>
      <c r="BK36" s="114">
        <v>0</v>
      </c>
      <c r="BL36" s="114">
        <v>0</v>
      </c>
      <c r="BM36" s="114">
        <v>0</v>
      </c>
      <c r="BN36" s="114">
        <v>0</v>
      </c>
      <c r="BO36" s="114">
        <v>0</v>
      </c>
      <c r="BP36" s="114">
        <v>0</v>
      </c>
      <c r="BQ36" s="114">
        <v>0</v>
      </c>
      <c r="BR36" s="114">
        <v>0</v>
      </c>
      <c r="BS36" s="114">
        <v>0</v>
      </c>
      <c r="BT36" s="114">
        <v>0</v>
      </c>
      <c r="BU36" s="114">
        <v>0</v>
      </c>
      <c r="BV36" s="114">
        <v>0</v>
      </c>
      <c r="BW36" s="114">
        <v>0</v>
      </c>
      <c r="BX36" s="114">
        <v>0</v>
      </c>
      <c r="BY36" s="114">
        <v>0</v>
      </c>
    </row>
    <row r="37" spans="1:77" x14ac:dyDescent="0.15">
      <c r="A37" s="193" t="s">
        <v>228</v>
      </c>
      <c r="B37" s="114">
        <v>0</v>
      </c>
      <c r="C37" s="114">
        <v>1</v>
      </c>
      <c r="D37" s="114">
        <v>0</v>
      </c>
      <c r="E37" s="114">
        <v>1</v>
      </c>
      <c r="F37" s="114">
        <v>1</v>
      </c>
      <c r="G37" s="114">
        <v>0</v>
      </c>
      <c r="H37" s="114">
        <v>1</v>
      </c>
      <c r="I37" s="114">
        <v>0</v>
      </c>
      <c r="J37" s="114">
        <v>0</v>
      </c>
      <c r="K37" s="114">
        <v>0</v>
      </c>
      <c r="L37" s="114">
        <v>1</v>
      </c>
      <c r="M37" s="114">
        <v>1</v>
      </c>
      <c r="N37" s="114">
        <v>1</v>
      </c>
      <c r="O37" s="114">
        <v>1</v>
      </c>
      <c r="P37" s="114">
        <v>0</v>
      </c>
      <c r="Q37" s="114">
        <v>1</v>
      </c>
      <c r="R37" s="114">
        <v>1</v>
      </c>
      <c r="S37" s="114">
        <v>1</v>
      </c>
      <c r="T37" s="114">
        <v>0</v>
      </c>
      <c r="U37" s="114">
        <v>1</v>
      </c>
      <c r="V37" s="114">
        <v>0</v>
      </c>
      <c r="W37" s="114">
        <v>0</v>
      </c>
      <c r="X37" s="114">
        <v>0</v>
      </c>
      <c r="Y37" s="114">
        <v>1</v>
      </c>
      <c r="Z37" s="114">
        <v>1</v>
      </c>
      <c r="AA37" s="114">
        <v>1</v>
      </c>
      <c r="AB37" s="114">
        <v>1</v>
      </c>
      <c r="AC37" s="114">
        <v>1</v>
      </c>
      <c r="AD37" s="114">
        <v>1</v>
      </c>
      <c r="AE37" s="114">
        <v>1</v>
      </c>
      <c r="AF37" s="114">
        <v>1</v>
      </c>
      <c r="AG37" s="114">
        <v>1</v>
      </c>
      <c r="AH37" s="114">
        <v>1</v>
      </c>
      <c r="AI37" s="114">
        <v>1</v>
      </c>
      <c r="AJ37" s="114">
        <v>0</v>
      </c>
      <c r="AK37" s="114">
        <v>1</v>
      </c>
      <c r="AL37" s="114">
        <v>0</v>
      </c>
      <c r="AM37" s="114">
        <v>1</v>
      </c>
      <c r="AN37" s="114">
        <v>1</v>
      </c>
      <c r="AO37" s="114">
        <v>1</v>
      </c>
      <c r="AP37" s="114">
        <v>0</v>
      </c>
      <c r="AQ37" s="114">
        <v>1</v>
      </c>
      <c r="AR37" s="114">
        <v>1</v>
      </c>
      <c r="AS37" s="114">
        <v>0</v>
      </c>
      <c r="AT37" s="114">
        <v>0</v>
      </c>
      <c r="AU37" s="114">
        <v>0</v>
      </c>
      <c r="AV37" s="114">
        <v>0</v>
      </c>
      <c r="AW37" s="114">
        <v>0</v>
      </c>
      <c r="AX37" s="114">
        <v>0</v>
      </c>
      <c r="AY37" s="114">
        <v>0</v>
      </c>
      <c r="AZ37" s="114">
        <v>0</v>
      </c>
      <c r="BA37" s="114">
        <v>0</v>
      </c>
      <c r="BB37" s="114">
        <v>1</v>
      </c>
      <c r="BC37" s="114">
        <v>0</v>
      </c>
      <c r="BD37" s="114">
        <v>0</v>
      </c>
      <c r="BE37" s="114">
        <v>0</v>
      </c>
      <c r="BF37" s="114">
        <v>0</v>
      </c>
      <c r="BG37" s="114">
        <v>0</v>
      </c>
      <c r="BH37" s="114">
        <v>0</v>
      </c>
      <c r="BI37" s="114">
        <v>0</v>
      </c>
      <c r="BJ37" s="114">
        <v>0</v>
      </c>
      <c r="BK37" s="114">
        <v>0</v>
      </c>
      <c r="BL37" s="114">
        <v>0</v>
      </c>
      <c r="BM37" s="114">
        <v>0</v>
      </c>
      <c r="BN37" s="114">
        <v>0</v>
      </c>
      <c r="BO37" s="114">
        <v>0</v>
      </c>
      <c r="BP37" s="114">
        <v>0</v>
      </c>
      <c r="BQ37" s="114">
        <v>0</v>
      </c>
      <c r="BR37" s="114">
        <v>0</v>
      </c>
      <c r="BS37" s="114">
        <v>0</v>
      </c>
      <c r="BT37" s="114">
        <v>0</v>
      </c>
      <c r="BU37" s="114">
        <v>0</v>
      </c>
      <c r="BV37" s="114">
        <v>0</v>
      </c>
      <c r="BW37" s="114">
        <v>0</v>
      </c>
      <c r="BX37" s="114">
        <v>0</v>
      </c>
      <c r="BY37" s="114">
        <v>0</v>
      </c>
    </row>
    <row r="38" spans="1:77" x14ac:dyDescent="0.15">
      <c r="A38" s="193" t="s">
        <v>229</v>
      </c>
      <c r="B38" s="114">
        <v>0</v>
      </c>
      <c r="C38" s="114">
        <v>0</v>
      </c>
      <c r="D38" s="114">
        <v>0</v>
      </c>
      <c r="E38" s="114">
        <v>0</v>
      </c>
      <c r="F38" s="114">
        <v>1</v>
      </c>
      <c r="G38" s="114">
        <v>0</v>
      </c>
      <c r="H38" s="114">
        <v>1</v>
      </c>
      <c r="I38" s="114">
        <v>0</v>
      </c>
      <c r="J38" s="114">
        <v>0</v>
      </c>
      <c r="K38" s="114">
        <v>0</v>
      </c>
      <c r="L38" s="114">
        <v>1</v>
      </c>
      <c r="M38" s="114">
        <v>1</v>
      </c>
      <c r="N38" s="114">
        <v>1</v>
      </c>
      <c r="O38" s="114">
        <v>1</v>
      </c>
      <c r="P38" s="114">
        <v>0</v>
      </c>
      <c r="Q38" s="114">
        <v>1</v>
      </c>
      <c r="R38" s="114">
        <v>1</v>
      </c>
      <c r="S38" s="114">
        <v>1</v>
      </c>
      <c r="T38" s="114">
        <v>0</v>
      </c>
      <c r="U38" s="114">
        <v>0</v>
      </c>
      <c r="V38" s="114">
        <v>0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4">
        <v>0</v>
      </c>
      <c r="AI38" s="114">
        <v>0</v>
      </c>
      <c r="AJ38" s="114">
        <v>1</v>
      </c>
      <c r="AK38" s="114">
        <v>0</v>
      </c>
      <c r="AL38" s="114">
        <v>1</v>
      </c>
      <c r="AM38" s="114">
        <v>0</v>
      </c>
      <c r="AN38" s="114">
        <v>0</v>
      </c>
      <c r="AO38" s="114">
        <v>1</v>
      </c>
      <c r="AP38" s="114">
        <v>0</v>
      </c>
      <c r="AQ38" s="114">
        <v>0</v>
      </c>
      <c r="AR38" s="114">
        <v>1</v>
      </c>
      <c r="AS38" s="114">
        <v>0</v>
      </c>
      <c r="AT38" s="114">
        <v>0</v>
      </c>
      <c r="AU38" s="114">
        <v>0</v>
      </c>
      <c r="AV38" s="114">
        <v>0</v>
      </c>
      <c r="AW38" s="114">
        <v>0</v>
      </c>
      <c r="AX38" s="114">
        <v>0</v>
      </c>
      <c r="AY38" s="114">
        <v>0</v>
      </c>
      <c r="AZ38" s="114">
        <v>0</v>
      </c>
      <c r="BA38" s="114">
        <v>0</v>
      </c>
      <c r="BB38" s="114">
        <v>1</v>
      </c>
      <c r="BC38" s="114">
        <v>0</v>
      </c>
      <c r="BD38" s="114">
        <v>0</v>
      </c>
      <c r="BE38" s="114">
        <v>0</v>
      </c>
      <c r="BF38" s="114">
        <v>0</v>
      </c>
      <c r="BG38" s="114">
        <v>0</v>
      </c>
      <c r="BH38" s="114">
        <v>0</v>
      </c>
      <c r="BI38" s="114">
        <v>0</v>
      </c>
      <c r="BJ38" s="114">
        <v>0</v>
      </c>
      <c r="BK38" s="114">
        <v>0</v>
      </c>
      <c r="BL38" s="114">
        <v>0</v>
      </c>
      <c r="BM38" s="114">
        <v>0</v>
      </c>
      <c r="BN38" s="114">
        <v>0</v>
      </c>
      <c r="BO38" s="114">
        <v>0</v>
      </c>
      <c r="BP38" s="114">
        <v>0</v>
      </c>
      <c r="BQ38" s="114">
        <v>0</v>
      </c>
      <c r="BR38" s="114">
        <v>0</v>
      </c>
      <c r="BS38" s="114">
        <v>0</v>
      </c>
      <c r="BT38" s="114">
        <v>0</v>
      </c>
      <c r="BU38" s="114">
        <v>0</v>
      </c>
      <c r="BV38" s="114">
        <v>0</v>
      </c>
      <c r="BW38" s="114">
        <v>0</v>
      </c>
      <c r="BX38" s="114">
        <v>0</v>
      </c>
      <c r="BY38" s="114">
        <v>0</v>
      </c>
    </row>
    <row r="39" spans="1:77" x14ac:dyDescent="0.15">
      <c r="A39" s="193" t="s">
        <v>230</v>
      </c>
      <c r="B39" s="114">
        <v>0</v>
      </c>
      <c r="C39" s="114">
        <v>1</v>
      </c>
      <c r="D39" s="114">
        <v>0</v>
      </c>
      <c r="E39" s="114">
        <v>1</v>
      </c>
      <c r="F39" s="114">
        <v>1</v>
      </c>
      <c r="G39" s="114">
        <v>0</v>
      </c>
      <c r="H39" s="114">
        <v>1</v>
      </c>
      <c r="I39" s="114">
        <v>0</v>
      </c>
      <c r="J39" s="114">
        <v>0</v>
      </c>
      <c r="K39" s="114">
        <v>1</v>
      </c>
      <c r="L39" s="114">
        <v>1</v>
      </c>
      <c r="M39" s="114">
        <v>1</v>
      </c>
      <c r="N39" s="114">
        <v>1</v>
      </c>
      <c r="O39" s="114">
        <v>1</v>
      </c>
      <c r="P39" s="114">
        <v>0</v>
      </c>
      <c r="Q39" s="114">
        <v>1</v>
      </c>
      <c r="R39" s="114">
        <v>1</v>
      </c>
      <c r="S39" s="114">
        <v>1</v>
      </c>
      <c r="T39" s="114">
        <v>0</v>
      </c>
      <c r="U39" s="114">
        <v>1</v>
      </c>
      <c r="V39" s="114">
        <v>0</v>
      </c>
      <c r="W39" s="114">
        <v>0</v>
      </c>
      <c r="X39" s="114">
        <v>0</v>
      </c>
      <c r="Y39" s="114">
        <v>1</v>
      </c>
      <c r="Z39" s="114">
        <v>1</v>
      </c>
      <c r="AA39" s="114">
        <v>1</v>
      </c>
      <c r="AB39" s="114">
        <v>1</v>
      </c>
      <c r="AC39" s="114">
        <v>1</v>
      </c>
      <c r="AD39" s="114">
        <v>1</v>
      </c>
      <c r="AE39" s="114">
        <v>1</v>
      </c>
      <c r="AF39" s="114">
        <v>1</v>
      </c>
      <c r="AG39" s="114">
        <v>1</v>
      </c>
      <c r="AH39" s="114">
        <v>1</v>
      </c>
      <c r="AI39" s="114">
        <v>1</v>
      </c>
      <c r="AJ39" s="114">
        <v>0</v>
      </c>
      <c r="AK39" s="114">
        <v>1</v>
      </c>
      <c r="AL39" s="114">
        <v>1</v>
      </c>
      <c r="AM39" s="114">
        <v>1</v>
      </c>
      <c r="AN39" s="114">
        <v>1</v>
      </c>
      <c r="AO39" s="114">
        <v>1</v>
      </c>
      <c r="AP39" s="114">
        <v>0</v>
      </c>
      <c r="AQ39" s="114">
        <v>1</v>
      </c>
      <c r="AR39" s="114">
        <v>1</v>
      </c>
      <c r="AS39" s="114">
        <v>0</v>
      </c>
      <c r="AT39" s="114">
        <v>0</v>
      </c>
      <c r="AU39" s="114">
        <v>0</v>
      </c>
      <c r="AV39" s="114">
        <v>0</v>
      </c>
      <c r="AW39" s="114">
        <v>0</v>
      </c>
      <c r="AX39" s="114">
        <v>0</v>
      </c>
      <c r="AY39" s="114">
        <v>0</v>
      </c>
      <c r="AZ39" s="114">
        <v>0</v>
      </c>
      <c r="BA39" s="114">
        <v>0</v>
      </c>
      <c r="BB39" s="114">
        <v>1</v>
      </c>
      <c r="BC39" s="114">
        <v>0</v>
      </c>
      <c r="BD39" s="114">
        <v>0</v>
      </c>
      <c r="BE39" s="114">
        <v>0</v>
      </c>
      <c r="BF39" s="114">
        <v>0</v>
      </c>
      <c r="BG39" s="114">
        <v>0</v>
      </c>
      <c r="BH39" s="114">
        <v>0</v>
      </c>
      <c r="BI39" s="114">
        <v>0</v>
      </c>
      <c r="BJ39" s="114">
        <v>0</v>
      </c>
      <c r="BK39" s="114">
        <v>0</v>
      </c>
      <c r="BL39" s="114">
        <v>0</v>
      </c>
      <c r="BM39" s="114">
        <v>0</v>
      </c>
      <c r="BN39" s="114">
        <v>0</v>
      </c>
      <c r="BO39" s="114">
        <v>0</v>
      </c>
      <c r="BP39" s="114">
        <v>0</v>
      </c>
      <c r="BQ39" s="114">
        <v>0</v>
      </c>
      <c r="BR39" s="114">
        <v>0</v>
      </c>
      <c r="BS39" s="114">
        <v>0</v>
      </c>
      <c r="BT39" s="114">
        <v>0</v>
      </c>
      <c r="BU39" s="114">
        <v>0</v>
      </c>
      <c r="BV39" s="114">
        <v>0</v>
      </c>
      <c r="BW39" s="114">
        <v>0</v>
      </c>
      <c r="BX39" s="114">
        <v>0</v>
      </c>
      <c r="BY39" s="114">
        <v>0</v>
      </c>
    </row>
    <row r="40" spans="1:77" x14ac:dyDescent="0.15">
      <c r="A40" s="193" t="s">
        <v>231</v>
      </c>
      <c r="B40" s="114">
        <v>0</v>
      </c>
      <c r="C40" s="114">
        <v>0</v>
      </c>
      <c r="D40" s="114">
        <v>0</v>
      </c>
      <c r="E40" s="114">
        <v>1</v>
      </c>
      <c r="F40" s="114">
        <v>0</v>
      </c>
      <c r="G40" s="114">
        <v>1</v>
      </c>
      <c r="H40" s="114">
        <v>1</v>
      </c>
      <c r="I40" s="114">
        <v>0</v>
      </c>
      <c r="J40" s="114">
        <v>1</v>
      </c>
      <c r="K40" s="114">
        <v>0</v>
      </c>
      <c r="L40" s="114">
        <v>1</v>
      </c>
      <c r="M40" s="114">
        <v>0</v>
      </c>
      <c r="N40" s="114">
        <v>1</v>
      </c>
      <c r="O40" s="114">
        <v>1</v>
      </c>
      <c r="P40" s="114">
        <v>0</v>
      </c>
      <c r="Q40" s="114">
        <v>1</v>
      </c>
      <c r="R40" s="114">
        <v>1</v>
      </c>
      <c r="S40" s="114">
        <v>1</v>
      </c>
      <c r="T40" s="114">
        <v>0</v>
      </c>
      <c r="U40" s="114">
        <v>1</v>
      </c>
      <c r="V40" s="114">
        <v>0</v>
      </c>
      <c r="W40" s="114">
        <v>0</v>
      </c>
      <c r="X40" s="114">
        <v>1</v>
      </c>
      <c r="Y40" s="114">
        <v>0</v>
      </c>
      <c r="Z40" s="114">
        <v>0</v>
      </c>
      <c r="AA40" s="114">
        <v>0</v>
      </c>
      <c r="AB40" s="114">
        <v>0</v>
      </c>
      <c r="AC40" s="114">
        <v>0</v>
      </c>
      <c r="AD40" s="114">
        <v>1</v>
      </c>
      <c r="AE40" s="114">
        <v>1</v>
      </c>
      <c r="AF40" s="114">
        <v>1</v>
      </c>
      <c r="AG40" s="114">
        <v>0</v>
      </c>
      <c r="AH40" s="114">
        <v>0</v>
      </c>
      <c r="AI40" s="114">
        <v>0</v>
      </c>
      <c r="AJ40" s="114">
        <v>1</v>
      </c>
      <c r="AK40" s="114">
        <v>0</v>
      </c>
      <c r="AL40" s="114">
        <v>0</v>
      </c>
      <c r="AM40" s="114">
        <v>1</v>
      </c>
      <c r="AN40" s="114">
        <v>1</v>
      </c>
      <c r="AO40" s="114">
        <v>0</v>
      </c>
      <c r="AP40" s="114">
        <v>0</v>
      </c>
      <c r="AQ40" s="114">
        <v>1</v>
      </c>
      <c r="AR40" s="114">
        <v>0</v>
      </c>
      <c r="AS40" s="114">
        <v>0</v>
      </c>
      <c r="AT40" s="114">
        <v>0</v>
      </c>
      <c r="AU40" s="114">
        <v>0</v>
      </c>
      <c r="AV40" s="114">
        <v>0</v>
      </c>
      <c r="AW40" s="114">
        <v>0</v>
      </c>
      <c r="AX40" s="114">
        <v>1</v>
      </c>
      <c r="AY40" s="114">
        <v>0</v>
      </c>
      <c r="AZ40" s="114">
        <v>0</v>
      </c>
      <c r="BA40" s="114">
        <v>0</v>
      </c>
      <c r="BB40" s="114">
        <v>0</v>
      </c>
      <c r="BC40" s="114">
        <v>0</v>
      </c>
      <c r="BD40" s="114">
        <v>0</v>
      </c>
      <c r="BE40" s="114">
        <v>0</v>
      </c>
      <c r="BF40" s="114">
        <v>0</v>
      </c>
      <c r="BG40" s="114">
        <v>0</v>
      </c>
      <c r="BH40" s="114">
        <v>0</v>
      </c>
      <c r="BI40" s="114">
        <v>0</v>
      </c>
      <c r="BJ40" s="114">
        <v>0</v>
      </c>
      <c r="BK40" s="114">
        <v>0</v>
      </c>
      <c r="BL40" s="114">
        <v>0</v>
      </c>
      <c r="BM40" s="114">
        <v>0</v>
      </c>
      <c r="BN40" s="114">
        <v>0</v>
      </c>
      <c r="BO40" s="114">
        <v>0</v>
      </c>
      <c r="BP40" s="114">
        <v>0</v>
      </c>
      <c r="BQ40" s="114">
        <v>0</v>
      </c>
      <c r="BR40" s="114">
        <v>0</v>
      </c>
      <c r="BS40" s="114">
        <v>0</v>
      </c>
      <c r="BT40" s="114">
        <v>0</v>
      </c>
      <c r="BU40" s="114">
        <v>0</v>
      </c>
      <c r="BV40" s="114">
        <v>0</v>
      </c>
      <c r="BW40" s="114">
        <v>0</v>
      </c>
      <c r="BX40" s="114">
        <v>0</v>
      </c>
      <c r="BY40" s="114">
        <v>0</v>
      </c>
    </row>
    <row r="41" spans="1:77" x14ac:dyDescent="0.15">
      <c r="A41" s="193" t="s">
        <v>232</v>
      </c>
      <c r="B41" s="114">
        <v>0</v>
      </c>
      <c r="C41" s="114">
        <v>0</v>
      </c>
      <c r="D41" s="114">
        <v>0</v>
      </c>
      <c r="E41" s="114">
        <v>1</v>
      </c>
      <c r="F41" s="114">
        <v>0</v>
      </c>
      <c r="G41" s="114">
        <v>1</v>
      </c>
      <c r="H41" s="114">
        <v>1</v>
      </c>
      <c r="I41" s="114">
        <v>1</v>
      </c>
      <c r="J41" s="114">
        <v>1</v>
      </c>
      <c r="K41" s="114">
        <v>0</v>
      </c>
      <c r="L41" s="114">
        <v>1</v>
      </c>
      <c r="M41" s="114">
        <v>0</v>
      </c>
      <c r="N41" s="114">
        <v>1</v>
      </c>
      <c r="O41" s="114">
        <v>1</v>
      </c>
      <c r="P41" s="114">
        <v>0</v>
      </c>
      <c r="Q41" s="114">
        <v>1</v>
      </c>
      <c r="R41" s="114">
        <v>1</v>
      </c>
      <c r="S41" s="114">
        <v>1</v>
      </c>
      <c r="T41" s="114">
        <v>0</v>
      </c>
      <c r="U41" s="114">
        <v>1</v>
      </c>
      <c r="V41" s="114">
        <v>0</v>
      </c>
      <c r="W41" s="114">
        <v>0</v>
      </c>
      <c r="X41" s="114">
        <v>1</v>
      </c>
      <c r="Y41" s="114">
        <v>0</v>
      </c>
      <c r="Z41" s="114">
        <v>0</v>
      </c>
      <c r="AA41" s="114">
        <v>0</v>
      </c>
      <c r="AB41" s="114">
        <v>0</v>
      </c>
      <c r="AC41" s="114">
        <v>0</v>
      </c>
      <c r="AD41" s="114">
        <v>1</v>
      </c>
      <c r="AE41" s="114">
        <v>1</v>
      </c>
      <c r="AF41" s="114">
        <v>0</v>
      </c>
      <c r="AG41" s="114">
        <v>0</v>
      </c>
      <c r="AH41" s="114">
        <v>0</v>
      </c>
      <c r="AI41" s="114">
        <v>0</v>
      </c>
      <c r="AJ41" s="114">
        <v>1</v>
      </c>
      <c r="AK41" s="114">
        <v>1</v>
      </c>
      <c r="AL41" s="114">
        <v>0</v>
      </c>
      <c r="AM41" s="114">
        <v>1</v>
      </c>
      <c r="AN41" s="114">
        <v>0</v>
      </c>
      <c r="AO41" s="114">
        <v>1</v>
      </c>
      <c r="AP41" s="114">
        <v>0</v>
      </c>
      <c r="AQ41" s="114">
        <v>0</v>
      </c>
      <c r="AR41" s="114">
        <v>0</v>
      </c>
      <c r="AS41" s="114">
        <v>0</v>
      </c>
      <c r="AT41" s="114">
        <v>0</v>
      </c>
      <c r="AU41" s="114">
        <v>0</v>
      </c>
      <c r="AV41" s="114">
        <v>0</v>
      </c>
      <c r="AW41" s="114">
        <v>0</v>
      </c>
      <c r="AX41" s="114">
        <v>0</v>
      </c>
      <c r="AY41" s="114">
        <v>0</v>
      </c>
      <c r="AZ41" s="114">
        <v>0</v>
      </c>
      <c r="BA41" s="114">
        <v>0</v>
      </c>
      <c r="BB41" s="114">
        <v>0</v>
      </c>
      <c r="BC41" s="114">
        <v>0</v>
      </c>
      <c r="BD41" s="114">
        <v>0</v>
      </c>
      <c r="BE41" s="114">
        <v>0</v>
      </c>
      <c r="BF41" s="114">
        <v>0</v>
      </c>
      <c r="BG41" s="114">
        <v>0</v>
      </c>
      <c r="BH41" s="114">
        <v>0</v>
      </c>
      <c r="BI41" s="114">
        <v>0</v>
      </c>
      <c r="BJ41" s="114">
        <v>0</v>
      </c>
      <c r="BK41" s="114">
        <v>0</v>
      </c>
      <c r="BL41" s="114">
        <v>0</v>
      </c>
      <c r="BM41" s="114">
        <v>0</v>
      </c>
      <c r="BN41" s="114">
        <v>0</v>
      </c>
      <c r="BO41" s="114">
        <v>0</v>
      </c>
      <c r="BP41" s="114">
        <v>0</v>
      </c>
      <c r="BQ41" s="114">
        <v>0</v>
      </c>
      <c r="BR41" s="114">
        <v>0</v>
      </c>
      <c r="BS41" s="114">
        <v>0</v>
      </c>
      <c r="BT41" s="114">
        <v>0</v>
      </c>
      <c r="BU41" s="114">
        <v>0</v>
      </c>
      <c r="BV41" s="114">
        <v>0</v>
      </c>
      <c r="BW41" s="114">
        <v>0</v>
      </c>
      <c r="BX41" s="114">
        <v>0</v>
      </c>
      <c r="BY41" s="114">
        <v>0</v>
      </c>
    </row>
    <row r="42" spans="1:77" x14ac:dyDescent="0.15">
      <c r="A42" s="193" t="s">
        <v>233</v>
      </c>
      <c r="B42" s="114">
        <v>0</v>
      </c>
      <c r="C42" s="114">
        <v>0</v>
      </c>
      <c r="D42" s="114">
        <v>0</v>
      </c>
      <c r="E42" s="114">
        <v>1</v>
      </c>
      <c r="F42" s="114">
        <v>0</v>
      </c>
      <c r="G42" s="114">
        <v>1</v>
      </c>
      <c r="H42" s="114">
        <v>1</v>
      </c>
      <c r="I42" s="114">
        <v>1</v>
      </c>
      <c r="J42" s="114">
        <v>1</v>
      </c>
      <c r="K42" s="114">
        <v>0</v>
      </c>
      <c r="L42" s="114">
        <v>1</v>
      </c>
      <c r="M42" s="114">
        <v>0</v>
      </c>
      <c r="N42" s="114">
        <v>1</v>
      </c>
      <c r="O42" s="114">
        <v>1</v>
      </c>
      <c r="P42" s="114">
        <v>0</v>
      </c>
      <c r="Q42" s="114">
        <v>1</v>
      </c>
      <c r="R42" s="114">
        <v>1</v>
      </c>
      <c r="S42" s="114">
        <v>0</v>
      </c>
      <c r="T42" s="114">
        <v>0</v>
      </c>
      <c r="U42" s="114">
        <v>1</v>
      </c>
      <c r="V42" s="114">
        <v>0</v>
      </c>
      <c r="W42" s="114">
        <v>0</v>
      </c>
      <c r="X42" s="114">
        <v>1</v>
      </c>
      <c r="Y42" s="114">
        <v>0</v>
      </c>
      <c r="Z42" s="114">
        <v>1</v>
      </c>
      <c r="AA42" s="114">
        <v>1</v>
      </c>
      <c r="AB42" s="114">
        <v>0</v>
      </c>
      <c r="AC42" s="114">
        <v>1</v>
      </c>
      <c r="AD42" s="114">
        <v>1</v>
      </c>
      <c r="AE42" s="114">
        <v>1</v>
      </c>
      <c r="AF42" s="114">
        <v>1</v>
      </c>
      <c r="AG42" s="114">
        <v>1</v>
      </c>
      <c r="AH42" s="114">
        <v>0</v>
      </c>
      <c r="AI42" s="114">
        <v>1</v>
      </c>
      <c r="AJ42" s="114">
        <v>1</v>
      </c>
      <c r="AK42" s="114">
        <v>1</v>
      </c>
      <c r="AL42" s="114">
        <v>1</v>
      </c>
      <c r="AM42" s="114">
        <v>1</v>
      </c>
      <c r="AN42" s="114">
        <v>1</v>
      </c>
      <c r="AO42" s="114">
        <v>1</v>
      </c>
      <c r="AP42" s="114">
        <v>1</v>
      </c>
      <c r="AQ42" s="114">
        <v>1</v>
      </c>
      <c r="AR42" s="114">
        <v>0</v>
      </c>
      <c r="AS42" s="114">
        <v>0</v>
      </c>
      <c r="AT42" s="114">
        <v>0</v>
      </c>
      <c r="AU42" s="114">
        <v>0</v>
      </c>
      <c r="AV42" s="114">
        <v>1</v>
      </c>
      <c r="AW42" s="114">
        <v>1</v>
      </c>
      <c r="AX42" s="114">
        <v>1</v>
      </c>
      <c r="AY42" s="114">
        <v>0</v>
      </c>
      <c r="AZ42" s="114">
        <v>0</v>
      </c>
      <c r="BA42" s="114">
        <v>0</v>
      </c>
      <c r="BB42" s="114">
        <v>0</v>
      </c>
      <c r="BC42" s="114">
        <v>0</v>
      </c>
      <c r="BD42" s="114">
        <v>0</v>
      </c>
      <c r="BE42" s="114">
        <v>0</v>
      </c>
      <c r="BF42" s="114">
        <v>0</v>
      </c>
      <c r="BG42" s="114">
        <v>0</v>
      </c>
      <c r="BH42" s="114">
        <v>0</v>
      </c>
      <c r="BI42" s="114">
        <v>0</v>
      </c>
      <c r="BJ42" s="114">
        <v>0</v>
      </c>
      <c r="BK42" s="114">
        <v>0</v>
      </c>
      <c r="BL42" s="114">
        <v>0</v>
      </c>
      <c r="BM42" s="114">
        <v>0</v>
      </c>
      <c r="BN42" s="114">
        <v>0</v>
      </c>
      <c r="BO42" s="114">
        <v>0</v>
      </c>
      <c r="BP42" s="114">
        <v>0</v>
      </c>
      <c r="BQ42" s="114">
        <v>0</v>
      </c>
      <c r="BR42" s="114">
        <v>0</v>
      </c>
      <c r="BS42" s="114">
        <v>0</v>
      </c>
      <c r="BT42" s="114">
        <v>0</v>
      </c>
      <c r="BU42" s="114">
        <v>0</v>
      </c>
      <c r="BV42" s="114">
        <v>0</v>
      </c>
      <c r="BW42" s="114">
        <v>0</v>
      </c>
      <c r="BX42" s="114">
        <v>0</v>
      </c>
      <c r="BY42" s="114">
        <v>0</v>
      </c>
    </row>
    <row r="43" spans="1:77" x14ac:dyDescent="0.15">
      <c r="A43" s="193" t="s">
        <v>234</v>
      </c>
      <c r="B43" s="114">
        <v>0</v>
      </c>
      <c r="C43" s="114">
        <v>0</v>
      </c>
      <c r="D43" s="114">
        <v>0</v>
      </c>
      <c r="E43" s="114">
        <v>1</v>
      </c>
      <c r="F43" s="114">
        <v>0</v>
      </c>
      <c r="G43" s="114">
        <v>1</v>
      </c>
      <c r="H43" s="114">
        <v>1</v>
      </c>
      <c r="I43" s="114">
        <v>1</v>
      </c>
      <c r="J43" s="114">
        <v>1</v>
      </c>
      <c r="K43" s="114">
        <v>0</v>
      </c>
      <c r="L43" s="114">
        <v>1</v>
      </c>
      <c r="M43" s="114">
        <v>0</v>
      </c>
      <c r="N43" s="114">
        <v>1</v>
      </c>
      <c r="O43" s="114">
        <v>1</v>
      </c>
      <c r="P43" s="114">
        <v>0</v>
      </c>
      <c r="Q43" s="114">
        <v>1</v>
      </c>
      <c r="R43" s="114">
        <v>1</v>
      </c>
      <c r="S43" s="114">
        <v>0</v>
      </c>
      <c r="T43" s="114">
        <v>0</v>
      </c>
      <c r="U43" s="114">
        <v>1</v>
      </c>
      <c r="V43" s="114">
        <v>0</v>
      </c>
      <c r="W43" s="114">
        <v>0</v>
      </c>
      <c r="X43" s="114">
        <v>1</v>
      </c>
      <c r="Y43" s="114">
        <v>0</v>
      </c>
      <c r="Z43" s="114">
        <v>1</v>
      </c>
      <c r="AA43" s="114">
        <v>1</v>
      </c>
      <c r="AB43" s="114">
        <v>0</v>
      </c>
      <c r="AC43" s="114">
        <v>1</v>
      </c>
      <c r="AD43" s="114">
        <v>1</v>
      </c>
      <c r="AE43" s="114">
        <v>1</v>
      </c>
      <c r="AF43" s="114">
        <v>1</v>
      </c>
      <c r="AG43" s="114">
        <v>1</v>
      </c>
      <c r="AH43" s="114">
        <v>0</v>
      </c>
      <c r="AI43" s="114">
        <v>1</v>
      </c>
      <c r="AJ43" s="114">
        <v>0</v>
      </c>
      <c r="AK43" s="114">
        <v>1</v>
      </c>
      <c r="AL43" s="114">
        <v>1</v>
      </c>
      <c r="AM43" s="114">
        <v>1</v>
      </c>
      <c r="AN43" s="114">
        <v>1</v>
      </c>
      <c r="AO43" s="114">
        <v>1</v>
      </c>
      <c r="AP43" s="114">
        <v>0</v>
      </c>
      <c r="AQ43" s="114">
        <v>1</v>
      </c>
      <c r="AR43" s="114">
        <v>0</v>
      </c>
      <c r="AS43" s="114">
        <v>0</v>
      </c>
      <c r="AT43" s="114">
        <v>0</v>
      </c>
      <c r="AU43" s="114">
        <v>0</v>
      </c>
      <c r="AV43" s="114">
        <v>1</v>
      </c>
      <c r="AW43" s="114">
        <v>1</v>
      </c>
      <c r="AX43" s="114">
        <v>1</v>
      </c>
      <c r="AY43" s="114">
        <v>0</v>
      </c>
      <c r="AZ43" s="114">
        <v>0</v>
      </c>
      <c r="BA43" s="114">
        <v>0</v>
      </c>
      <c r="BB43" s="114">
        <v>0</v>
      </c>
      <c r="BC43" s="114">
        <v>0</v>
      </c>
      <c r="BD43" s="114">
        <v>0</v>
      </c>
      <c r="BE43" s="114">
        <v>0</v>
      </c>
      <c r="BF43" s="114">
        <v>0</v>
      </c>
      <c r="BG43" s="114">
        <v>0</v>
      </c>
      <c r="BH43" s="114">
        <v>0</v>
      </c>
      <c r="BI43" s="114">
        <v>0</v>
      </c>
      <c r="BJ43" s="114">
        <v>0</v>
      </c>
      <c r="BK43" s="114">
        <v>0</v>
      </c>
      <c r="BL43" s="114">
        <v>0</v>
      </c>
      <c r="BM43" s="114">
        <v>0</v>
      </c>
      <c r="BN43" s="114">
        <v>0</v>
      </c>
      <c r="BO43" s="114">
        <v>0</v>
      </c>
      <c r="BP43" s="114">
        <v>0</v>
      </c>
      <c r="BQ43" s="114">
        <v>0</v>
      </c>
      <c r="BR43" s="114">
        <v>0</v>
      </c>
      <c r="BS43" s="114">
        <v>0</v>
      </c>
      <c r="BT43" s="114">
        <v>0</v>
      </c>
      <c r="BU43" s="114">
        <v>0</v>
      </c>
      <c r="BV43" s="114">
        <v>0</v>
      </c>
      <c r="BW43" s="114">
        <v>0</v>
      </c>
      <c r="BX43" s="114">
        <v>0</v>
      </c>
      <c r="BY43" s="114">
        <v>0</v>
      </c>
    </row>
    <row r="44" spans="1:77" x14ac:dyDescent="0.15">
      <c r="A44" s="193" t="s">
        <v>235</v>
      </c>
      <c r="B44" s="114">
        <v>0</v>
      </c>
      <c r="C44" s="114">
        <v>0</v>
      </c>
      <c r="D44" s="114">
        <v>0</v>
      </c>
      <c r="E44" s="114">
        <v>1</v>
      </c>
      <c r="F44" s="114">
        <v>0</v>
      </c>
      <c r="G44" s="114">
        <v>1</v>
      </c>
      <c r="H44" s="114">
        <v>1</v>
      </c>
      <c r="I44" s="114">
        <v>1</v>
      </c>
      <c r="J44" s="114">
        <v>1</v>
      </c>
      <c r="K44" s="114">
        <v>0</v>
      </c>
      <c r="L44" s="114">
        <v>1</v>
      </c>
      <c r="M44" s="114">
        <v>0</v>
      </c>
      <c r="N44" s="114">
        <v>1</v>
      </c>
      <c r="O44" s="114">
        <v>1</v>
      </c>
      <c r="P44" s="114">
        <v>0</v>
      </c>
      <c r="Q44" s="114">
        <v>1</v>
      </c>
      <c r="R44" s="114">
        <v>1</v>
      </c>
      <c r="S44" s="114">
        <v>0</v>
      </c>
      <c r="T44" s="114">
        <v>0</v>
      </c>
      <c r="U44" s="114">
        <v>1</v>
      </c>
      <c r="V44" s="114">
        <v>0</v>
      </c>
      <c r="W44" s="114">
        <v>0</v>
      </c>
      <c r="X44" s="114">
        <v>1</v>
      </c>
      <c r="Y44" s="114">
        <v>1</v>
      </c>
      <c r="Z44" s="114">
        <v>1</v>
      </c>
      <c r="AA44" s="114">
        <v>1</v>
      </c>
      <c r="AB44" s="114">
        <v>1</v>
      </c>
      <c r="AC44" s="114">
        <v>1</v>
      </c>
      <c r="AD44" s="114">
        <v>1</v>
      </c>
      <c r="AE44" s="114">
        <v>1</v>
      </c>
      <c r="AF44" s="114">
        <v>1</v>
      </c>
      <c r="AG44" s="114">
        <v>1</v>
      </c>
      <c r="AH44" s="114">
        <v>1</v>
      </c>
      <c r="AI44" s="114">
        <v>1</v>
      </c>
      <c r="AJ44" s="114">
        <v>1</v>
      </c>
      <c r="AK44" s="114">
        <v>1</v>
      </c>
      <c r="AL44" s="114">
        <v>1</v>
      </c>
      <c r="AM44" s="114">
        <v>1</v>
      </c>
      <c r="AN44" s="114">
        <v>1</v>
      </c>
      <c r="AO44" s="114">
        <v>1</v>
      </c>
      <c r="AP44" s="114">
        <v>0</v>
      </c>
      <c r="AQ44" s="114">
        <v>1</v>
      </c>
      <c r="AR44" s="114">
        <v>0</v>
      </c>
      <c r="AS44" s="114">
        <v>1</v>
      </c>
      <c r="AT44" s="114">
        <v>1</v>
      </c>
      <c r="AU44" s="114">
        <v>1</v>
      </c>
      <c r="AV44" s="114">
        <v>1</v>
      </c>
      <c r="AW44" s="114">
        <v>1</v>
      </c>
      <c r="AX44" s="114">
        <v>0</v>
      </c>
      <c r="AY44" s="114">
        <v>0</v>
      </c>
      <c r="AZ44" s="114">
        <v>0</v>
      </c>
      <c r="BA44" s="114">
        <v>0</v>
      </c>
      <c r="BB44" s="114">
        <v>0</v>
      </c>
      <c r="BC44" s="114">
        <v>0</v>
      </c>
      <c r="BD44" s="114">
        <v>0</v>
      </c>
      <c r="BE44" s="114">
        <v>0</v>
      </c>
      <c r="BF44" s="114">
        <v>0</v>
      </c>
      <c r="BG44" s="114">
        <v>0</v>
      </c>
      <c r="BH44" s="114">
        <v>0</v>
      </c>
      <c r="BI44" s="114">
        <v>0</v>
      </c>
      <c r="BJ44" s="114">
        <v>0</v>
      </c>
      <c r="BK44" s="114">
        <v>0</v>
      </c>
      <c r="BL44" s="114">
        <v>0</v>
      </c>
      <c r="BM44" s="114">
        <v>0</v>
      </c>
      <c r="BN44" s="114">
        <v>0</v>
      </c>
      <c r="BO44" s="114">
        <v>0</v>
      </c>
      <c r="BP44" s="114">
        <v>0</v>
      </c>
      <c r="BQ44" s="114">
        <v>0</v>
      </c>
      <c r="BR44" s="114">
        <v>0</v>
      </c>
      <c r="BS44" s="114">
        <v>0</v>
      </c>
      <c r="BT44" s="114">
        <v>0</v>
      </c>
      <c r="BU44" s="114">
        <v>0</v>
      </c>
      <c r="BV44" s="114">
        <v>0</v>
      </c>
      <c r="BW44" s="114">
        <v>0</v>
      </c>
      <c r="BX44" s="114">
        <v>0</v>
      </c>
      <c r="BY44" s="114">
        <v>0</v>
      </c>
    </row>
    <row r="45" spans="1:77" x14ac:dyDescent="0.15">
      <c r="A45" s="193" t="s">
        <v>236</v>
      </c>
      <c r="B45" s="114">
        <v>1</v>
      </c>
      <c r="C45" s="114">
        <v>1</v>
      </c>
      <c r="D45" s="114">
        <v>1</v>
      </c>
      <c r="E45" s="114">
        <v>1</v>
      </c>
      <c r="F45" s="114">
        <v>1</v>
      </c>
      <c r="G45" s="114">
        <v>1</v>
      </c>
      <c r="H45" s="114">
        <v>1</v>
      </c>
      <c r="I45" s="114">
        <v>1</v>
      </c>
      <c r="J45" s="114">
        <v>1</v>
      </c>
      <c r="K45" s="114">
        <v>1</v>
      </c>
      <c r="L45" s="114">
        <v>0</v>
      </c>
      <c r="M45" s="114">
        <v>1</v>
      </c>
      <c r="N45" s="114">
        <v>1</v>
      </c>
      <c r="O45" s="114">
        <v>1</v>
      </c>
      <c r="P45" s="114">
        <v>0</v>
      </c>
      <c r="Q45" s="114">
        <v>1</v>
      </c>
      <c r="R45" s="114">
        <v>0</v>
      </c>
      <c r="S45" s="114">
        <v>1</v>
      </c>
      <c r="T45" s="114">
        <v>0</v>
      </c>
      <c r="U45" s="114">
        <v>1</v>
      </c>
      <c r="V45" s="114">
        <v>1</v>
      </c>
      <c r="W45" s="114">
        <v>1</v>
      </c>
      <c r="X45" s="114">
        <v>1</v>
      </c>
      <c r="Y45" s="114">
        <v>1</v>
      </c>
      <c r="Z45" s="114">
        <v>1</v>
      </c>
      <c r="AA45" s="114">
        <v>0</v>
      </c>
      <c r="AB45" s="114">
        <v>1</v>
      </c>
      <c r="AC45" s="114">
        <v>1</v>
      </c>
      <c r="AD45" s="114">
        <v>0</v>
      </c>
      <c r="AE45" s="114">
        <v>1</v>
      </c>
      <c r="AF45" s="114">
        <v>1</v>
      </c>
      <c r="AG45" s="114">
        <v>0</v>
      </c>
      <c r="AH45" s="114">
        <v>1</v>
      </c>
      <c r="AI45" s="114">
        <v>1</v>
      </c>
      <c r="AJ45" s="114">
        <v>0</v>
      </c>
      <c r="AK45" s="114">
        <v>0</v>
      </c>
      <c r="AL45" s="114">
        <v>0</v>
      </c>
      <c r="AM45" s="114">
        <v>0</v>
      </c>
      <c r="AN45" s="114">
        <v>0</v>
      </c>
      <c r="AO45" s="114">
        <v>0</v>
      </c>
      <c r="AP45" s="114">
        <v>0</v>
      </c>
      <c r="AQ45" s="114">
        <v>0</v>
      </c>
      <c r="AR45" s="114">
        <v>0</v>
      </c>
      <c r="AS45" s="114">
        <v>1</v>
      </c>
      <c r="AT45" s="114">
        <v>1</v>
      </c>
      <c r="AU45" s="114">
        <v>1</v>
      </c>
      <c r="AV45" s="114">
        <v>1</v>
      </c>
      <c r="AW45" s="114">
        <v>0</v>
      </c>
      <c r="AX45" s="114">
        <v>1</v>
      </c>
      <c r="AY45" s="114">
        <v>1</v>
      </c>
      <c r="AZ45" s="114">
        <v>0</v>
      </c>
      <c r="BA45" s="114">
        <v>1</v>
      </c>
      <c r="BB45" s="114">
        <v>0</v>
      </c>
      <c r="BC45" s="114">
        <v>0</v>
      </c>
      <c r="BD45" s="114">
        <v>0</v>
      </c>
      <c r="BE45" s="114">
        <v>0</v>
      </c>
      <c r="BF45" s="114">
        <v>0</v>
      </c>
      <c r="BG45" s="114">
        <v>0</v>
      </c>
      <c r="BH45" s="114">
        <v>0</v>
      </c>
      <c r="BI45" s="114">
        <v>0</v>
      </c>
      <c r="BJ45" s="114">
        <v>0</v>
      </c>
      <c r="BK45" s="114">
        <v>0</v>
      </c>
      <c r="BL45" s="114">
        <v>0</v>
      </c>
      <c r="BM45" s="114">
        <v>0</v>
      </c>
      <c r="BN45" s="114">
        <v>0</v>
      </c>
      <c r="BO45" s="114">
        <v>0</v>
      </c>
      <c r="BP45" s="114">
        <v>0</v>
      </c>
      <c r="BQ45" s="114">
        <v>0</v>
      </c>
      <c r="BR45" s="114">
        <v>0</v>
      </c>
      <c r="BS45" s="114">
        <v>0</v>
      </c>
      <c r="BT45" s="114">
        <v>0</v>
      </c>
      <c r="BU45" s="114">
        <v>0</v>
      </c>
      <c r="BV45" s="114">
        <v>0</v>
      </c>
      <c r="BW45" s="114">
        <v>0</v>
      </c>
      <c r="BX45" s="114">
        <v>0</v>
      </c>
      <c r="BY45" s="114">
        <v>0</v>
      </c>
    </row>
    <row r="46" spans="1:77" x14ac:dyDescent="0.15">
      <c r="A46" s="193" t="s">
        <v>237</v>
      </c>
      <c r="B46" s="114">
        <v>1</v>
      </c>
      <c r="C46" s="114">
        <v>1</v>
      </c>
      <c r="D46" s="114">
        <v>1</v>
      </c>
      <c r="E46" s="114">
        <v>1</v>
      </c>
      <c r="F46" s="114">
        <v>1</v>
      </c>
      <c r="G46" s="114">
        <v>1</v>
      </c>
      <c r="H46" s="114">
        <v>1</v>
      </c>
      <c r="I46" s="114">
        <v>0</v>
      </c>
      <c r="J46" s="114">
        <v>1</v>
      </c>
      <c r="K46" s="114">
        <v>1</v>
      </c>
      <c r="L46" s="114">
        <v>0</v>
      </c>
      <c r="M46" s="114">
        <v>1</v>
      </c>
      <c r="N46" s="114">
        <v>1</v>
      </c>
      <c r="O46" s="114">
        <v>1</v>
      </c>
      <c r="P46" s="114">
        <v>0</v>
      </c>
      <c r="Q46" s="114">
        <v>1</v>
      </c>
      <c r="R46" s="114">
        <v>0</v>
      </c>
      <c r="S46" s="114">
        <v>1</v>
      </c>
      <c r="T46" s="114">
        <v>0</v>
      </c>
      <c r="U46" s="114">
        <v>1</v>
      </c>
      <c r="V46" s="114">
        <v>1</v>
      </c>
      <c r="W46" s="114">
        <v>1</v>
      </c>
      <c r="X46" s="114">
        <v>1</v>
      </c>
      <c r="Y46" s="114">
        <v>0</v>
      </c>
      <c r="Z46" s="114">
        <v>0</v>
      </c>
      <c r="AA46" s="114">
        <v>0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0</v>
      </c>
      <c r="AH46" s="114">
        <v>0</v>
      </c>
      <c r="AI46" s="114">
        <v>0</v>
      </c>
      <c r="AJ46" s="114">
        <v>0</v>
      </c>
      <c r="AK46" s="114">
        <v>0</v>
      </c>
      <c r="AL46" s="114">
        <v>0</v>
      </c>
      <c r="AM46" s="114">
        <v>0</v>
      </c>
      <c r="AN46" s="114">
        <v>0</v>
      </c>
      <c r="AO46" s="114">
        <v>0</v>
      </c>
      <c r="AP46" s="114">
        <v>0</v>
      </c>
      <c r="AQ46" s="114">
        <v>0</v>
      </c>
      <c r="AR46" s="114">
        <v>0</v>
      </c>
      <c r="AS46" s="114">
        <v>1</v>
      </c>
      <c r="AT46" s="114">
        <v>1</v>
      </c>
      <c r="AU46" s="114">
        <v>1</v>
      </c>
      <c r="AV46" s="114">
        <v>1</v>
      </c>
      <c r="AW46" s="114">
        <v>0</v>
      </c>
      <c r="AX46" s="114">
        <v>1</v>
      </c>
      <c r="AY46" s="114">
        <v>1</v>
      </c>
      <c r="AZ46" s="114">
        <v>0</v>
      </c>
      <c r="BA46" s="114">
        <v>0</v>
      </c>
      <c r="BB46" s="114">
        <v>0</v>
      </c>
      <c r="BC46" s="114">
        <v>0</v>
      </c>
      <c r="BD46" s="114">
        <v>0</v>
      </c>
      <c r="BE46" s="114">
        <v>0</v>
      </c>
      <c r="BF46" s="114">
        <v>0</v>
      </c>
      <c r="BG46" s="114">
        <v>0</v>
      </c>
      <c r="BH46" s="114">
        <v>0</v>
      </c>
      <c r="BI46" s="114">
        <v>0</v>
      </c>
      <c r="BJ46" s="114">
        <v>0</v>
      </c>
      <c r="BK46" s="114">
        <v>0</v>
      </c>
      <c r="BL46" s="114">
        <v>0</v>
      </c>
      <c r="BM46" s="114">
        <v>0</v>
      </c>
      <c r="BN46" s="114">
        <v>0</v>
      </c>
      <c r="BO46" s="114">
        <v>0</v>
      </c>
      <c r="BP46" s="114">
        <v>0</v>
      </c>
      <c r="BQ46" s="114">
        <v>0</v>
      </c>
      <c r="BR46" s="114">
        <v>0</v>
      </c>
      <c r="BS46" s="114">
        <v>0</v>
      </c>
      <c r="BT46" s="114">
        <v>0</v>
      </c>
      <c r="BU46" s="114">
        <v>0</v>
      </c>
      <c r="BV46" s="114">
        <v>0</v>
      </c>
      <c r="BW46" s="114">
        <v>0</v>
      </c>
      <c r="BX46" s="114">
        <v>0</v>
      </c>
      <c r="BY46" s="114">
        <v>0</v>
      </c>
    </row>
    <row r="47" spans="1:77" x14ac:dyDescent="0.15">
      <c r="A47" s="193" t="s">
        <v>238</v>
      </c>
      <c r="B47" s="114">
        <v>1</v>
      </c>
      <c r="C47" s="114">
        <v>1</v>
      </c>
      <c r="D47" s="114">
        <v>0</v>
      </c>
      <c r="E47" s="114">
        <v>1</v>
      </c>
      <c r="F47" s="114">
        <v>1</v>
      </c>
      <c r="G47" s="114">
        <v>1</v>
      </c>
      <c r="H47" s="114">
        <v>1</v>
      </c>
      <c r="I47" s="114">
        <v>1</v>
      </c>
      <c r="J47" s="114">
        <v>1</v>
      </c>
      <c r="K47" s="114">
        <v>1</v>
      </c>
      <c r="L47" s="114">
        <v>1</v>
      </c>
      <c r="M47" s="114">
        <v>1</v>
      </c>
      <c r="N47" s="114">
        <v>1</v>
      </c>
      <c r="O47" s="114">
        <v>1</v>
      </c>
      <c r="P47" s="114">
        <v>1</v>
      </c>
      <c r="Q47" s="114">
        <v>1</v>
      </c>
      <c r="R47" s="114">
        <v>0</v>
      </c>
      <c r="S47" s="114">
        <v>1</v>
      </c>
      <c r="T47" s="114">
        <v>0</v>
      </c>
      <c r="U47" s="114">
        <v>1</v>
      </c>
      <c r="V47" s="114">
        <v>0</v>
      </c>
      <c r="W47" s="114">
        <v>1</v>
      </c>
      <c r="X47" s="114">
        <v>0</v>
      </c>
      <c r="Y47" s="114">
        <v>0</v>
      </c>
      <c r="Z47" s="114">
        <v>0</v>
      </c>
      <c r="AA47" s="114">
        <v>0</v>
      </c>
      <c r="AB47" s="114">
        <v>0</v>
      </c>
      <c r="AC47" s="114">
        <v>0</v>
      </c>
      <c r="AD47" s="114">
        <v>0</v>
      </c>
      <c r="AE47" s="114">
        <v>0</v>
      </c>
      <c r="AF47" s="114">
        <v>0</v>
      </c>
      <c r="AG47" s="114">
        <v>0</v>
      </c>
      <c r="AH47" s="114">
        <v>0</v>
      </c>
      <c r="AI47" s="114">
        <v>0</v>
      </c>
      <c r="AJ47" s="114">
        <v>1</v>
      </c>
      <c r="AK47" s="114">
        <v>0</v>
      </c>
      <c r="AL47" s="114">
        <v>0</v>
      </c>
      <c r="AM47" s="114">
        <v>0</v>
      </c>
      <c r="AN47" s="114">
        <v>1</v>
      </c>
      <c r="AO47" s="114">
        <v>1</v>
      </c>
      <c r="AP47" s="114">
        <v>1</v>
      </c>
      <c r="AQ47" s="114">
        <v>0</v>
      </c>
      <c r="AR47" s="114">
        <v>0</v>
      </c>
      <c r="AS47" s="114">
        <v>0</v>
      </c>
      <c r="AT47" s="114">
        <v>0</v>
      </c>
      <c r="AU47" s="114">
        <v>1</v>
      </c>
      <c r="AV47" s="114">
        <v>1</v>
      </c>
      <c r="AW47" s="114">
        <v>0</v>
      </c>
      <c r="AX47" s="114">
        <v>1</v>
      </c>
      <c r="AY47" s="114">
        <v>1</v>
      </c>
      <c r="AZ47" s="114">
        <v>0</v>
      </c>
      <c r="BA47" s="114">
        <v>0</v>
      </c>
      <c r="BB47" s="114">
        <v>1</v>
      </c>
      <c r="BC47" s="114">
        <v>0</v>
      </c>
      <c r="BD47" s="114">
        <v>0</v>
      </c>
      <c r="BE47" s="114">
        <v>0</v>
      </c>
      <c r="BF47" s="114">
        <v>0</v>
      </c>
      <c r="BG47" s="114">
        <v>0</v>
      </c>
      <c r="BH47" s="114">
        <v>0</v>
      </c>
      <c r="BI47" s="114">
        <v>0</v>
      </c>
      <c r="BJ47" s="114">
        <v>0</v>
      </c>
      <c r="BK47" s="114">
        <v>0</v>
      </c>
      <c r="BL47" s="114">
        <v>0</v>
      </c>
      <c r="BM47" s="114">
        <v>0</v>
      </c>
      <c r="BN47" s="114">
        <v>0</v>
      </c>
      <c r="BO47" s="114">
        <v>0</v>
      </c>
      <c r="BP47" s="114">
        <v>0</v>
      </c>
      <c r="BQ47" s="114">
        <v>0</v>
      </c>
      <c r="BR47" s="114">
        <v>0</v>
      </c>
      <c r="BS47" s="114">
        <v>0</v>
      </c>
      <c r="BT47" s="114">
        <v>0</v>
      </c>
      <c r="BU47" s="114">
        <v>0</v>
      </c>
      <c r="BV47" s="114">
        <v>0</v>
      </c>
      <c r="BW47" s="114">
        <v>0</v>
      </c>
      <c r="BX47" s="114">
        <v>0</v>
      </c>
      <c r="BY47" s="114">
        <v>0</v>
      </c>
    </row>
    <row r="48" spans="1:77" x14ac:dyDescent="0.15">
      <c r="A48" s="193" t="s">
        <v>239</v>
      </c>
      <c r="B48" s="114">
        <v>1</v>
      </c>
      <c r="C48" s="114">
        <v>1</v>
      </c>
      <c r="D48" s="114">
        <v>1</v>
      </c>
      <c r="E48" s="114">
        <v>1</v>
      </c>
      <c r="F48" s="114">
        <v>1</v>
      </c>
      <c r="G48" s="114">
        <v>1</v>
      </c>
      <c r="H48" s="114">
        <v>1</v>
      </c>
      <c r="I48" s="114">
        <v>1</v>
      </c>
      <c r="J48" s="114">
        <v>1</v>
      </c>
      <c r="K48" s="114">
        <v>1</v>
      </c>
      <c r="L48" s="114">
        <v>1</v>
      </c>
      <c r="M48" s="114">
        <v>1</v>
      </c>
      <c r="N48" s="114">
        <v>1</v>
      </c>
      <c r="O48" s="114">
        <v>1</v>
      </c>
      <c r="P48" s="114">
        <v>0</v>
      </c>
      <c r="Q48" s="114">
        <v>1</v>
      </c>
      <c r="R48" s="114">
        <v>1</v>
      </c>
      <c r="S48" s="114">
        <v>1</v>
      </c>
      <c r="T48" s="114">
        <v>1</v>
      </c>
      <c r="U48" s="114">
        <v>1</v>
      </c>
      <c r="V48" s="114">
        <v>0</v>
      </c>
      <c r="W48" s="114">
        <v>1</v>
      </c>
      <c r="X48" s="114">
        <v>1</v>
      </c>
      <c r="Y48" s="114">
        <v>1</v>
      </c>
      <c r="Z48" s="114">
        <v>1</v>
      </c>
      <c r="AA48" s="114">
        <v>1</v>
      </c>
      <c r="AB48" s="114">
        <v>0</v>
      </c>
      <c r="AC48" s="114">
        <v>1</v>
      </c>
      <c r="AD48" s="114">
        <v>1</v>
      </c>
      <c r="AE48" s="114">
        <v>0</v>
      </c>
      <c r="AF48" s="114">
        <v>0</v>
      </c>
      <c r="AG48" s="114">
        <v>1</v>
      </c>
      <c r="AH48" s="114">
        <v>1</v>
      </c>
      <c r="AI48" s="114">
        <v>1</v>
      </c>
      <c r="AJ48" s="114">
        <v>1</v>
      </c>
      <c r="AK48" s="114">
        <v>0</v>
      </c>
      <c r="AL48" s="114">
        <v>1</v>
      </c>
      <c r="AM48" s="114">
        <v>1</v>
      </c>
      <c r="AN48" s="114">
        <v>1</v>
      </c>
      <c r="AO48" s="114">
        <v>1</v>
      </c>
      <c r="AP48" s="114">
        <v>0</v>
      </c>
      <c r="AQ48" s="114">
        <v>1</v>
      </c>
      <c r="AR48" s="114">
        <v>1</v>
      </c>
      <c r="AS48" s="114">
        <v>1</v>
      </c>
      <c r="AT48" s="114">
        <v>1</v>
      </c>
      <c r="AU48" s="114">
        <v>1</v>
      </c>
      <c r="AV48" s="114">
        <v>1</v>
      </c>
      <c r="AW48" s="114">
        <v>1</v>
      </c>
      <c r="AX48" s="114">
        <v>1</v>
      </c>
      <c r="AY48" s="114">
        <v>1</v>
      </c>
      <c r="AZ48" s="114">
        <v>1</v>
      </c>
      <c r="BA48" s="114">
        <v>1</v>
      </c>
      <c r="BB48" s="114">
        <v>1</v>
      </c>
      <c r="BC48" s="114">
        <v>0</v>
      </c>
      <c r="BD48" s="114">
        <v>0</v>
      </c>
      <c r="BE48" s="114">
        <v>0</v>
      </c>
      <c r="BF48" s="114">
        <v>0</v>
      </c>
      <c r="BG48" s="114">
        <v>0</v>
      </c>
      <c r="BH48" s="114">
        <v>0</v>
      </c>
      <c r="BI48" s="114">
        <v>1</v>
      </c>
      <c r="BJ48" s="114">
        <v>0</v>
      </c>
      <c r="BK48" s="114">
        <v>0</v>
      </c>
      <c r="BL48" s="114">
        <v>0</v>
      </c>
      <c r="BM48" s="114">
        <v>0</v>
      </c>
      <c r="BN48" s="114">
        <v>0</v>
      </c>
      <c r="BO48" s="114">
        <v>0</v>
      </c>
      <c r="BP48" s="114">
        <v>0</v>
      </c>
      <c r="BQ48" s="114">
        <v>0</v>
      </c>
      <c r="BR48" s="114">
        <v>0</v>
      </c>
      <c r="BS48" s="114">
        <v>0</v>
      </c>
      <c r="BT48" s="114">
        <v>0</v>
      </c>
      <c r="BU48" s="114">
        <v>0</v>
      </c>
      <c r="BV48" s="114">
        <v>0</v>
      </c>
      <c r="BW48" s="114">
        <v>0</v>
      </c>
      <c r="BX48" s="114">
        <v>0</v>
      </c>
      <c r="BY48" s="114">
        <v>0</v>
      </c>
    </row>
    <row r="49" spans="1:77" x14ac:dyDescent="0.15">
      <c r="A49" s="193" t="s">
        <v>240</v>
      </c>
      <c r="B49" s="114">
        <v>0</v>
      </c>
      <c r="C49" s="114">
        <v>0</v>
      </c>
      <c r="D49" s="114">
        <v>0</v>
      </c>
      <c r="E49" s="114">
        <v>1</v>
      </c>
      <c r="F49" s="114">
        <v>1</v>
      </c>
      <c r="G49" s="114">
        <v>1</v>
      </c>
      <c r="H49" s="114">
        <v>1</v>
      </c>
      <c r="I49" s="114">
        <v>1</v>
      </c>
      <c r="J49" s="114">
        <v>1</v>
      </c>
      <c r="K49" s="114">
        <v>1</v>
      </c>
      <c r="L49" s="114">
        <v>1</v>
      </c>
      <c r="M49" s="114">
        <v>1</v>
      </c>
      <c r="N49" s="114">
        <v>1</v>
      </c>
      <c r="O49" s="114">
        <v>1</v>
      </c>
      <c r="P49" s="114">
        <v>1</v>
      </c>
      <c r="Q49" s="114">
        <v>1</v>
      </c>
      <c r="R49" s="114">
        <v>0</v>
      </c>
      <c r="S49" s="114">
        <v>0</v>
      </c>
      <c r="T49" s="114">
        <v>0</v>
      </c>
      <c r="U49" s="114">
        <v>1</v>
      </c>
      <c r="V49" s="114">
        <v>0</v>
      </c>
      <c r="W49" s="114">
        <v>0</v>
      </c>
      <c r="X49" s="114">
        <v>0</v>
      </c>
      <c r="Y49" s="114">
        <v>0</v>
      </c>
      <c r="Z49" s="114">
        <v>0</v>
      </c>
      <c r="AA49" s="114">
        <v>0</v>
      </c>
      <c r="AB49" s="114">
        <v>0</v>
      </c>
      <c r="AC49" s="114">
        <v>0</v>
      </c>
      <c r="AD49" s="114">
        <v>1</v>
      </c>
      <c r="AE49" s="114">
        <v>0</v>
      </c>
      <c r="AF49" s="114">
        <v>0</v>
      </c>
      <c r="AG49" s="114">
        <v>0</v>
      </c>
      <c r="AH49" s="114">
        <v>0</v>
      </c>
      <c r="AI49" s="114">
        <v>0</v>
      </c>
      <c r="AJ49" s="114">
        <v>1</v>
      </c>
      <c r="AK49" s="114">
        <v>1</v>
      </c>
      <c r="AL49" s="114">
        <v>1</v>
      </c>
      <c r="AM49" s="114">
        <v>1</v>
      </c>
      <c r="AN49" s="114">
        <v>1</v>
      </c>
      <c r="AO49" s="114">
        <v>1</v>
      </c>
      <c r="AP49" s="114">
        <v>0</v>
      </c>
      <c r="AQ49" s="114">
        <v>0</v>
      </c>
      <c r="AR49" s="114">
        <v>0</v>
      </c>
      <c r="AS49" s="114">
        <v>0</v>
      </c>
      <c r="AT49" s="114">
        <v>0</v>
      </c>
      <c r="AU49" s="114">
        <v>1</v>
      </c>
      <c r="AV49" s="114">
        <v>1</v>
      </c>
      <c r="AW49" s="114">
        <v>1</v>
      </c>
      <c r="AX49" s="114">
        <v>0</v>
      </c>
      <c r="AY49" s="114">
        <v>0</v>
      </c>
      <c r="AZ49" s="114">
        <v>0</v>
      </c>
      <c r="BA49" s="114">
        <v>0</v>
      </c>
      <c r="BB49" s="114">
        <v>1</v>
      </c>
      <c r="BC49" s="114">
        <v>0</v>
      </c>
      <c r="BD49" s="114">
        <v>0</v>
      </c>
      <c r="BE49" s="114">
        <v>0</v>
      </c>
      <c r="BF49" s="114">
        <v>0</v>
      </c>
      <c r="BG49" s="114">
        <v>0</v>
      </c>
      <c r="BH49" s="114">
        <v>0</v>
      </c>
      <c r="BI49" s="114">
        <v>0</v>
      </c>
      <c r="BJ49" s="114">
        <v>0</v>
      </c>
      <c r="BK49" s="114">
        <v>0</v>
      </c>
      <c r="BL49" s="114">
        <v>0</v>
      </c>
      <c r="BM49" s="114">
        <v>0</v>
      </c>
      <c r="BN49" s="114">
        <v>0</v>
      </c>
      <c r="BO49" s="114">
        <v>0</v>
      </c>
      <c r="BP49" s="114">
        <v>0</v>
      </c>
      <c r="BQ49" s="114">
        <v>0</v>
      </c>
      <c r="BR49" s="114">
        <v>0</v>
      </c>
      <c r="BS49" s="114">
        <v>0</v>
      </c>
      <c r="BT49" s="114">
        <v>0</v>
      </c>
      <c r="BU49" s="114">
        <v>0</v>
      </c>
      <c r="BV49" s="114">
        <v>0</v>
      </c>
      <c r="BW49" s="114">
        <v>0</v>
      </c>
      <c r="BX49" s="114">
        <v>0</v>
      </c>
      <c r="BY49" s="114">
        <v>0</v>
      </c>
    </row>
    <row r="50" spans="1:77" x14ac:dyDescent="0.15">
      <c r="A50" s="193" t="s">
        <v>241</v>
      </c>
      <c r="B50" s="114">
        <v>1</v>
      </c>
      <c r="C50" s="114">
        <v>1</v>
      </c>
      <c r="D50" s="114">
        <v>1</v>
      </c>
      <c r="E50" s="114">
        <v>1</v>
      </c>
      <c r="F50" s="114">
        <v>1</v>
      </c>
      <c r="G50" s="114">
        <v>1</v>
      </c>
      <c r="H50" s="114">
        <v>1</v>
      </c>
      <c r="I50" s="114">
        <v>1</v>
      </c>
      <c r="J50" s="114">
        <v>1</v>
      </c>
      <c r="K50" s="114">
        <v>1</v>
      </c>
      <c r="L50" s="114">
        <v>1</v>
      </c>
      <c r="M50" s="114">
        <v>1</v>
      </c>
      <c r="N50" s="114">
        <v>1</v>
      </c>
      <c r="O50" s="114">
        <v>1</v>
      </c>
      <c r="P50" s="114">
        <v>1</v>
      </c>
      <c r="Q50" s="114">
        <v>1</v>
      </c>
      <c r="R50" s="114">
        <v>1</v>
      </c>
      <c r="S50" s="114">
        <v>1</v>
      </c>
      <c r="T50" s="114">
        <v>1</v>
      </c>
      <c r="U50" s="114">
        <v>1</v>
      </c>
      <c r="V50" s="114">
        <v>1</v>
      </c>
      <c r="W50" s="114">
        <v>1</v>
      </c>
      <c r="X50" s="114">
        <v>1</v>
      </c>
      <c r="Y50" s="114">
        <v>1</v>
      </c>
      <c r="Z50" s="114">
        <v>1</v>
      </c>
      <c r="AA50" s="114">
        <v>1</v>
      </c>
      <c r="AB50" s="114">
        <v>1</v>
      </c>
      <c r="AC50" s="114">
        <v>1</v>
      </c>
      <c r="AD50" s="114">
        <v>1</v>
      </c>
      <c r="AE50" s="114">
        <v>1</v>
      </c>
      <c r="AF50" s="114">
        <v>1</v>
      </c>
      <c r="AG50" s="114">
        <v>1</v>
      </c>
      <c r="AH50" s="114">
        <v>1</v>
      </c>
      <c r="AI50" s="114">
        <v>1</v>
      </c>
      <c r="AJ50" s="114">
        <v>1</v>
      </c>
      <c r="AK50" s="114">
        <v>1</v>
      </c>
      <c r="AL50" s="114">
        <v>1</v>
      </c>
      <c r="AM50" s="114">
        <v>1</v>
      </c>
      <c r="AN50" s="114">
        <v>1</v>
      </c>
      <c r="AO50" s="114">
        <v>1</v>
      </c>
      <c r="AP50" s="114">
        <v>0</v>
      </c>
      <c r="AQ50" s="114">
        <v>1</v>
      </c>
      <c r="AR50" s="114">
        <v>1</v>
      </c>
      <c r="AS50" s="114">
        <v>1</v>
      </c>
      <c r="AT50" s="114">
        <v>1</v>
      </c>
      <c r="AU50" s="114">
        <v>1</v>
      </c>
      <c r="AV50" s="114">
        <v>1</v>
      </c>
      <c r="AW50" s="114">
        <v>1</v>
      </c>
      <c r="AX50" s="114">
        <v>1</v>
      </c>
      <c r="AY50" s="114">
        <v>1</v>
      </c>
      <c r="AZ50" s="114">
        <v>1</v>
      </c>
      <c r="BA50" s="114">
        <v>1</v>
      </c>
      <c r="BB50" s="114">
        <v>1</v>
      </c>
      <c r="BC50" s="114">
        <v>0</v>
      </c>
      <c r="BD50" s="114">
        <v>0</v>
      </c>
      <c r="BE50" s="114">
        <v>0</v>
      </c>
      <c r="BF50" s="114">
        <v>0</v>
      </c>
      <c r="BG50" s="114">
        <v>0</v>
      </c>
      <c r="BH50" s="114">
        <v>0</v>
      </c>
      <c r="BI50" s="114">
        <v>1</v>
      </c>
      <c r="BJ50" s="114">
        <v>0</v>
      </c>
      <c r="BK50" s="114">
        <v>0</v>
      </c>
      <c r="BL50" s="114">
        <v>0</v>
      </c>
      <c r="BM50" s="114">
        <v>0</v>
      </c>
      <c r="BN50" s="114">
        <v>1</v>
      </c>
      <c r="BO50" s="114">
        <v>0</v>
      </c>
      <c r="BP50" s="114">
        <v>1</v>
      </c>
      <c r="BQ50" s="114">
        <v>0</v>
      </c>
      <c r="BR50" s="114">
        <v>0</v>
      </c>
      <c r="BS50" s="114">
        <v>0</v>
      </c>
      <c r="BT50" s="114">
        <v>0</v>
      </c>
      <c r="BU50" s="114">
        <v>0</v>
      </c>
      <c r="BV50" s="114">
        <v>0</v>
      </c>
      <c r="BW50" s="114">
        <v>0</v>
      </c>
      <c r="BX50" s="114">
        <v>0</v>
      </c>
      <c r="BY50" s="114">
        <v>0</v>
      </c>
    </row>
    <row r="51" spans="1:77" x14ac:dyDescent="0.15">
      <c r="A51" s="193" t="s">
        <v>242</v>
      </c>
      <c r="B51" s="114">
        <v>1</v>
      </c>
      <c r="C51" s="114">
        <v>1</v>
      </c>
      <c r="D51" s="114">
        <v>1</v>
      </c>
      <c r="E51" s="114">
        <v>1</v>
      </c>
      <c r="F51" s="114">
        <v>1</v>
      </c>
      <c r="G51" s="114">
        <v>1</v>
      </c>
      <c r="H51" s="114">
        <v>1</v>
      </c>
      <c r="I51" s="114">
        <v>1</v>
      </c>
      <c r="J51" s="114">
        <v>1</v>
      </c>
      <c r="K51" s="114">
        <v>1</v>
      </c>
      <c r="L51" s="114">
        <v>1</v>
      </c>
      <c r="M51" s="114">
        <v>1</v>
      </c>
      <c r="N51" s="114">
        <v>1</v>
      </c>
      <c r="O51" s="114">
        <v>1</v>
      </c>
      <c r="P51" s="114">
        <v>1</v>
      </c>
      <c r="Q51" s="114">
        <v>1</v>
      </c>
      <c r="R51" s="114">
        <v>1</v>
      </c>
      <c r="S51" s="114">
        <v>1</v>
      </c>
      <c r="T51" s="114">
        <v>1</v>
      </c>
      <c r="U51" s="114">
        <v>1</v>
      </c>
      <c r="V51" s="114">
        <v>1</v>
      </c>
      <c r="W51" s="114">
        <v>1</v>
      </c>
      <c r="X51" s="114">
        <v>1</v>
      </c>
      <c r="Y51" s="114">
        <v>1</v>
      </c>
      <c r="Z51" s="114">
        <v>1</v>
      </c>
      <c r="AA51" s="114">
        <v>1</v>
      </c>
      <c r="AB51" s="114">
        <v>1</v>
      </c>
      <c r="AC51" s="114">
        <v>1</v>
      </c>
      <c r="AD51" s="114">
        <v>1</v>
      </c>
      <c r="AE51" s="114">
        <v>1</v>
      </c>
      <c r="AF51" s="114">
        <v>1</v>
      </c>
      <c r="AG51" s="114">
        <v>1</v>
      </c>
      <c r="AH51" s="114">
        <v>1</v>
      </c>
      <c r="AI51" s="114">
        <v>1</v>
      </c>
      <c r="AJ51" s="114">
        <v>1</v>
      </c>
      <c r="AK51" s="114">
        <v>1</v>
      </c>
      <c r="AL51" s="114">
        <v>1</v>
      </c>
      <c r="AM51" s="114">
        <v>1</v>
      </c>
      <c r="AN51" s="114">
        <v>1</v>
      </c>
      <c r="AO51" s="114">
        <v>1</v>
      </c>
      <c r="AP51" s="114">
        <v>1</v>
      </c>
      <c r="AQ51" s="114">
        <v>1</v>
      </c>
      <c r="AR51" s="114">
        <v>1</v>
      </c>
      <c r="AS51" s="114">
        <v>1</v>
      </c>
      <c r="AT51" s="114">
        <v>1</v>
      </c>
      <c r="AU51" s="114">
        <v>1</v>
      </c>
      <c r="AV51" s="114">
        <v>1</v>
      </c>
      <c r="AW51" s="114">
        <v>1</v>
      </c>
      <c r="AX51" s="114">
        <v>1</v>
      </c>
      <c r="AY51" s="114">
        <v>1</v>
      </c>
      <c r="AZ51" s="114">
        <v>1</v>
      </c>
      <c r="BA51" s="114">
        <v>1</v>
      </c>
      <c r="BB51" s="114">
        <v>1</v>
      </c>
      <c r="BC51" s="114">
        <v>0</v>
      </c>
      <c r="BD51" s="114">
        <v>1</v>
      </c>
      <c r="BE51" s="114">
        <v>0</v>
      </c>
      <c r="BF51" s="114">
        <v>0</v>
      </c>
      <c r="BG51" s="114">
        <v>0</v>
      </c>
      <c r="BH51" s="114">
        <v>0</v>
      </c>
      <c r="BI51" s="114">
        <v>1</v>
      </c>
      <c r="BJ51" s="114">
        <v>0</v>
      </c>
      <c r="BK51" s="114">
        <v>0</v>
      </c>
      <c r="BL51" s="114">
        <v>0</v>
      </c>
      <c r="BM51" s="114">
        <v>0</v>
      </c>
      <c r="BN51" s="114">
        <v>1</v>
      </c>
      <c r="BO51" s="114">
        <v>0</v>
      </c>
      <c r="BP51" s="114">
        <v>0</v>
      </c>
      <c r="BQ51" s="114">
        <v>0</v>
      </c>
      <c r="BR51" s="114">
        <v>0</v>
      </c>
      <c r="BS51" s="114">
        <v>0</v>
      </c>
      <c r="BT51" s="114">
        <v>0</v>
      </c>
      <c r="BU51" s="114">
        <v>0</v>
      </c>
      <c r="BV51" s="114">
        <v>0</v>
      </c>
      <c r="BW51" s="114">
        <v>0</v>
      </c>
      <c r="BX51" s="114">
        <v>0</v>
      </c>
      <c r="BY51" s="114">
        <v>0</v>
      </c>
    </row>
    <row r="52" spans="1:77" x14ac:dyDescent="0.15">
      <c r="A52" s="193" t="s">
        <v>243</v>
      </c>
      <c r="B52" s="114">
        <v>1</v>
      </c>
      <c r="C52" s="114">
        <v>0</v>
      </c>
      <c r="D52" s="114">
        <v>0</v>
      </c>
      <c r="E52" s="114">
        <v>1</v>
      </c>
      <c r="F52" s="114">
        <v>0</v>
      </c>
      <c r="G52" s="114">
        <v>0</v>
      </c>
      <c r="H52" s="114">
        <v>1</v>
      </c>
      <c r="I52" s="114">
        <v>0</v>
      </c>
      <c r="J52" s="114">
        <v>1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1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0</v>
      </c>
      <c r="X52" s="114">
        <v>0</v>
      </c>
      <c r="Y52" s="114">
        <v>0</v>
      </c>
      <c r="Z52" s="114">
        <v>0</v>
      </c>
      <c r="AA52" s="114">
        <v>0</v>
      </c>
      <c r="AB52" s="114">
        <v>0</v>
      </c>
      <c r="AC52" s="114">
        <v>0</v>
      </c>
      <c r="AD52" s="114">
        <v>0</v>
      </c>
      <c r="AE52" s="114">
        <v>0</v>
      </c>
      <c r="AF52" s="114">
        <v>0</v>
      </c>
      <c r="AG52" s="114">
        <v>0</v>
      </c>
      <c r="AH52" s="114">
        <v>0</v>
      </c>
      <c r="AI52" s="114">
        <v>0</v>
      </c>
      <c r="AJ52" s="114">
        <v>0</v>
      </c>
      <c r="AK52" s="114">
        <v>0</v>
      </c>
      <c r="AL52" s="114">
        <v>0</v>
      </c>
      <c r="AM52" s="114">
        <v>0</v>
      </c>
      <c r="AN52" s="114">
        <v>0</v>
      </c>
      <c r="AO52" s="114">
        <v>0</v>
      </c>
      <c r="AP52" s="114">
        <v>0</v>
      </c>
      <c r="AQ52" s="114">
        <v>0</v>
      </c>
      <c r="AR52" s="114">
        <v>0</v>
      </c>
      <c r="AS52" s="114">
        <v>1</v>
      </c>
      <c r="AT52" s="114">
        <v>0</v>
      </c>
      <c r="AU52" s="114">
        <v>0</v>
      </c>
      <c r="AV52" s="114">
        <v>0</v>
      </c>
      <c r="AW52" s="114">
        <v>0</v>
      </c>
      <c r="AX52" s="114">
        <v>0</v>
      </c>
      <c r="AY52" s="114">
        <v>0</v>
      </c>
      <c r="AZ52" s="114">
        <v>0</v>
      </c>
      <c r="BA52" s="114">
        <v>0</v>
      </c>
      <c r="BB52" s="114">
        <v>0</v>
      </c>
      <c r="BC52" s="114">
        <v>0</v>
      </c>
      <c r="BD52" s="114">
        <v>0</v>
      </c>
      <c r="BE52" s="114">
        <v>0</v>
      </c>
      <c r="BF52" s="114">
        <v>0</v>
      </c>
      <c r="BG52" s="114">
        <v>0</v>
      </c>
      <c r="BH52" s="114">
        <v>0</v>
      </c>
      <c r="BI52" s="114">
        <v>0</v>
      </c>
      <c r="BJ52" s="114">
        <v>0</v>
      </c>
      <c r="BK52" s="114">
        <v>0</v>
      </c>
      <c r="BL52" s="114">
        <v>0</v>
      </c>
      <c r="BM52" s="114">
        <v>0</v>
      </c>
      <c r="BN52" s="114">
        <v>0</v>
      </c>
      <c r="BO52" s="114">
        <v>0</v>
      </c>
      <c r="BP52" s="114">
        <v>0</v>
      </c>
      <c r="BQ52" s="114">
        <v>0</v>
      </c>
      <c r="BR52" s="114">
        <v>0</v>
      </c>
      <c r="BS52" s="114">
        <v>0</v>
      </c>
      <c r="BT52" s="114">
        <v>0</v>
      </c>
      <c r="BU52" s="114">
        <v>0</v>
      </c>
      <c r="BV52" s="114">
        <v>0</v>
      </c>
      <c r="BW52" s="114">
        <v>0</v>
      </c>
      <c r="BX52" s="114">
        <v>0</v>
      </c>
      <c r="BY52" s="114">
        <v>0</v>
      </c>
    </row>
    <row r="53" spans="1:77" x14ac:dyDescent="0.15">
      <c r="A53" s="193" t="s">
        <v>244</v>
      </c>
      <c r="B53" s="114">
        <v>1</v>
      </c>
      <c r="C53" s="114">
        <v>1</v>
      </c>
      <c r="D53" s="114">
        <v>1</v>
      </c>
      <c r="E53" s="114">
        <v>1</v>
      </c>
      <c r="F53" s="114">
        <v>1</v>
      </c>
      <c r="G53" s="114">
        <v>1</v>
      </c>
      <c r="H53" s="114">
        <v>1</v>
      </c>
      <c r="I53" s="114">
        <v>1</v>
      </c>
      <c r="J53" s="114">
        <v>1</v>
      </c>
      <c r="K53" s="114">
        <v>1</v>
      </c>
      <c r="L53" s="114">
        <v>1</v>
      </c>
      <c r="M53" s="114">
        <v>1</v>
      </c>
      <c r="N53" s="114">
        <v>1</v>
      </c>
      <c r="O53" s="114">
        <v>1</v>
      </c>
      <c r="P53" s="114">
        <v>1</v>
      </c>
      <c r="Q53" s="114">
        <v>1</v>
      </c>
      <c r="R53" s="114">
        <v>1</v>
      </c>
      <c r="S53" s="114">
        <v>1</v>
      </c>
      <c r="T53" s="114">
        <v>1</v>
      </c>
      <c r="U53" s="114">
        <v>1</v>
      </c>
      <c r="V53" s="114">
        <v>1</v>
      </c>
      <c r="W53" s="114">
        <v>1</v>
      </c>
      <c r="X53" s="114">
        <v>1</v>
      </c>
      <c r="Y53" s="114">
        <v>1</v>
      </c>
      <c r="Z53" s="114">
        <v>1</v>
      </c>
      <c r="AA53" s="114">
        <v>1</v>
      </c>
      <c r="AB53" s="114">
        <v>1</v>
      </c>
      <c r="AC53" s="114">
        <v>1</v>
      </c>
      <c r="AD53" s="114">
        <v>1</v>
      </c>
      <c r="AE53" s="114">
        <v>1</v>
      </c>
      <c r="AF53" s="114">
        <v>1</v>
      </c>
      <c r="AG53" s="114">
        <v>1</v>
      </c>
      <c r="AH53" s="114">
        <v>1</v>
      </c>
      <c r="AI53" s="114">
        <v>1</v>
      </c>
      <c r="AJ53" s="114">
        <v>1</v>
      </c>
      <c r="AK53" s="114">
        <v>1</v>
      </c>
      <c r="AL53" s="114">
        <v>1</v>
      </c>
      <c r="AM53" s="114">
        <v>1</v>
      </c>
      <c r="AN53" s="114">
        <v>1</v>
      </c>
      <c r="AO53" s="114">
        <v>1</v>
      </c>
      <c r="AP53" s="114">
        <v>1</v>
      </c>
      <c r="AQ53" s="114">
        <v>1</v>
      </c>
      <c r="AR53" s="114">
        <v>1</v>
      </c>
      <c r="AS53" s="114">
        <v>1</v>
      </c>
      <c r="AT53" s="114">
        <v>1</v>
      </c>
      <c r="AU53" s="114">
        <v>1</v>
      </c>
      <c r="AV53" s="114">
        <v>1</v>
      </c>
      <c r="AW53" s="114">
        <v>1</v>
      </c>
      <c r="AX53" s="114">
        <v>1</v>
      </c>
      <c r="AY53" s="114">
        <v>1</v>
      </c>
      <c r="AZ53" s="114">
        <v>1</v>
      </c>
      <c r="BA53" s="114">
        <v>1</v>
      </c>
      <c r="BB53" s="114">
        <v>1</v>
      </c>
      <c r="BC53" s="114">
        <v>1</v>
      </c>
      <c r="BD53" s="114">
        <v>1</v>
      </c>
      <c r="BE53" s="114">
        <v>1</v>
      </c>
      <c r="BF53" s="114">
        <v>0</v>
      </c>
      <c r="BG53" s="114">
        <v>0</v>
      </c>
      <c r="BH53" s="114">
        <v>0</v>
      </c>
      <c r="BI53" s="114">
        <v>1</v>
      </c>
      <c r="BJ53" s="114">
        <v>0</v>
      </c>
      <c r="BK53" s="114">
        <v>0</v>
      </c>
      <c r="BL53" s="114">
        <v>0</v>
      </c>
      <c r="BM53" s="114">
        <v>0</v>
      </c>
      <c r="BN53" s="114">
        <v>1</v>
      </c>
      <c r="BO53" s="114">
        <v>0</v>
      </c>
      <c r="BP53" s="114">
        <v>0</v>
      </c>
      <c r="BQ53" s="114">
        <v>0</v>
      </c>
      <c r="BR53" s="114">
        <v>0</v>
      </c>
      <c r="BS53" s="114">
        <v>0</v>
      </c>
      <c r="BT53" s="114">
        <v>0</v>
      </c>
      <c r="BU53" s="114">
        <v>0</v>
      </c>
      <c r="BV53" s="114">
        <v>0</v>
      </c>
      <c r="BW53" s="114">
        <v>0</v>
      </c>
      <c r="BX53" s="114">
        <v>0</v>
      </c>
      <c r="BY53" s="114">
        <v>0</v>
      </c>
    </row>
    <row r="54" spans="1:77" x14ac:dyDescent="0.15">
      <c r="A54" s="193" t="s">
        <v>245</v>
      </c>
      <c r="B54" s="114">
        <v>0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1</v>
      </c>
      <c r="J54" s="114">
        <v>0</v>
      </c>
      <c r="K54" s="114">
        <v>0</v>
      </c>
      <c r="L54" s="114">
        <v>1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1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0</v>
      </c>
      <c r="AB54" s="114">
        <v>0</v>
      </c>
      <c r="AC54" s="114">
        <v>0</v>
      </c>
      <c r="AD54" s="114">
        <v>0</v>
      </c>
      <c r="AE54" s="114">
        <v>0</v>
      </c>
      <c r="AF54" s="114">
        <v>0</v>
      </c>
      <c r="AG54" s="114">
        <v>0</v>
      </c>
      <c r="AH54" s="114">
        <v>0</v>
      </c>
      <c r="AI54" s="114">
        <v>0</v>
      </c>
      <c r="AJ54" s="114">
        <v>0</v>
      </c>
      <c r="AK54" s="114">
        <v>0</v>
      </c>
      <c r="AL54" s="114">
        <v>0</v>
      </c>
      <c r="AM54" s="114">
        <v>0</v>
      </c>
      <c r="AN54" s="114">
        <v>0</v>
      </c>
      <c r="AO54" s="114">
        <v>0</v>
      </c>
      <c r="AP54" s="114">
        <v>0</v>
      </c>
      <c r="AQ54" s="114">
        <v>0</v>
      </c>
      <c r="AR54" s="114">
        <v>0</v>
      </c>
      <c r="AS54" s="114">
        <v>0</v>
      </c>
      <c r="AT54" s="114">
        <v>0</v>
      </c>
      <c r="AU54" s="114">
        <v>1</v>
      </c>
      <c r="AV54" s="114">
        <v>0</v>
      </c>
      <c r="AW54" s="114">
        <v>0</v>
      </c>
      <c r="AX54" s="114">
        <v>0</v>
      </c>
      <c r="AY54" s="114">
        <v>0</v>
      </c>
      <c r="AZ54" s="114">
        <v>0</v>
      </c>
      <c r="BA54" s="114">
        <v>0</v>
      </c>
      <c r="BB54" s="114">
        <v>1</v>
      </c>
      <c r="BC54" s="114">
        <v>0</v>
      </c>
      <c r="BD54" s="114">
        <v>0</v>
      </c>
      <c r="BE54" s="114">
        <v>0</v>
      </c>
      <c r="BF54" s="114">
        <v>0</v>
      </c>
      <c r="BG54" s="114">
        <v>0</v>
      </c>
      <c r="BH54" s="114">
        <v>0</v>
      </c>
      <c r="BI54" s="114">
        <v>0</v>
      </c>
      <c r="BJ54" s="114">
        <v>0</v>
      </c>
      <c r="BK54" s="114">
        <v>0</v>
      </c>
      <c r="BL54" s="114">
        <v>0</v>
      </c>
      <c r="BM54" s="114">
        <v>0</v>
      </c>
      <c r="BN54" s="114">
        <v>0</v>
      </c>
      <c r="BO54" s="114">
        <v>0</v>
      </c>
      <c r="BP54" s="114">
        <v>0</v>
      </c>
      <c r="BQ54" s="114">
        <v>0</v>
      </c>
      <c r="BR54" s="114">
        <v>0</v>
      </c>
      <c r="BS54" s="114">
        <v>0</v>
      </c>
      <c r="BT54" s="114">
        <v>0</v>
      </c>
      <c r="BU54" s="114">
        <v>0</v>
      </c>
      <c r="BV54" s="114">
        <v>0</v>
      </c>
      <c r="BW54" s="114">
        <v>0</v>
      </c>
      <c r="BX54" s="114">
        <v>0</v>
      </c>
      <c r="BY54" s="114">
        <v>0</v>
      </c>
    </row>
    <row r="55" spans="1:77" x14ac:dyDescent="0.15">
      <c r="A55" s="193" t="s">
        <v>246</v>
      </c>
      <c r="B55" s="114">
        <v>1</v>
      </c>
      <c r="C55" s="114">
        <v>0</v>
      </c>
      <c r="D55" s="114">
        <v>0</v>
      </c>
      <c r="E55" s="114">
        <v>1</v>
      </c>
      <c r="F55" s="114">
        <v>1</v>
      </c>
      <c r="G55" s="114">
        <v>1</v>
      </c>
      <c r="H55" s="114">
        <v>1</v>
      </c>
      <c r="I55" s="114">
        <v>1</v>
      </c>
      <c r="J55" s="114">
        <v>0</v>
      </c>
      <c r="K55" s="114">
        <v>0</v>
      </c>
      <c r="L55" s="114">
        <v>1</v>
      </c>
      <c r="M55" s="114">
        <v>1</v>
      </c>
      <c r="N55" s="114">
        <v>1</v>
      </c>
      <c r="O55" s="114">
        <v>1</v>
      </c>
      <c r="P55" s="114">
        <v>1</v>
      </c>
      <c r="Q55" s="114">
        <v>1</v>
      </c>
      <c r="R55" s="114">
        <v>1</v>
      </c>
      <c r="S55" s="114">
        <v>1</v>
      </c>
      <c r="T55" s="114">
        <v>0</v>
      </c>
      <c r="U55" s="114">
        <v>1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>
        <v>0</v>
      </c>
      <c r="AC55" s="114">
        <v>0</v>
      </c>
      <c r="AD55" s="114">
        <v>0</v>
      </c>
      <c r="AE55" s="114">
        <v>0</v>
      </c>
      <c r="AF55" s="114">
        <v>0</v>
      </c>
      <c r="AG55" s="114">
        <v>0</v>
      </c>
      <c r="AH55" s="114">
        <v>0</v>
      </c>
      <c r="AI55" s="114">
        <v>0</v>
      </c>
      <c r="AJ55" s="114">
        <v>0</v>
      </c>
      <c r="AK55" s="114">
        <v>0</v>
      </c>
      <c r="AL55" s="114">
        <v>0</v>
      </c>
      <c r="AM55" s="114">
        <v>0</v>
      </c>
      <c r="AN55" s="114">
        <v>0</v>
      </c>
      <c r="AO55" s="114">
        <v>0</v>
      </c>
      <c r="AP55" s="114">
        <v>0</v>
      </c>
      <c r="AQ55" s="114">
        <v>0</v>
      </c>
      <c r="AR55" s="114">
        <v>1</v>
      </c>
      <c r="AS55" s="114">
        <v>0</v>
      </c>
      <c r="AT55" s="114">
        <v>0</v>
      </c>
      <c r="AU55" s="114">
        <v>1</v>
      </c>
      <c r="AV55" s="114">
        <v>0</v>
      </c>
      <c r="AW55" s="114">
        <v>0</v>
      </c>
      <c r="AX55" s="114">
        <v>0</v>
      </c>
      <c r="AY55" s="114">
        <v>0</v>
      </c>
      <c r="AZ55" s="114">
        <v>0</v>
      </c>
      <c r="BA55" s="114">
        <v>0</v>
      </c>
      <c r="BB55" s="114">
        <v>0</v>
      </c>
      <c r="BC55" s="114">
        <v>0</v>
      </c>
      <c r="BD55" s="114">
        <v>0</v>
      </c>
      <c r="BE55" s="114">
        <v>0</v>
      </c>
      <c r="BF55" s="114">
        <v>0</v>
      </c>
      <c r="BG55" s="114">
        <v>0</v>
      </c>
      <c r="BH55" s="114">
        <v>0</v>
      </c>
      <c r="BI55" s="114">
        <v>0</v>
      </c>
      <c r="BJ55" s="114">
        <v>0</v>
      </c>
      <c r="BK55" s="114">
        <v>0</v>
      </c>
      <c r="BL55" s="114">
        <v>0</v>
      </c>
      <c r="BM55" s="114">
        <v>0</v>
      </c>
      <c r="BN55" s="114">
        <v>0</v>
      </c>
      <c r="BO55" s="114">
        <v>0</v>
      </c>
      <c r="BP55" s="114">
        <v>0</v>
      </c>
      <c r="BQ55" s="114">
        <v>0</v>
      </c>
      <c r="BR55" s="114">
        <v>0</v>
      </c>
      <c r="BS55" s="114">
        <v>0</v>
      </c>
      <c r="BT55" s="114">
        <v>0</v>
      </c>
      <c r="BU55" s="114">
        <v>0</v>
      </c>
      <c r="BV55" s="114">
        <v>0</v>
      </c>
      <c r="BW55" s="114">
        <v>0</v>
      </c>
      <c r="BX55" s="114">
        <v>0</v>
      </c>
      <c r="BY55" s="114">
        <v>0</v>
      </c>
    </row>
    <row r="56" spans="1:77" x14ac:dyDescent="0.15">
      <c r="A56" s="193" t="s">
        <v>247</v>
      </c>
      <c r="B56" s="114">
        <v>1</v>
      </c>
      <c r="C56" s="114">
        <v>1</v>
      </c>
      <c r="D56" s="114">
        <v>0</v>
      </c>
      <c r="E56" s="114">
        <v>1</v>
      </c>
      <c r="F56" s="114">
        <v>1</v>
      </c>
      <c r="G56" s="114">
        <v>1</v>
      </c>
      <c r="H56" s="114">
        <v>1</v>
      </c>
      <c r="I56" s="114">
        <v>1</v>
      </c>
      <c r="J56" s="114">
        <v>1</v>
      </c>
      <c r="K56" s="114">
        <v>1</v>
      </c>
      <c r="L56" s="114">
        <v>1</v>
      </c>
      <c r="M56" s="114">
        <v>1</v>
      </c>
      <c r="N56" s="114">
        <v>1</v>
      </c>
      <c r="O56" s="114">
        <v>1</v>
      </c>
      <c r="P56" s="114">
        <v>1</v>
      </c>
      <c r="Q56" s="114">
        <v>1</v>
      </c>
      <c r="R56" s="114">
        <v>1</v>
      </c>
      <c r="S56" s="114">
        <v>1</v>
      </c>
      <c r="T56" s="114">
        <v>1</v>
      </c>
      <c r="U56" s="114">
        <v>1</v>
      </c>
      <c r="V56" s="114">
        <v>1</v>
      </c>
      <c r="W56" s="114">
        <v>1</v>
      </c>
      <c r="X56" s="114">
        <v>1</v>
      </c>
      <c r="Y56" s="114">
        <v>1</v>
      </c>
      <c r="Z56" s="114">
        <v>1</v>
      </c>
      <c r="AA56" s="114">
        <v>1</v>
      </c>
      <c r="AB56" s="114">
        <v>1</v>
      </c>
      <c r="AC56" s="114">
        <v>1</v>
      </c>
      <c r="AD56" s="114">
        <v>1</v>
      </c>
      <c r="AE56" s="114">
        <v>1</v>
      </c>
      <c r="AF56" s="114">
        <v>1</v>
      </c>
      <c r="AG56" s="114">
        <v>1</v>
      </c>
      <c r="AH56" s="114">
        <v>1</v>
      </c>
      <c r="AI56" s="114">
        <v>1</v>
      </c>
      <c r="AJ56" s="114">
        <v>1</v>
      </c>
      <c r="AK56" s="114">
        <v>1</v>
      </c>
      <c r="AL56" s="114">
        <v>0</v>
      </c>
      <c r="AM56" s="114">
        <v>1</v>
      </c>
      <c r="AN56" s="114">
        <v>1</v>
      </c>
      <c r="AO56" s="114">
        <v>1</v>
      </c>
      <c r="AP56" s="114">
        <v>0</v>
      </c>
      <c r="AQ56" s="114">
        <v>1</v>
      </c>
      <c r="AR56" s="114">
        <v>1</v>
      </c>
      <c r="AS56" s="114">
        <v>1</v>
      </c>
      <c r="AT56" s="114">
        <v>1</v>
      </c>
      <c r="AU56" s="114">
        <v>1</v>
      </c>
      <c r="AV56" s="114">
        <v>1</v>
      </c>
      <c r="AW56" s="114">
        <v>1</v>
      </c>
      <c r="AX56" s="114">
        <v>1</v>
      </c>
      <c r="AY56" s="114">
        <v>1</v>
      </c>
      <c r="AZ56" s="114">
        <v>1</v>
      </c>
      <c r="BA56" s="114">
        <v>1</v>
      </c>
      <c r="BB56" s="114">
        <v>0</v>
      </c>
      <c r="BC56" s="114">
        <v>0</v>
      </c>
      <c r="BD56" s="114">
        <v>0</v>
      </c>
      <c r="BE56" s="114">
        <v>0</v>
      </c>
      <c r="BF56" s="114">
        <v>0</v>
      </c>
      <c r="BG56" s="114">
        <v>0</v>
      </c>
      <c r="BH56" s="114">
        <v>0</v>
      </c>
      <c r="BI56" s="114">
        <v>1</v>
      </c>
      <c r="BJ56" s="114">
        <v>0</v>
      </c>
      <c r="BK56" s="114">
        <v>0</v>
      </c>
      <c r="BL56" s="114">
        <v>0</v>
      </c>
      <c r="BM56" s="114">
        <v>0</v>
      </c>
      <c r="BN56" s="114">
        <v>1</v>
      </c>
      <c r="BO56" s="114">
        <v>0</v>
      </c>
      <c r="BP56" s="114">
        <v>1</v>
      </c>
      <c r="BQ56" s="114">
        <v>0</v>
      </c>
      <c r="BR56" s="114">
        <v>1</v>
      </c>
      <c r="BS56" s="114">
        <v>0</v>
      </c>
      <c r="BT56" s="114">
        <v>1</v>
      </c>
      <c r="BU56" s="114">
        <v>0</v>
      </c>
      <c r="BV56" s="114">
        <v>0</v>
      </c>
      <c r="BW56" s="114">
        <v>0</v>
      </c>
      <c r="BX56" s="114">
        <v>0</v>
      </c>
      <c r="BY56" s="114">
        <v>0</v>
      </c>
    </row>
    <row r="57" spans="1:77" x14ac:dyDescent="0.15">
      <c r="A57" s="193" t="s">
        <v>248</v>
      </c>
      <c r="B57" s="114">
        <v>1</v>
      </c>
      <c r="C57" s="114">
        <v>1</v>
      </c>
      <c r="D57" s="114">
        <v>0</v>
      </c>
      <c r="E57" s="114">
        <v>1</v>
      </c>
      <c r="F57" s="114">
        <v>1</v>
      </c>
      <c r="G57" s="114">
        <v>1</v>
      </c>
      <c r="H57" s="114">
        <v>1</v>
      </c>
      <c r="I57" s="114">
        <v>1</v>
      </c>
      <c r="J57" s="114">
        <v>0</v>
      </c>
      <c r="K57" s="114">
        <v>1</v>
      </c>
      <c r="L57" s="114">
        <v>1</v>
      </c>
      <c r="M57" s="114">
        <v>1</v>
      </c>
      <c r="N57" s="114">
        <v>1</v>
      </c>
      <c r="O57" s="114">
        <v>1</v>
      </c>
      <c r="P57" s="114">
        <v>1</v>
      </c>
      <c r="Q57" s="114">
        <v>1</v>
      </c>
      <c r="R57" s="114">
        <v>1</v>
      </c>
      <c r="S57" s="114">
        <v>1</v>
      </c>
      <c r="T57" s="114">
        <v>0</v>
      </c>
      <c r="U57" s="114">
        <v>1</v>
      </c>
      <c r="V57" s="114">
        <v>0</v>
      </c>
      <c r="W57" s="114">
        <v>1</v>
      </c>
      <c r="X57" s="114">
        <v>1</v>
      </c>
      <c r="Y57" s="114">
        <v>1</v>
      </c>
      <c r="Z57" s="114">
        <v>1</v>
      </c>
      <c r="AA57" s="114">
        <v>1</v>
      </c>
      <c r="AB57" s="114">
        <v>1</v>
      </c>
      <c r="AC57" s="114">
        <v>1</v>
      </c>
      <c r="AD57" s="114">
        <v>1</v>
      </c>
      <c r="AE57" s="114">
        <v>1</v>
      </c>
      <c r="AF57" s="114">
        <v>1</v>
      </c>
      <c r="AG57" s="114">
        <v>1</v>
      </c>
      <c r="AH57" s="114">
        <v>1</v>
      </c>
      <c r="AI57" s="114">
        <v>1</v>
      </c>
      <c r="AJ57" s="114">
        <v>1</v>
      </c>
      <c r="AK57" s="114">
        <v>1</v>
      </c>
      <c r="AL57" s="114">
        <v>0</v>
      </c>
      <c r="AM57" s="114">
        <v>1</v>
      </c>
      <c r="AN57" s="114">
        <v>1</v>
      </c>
      <c r="AO57" s="114">
        <v>1</v>
      </c>
      <c r="AP57" s="114">
        <v>0</v>
      </c>
      <c r="AQ57" s="114">
        <v>1</v>
      </c>
      <c r="AR57" s="114">
        <v>1</v>
      </c>
      <c r="AS57" s="114">
        <v>1</v>
      </c>
      <c r="AT57" s="114">
        <v>1</v>
      </c>
      <c r="AU57" s="114">
        <v>1</v>
      </c>
      <c r="AV57" s="114">
        <v>0</v>
      </c>
      <c r="AW57" s="114">
        <v>1</v>
      </c>
      <c r="AX57" s="114">
        <v>1</v>
      </c>
      <c r="AY57" s="114">
        <v>1</v>
      </c>
      <c r="AZ57" s="114">
        <v>1</v>
      </c>
      <c r="BA57" s="114">
        <v>0</v>
      </c>
      <c r="BB57" s="114">
        <v>1</v>
      </c>
      <c r="BC57" s="114">
        <v>0</v>
      </c>
      <c r="BD57" s="114">
        <v>0</v>
      </c>
      <c r="BE57" s="114">
        <v>0</v>
      </c>
      <c r="BF57" s="114">
        <v>0</v>
      </c>
      <c r="BG57" s="114">
        <v>0</v>
      </c>
      <c r="BH57" s="114">
        <v>0</v>
      </c>
      <c r="BI57" s="114">
        <v>0</v>
      </c>
      <c r="BJ57" s="114">
        <v>0</v>
      </c>
      <c r="BK57" s="114">
        <v>0</v>
      </c>
      <c r="BL57" s="114">
        <v>0</v>
      </c>
      <c r="BM57" s="114">
        <v>0</v>
      </c>
      <c r="BN57" s="114">
        <v>1</v>
      </c>
      <c r="BO57" s="114">
        <v>0</v>
      </c>
      <c r="BP57" s="114">
        <v>0</v>
      </c>
      <c r="BQ57" s="114">
        <v>0</v>
      </c>
      <c r="BR57" s="114">
        <v>0</v>
      </c>
      <c r="BS57" s="114">
        <v>0</v>
      </c>
      <c r="BT57" s="114">
        <v>0</v>
      </c>
      <c r="BU57" s="114">
        <v>0</v>
      </c>
      <c r="BV57" s="114">
        <v>0</v>
      </c>
      <c r="BW57" s="114">
        <v>0</v>
      </c>
      <c r="BX57" s="114">
        <v>0</v>
      </c>
      <c r="BY57" s="114">
        <v>0</v>
      </c>
    </row>
    <row r="58" spans="1:77" x14ac:dyDescent="0.15">
      <c r="A58" s="193" t="s">
        <v>249</v>
      </c>
      <c r="B58" s="114">
        <v>1</v>
      </c>
      <c r="C58" s="114">
        <v>1</v>
      </c>
      <c r="D58" s="114">
        <v>0</v>
      </c>
      <c r="E58" s="114">
        <v>1</v>
      </c>
      <c r="F58" s="114">
        <v>1</v>
      </c>
      <c r="G58" s="114">
        <v>1</v>
      </c>
      <c r="H58" s="114">
        <v>1</v>
      </c>
      <c r="I58" s="114">
        <v>1</v>
      </c>
      <c r="J58" s="114">
        <v>0</v>
      </c>
      <c r="K58" s="114">
        <v>0</v>
      </c>
      <c r="L58" s="114">
        <v>1</v>
      </c>
      <c r="M58" s="114">
        <v>1</v>
      </c>
      <c r="N58" s="114">
        <v>1</v>
      </c>
      <c r="O58" s="114">
        <v>1</v>
      </c>
      <c r="P58" s="114">
        <v>1</v>
      </c>
      <c r="Q58" s="114">
        <v>1</v>
      </c>
      <c r="R58" s="114">
        <v>1</v>
      </c>
      <c r="S58" s="114">
        <v>0</v>
      </c>
      <c r="T58" s="114">
        <v>0</v>
      </c>
      <c r="U58" s="114">
        <v>1</v>
      </c>
      <c r="V58" s="114">
        <v>0</v>
      </c>
      <c r="W58" s="114">
        <v>1</v>
      </c>
      <c r="X58" s="114">
        <v>1</v>
      </c>
      <c r="Y58" s="114">
        <v>0</v>
      </c>
      <c r="Z58" s="114">
        <v>0</v>
      </c>
      <c r="AA58" s="114">
        <v>0</v>
      </c>
      <c r="AB58" s="114">
        <v>0</v>
      </c>
      <c r="AC58" s="114">
        <v>0</v>
      </c>
      <c r="AD58" s="114">
        <v>0</v>
      </c>
      <c r="AE58" s="114">
        <v>0</v>
      </c>
      <c r="AF58" s="114">
        <v>0</v>
      </c>
      <c r="AG58" s="114">
        <v>0</v>
      </c>
      <c r="AH58" s="114">
        <v>0</v>
      </c>
      <c r="AI58" s="114">
        <v>0</v>
      </c>
      <c r="AJ58" s="114">
        <v>0</v>
      </c>
      <c r="AK58" s="114">
        <v>0</v>
      </c>
      <c r="AL58" s="114">
        <v>0</v>
      </c>
      <c r="AM58" s="114">
        <v>0</v>
      </c>
      <c r="AN58" s="114">
        <v>0</v>
      </c>
      <c r="AO58" s="114">
        <v>0</v>
      </c>
      <c r="AP58" s="114">
        <v>0</v>
      </c>
      <c r="AQ58" s="114">
        <v>0</v>
      </c>
      <c r="AR58" s="114">
        <v>1</v>
      </c>
      <c r="AS58" s="114">
        <v>1</v>
      </c>
      <c r="AT58" s="114">
        <v>1</v>
      </c>
      <c r="AU58" s="114">
        <v>1</v>
      </c>
      <c r="AV58" s="114">
        <v>1</v>
      </c>
      <c r="AW58" s="114">
        <v>1</v>
      </c>
      <c r="AX58" s="114">
        <v>1</v>
      </c>
      <c r="AY58" s="114">
        <v>1</v>
      </c>
      <c r="AZ58" s="114">
        <v>0</v>
      </c>
      <c r="BA58" s="114">
        <v>1</v>
      </c>
      <c r="BB58" s="114">
        <v>0</v>
      </c>
      <c r="BC58" s="114">
        <v>1</v>
      </c>
      <c r="BD58" s="114">
        <v>0</v>
      </c>
      <c r="BE58" s="114">
        <v>0</v>
      </c>
      <c r="BF58" s="114">
        <v>1</v>
      </c>
      <c r="BG58" s="114">
        <v>0</v>
      </c>
      <c r="BH58" s="114">
        <v>0</v>
      </c>
      <c r="BI58" s="114">
        <v>1</v>
      </c>
      <c r="BJ58" s="114">
        <v>0</v>
      </c>
      <c r="BK58" s="114">
        <v>0</v>
      </c>
      <c r="BL58" s="114">
        <v>0</v>
      </c>
      <c r="BM58" s="114">
        <v>0</v>
      </c>
      <c r="BN58" s="114">
        <v>0</v>
      </c>
      <c r="BO58" s="114">
        <v>0</v>
      </c>
      <c r="BP58" s="114">
        <v>0</v>
      </c>
      <c r="BQ58" s="114">
        <v>0</v>
      </c>
      <c r="BR58" s="114">
        <v>0</v>
      </c>
      <c r="BS58" s="114">
        <v>0</v>
      </c>
      <c r="BT58" s="114">
        <v>0</v>
      </c>
      <c r="BU58" s="114">
        <v>0</v>
      </c>
      <c r="BV58" s="114">
        <v>0</v>
      </c>
      <c r="BW58" s="114">
        <v>0</v>
      </c>
      <c r="BX58" s="114">
        <v>0</v>
      </c>
      <c r="BY58" s="114">
        <v>0</v>
      </c>
    </row>
    <row r="59" spans="1:77" x14ac:dyDescent="0.15">
      <c r="A59" s="193" t="s">
        <v>250</v>
      </c>
      <c r="B59" s="114">
        <v>0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1</v>
      </c>
      <c r="I59" s="114">
        <v>1</v>
      </c>
      <c r="J59" s="114">
        <v>0</v>
      </c>
      <c r="K59" s="114">
        <v>0</v>
      </c>
      <c r="L59" s="114">
        <v>1</v>
      </c>
      <c r="M59" s="114">
        <v>0</v>
      </c>
      <c r="N59" s="114">
        <v>1</v>
      </c>
      <c r="O59" s="114">
        <v>1</v>
      </c>
      <c r="P59" s="114">
        <v>0</v>
      </c>
      <c r="Q59" s="114">
        <v>1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>
        <v>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</v>
      </c>
      <c r="AI59" s="114">
        <v>0</v>
      </c>
      <c r="AJ59" s="114">
        <v>0</v>
      </c>
      <c r="AK59" s="114">
        <v>0</v>
      </c>
      <c r="AL59" s="114">
        <v>0</v>
      </c>
      <c r="AM59" s="114">
        <v>0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1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</v>
      </c>
      <c r="BE59" s="114">
        <v>0</v>
      </c>
      <c r="BF59" s="114">
        <v>0</v>
      </c>
      <c r="BG59" s="114">
        <v>0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</row>
    <row r="60" spans="1:77" x14ac:dyDescent="0.15">
      <c r="A60" s="193" t="s">
        <v>251</v>
      </c>
      <c r="B60" s="114">
        <v>1</v>
      </c>
      <c r="C60" s="114">
        <v>1</v>
      </c>
      <c r="D60" s="114">
        <v>1</v>
      </c>
      <c r="E60" s="114">
        <v>1</v>
      </c>
      <c r="F60" s="114">
        <v>1</v>
      </c>
      <c r="G60" s="114">
        <v>1</v>
      </c>
      <c r="H60" s="114">
        <v>1</v>
      </c>
      <c r="I60" s="114">
        <v>1</v>
      </c>
      <c r="J60" s="114">
        <v>0</v>
      </c>
      <c r="K60" s="114">
        <v>0</v>
      </c>
      <c r="L60" s="114">
        <v>1</v>
      </c>
      <c r="M60" s="114">
        <v>1</v>
      </c>
      <c r="N60" s="114">
        <v>1</v>
      </c>
      <c r="O60" s="114">
        <v>1</v>
      </c>
      <c r="P60" s="114">
        <v>1</v>
      </c>
      <c r="Q60" s="114">
        <v>1</v>
      </c>
      <c r="R60" s="114">
        <v>1</v>
      </c>
      <c r="S60" s="114">
        <v>0</v>
      </c>
      <c r="T60" s="114">
        <v>1</v>
      </c>
      <c r="U60" s="114">
        <v>0</v>
      </c>
      <c r="V60" s="114">
        <v>0</v>
      </c>
      <c r="W60" s="114">
        <v>0</v>
      </c>
      <c r="X60" s="114">
        <v>1</v>
      </c>
      <c r="Y60" s="114">
        <v>0</v>
      </c>
      <c r="Z60" s="114">
        <v>0</v>
      </c>
      <c r="AA60" s="114">
        <v>0</v>
      </c>
      <c r="AB60" s="114">
        <v>0</v>
      </c>
      <c r="AC60" s="114">
        <v>0</v>
      </c>
      <c r="AD60" s="114">
        <v>0</v>
      </c>
      <c r="AE60" s="114">
        <v>0</v>
      </c>
      <c r="AF60" s="114">
        <v>0</v>
      </c>
      <c r="AG60" s="114">
        <v>0</v>
      </c>
      <c r="AH60" s="114">
        <v>0</v>
      </c>
      <c r="AI60" s="114">
        <v>0</v>
      </c>
      <c r="AJ60" s="114">
        <v>0</v>
      </c>
      <c r="AK60" s="114">
        <v>0</v>
      </c>
      <c r="AL60" s="114">
        <v>0</v>
      </c>
      <c r="AM60" s="114">
        <v>0</v>
      </c>
      <c r="AN60" s="114">
        <v>1</v>
      </c>
      <c r="AO60" s="114">
        <v>1</v>
      </c>
      <c r="AP60" s="114">
        <v>0</v>
      </c>
      <c r="AQ60" s="114">
        <v>0</v>
      </c>
      <c r="AR60" s="114">
        <v>0</v>
      </c>
      <c r="AS60" s="114">
        <v>0</v>
      </c>
      <c r="AT60" s="114">
        <v>0</v>
      </c>
      <c r="AU60" s="114">
        <v>1</v>
      </c>
      <c r="AV60" s="114">
        <v>1</v>
      </c>
      <c r="AW60" s="114">
        <v>1</v>
      </c>
      <c r="AX60" s="114">
        <v>1</v>
      </c>
      <c r="AY60" s="114">
        <v>1</v>
      </c>
      <c r="AZ60" s="114">
        <v>0</v>
      </c>
      <c r="BA60" s="114">
        <v>0</v>
      </c>
      <c r="BB60" s="114">
        <v>1</v>
      </c>
      <c r="BC60" s="114">
        <v>0</v>
      </c>
      <c r="BD60" s="114">
        <v>0</v>
      </c>
      <c r="BE60" s="114">
        <v>0</v>
      </c>
      <c r="BF60" s="114">
        <v>0</v>
      </c>
      <c r="BG60" s="114">
        <v>1</v>
      </c>
      <c r="BH60" s="114">
        <v>1</v>
      </c>
      <c r="BI60" s="114">
        <v>1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</v>
      </c>
    </row>
    <row r="61" spans="1:77" x14ac:dyDescent="0.15">
      <c r="A61" s="193" t="s">
        <v>252</v>
      </c>
      <c r="B61" s="114">
        <v>1</v>
      </c>
      <c r="C61" s="114">
        <v>1</v>
      </c>
      <c r="D61" s="114">
        <v>1</v>
      </c>
      <c r="E61" s="114">
        <v>1</v>
      </c>
      <c r="F61" s="114">
        <v>1</v>
      </c>
      <c r="G61" s="114">
        <v>1</v>
      </c>
      <c r="H61" s="114">
        <v>1</v>
      </c>
      <c r="I61" s="114">
        <v>1</v>
      </c>
      <c r="J61" s="114">
        <v>1</v>
      </c>
      <c r="K61" s="114">
        <v>1</v>
      </c>
      <c r="L61" s="114">
        <v>1</v>
      </c>
      <c r="M61" s="114">
        <v>1</v>
      </c>
      <c r="N61" s="114">
        <v>1</v>
      </c>
      <c r="O61" s="114">
        <v>1</v>
      </c>
      <c r="P61" s="114">
        <v>1</v>
      </c>
      <c r="Q61" s="114">
        <v>1</v>
      </c>
      <c r="R61" s="114">
        <v>1</v>
      </c>
      <c r="S61" s="114">
        <v>1</v>
      </c>
      <c r="T61" s="114">
        <v>1</v>
      </c>
      <c r="U61" s="114">
        <v>1</v>
      </c>
      <c r="V61" s="114">
        <v>1</v>
      </c>
      <c r="W61" s="114">
        <v>1</v>
      </c>
      <c r="X61" s="114">
        <v>1</v>
      </c>
      <c r="Y61" s="114">
        <v>1</v>
      </c>
      <c r="Z61" s="114">
        <v>1</v>
      </c>
      <c r="AA61" s="114">
        <v>1</v>
      </c>
      <c r="AB61" s="114">
        <v>1</v>
      </c>
      <c r="AC61" s="114">
        <v>1</v>
      </c>
      <c r="AD61" s="114">
        <v>1</v>
      </c>
      <c r="AE61" s="114">
        <v>1</v>
      </c>
      <c r="AF61" s="114">
        <v>1</v>
      </c>
      <c r="AG61" s="114">
        <v>1</v>
      </c>
      <c r="AH61" s="114">
        <v>1</v>
      </c>
      <c r="AI61" s="114">
        <v>1</v>
      </c>
      <c r="AJ61" s="114">
        <v>1</v>
      </c>
      <c r="AK61" s="114">
        <v>1</v>
      </c>
      <c r="AL61" s="114">
        <v>1</v>
      </c>
      <c r="AM61" s="114">
        <v>1</v>
      </c>
      <c r="AN61" s="114">
        <v>1</v>
      </c>
      <c r="AO61" s="114">
        <v>1</v>
      </c>
      <c r="AP61" s="114">
        <v>1</v>
      </c>
      <c r="AQ61" s="114">
        <v>1</v>
      </c>
      <c r="AR61" s="114">
        <v>1</v>
      </c>
      <c r="AS61" s="114">
        <v>1</v>
      </c>
      <c r="AT61" s="114">
        <v>1</v>
      </c>
      <c r="AU61" s="114">
        <v>1</v>
      </c>
      <c r="AV61" s="114">
        <v>1</v>
      </c>
      <c r="AW61" s="114">
        <v>1</v>
      </c>
      <c r="AX61" s="114">
        <v>1</v>
      </c>
      <c r="AY61" s="114">
        <v>1</v>
      </c>
      <c r="AZ61" s="114">
        <v>0</v>
      </c>
      <c r="BA61" s="114">
        <v>1</v>
      </c>
      <c r="BB61" s="114">
        <v>1</v>
      </c>
      <c r="BC61" s="114">
        <v>0</v>
      </c>
      <c r="BD61" s="114">
        <v>1</v>
      </c>
      <c r="BE61" s="114">
        <v>0</v>
      </c>
      <c r="BF61" s="114">
        <v>1</v>
      </c>
      <c r="BG61" s="114">
        <v>0</v>
      </c>
      <c r="BH61" s="114">
        <v>0</v>
      </c>
      <c r="BI61" s="114">
        <v>1</v>
      </c>
      <c r="BJ61" s="114">
        <v>0</v>
      </c>
      <c r="BK61" s="114">
        <v>1</v>
      </c>
      <c r="BL61" s="114">
        <v>0</v>
      </c>
      <c r="BM61" s="114">
        <v>0</v>
      </c>
      <c r="BN61" s="114">
        <v>1</v>
      </c>
      <c r="BO61" s="114">
        <v>0</v>
      </c>
      <c r="BP61" s="114">
        <v>1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</row>
    <row r="62" spans="1:77" x14ac:dyDescent="0.15">
      <c r="A62" s="193" t="s">
        <v>253</v>
      </c>
      <c r="B62" s="114">
        <v>1</v>
      </c>
      <c r="C62" s="114">
        <v>1</v>
      </c>
      <c r="D62" s="114">
        <v>1</v>
      </c>
      <c r="E62" s="114">
        <v>1</v>
      </c>
      <c r="F62" s="114">
        <v>1</v>
      </c>
      <c r="G62" s="114">
        <v>1</v>
      </c>
      <c r="H62" s="114">
        <v>1</v>
      </c>
      <c r="I62" s="114">
        <v>1</v>
      </c>
      <c r="J62" s="114">
        <v>1</v>
      </c>
      <c r="K62" s="114">
        <v>1</v>
      </c>
      <c r="L62" s="114">
        <v>1</v>
      </c>
      <c r="M62" s="114">
        <v>1</v>
      </c>
      <c r="N62" s="114">
        <v>1</v>
      </c>
      <c r="O62" s="114">
        <v>1</v>
      </c>
      <c r="P62" s="114">
        <v>1</v>
      </c>
      <c r="Q62" s="114">
        <v>1</v>
      </c>
      <c r="R62" s="114">
        <v>1</v>
      </c>
      <c r="S62" s="114">
        <v>1</v>
      </c>
      <c r="T62" s="114">
        <v>1</v>
      </c>
      <c r="U62" s="114">
        <v>1</v>
      </c>
      <c r="V62" s="114">
        <v>1</v>
      </c>
      <c r="W62" s="114">
        <v>1</v>
      </c>
      <c r="X62" s="114">
        <v>1</v>
      </c>
      <c r="Y62" s="114">
        <v>1</v>
      </c>
      <c r="Z62" s="114">
        <v>1</v>
      </c>
      <c r="AA62" s="114">
        <v>1</v>
      </c>
      <c r="AB62" s="114">
        <v>1</v>
      </c>
      <c r="AC62" s="114">
        <v>1</v>
      </c>
      <c r="AD62" s="114">
        <v>1</v>
      </c>
      <c r="AE62" s="114">
        <v>0</v>
      </c>
      <c r="AF62" s="114">
        <v>0</v>
      </c>
      <c r="AG62" s="114">
        <v>0</v>
      </c>
      <c r="AH62" s="114">
        <v>1</v>
      </c>
      <c r="AI62" s="114">
        <v>1</v>
      </c>
      <c r="AJ62" s="114">
        <v>0</v>
      </c>
      <c r="AK62" s="114">
        <v>0</v>
      </c>
      <c r="AL62" s="114">
        <v>1</v>
      </c>
      <c r="AM62" s="114">
        <v>1</v>
      </c>
      <c r="AN62" s="114">
        <v>1</v>
      </c>
      <c r="AO62" s="114">
        <v>1</v>
      </c>
      <c r="AP62" s="114">
        <v>0</v>
      </c>
      <c r="AQ62" s="114">
        <v>1</v>
      </c>
      <c r="AR62" s="114">
        <v>1</v>
      </c>
      <c r="AS62" s="114">
        <v>1</v>
      </c>
      <c r="AT62" s="114">
        <v>1</v>
      </c>
      <c r="AU62" s="114">
        <v>1</v>
      </c>
      <c r="AV62" s="114">
        <v>1</v>
      </c>
      <c r="AW62" s="114">
        <v>1</v>
      </c>
      <c r="AX62" s="114">
        <v>1</v>
      </c>
      <c r="AY62" s="114">
        <v>1</v>
      </c>
      <c r="AZ62" s="114">
        <v>1</v>
      </c>
      <c r="BA62" s="114">
        <v>1</v>
      </c>
      <c r="BB62" s="114">
        <v>0</v>
      </c>
      <c r="BC62" s="114">
        <v>0</v>
      </c>
      <c r="BD62" s="114">
        <v>0</v>
      </c>
      <c r="BE62" s="114">
        <v>0</v>
      </c>
      <c r="BF62" s="114">
        <v>0</v>
      </c>
      <c r="BG62" s="114">
        <v>0</v>
      </c>
      <c r="BH62" s="114">
        <v>0</v>
      </c>
      <c r="BI62" s="114">
        <v>1</v>
      </c>
      <c r="BJ62" s="114">
        <v>0</v>
      </c>
      <c r="BK62" s="114">
        <v>1</v>
      </c>
      <c r="BL62" s="114">
        <v>0</v>
      </c>
      <c r="BM62" s="114">
        <v>0</v>
      </c>
      <c r="BN62" s="114">
        <v>0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</v>
      </c>
    </row>
    <row r="63" spans="1:77" x14ac:dyDescent="0.15">
      <c r="A63" s="193" t="s">
        <v>254</v>
      </c>
      <c r="B63" s="114">
        <v>1</v>
      </c>
      <c r="C63" s="114">
        <v>1</v>
      </c>
      <c r="D63" s="114">
        <v>1</v>
      </c>
      <c r="E63" s="114">
        <v>1</v>
      </c>
      <c r="F63" s="114">
        <v>1</v>
      </c>
      <c r="G63" s="114">
        <v>1</v>
      </c>
      <c r="H63" s="114">
        <v>1</v>
      </c>
      <c r="I63" s="114">
        <v>1</v>
      </c>
      <c r="J63" s="114">
        <v>1</v>
      </c>
      <c r="K63" s="114">
        <v>1</v>
      </c>
      <c r="L63" s="114">
        <v>1</v>
      </c>
      <c r="M63" s="114">
        <v>1</v>
      </c>
      <c r="N63" s="114">
        <v>1</v>
      </c>
      <c r="O63" s="114">
        <v>1</v>
      </c>
      <c r="P63" s="114">
        <v>1</v>
      </c>
      <c r="Q63" s="114">
        <v>1</v>
      </c>
      <c r="R63" s="114">
        <v>1</v>
      </c>
      <c r="S63" s="114">
        <v>1</v>
      </c>
      <c r="T63" s="114">
        <v>1</v>
      </c>
      <c r="U63" s="114">
        <v>1</v>
      </c>
      <c r="V63" s="114">
        <v>1</v>
      </c>
      <c r="W63" s="114">
        <v>1</v>
      </c>
      <c r="X63" s="114">
        <v>1</v>
      </c>
      <c r="Y63" s="114">
        <v>1</v>
      </c>
      <c r="Z63" s="114">
        <v>1</v>
      </c>
      <c r="AA63" s="114">
        <v>0</v>
      </c>
      <c r="AB63" s="114">
        <v>1</v>
      </c>
      <c r="AC63" s="114">
        <v>1</v>
      </c>
      <c r="AD63" s="114">
        <v>0</v>
      </c>
      <c r="AE63" s="114">
        <v>1</v>
      </c>
      <c r="AF63" s="114">
        <v>1</v>
      </c>
      <c r="AG63" s="114">
        <v>1</v>
      </c>
      <c r="AH63" s="114">
        <v>1</v>
      </c>
      <c r="AI63" s="114">
        <v>1</v>
      </c>
      <c r="AJ63" s="114">
        <v>0</v>
      </c>
      <c r="AK63" s="114">
        <v>1</v>
      </c>
      <c r="AL63" s="114">
        <v>1</v>
      </c>
      <c r="AM63" s="114">
        <v>1</v>
      </c>
      <c r="AN63" s="114">
        <v>1</v>
      </c>
      <c r="AO63" s="114">
        <v>1</v>
      </c>
      <c r="AP63" s="114">
        <v>0</v>
      </c>
      <c r="AQ63" s="114">
        <v>1</v>
      </c>
      <c r="AR63" s="114">
        <v>1</v>
      </c>
      <c r="AS63" s="114">
        <v>1</v>
      </c>
      <c r="AT63" s="114">
        <v>1</v>
      </c>
      <c r="AU63" s="114">
        <v>1</v>
      </c>
      <c r="AV63" s="114">
        <v>1</v>
      </c>
      <c r="AW63" s="114">
        <v>1</v>
      </c>
      <c r="AX63" s="114">
        <v>1</v>
      </c>
      <c r="AY63" s="114">
        <v>1</v>
      </c>
      <c r="AZ63" s="114">
        <v>1</v>
      </c>
      <c r="BA63" s="114">
        <v>1</v>
      </c>
      <c r="BB63" s="114">
        <v>0</v>
      </c>
      <c r="BC63" s="114">
        <v>0</v>
      </c>
      <c r="BD63" s="114">
        <v>1</v>
      </c>
      <c r="BE63" s="114">
        <v>0</v>
      </c>
      <c r="BF63" s="114">
        <v>1</v>
      </c>
      <c r="BG63" s="114">
        <v>0</v>
      </c>
      <c r="BH63" s="114">
        <v>0</v>
      </c>
      <c r="BI63" s="114">
        <v>1</v>
      </c>
      <c r="BJ63" s="114">
        <v>0</v>
      </c>
      <c r="BK63" s="114">
        <v>1</v>
      </c>
      <c r="BL63" s="114">
        <v>0</v>
      </c>
      <c r="BM63" s="114">
        <v>0</v>
      </c>
      <c r="BN63" s="114">
        <v>1</v>
      </c>
      <c r="BO63" s="114">
        <v>0</v>
      </c>
      <c r="BP63" s="114">
        <v>1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</row>
    <row r="64" spans="1:77" x14ac:dyDescent="0.15">
      <c r="A64" s="193" t="s">
        <v>255</v>
      </c>
      <c r="B64" s="114">
        <v>1</v>
      </c>
      <c r="C64" s="114">
        <v>1</v>
      </c>
      <c r="D64" s="114">
        <v>1</v>
      </c>
      <c r="E64" s="114">
        <v>1</v>
      </c>
      <c r="F64" s="114">
        <v>1</v>
      </c>
      <c r="G64" s="114">
        <v>1</v>
      </c>
      <c r="H64" s="114">
        <v>1</v>
      </c>
      <c r="I64" s="114">
        <v>1</v>
      </c>
      <c r="J64" s="114">
        <v>1</v>
      </c>
      <c r="K64" s="114">
        <v>1</v>
      </c>
      <c r="L64" s="114">
        <v>1</v>
      </c>
      <c r="M64" s="114">
        <v>1</v>
      </c>
      <c r="N64" s="114">
        <v>1</v>
      </c>
      <c r="O64" s="114">
        <v>1</v>
      </c>
      <c r="P64" s="114">
        <v>0</v>
      </c>
      <c r="Q64" s="114">
        <v>1</v>
      </c>
      <c r="R64" s="114">
        <v>1</v>
      </c>
      <c r="S64" s="114">
        <v>1</v>
      </c>
      <c r="T64" s="114">
        <v>1</v>
      </c>
      <c r="U64" s="114">
        <v>1</v>
      </c>
      <c r="V64" s="114">
        <v>1</v>
      </c>
      <c r="W64" s="114">
        <v>1</v>
      </c>
      <c r="X64" s="114">
        <v>1</v>
      </c>
      <c r="Y64" s="114">
        <v>0</v>
      </c>
      <c r="Z64" s="114">
        <v>0</v>
      </c>
      <c r="AA64" s="114">
        <v>1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1</v>
      </c>
      <c r="AH64" s="114">
        <v>0</v>
      </c>
      <c r="AI64" s="114">
        <v>0</v>
      </c>
      <c r="AJ64" s="114">
        <v>0</v>
      </c>
      <c r="AK64" s="114">
        <v>1</v>
      </c>
      <c r="AL64" s="114">
        <v>0</v>
      </c>
      <c r="AM64" s="114">
        <v>0</v>
      </c>
      <c r="AN64" s="114">
        <v>0</v>
      </c>
      <c r="AO64" s="114">
        <v>0</v>
      </c>
      <c r="AP64" s="114">
        <v>0</v>
      </c>
      <c r="AQ64" s="114">
        <v>1</v>
      </c>
      <c r="AR64" s="114">
        <v>1</v>
      </c>
      <c r="AS64" s="114">
        <v>1</v>
      </c>
      <c r="AT64" s="114">
        <v>1</v>
      </c>
      <c r="AU64" s="114">
        <v>1</v>
      </c>
      <c r="AV64" s="114">
        <v>1</v>
      </c>
      <c r="AW64" s="114">
        <v>1</v>
      </c>
      <c r="AX64" s="114">
        <v>0</v>
      </c>
      <c r="AY64" s="114">
        <v>1</v>
      </c>
      <c r="AZ64" s="114">
        <v>1</v>
      </c>
      <c r="BA64" s="114">
        <v>0</v>
      </c>
      <c r="BB64" s="114">
        <v>0</v>
      </c>
      <c r="BC64" s="114">
        <v>0</v>
      </c>
      <c r="BD64" s="114">
        <v>0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</v>
      </c>
      <c r="BO64" s="114">
        <v>0</v>
      </c>
      <c r="BP64" s="114">
        <v>1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</row>
    <row r="65" spans="1:77" x14ac:dyDescent="0.15">
      <c r="A65" s="193" t="s">
        <v>256</v>
      </c>
      <c r="B65" s="114">
        <v>1</v>
      </c>
      <c r="C65" s="114">
        <v>1</v>
      </c>
      <c r="D65" s="114">
        <v>1</v>
      </c>
      <c r="E65" s="114">
        <v>1</v>
      </c>
      <c r="F65" s="114">
        <v>1</v>
      </c>
      <c r="G65" s="114">
        <v>1</v>
      </c>
      <c r="H65" s="114">
        <v>1</v>
      </c>
      <c r="I65" s="114">
        <v>1</v>
      </c>
      <c r="J65" s="114">
        <v>1</v>
      </c>
      <c r="K65" s="114">
        <v>1</v>
      </c>
      <c r="L65" s="114">
        <v>1</v>
      </c>
      <c r="M65" s="114">
        <v>1</v>
      </c>
      <c r="N65" s="114">
        <v>1</v>
      </c>
      <c r="O65" s="114">
        <v>1</v>
      </c>
      <c r="P65" s="114">
        <v>1</v>
      </c>
      <c r="Q65" s="114">
        <v>1</v>
      </c>
      <c r="R65" s="114">
        <v>1</v>
      </c>
      <c r="S65" s="114">
        <v>1</v>
      </c>
      <c r="T65" s="114">
        <v>1</v>
      </c>
      <c r="U65" s="114">
        <v>1</v>
      </c>
      <c r="V65" s="114">
        <v>1</v>
      </c>
      <c r="W65" s="114">
        <v>1</v>
      </c>
      <c r="X65" s="114">
        <v>1</v>
      </c>
      <c r="Y65" s="114">
        <v>0</v>
      </c>
      <c r="Z65" s="114">
        <v>0</v>
      </c>
      <c r="AA65" s="114">
        <v>0</v>
      </c>
      <c r="AB65" s="114">
        <v>0</v>
      </c>
      <c r="AC65" s="114">
        <v>0</v>
      </c>
      <c r="AD65" s="114">
        <v>0</v>
      </c>
      <c r="AE65" s="114">
        <v>0</v>
      </c>
      <c r="AF65" s="114">
        <v>0</v>
      </c>
      <c r="AG65" s="114">
        <v>0</v>
      </c>
      <c r="AH65" s="114">
        <v>0</v>
      </c>
      <c r="AI65" s="114">
        <v>0</v>
      </c>
      <c r="AJ65" s="114">
        <v>0</v>
      </c>
      <c r="AK65" s="114">
        <v>0</v>
      </c>
      <c r="AL65" s="114">
        <v>1</v>
      </c>
      <c r="AM65" s="114">
        <v>0</v>
      </c>
      <c r="AN65" s="114">
        <v>1</v>
      </c>
      <c r="AO65" s="114">
        <v>1</v>
      </c>
      <c r="AP65" s="114">
        <v>0</v>
      </c>
      <c r="AQ65" s="114">
        <v>1</v>
      </c>
      <c r="AR65" s="114">
        <v>1</v>
      </c>
      <c r="AS65" s="114">
        <v>0</v>
      </c>
      <c r="AT65" s="114">
        <v>0</v>
      </c>
      <c r="AU65" s="114">
        <v>1</v>
      </c>
      <c r="AV65" s="114">
        <v>1</v>
      </c>
      <c r="AW65" s="114">
        <v>0</v>
      </c>
      <c r="AX65" s="114">
        <v>0</v>
      </c>
      <c r="AY65" s="114">
        <v>1</v>
      </c>
      <c r="AZ65" s="114">
        <v>0</v>
      </c>
      <c r="BA65" s="114">
        <v>0</v>
      </c>
      <c r="BB65" s="114">
        <v>1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</row>
    <row r="66" spans="1:77" x14ac:dyDescent="0.15">
      <c r="A66" s="193" t="s">
        <v>257</v>
      </c>
      <c r="B66" s="114">
        <v>1</v>
      </c>
      <c r="C66" s="114">
        <v>1</v>
      </c>
      <c r="D66" s="114">
        <v>1</v>
      </c>
      <c r="E66" s="114">
        <v>1</v>
      </c>
      <c r="F66" s="114">
        <v>1</v>
      </c>
      <c r="G66" s="114">
        <v>1</v>
      </c>
      <c r="H66" s="114">
        <v>1</v>
      </c>
      <c r="I66" s="114">
        <v>1</v>
      </c>
      <c r="J66" s="114">
        <v>1</v>
      </c>
      <c r="K66" s="114">
        <v>1</v>
      </c>
      <c r="L66" s="114">
        <v>1</v>
      </c>
      <c r="M66" s="114">
        <v>1</v>
      </c>
      <c r="N66" s="114">
        <v>1</v>
      </c>
      <c r="O66" s="114">
        <v>1</v>
      </c>
      <c r="P66" s="114">
        <v>1</v>
      </c>
      <c r="Q66" s="114">
        <v>1</v>
      </c>
      <c r="R66" s="114">
        <v>1</v>
      </c>
      <c r="S66" s="114">
        <v>1</v>
      </c>
      <c r="T66" s="114">
        <v>1</v>
      </c>
      <c r="U66" s="114">
        <v>1</v>
      </c>
      <c r="V66" s="114">
        <v>1</v>
      </c>
      <c r="W66" s="114">
        <v>1</v>
      </c>
      <c r="X66" s="114">
        <v>1</v>
      </c>
      <c r="Y66" s="114">
        <v>1</v>
      </c>
      <c r="Z66" s="114">
        <v>1</v>
      </c>
      <c r="AA66" s="114">
        <v>1</v>
      </c>
      <c r="AB66" s="114">
        <v>1</v>
      </c>
      <c r="AC66" s="114">
        <v>1</v>
      </c>
      <c r="AD66" s="114">
        <v>1</v>
      </c>
      <c r="AE66" s="114">
        <v>1</v>
      </c>
      <c r="AF66" s="114">
        <v>1</v>
      </c>
      <c r="AG66" s="114">
        <v>1</v>
      </c>
      <c r="AH66" s="114">
        <v>1</v>
      </c>
      <c r="AI66" s="114">
        <v>1</v>
      </c>
      <c r="AJ66" s="114">
        <v>1</v>
      </c>
      <c r="AK66" s="114">
        <v>1</v>
      </c>
      <c r="AL66" s="114">
        <v>1</v>
      </c>
      <c r="AM66" s="114">
        <v>1</v>
      </c>
      <c r="AN66" s="114">
        <v>1</v>
      </c>
      <c r="AO66" s="114">
        <v>1</v>
      </c>
      <c r="AP66" s="114">
        <v>1</v>
      </c>
      <c r="AQ66" s="114">
        <v>1</v>
      </c>
      <c r="AR66" s="114">
        <v>1</v>
      </c>
      <c r="AS66" s="114">
        <v>1</v>
      </c>
      <c r="AT66" s="114">
        <v>1</v>
      </c>
      <c r="AU66" s="114">
        <v>1</v>
      </c>
      <c r="AV66" s="114">
        <v>1</v>
      </c>
      <c r="AW66" s="114">
        <v>1</v>
      </c>
      <c r="AX66" s="114">
        <v>1</v>
      </c>
      <c r="AY66" s="114">
        <v>1</v>
      </c>
      <c r="AZ66" s="114">
        <v>1</v>
      </c>
      <c r="BA66" s="114">
        <v>1</v>
      </c>
      <c r="BB66" s="114">
        <v>1</v>
      </c>
      <c r="BC66" s="114">
        <v>1</v>
      </c>
      <c r="BD66" s="114">
        <v>1</v>
      </c>
      <c r="BE66" s="114">
        <v>0</v>
      </c>
      <c r="BF66" s="114">
        <v>1</v>
      </c>
      <c r="BG66" s="114">
        <v>1</v>
      </c>
      <c r="BH66" s="114">
        <v>1</v>
      </c>
      <c r="BI66" s="114">
        <v>1</v>
      </c>
      <c r="BJ66" s="114">
        <v>0</v>
      </c>
      <c r="BK66" s="114">
        <v>0</v>
      </c>
      <c r="BL66" s="114">
        <v>0</v>
      </c>
      <c r="BM66" s="114">
        <v>0</v>
      </c>
      <c r="BN66" s="114">
        <v>1</v>
      </c>
      <c r="BO66" s="114">
        <v>0</v>
      </c>
      <c r="BP66" s="114">
        <v>1</v>
      </c>
      <c r="BQ66" s="114">
        <v>0</v>
      </c>
      <c r="BR66" s="114">
        <v>1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</row>
    <row r="67" spans="1:77" x14ac:dyDescent="0.15">
      <c r="A67" s="193" t="s">
        <v>258</v>
      </c>
      <c r="B67" s="114">
        <v>1</v>
      </c>
      <c r="C67" s="114">
        <v>1</v>
      </c>
      <c r="D67" s="114">
        <v>1</v>
      </c>
      <c r="E67" s="114">
        <v>1</v>
      </c>
      <c r="F67" s="114">
        <v>1</v>
      </c>
      <c r="G67" s="114">
        <v>1</v>
      </c>
      <c r="H67" s="114">
        <v>1</v>
      </c>
      <c r="I67" s="114">
        <v>1</v>
      </c>
      <c r="J67" s="114">
        <v>1</v>
      </c>
      <c r="K67" s="114">
        <v>1</v>
      </c>
      <c r="L67" s="114">
        <v>1</v>
      </c>
      <c r="M67" s="114">
        <v>1</v>
      </c>
      <c r="N67" s="114">
        <v>1</v>
      </c>
      <c r="O67" s="114">
        <v>1</v>
      </c>
      <c r="P67" s="114">
        <v>1</v>
      </c>
      <c r="Q67" s="114">
        <v>1</v>
      </c>
      <c r="R67" s="114">
        <v>1</v>
      </c>
      <c r="S67" s="114">
        <v>1</v>
      </c>
      <c r="T67" s="114">
        <v>1</v>
      </c>
      <c r="U67" s="114">
        <v>1</v>
      </c>
      <c r="V67" s="114">
        <v>1</v>
      </c>
      <c r="W67" s="114">
        <v>1</v>
      </c>
      <c r="X67" s="114">
        <v>1</v>
      </c>
      <c r="Y67" s="114">
        <v>1</v>
      </c>
      <c r="Z67" s="114">
        <v>1</v>
      </c>
      <c r="AA67" s="114">
        <v>1</v>
      </c>
      <c r="AB67" s="114">
        <v>1</v>
      </c>
      <c r="AC67" s="114">
        <v>1</v>
      </c>
      <c r="AD67" s="114">
        <v>1</v>
      </c>
      <c r="AE67" s="114">
        <v>1</v>
      </c>
      <c r="AF67" s="114">
        <v>1</v>
      </c>
      <c r="AG67" s="114">
        <v>1</v>
      </c>
      <c r="AH67" s="114">
        <v>1</v>
      </c>
      <c r="AI67" s="114">
        <v>1</v>
      </c>
      <c r="AJ67" s="114">
        <v>1</v>
      </c>
      <c r="AK67" s="114">
        <v>1</v>
      </c>
      <c r="AL67" s="114">
        <v>1</v>
      </c>
      <c r="AM67" s="114">
        <v>1</v>
      </c>
      <c r="AN67" s="114">
        <v>1</v>
      </c>
      <c r="AO67" s="114">
        <v>1</v>
      </c>
      <c r="AP67" s="114">
        <v>1</v>
      </c>
      <c r="AQ67" s="114">
        <v>1</v>
      </c>
      <c r="AR67" s="114">
        <v>1</v>
      </c>
      <c r="AS67" s="114">
        <v>1</v>
      </c>
      <c r="AT67" s="114">
        <v>1</v>
      </c>
      <c r="AU67" s="114">
        <v>1</v>
      </c>
      <c r="AV67" s="114">
        <v>1</v>
      </c>
      <c r="AW67" s="114">
        <v>1</v>
      </c>
      <c r="AX67" s="114">
        <v>1</v>
      </c>
      <c r="AY67" s="114">
        <v>1</v>
      </c>
      <c r="AZ67" s="114">
        <v>1</v>
      </c>
      <c r="BA67" s="114">
        <v>1</v>
      </c>
      <c r="BB67" s="114">
        <v>1</v>
      </c>
      <c r="BC67" s="114">
        <v>1</v>
      </c>
      <c r="BD67" s="114">
        <v>1</v>
      </c>
      <c r="BE67" s="114">
        <v>1</v>
      </c>
      <c r="BF67" s="114">
        <v>1</v>
      </c>
      <c r="BG67" s="114">
        <v>0</v>
      </c>
      <c r="BH67" s="114">
        <v>1</v>
      </c>
      <c r="BI67" s="114">
        <v>1</v>
      </c>
      <c r="BJ67" s="114">
        <v>0</v>
      </c>
      <c r="BK67" s="114">
        <v>1</v>
      </c>
      <c r="BL67" s="114">
        <v>0</v>
      </c>
      <c r="BM67" s="114">
        <v>1</v>
      </c>
      <c r="BN67" s="114">
        <v>0</v>
      </c>
      <c r="BO67" s="114">
        <v>0</v>
      </c>
      <c r="BP67" s="114">
        <v>1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</row>
    <row r="68" spans="1:77" x14ac:dyDescent="0.15">
      <c r="A68" s="193" t="s">
        <v>259</v>
      </c>
      <c r="B68" s="114">
        <v>1</v>
      </c>
      <c r="C68" s="114">
        <v>1</v>
      </c>
      <c r="D68" s="114">
        <v>1</v>
      </c>
      <c r="E68" s="114">
        <v>1</v>
      </c>
      <c r="F68" s="114">
        <v>1</v>
      </c>
      <c r="G68" s="114">
        <v>1</v>
      </c>
      <c r="H68" s="114">
        <v>1</v>
      </c>
      <c r="I68" s="114">
        <v>1</v>
      </c>
      <c r="J68" s="114">
        <v>1</v>
      </c>
      <c r="K68" s="114">
        <v>1</v>
      </c>
      <c r="L68" s="114">
        <v>1</v>
      </c>
      <c r="M68" s="114">
        <v>1</v>
      </c>
      <c r="N68" s="114">
        <v>1</v>
      </c>
      <c r="O68" s="114">
        <v>1</v>
      </c>
      <c r="P68" s="114">
        <v>1</v>
      </c>
      <c r="Q68" s="114">
        <v>1</v>
      </c>
      <c r="R68" s="114">
        <v>1</v>
      </c>
      <c r="S68" s="114">
        <v>1</v>
      </c>
      <c r="T68" s="114">
        <v>0</v>
      </c>
      <c r="U68" s="114">
        <v>1</v>
      </c>
      <c r="V68" s="114">
        <v>1</v>
      </c>
      <c r="W68" s="114">
        <v>1</v>
      </c>
      <c r="X68" s="114">
        <v>1</v>
      </c>
      <c r="Y68" s="114">
        <v>1</v>
      </c>
      <c r="Z68" s="114">
        <v>1</v>
      </c>
      <c r="AA68" s="114">
        <v>1</v>
      </c>
      <c r="AB68" s="114">
        <v>1</v>
      </c>
      <c r="AC68" s="114">
        <v>1</v>
      </c>
      <c r="AD68" s="114">
        <v>1</v>
      </c>
      <c r="AE68" s="114">
        <v>1</v>
      </c>
      <c r="AF68" s="114">
        <v>1</v>
      </c>
      <c r="AG68" s="114">
        <v>1</v>
      </c>
      <c r="AH68" s="114">
        <v>1</v>
      </c>
      <c r="AI68" s="114">
        <v>1</v>
      </c>
      <c r="AJ68" s="114">
        <v>1</v>
      </c>
      <c r="AK68" s="114">
        <v>1</v>
      </c>
      <c r="AL68" s="114">
        <v>1</v>
      </c>
      <c r="AM68" s="114">
        <v>1</v>
      </c>
      <c r="AN68" s="114">
        <v>1</v>
      </c>
      <c r="AO68" s="114">
        <v>1</v>
      </c>
      <c r="AP68" s="114">
        <v>1</v>
      </c>
      <c r="AQ68" s="114">
        <v>1</v>
      </c>
      <c r="AR68" s="114">
        <v>1</v>
      </c>
      <c r="AS68" s="114">
        <v>1</v>
      </c>
      <c r="AT68" s="114">
        <v>1</v>
      </c>
      <c r="AU68" s="114">
        <v>1</v>
      </c>
      <c r="AV68" s="114">
        <v>1</v>
      </c>
      <c r="AW68" s="114">
        <v>1</v>
      </c>
      <c r="AX68" s="114">
        <v>1</v>
      </c>
      <c r="AY68" s="114">
        <v>1</v>
      </c>
      <c r="AZ68" s="114">
        <v>1</v>
      </c>
      <c r="BA68" s="114">
        <v>1</v>
      </c>
      <c r="BB68" s="114">
        <v>1</v>
      </c>
      <c r="BC68" s="114">
        <v>1</v>
      </c>
      <c r="BD68" s="114">
        <v>1</v>
      </c>
      <c r="BE68" s="114">
        <v>1</v>
      </c>
      <c r="BF68" s="114">
        <v>1</v>
      </c>
      <c r="BG68" s="114">
        <v>0</v>
      </c>
      <c r="BH68" s="114">
        <v>0</v>
      </c>
      <c r="BI68" s="114">
        <v>1</v>
      </c>
      <c r="BJ68" s="114">
        <v>0</v>
      </c>
      <c r="BK68" s="114">
        <v>1</v>
      </c>
      <c r="BL68" s="114">
        <v>0</v>
      </c>
      <c r="BM68" s="114">
        <v>0</v>
      </c>
      <c r="BN68" s="114">
        <v>0</v>
      </c>
      <c r="BO68" s="114">
        <v>0</v>
      </c>
      <c r="BP68" s="114">
        <v>1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</row>
    <row r="69" spans="1:77" x14ac:dyDescent="0.15">
      <c r="A69" s="193" t="s">
        <v>260</v>
      </c>
      <c r="B69" s="114">
        <v>0</v>
      </c>
      <c r="C69" s="114">
        <v>1</v>
      </c>
      <c r="D69" s="114">
        <v>1</v>
      </c>
      <c r="E69" s="114">
        <v>0</v>
      </c>
      <c r="F69" s="114">
        <v>1</v>
      </c>
      <c r="G69" s="114">
        <v>1</v>
      </c>
      <c r="H69" s="114">
        <v>1</v>
      </c>
      <c r="I69" s="114">
        <v>1</v>
      </c>
      <c r="J69" s="114">
        <v>1</v>
      </c>
      <c r="K69" s="114">
        <v>1</v>
      </c>
      <c r="L69" s="114">
        <v>1</v>
      </c>
      <c r="M69" s="114">
        <v>1</v>
      </c>
      <c r="N69" s="114">
        <v>1</v>
      </c>
      <c r="O69" s="114">
        <v>1</v>
      </c>
      <c r="P69" s="114">
        <v>0</v>
      </c>
      <c r="Q69" s="114">
        <v>1</v>
      </c>
      <c r="R69" s="114">
        <v>1</v>
      </c>
      <c r="S69" s="114">
        <v>1</v>
      </c>
      <c r="T69" s="114">
        <v>0</v>
      </c>
      <c r="U69" s="114">
        <v>0</v>
      </c>
      <c r="V69" s="114">
        <v>0</v>
      </c>
      <c r="W69" s="114">
        <v>0</v>
      </c>
      <c r="X69" s="114">
        <v>1</v>
      </c>
      <c r="Y69" s="114">
        <v>0</v>
      </c>
      <c r="Z69" s="114">
        <v>1</v>
      </c>
      <c r="AA69" s="114">
        <v>1</v>
      </c>
      <c r="AB69" s="114">
        <v>1</v>
      </c>
      <c r="AC69" s="114">
        <v>1</v>
      </c>
      <c r="AD69" s="114">
        <v>1</v>
      </c>
      <c r="AE69" s="114">
        <v>0</v>
      </c>
      <c r="AF69" s="114">
        <v>0</v>
      </c>
      <c r="AG69" s="114">
        <v>1</v>
      </c>
      <c r="AH69" s="114">
        <v>0</v>
      </c>
      <c r="AI69" s="114">
        <v>1</v>
      </c>
      <c r="AJ69" s="114">
        <v>1</v>
      </c>
      <c r="AK69" s="114">
        <v>0</v>
      </c>
      <c r="AL69" s="114">
        <v>1</v>
      </c>
      <c r="AM69" s="114">
        <v>1</v>
      </c>
      <c r="AN69" s="114">
        <v>1</v>
      </c>
      <c r="AO69" s="114">
        <v>1</v>
      </c>
      <c r="AP69" s="114">
        <v>1</v>
      </c>
      <c r="AQ69" s="114">
        <v>1</v>
      </c>
      <c r="AR69" s="114">
        <v>1</v>
      </c>
      <c r="AS69" s="114">
        <v>1</v>
      </c>
      <c r="AT69" s="114">
        <v>1</v>
      </c>
      <c r="AU69" s="114">
        <v>1</v>
      </c>
      <c r="AV69" s="114">
        <v>1</v>
      </c>
      <c r="AW69" s="114">
        <v>1</v>
      </c>
      <c r="AX69" s="114">
        <v>1</v>
      </c>
      <c r="AY69" s="114">
        <v>1</v>
      </c>
      <c r="AZ69" s="114">
        <v>1</v>
      </c>
      <c r="BA69" s="114">
        <v>1</v>
      </c>
      <c r="BB69" s="114">
        <v>1</v>
      </c>
      <c r="BC69" s="114">
        <v>1</v>
      </c>
      <c r="BD69" s="114">
        <v>1</v>
      </c>
      <c r="BE69" s="114">
        <v>1</v>
      </c>
      <c r="BF69" s="114">
        <v>1</v>
      </c>
      <c r="BG69" s="114">
        <v>0</v>
      </c>
      <c r="BH69" s="114">
        <v>0</v>
      </c>
      <c r="BI69" s="114">
        <v>1</v>
      </c>
      <c r="BJ69" s="114">
        <v>0</v>
      </c>
      <c r="BK69" s="114">
        <v>1</v>
      </c>
      <c r="BL69" s="114">
        <v>0</v>
      </c>
      <c r="BM69" s="114">
        <v>1</v>
      </c>
      <c r="BN69" s="114">
        <v>0</v>
      </c>
      <c r="BO69" s="114">
        <v>1</v>
      </c>
      <c r="BP69" s="114">
        <v>0</v>
      </c>
      <c r="BQ69" s="114">
        <v>0</v>
      </c>
      <c r="BR69" s="114">
        <v>1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</row>
    <row r="70" spans="1:77" x14ac:dyDescent="0.15">
      <c r="A70" s="193" t="s">
        <v>261</v>
      </c>
      <c r="B70" s="114">
        <v>1</v>
      </c>
      <c r="C70" s="114">
        <v>1</v>
      </c>
      <c r="D70" s="114">
        <v>1</v>
      </c>
      <c r="E70" s="114">
        <v>1</v>
      </c>
      <c r="F70" s="114">
        <v>1</v>
      </c>
      <c r="G70" s="114">
        <v>1</v>
      </c>
      <c r="H70" s="114">
        <v>1</v>
      </c>
      <c r="I70" s="114">
        <v>1</v>
      </c>
      <c r="J70" s="114">
        <v>1</v>
      </c>
      <c r="K70" s="114">
        <v>1</v>
      </c>
      <c r="L70" s="114">
        <v>1</v>
      </c>
      <c r="M70" s="114">
        <v>1</v>
      </c>
      <c r="N70" s="114">
        <v>1</v>
      </c>
      <c r="O70" s="114">
        <v>1</v>
      </c>
      <c r="P70" s="114">
        <v>1</v>
      </c>
      <c r="Q70" s="114">
        <v>1</v>
      </c>
      <c r="R70" s="114">
        <v>1</v>
      </c>
      <c r="S70" s="114">
        <v>1</v>
      </c>
      <c r="T70" s="114">
        <v>1</v>
      </c>
      <c r="U70" s="114">
        <v>1</v>
      </c>
      <c r="V70" s="114">
        <v>1</v>
      </c>
      <c r="W70" s="114">
        <v>1</v>
      </c>
      <c r="X70" s="114">
        <v>1</v>
      </c>
      <c r="Y70" s="114">
        <v>1</v>
      </c>
      <c r="Z70" s="114">
        <v>1</v>
      </c>
      <c r="AA70" s="114">
        <v>1</v>
      </c>
      <c r="AB70" s="114">
        <v>1</v>
      </c>
      <c r="AC70" s="114">
        <v>1</v>
      </c>
      <c r="AD70" s="114">
        <v>1</v>
      </c>
      <c r="AE70" s="114">
        <v>1</v>
      </c>
      <c r="AF70" s="114">
        <v>1</v>
      </c>
      <c r="AG70" s="114">
        <v>1</v>
      </c>
      <c r="AH70" s="114">
        <v>1</v>
      </c>
      <c r="AI70" s="114">
        <v>1</v>
      </c>
      <c r="AJ70" s="114">
        <v>1</v>
      </c>
      <c r="AK70" s="114">
        <v>1</v>
      </c>
      <c r="AL70" s="114">
        <v>1</v>
      </c>
      <c r="AM70" s="114">
        <v>1</v>
      </c>
      <c r="AN70" s="114">
        <v>1</v>
      </c>
      <c r="AO70" s="114">
        <v>1</v>
      </c>
      <c r="AP70" s="114">
        <v>1</v>
      </c>
      <c r="AQ70" s="114">
        <v>1</v>
      </c>
      <c r="AR70" s="114">
        <v>1</v>
      </c>
      <c r="AS70" s="114">
        <v>1</v>
      </c>
      <c r="AT70" s="114">
        <v>1</v>
      </c>
      <c r="AU70" s="114">
        <v>1</v>
      </c>
      <c r="AV70" s="114">
        <v>1</v>
      </c>
      <c r="AW70" s="114">
        <v>1</v>
      </c>
      <c r="AX70" s="114">
        <v>1</v>
      </c>
      <c r="AY70" s="114">
        <v>1</v>
      </c>
      <c r="AZ70" s="114">
        <v>1</v>
      </c>
      <c r="BA70" s="114">
        <v>1</v>
      </c>
      <c r="BB70" s="114">
        <v>1</v>
      </c>
      <c r="BC70" s="114">
        <v>1</v>
      </c>
      <c r="BD70" s="114">
        <v>1</v>
      </c>
      <c r="BE70" s="114">
        <v>1</v>
      </c>
      <c r="BF70" s="114">
        <v>1</v>
      </c>
      <c r="BG70" s="114">
        <v>1</v>
      </c>
      <c r="BH70" s="114">
        <v>1</v>
      </c>
      <c r="BI70" s="114">
        <v>1</v>
      </c>
      <c r="BJ70" s="114">
        <v>1</v>
      </c>
      <c r="BK70" s="114">
        <v>1</v>
      </c>
      <c r="BL70" s="114">
        <v>1</v>
      </c>
      <c r="BM70" s="114">
        <v>1</v>
      </c>
      <c r="BN70" s="114">
        <v>1</v>
      </c>
      <c r="BO70" s="114">
        <v>1</v>
      </c>
      <c r="BP70" s="114">
        <v>1</v>
      </c>
      <c r="BQ70" s="114">
        <v>1</v>
      </c>
      <c r="BR70" s="114">
        <v>1</v>
      </c>
      <c r="BS70" s="114">
        <v>0</v>
      </c>
      <c r="BT70" s="114">
        <v>1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</row>
    <row r="71" spans="1:77" x14ac:dyDescent="0.15">
      <c r="A71" s="193" t="s">
        <v>262</v>
      </c>
      <c r="B71" s="114">
        <v>1</v>
      </c>
      <c r="C71" s="114">
        <v>1</v>
      </c>
      <c r="D71" s="114">
        <v>1</v>
      </c>
      <c r="E71" s="114">
        <v>1</v>
      </c>
      <c r="F71" s="114">
        <v>1</v>
      </c>
      <c r="G71" s="114">
        <v>1</v>
      </c>
      <c r="H71" s="114">
        <v>1</v>
      </c>
      <c r="I71" s="114">
        <v>1</v>
      </c>
      <c r="J71" s="114">
        <v>1</v>
      </c>
      <c r="K71" s="114">
        <v>1</v>
      </c>
      <c r="L71" s="114">
        <v>1</v>
      </c>
      <c r="M71" s="114">
        <v>1</v>
      </c>
      <c r="N71" s="114">
        <v>1</v>
      </c>
      <c r="O71" s="114">
        <v>1</v>
      </c>
      <c r="P71" s="114">
        <v>1</v>
      </c>
      <c r="Q71" s="114">
        <v>1</v>
      </c>
      <c r="R71" s="114">
        <v>1</v>
      </c>
      <c r="S71" s="114">
        <v>1</v>
      </c>
      <c r="T71" s="114">
        <v>1</v>
      </c>
      <c r="U71" s="114">
        <v>1</v>
      </c>
      <c r="V71" s="114">
        <v>1</v>
      </c>
      <c r="W71" s="114">
        <v>1</v>
      </c>
      <c r="X71" s="114">
        <v>1</v>
      </c>
      <c r="Y71" s="114">
        <v>1</v>
      </c>
      <c r="Z71" s="114">
        <v>1</v>
      </c>
      <c r="AA71" s="114">
        <v>1</v>
      </c>
      <c r="AB71" s="114">
        <v>1</v>
      </c>
      <c r="AC71" s="114">
        <v>1</v>
      </c>
      <c r="AD71" s="114">
        <v>1</v>
      </c>
      <c r="AE71" s="114">
        <v>1</v>
      </c>
      <c r="AF71" s="114">
        <v>0</v>
      </c>
      <c r="AG71" s="114">
        <v>1</v>
      </c>
      <c r="AH71" s="114">
        <v>1</v>
      </c>
      <c r="AI71" s="114">
        <v>1</v>
      </c>
      <c r="AJ71" s="114">
        <v>0</v>
      </c>
      <c r="AK71" s="114">
        <v>1</v>
      </c>
      <c r="AL71" s="114">
        <v>1</v>
      </c>
      <c r="AM71" s="114">
        <v>1</v>
      </c>
      <c r="AN71" s="114">
        <v>1</v>
      </c>
      <c r="AO71" s="114">
        <v>1</v>
      </c>
      <c r="AP71" s="114">
        <v>1</v>
      </c>
      <c r="AQ71" s="114">
        <v>1</v>
      </c>
      <c r="AR71" s="114">
        <v>1</v>
      </c>
      <c r="AS71" s="114">
        <v>1</v>
      </c>
      <c r="AT71" s="114">
        <v>1</v>
      </c>
      <c r="AU71" s="114">
        <v>1</v>
      </c>
      <c r="AV71" s="114">
        <v>1</v>
      </c>
      <c r="AW71" s="114">
        <v>1</v>
      </c>
      <c r="AX71" s="114">
        <v>1</v>
      </c>
      <c r="AY71" s="114">
        <v>1</v>
      </c>
      <c r="AZ71" s="114">
        <v>1</v>
      </c>
      <c r="BA71" s="114">
        <v>1</v>
      </c>
      <c r="BB71" s="114">
        <v>1</v>
      </c>
      <c r="BC71" s="114">
        <v>1</v>
      </c>
      <c r="BD71" s="114">
        <v>1</v>
      </c>
      <c r="BE71" s="114">
        <v>1</v>
      </c>
      <c r="BF71" s="114">
        <v>1</v>
      </c>
      <c r="BG71" s="114">
        <v>1</v>
      </c>
      <c r="BH71" s="114">
        <v>1</v>
      </c>
      <c r="BI71" s="114">
        <v>1</v>
      </c>
      <c r="BJ71" s="114">
        <v>1</v>
      </c>
      <c r="BK71" s="114">
        <v>1</v>
      </c>
      <c r="BL71" s="114">
        <v>1</v>
      </c>
      <c r="BM71" s="114">
        <v>1</v>
      </c>
      <c r="BN71" s="114">
        <v>1</v>
      </c>
      <c r="BO71" s="114">
        <v>0</v>
      </c>
      <c r="BP71" s="114">
        <v>0</v>
      </c>
      <c r="BQ71" s="114">
        <v>1</v>
      </c>
      <c r="BR71" s="114">
        <v>0</v>
      </c>
      <c r="BS71" s="114">
        <v>1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</row>
    <row r="72" spans="1:77" x14ac:dyDescent="0.15">
      <c r="A72" s="193" t="s">
        <v>263</v>
      </c>
      <c r="B72" s="114">
        <v>1</v>
      </c>
      <c r="C72" s="114">
        <v>1</v>
      </c>
      <c r="D72" s="114">
        <v>1</v>
      </c>
      <c r="E72" s="114">
        <v>1</v>
      </c>
      <c r="F72" s="114">
        <v>1</v>
      </c>
      <c r="G72" s="114">
        <v>1</v>
      </c>
      <c r="H72" s="114">
        <v>1</v>
      </c>
      <c r="I72" s="114">
        <v>1</v>
      </c>
      <c r="J72" s="114">
        <v>1</v>
      </c>
      <c r="K72" s="114">
        <v>1</v>
      </c>
      <c r="L72" s="114">
        <v>1</v>
      </c>
      <c r="M72" s="114">
        <v>1</v>
      </c>
      <c r="N72" s="114">
        <v>1</v>
      </c>
      <c r="O72" s="114">
        <v>1</v>
      </c>
      <c r="P72" s="114">
        <v>1</v>
      </c>
      <c r="Q72" s="114">
        <v>1</v>
      </c>
      <c r="R72" s="114">
        <v>1</v>
      </c>
      <c r="S72" s="114">
        <v>1</v>
      </c>
      <c r="T72" s="114">
        <v>0</v>
      </c>
      <c r="U72" s="114">
        <v>1</v>
      </c>
      <c r="V72" s="114">
        <v>1</v>
      </c>
      <c r="W72" s="114">
        <v>1</v>
      </c>
      <c r="X72" s="114">
        <v>1</v>
      </c>
      <c r="Y72" s="114">
        <v>1</v>
      </c>
      <c r="Z72" s="114">
        <v>1</v>
      </c>
      <c r="AA72" s="114">
        <v>1</v>
      </c>
      <c r="AB72" s="114">
        <v>1</v>
      </c>
      <c r="AC72" s="114">
        <v>1</v>
      </c>
      <c r="AD72" s="114">
        <v>1</v>
      </c>
      <c r="AE72" s="114">
        <v>1</v>
      </c>
      <c r="AF72" s="114">
        <v>0</v>
      </c>
      <c r="AG72" s="114">
        <v>1</v>
      </c>
      <c r="AH72" s="114">
        <v>1</v>
      </c>
      <c r="AI72" s="114">
        <v>1</v>
      </c>
      <c r="AJ72" s="114">
        <v>1</v>
      </c>
      <c r="AK72" s="114">
        <v>1</v>
      </c>
      <c r="AL72" s="114">
        <v>1</v>
      </c>
      <c r="AM72" s="114">
        <v>1</v>
      </c>
      <c r="AN72" s="114">
        <v>1</v>
      </c>
      <c r="AO72" s="114">
        <v>1</v>
      </c>
      <c r="AP72" s="114">
        <v>1</v>
      </c>
      <c r="AQ72" s="114">
        <v>1</v>
      </c>
      <c r="AR72" s="114">
        <v>1</v>
      </c>
      <c r="AS72" s="114">
        <v>1</v>
      </c>
      <c r="AT72" s="114">
        <v>1</v>
      </c>
      <c r="AU72" s="114">
        <v>1</v>
      </c>
      <c r="AV72" s="114">
        <v>1</v>
      </c>
      <c r="AW72" s="114">
        <v>1</v>
      </c>
      <c r="AX72" s="114">
        <v>1</v>
      </c>
      <c r="AY72" s="114">
        <v>1</v>
      </c>
      <c r="AZ72" s="114">
        <v>1</v>
      </c>
      <c r="BA72" s="114">
        <v>1</v>
      </c>
      <c r="BB72" s="114">
        <v>1</v>
      </c>
      <c r="BC72" s="114">
        <v>1</v>
      </c>
      <c r="BD72" s="114">
        <v>1</v>
      </c>
      <c r="BE72" s="114">
        <v>1</v>
      </c>
      <c r="BF72" s="114">
        <v>1</v>
      </c>
      <c r="BG72" s="114">
        <v>0</v>
      </c>
      <c r="BH72" s="114">
        <v>1</v>
      </c>
      <c r="BI72" s="114">
        <v>1</v>
      </c>
      <c r="BJ72" s="114">
        <v>1</v>
      </c>
      <c r="BK72" s="114">
        <v>1</v>
      </c>
      <c r="BL72" s="114">
        <v>1</v>
      </c>
      <c r="BM72" s="114">
        <v>1</v>
      </c>
      <c r="BN72" s="114">
        <v>1</v>
      </c>
      <c r="BO72" s="114">
        <v>1</v>
      </c>
      <c r="BP72" s="114">
        <v>1</v>
      </c>
      <c r="BQ72" s="114">
        <v>1</v>
      </c>
      <c r="BR72" s="114">
        <v>1</v>
      </c>
      <c r="BS72" s="114">
        <v>0</v>
      </c>
      <c r="BT72" s="114">
        <v>1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</row>
    <row r="73" spans="1:77" x14ac:dyDescent="0.15">
      <c r="A73" s="193" t="s">
        <v>264</v>
      </c>
      <c r="B73" s="114">
        <v>1</v>
      </c>
      <c r="C73" s="114">
        <v>0</v>
      </c>
      <c r="D73" s="114">
        <v>1</v>
      </c>
      <c r="E73" s="114">
        <v>1</v>
      </c>
      <c r="F73" s="114">
        <v>0</v>
      </c>
      <c r="G73" s="114">
        <v>1</v>
      </c>
      <c r="H73" s="114">
        <v>1</v>
      </c>
      <c r="I73" s="114">
        <v>1</v>
      </c>
      <c r="J73" s="114">
        <v>1</v>
      </c>
      <c r="K73" s="114">
        <v>1</v>
      </c>
      <c r="L73" s="114">
        <v>1</v>
      </c>
      <c r="M73" s="114">
        <v>1</v>
      </c>
      <c r="N73" s="114">
        <v>1</v>
      </c>
      <c r="O73" s="114">
        <v>1</v>
      </c>
      <c r="P73" s="114">
        <v>0</v>
      </c>
      <c r="Q73" s="114">
        <v>1</v>
      </c>
      <c r="R73" s="114">
        <v>0</v>
      </c>
      <c r="S73" s="114">
        <v>0</v>
      </c>
      <c r="T73" s="114">
        <v>0</v>
      </c>
      <c r="U73" s="114">
        <v>0</v>
      </c>
      <c r="V73" s="114">
        <v>0</v>
      </c>
      <c r="W73" s="114">
        <v>0</v>
      </c>
      <c r="X73" s="114">
        <v>1</v>
      </c>
      <c r="Y73" s="114">
        <v>1</v>
      </c>
      <c r="Z73" s="114">
        <v>0</v>
      </c>
      <c r="AA73" s="114">
        <v>0</v>
      </c>
      <c r="AB73" s="114">
        <v>0</v>
      </c>
      <c r="AC73" s="114">
        <v>0</v>
      </c>
      <c r="AD73" s="114">
        <v>0</v>
      </c>
      <c r="AE73" s="114">
        <v>0</v>
      </c>
      <c r="AF73" s="114">
        <v>0</v>
      </c>
      <c r="AG73" s="114">
        <v>0</v>
      </c>
      <c r="AH73" s="114">
        <v>0</v>
      </c>
      <c r="AI73" s="114">
        <v>0</v>
      </c>
      <c r="AJ73" s="114">
        <v>0</v>
      </c>
      <c r="AK73" s="114">
        <v>0</v>
      </c>
      <c r="AL73" s="114">
        <v>0</v>
      </c>
      <c r="AM73" s="114">
        <v>0</v>
      </c>
      <c r="AN73" s="114">
        <v>1</v>
      </c>
      <c r="AO73" s="114">
        <v>1</v>
      </c>
      <c r="AP73" s="114">
        <v>1</v>
      </c>
      <c r="AQ73" s="114">
        <v>1</v>
      </c>
      <c r="AR73" s="114">
        <v>1</v>
      </c>
      <c r="AS73" s="114">
        <v>1</v>
      </c>
      <c r="AT73" s="114">
        <v>1</v>
      </c>
      <c r="AU73" s="114">
        <v>1</v>
      </c>
      <c r="AV73" s="114">
        <v>1</v>
      </c>
      <c r="AW73" s="114">
        <v>0</v>
      </c>
      <c r="AX73" s="114">
        <v>1</v>
      </c>
      <c r="AY73" s="114">
        <v>1</v>
      </c>
      <c r="AZ73" s="114">
        <v>1</v>
      </c>
      <c r="BA73" s="114">
        <v>1</v>
      </c>
      <c r="BB73" s="114">
        <v>0</v>
      </c>
      <c r="BC73" s="114">
        <v>1</v>
      </c>
      <c r="BD73" s="114">
        <v>1</v>
      </c>
      <c r="BE73" s="114">
        <v>1</v>
      </c>
      <c r="BF73" s="114">
        <v>1</v>
      </c>
      <c r="BG73" s="114">
        <v>0</v>
      </c>
      <c r="BH73" s="114">
        <v>0</v>
      </c>
      <c r="BI73" s="114">
        <v>1</v>
      </c>
      <c r="BJ73" s="114">
        <v>1</v>
      </c>
      <c r="BK73" s="114">
        <v>1</v>
      </c>
      <c r="BL73" s="114">
        <v>1</v>
      </c>
      <c r="BM73" s="114">
        <v>1</v>
      </c>
      <c r="BN73" s="114">
        <v>0</v>
      </c>
      <c r="BO73" s="114">
        <v>1</v>
      </c>
      <c r="BP73" s="114">
        <v>1</v>
      </c>
      <c r="BQ73" s="114">
        <v>0</v>
      </c>
      <c r="BR73" s="114">
        <v>1</v>
      </c>
      <c r="BS73" s="114">
        <v>0</v>
      </c>
      <c r="BT73" s="114">
        <v>0</v>
      </c>
      <c r="BU73" s="114">
        <v>0</v>
      </c>
      <c r="BV73" s="114">
        <v>0</v>
      </c>
      <c r="BW73" s="114">
        <v>0</v>
      </c>
      <c r="BX73" s="114">
        <v>0</v>
      </c>
      <c r="BY73" s="114">
        <v>0</v>
      </c>
    </row>
    <row r="74" spans="1:77" x14ac:dyDescent="0.15">
      <c r="A74" s="193" t="s">
        <v>265</v>
      </c>
      <c r="B74" s="114">
        <v>0</v>
      </c>
      <c r="C74" s="114">
        <v>1</v>
      </c>
      <c r="D74" s="114">
        <v>1</v>
      </c>
      <c r="E74" s="114">
        <v>1</v>
      </c>
      <c r="F74" s="114">
        <v>1</v>
      </c>
      <c r="G74" s="114">
        <v>1</v>
      </c>
      <c r="H74" s="114">
        <v>1</v>
      </c>
      <c r="I74" s="114">
        <v>1</v>
      </c>
      <c r="J74" s="114">
        <v>1</v>
      </c>
      <c r="K74" s="114">
        <v>1</v>
      </c>
      <c r="L74" s="114">
        <v>1</v>
      </c>
      <c r="M74" s="114">
        <v>1</v>
      </c>
      <c r="N74" s="114">
        <v>0</v>
      </c>
      <c r="O74" s="114">
        <v>1</v>
      </c>
      <c r="P74" s="114">
        <v>1</v>
      </c>
      <c r="Q74" s="114">
        <v>1</v>
      </c>
      <c r="R74" s="114">
        <v>1</v>
      </c>
      <c r="S74" s="114">
        <v>0</v>
      </c>
      <c r="T74" s="114">
        <v>0</v>
      </c>
      <c r="U74" s="114">
        <v>1</v>
      </c>
      <c r="V74" s="114">
        <v>0</v>
      </c>
      <c r="W74" s="114">
        <v>0</v>
      </c>
      <c r="X74" s="114">
        <v>1</v>
      </c>
      <c r="Y74" s="114">
        <v>1</v>
      </c>
      <c r="Z74" s="114">
        <v>0</v>
      </c>
      <c r="AA74" s="114">
        <v>0</v>
      </c>
      <c r="AB74" s="114">
        <v>0</v>
      </c>
      <c r="AC74" s="114">
        <v>1</v>
      </c>
      <c r="AD74" s="114">
        <v>0</v>
      </c>
      <c r="AE74" s="114">
        <v>1</v>
      </c>
      <c r="AF74" s="114">
        <v>1</v>
      </c>
      <c r="AG74" s="114">
        <v>0</v>
      </c>
      <c r="AH74" s="114">
        <v>0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1</v>
      </c>
      <c r="AR74" s="114">
        <v>1</v>
      </c>
      <c r="AS74" s="114">
        <v>1</v>
      </c>
      <c r="AT74" s="114">
        <v>1</v>
      </c>
      <c r="AU74" s="114">
        <v>1</v>
      </c>
      <c r="AV74" s="114">
        <v>1</v>
      </c>
      <c r="AW74" s="114">
        <v>1</v>
      </c>
      <c r="AX74" s="114">
        <v>1</v>
      </c>
      <c r="AY74" s="114">
        <v>1</v>
      </c>
      <c r="AZ74" s="114">
        <v>1</v>
      </c>
      <c r="BA74" s="114">
        <v>1</v>
      </c>
      <c r="BB74" s="114">
        <v>0</v>
      </c>
      <c r="BC74" s="114">
        <v>1</v>
      </c>
      <c r="BD74" s="114">
        <v>1</v>
      </c>
      <c r="BE74" s="114">
        <v>1</v>
      </c>
      <c r="BF74" s="114">
        <v>1</v>
      </c>
      <c r="BG74" s="114">
        <v>1</v>
      </c>
      <c r="BH74" s="114">
        <v>0</v>
      </c>
      <c r="BI74" s="114">
        <v>1</v>
      </c>
      <c r="BJ74" s="114">
        <v>0</v>
      </c>
      <c r="BK74" s="114">
        <v>1</v>
      </c>
      <c r="BL74" s="114">
        <v>1</v>
      </c>
      <c r="BM74" s="114">
        <v>1</v>
      </c>
      <c r="BN74" s="114">
        <v>0</v>
      </c>
      <c r="BO74" s="114">
        <v>0</v>
      </c>
      <c r="BP74" s="114">
        <v>0</v>
      </c>
      <c r="BQ74" s="114">
        <v>0</v>
      </c>
      <c r="BR74" s="114">
        <v>1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</row>
    <row r="75" spans="1:77" x14ac:dyDescent="0.15">
      <c r="A75" s="193" t="s">
        <v>266</v>
      </c>
      <c r="B75" s="114">
        <v>0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1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0</v>
      </c>
      <c r="AA75" s="114">
        <v>0</v>
      </c>
      <c r="AB75" s="114">
        <v>0</v>
      </c>
      <c r="AC75" s="114">
        <v>0</v>
      </c>
      <c r="AD75" s="114">
        <v>0</v>
      </c>
      <c r="AE75" s="114">
        <v>0</v>
      </c>
      <c r="AF75" s="114">
        <v>0</v>
      </c>
      <c r="AG75" s="114">
        <v>0</v>
      </c>
      <c r="AH75" s="114">
        <v>0</v>
      </c>
      <c r="AI75" s="114">
        <v>0</v>
      </c>
      <c r="AJ75" s="114">
        <v>0</v>
      </c>
      <c r="AK75" s="114">
        <v>0</v>
      </c>
      <c r="AL75" s="114">
        <v>0</v>
      </c>
      <c r="AM75" s="114">
        <v>1</v>
      </c>
      <c r="AN75" s="114">
        <v>0</v>
      </c>
      <c r="AO75" s="114">
        <v>0</v>
      </c>
      <c r="AP75" s="114">
        <v>0</v>
      </c>
      <c r="AQ75" s="114">
        <v>1</v>
      </c>
      <c r="AR75" s="114">
        <v>1</v>
      </c>
      <c r="AS75" s="114">
        <v>1</v>
      </c>
      <c r="AT75" s="114">
        <v>1</v>
      </c>
      <c r="AU75" s="114">
        <v>0</v>
      </c>
      <c r="AV75" s="114">
        <v>0</v>
      </c>
      <c r="AW75" s="114">
        <v>1</v>
      </c>
      <c r="AX75" s="114">
        <v>1</v>
      </c>
      <c r="AY75" s="114">
        <v>1</v>
      </c>
      <c r="AZ75" s="114">
        <v>0</v>
      </c>
      <c r="BA75" s="114">
        <v>1</v>
      </c>
      <c r="BB75" s="114">
        <v>0</v>
      </c>
      <c r="BC75" s="114">
        <v>1</v>
      </c>
      <c r="BD75" s="114">
        <v>1</v>
      </c>
      <c r="BE75" s="114">
        <v>1</v>
      </c>
      <c r="BF75" s="114">
        <v>1</v>
      </c>
      <c r="BG75" s="114">
        <v>0</v>
      </c>
      <c r="BH75" s="114">
        <v>0</v>
      </c>
      <c r="BI75" s="114">
        <v>1</v>
      </c>
      <c r="BJ75" s="114">
        <v>1</v>
      </c>
      <c r="BK75" s="114">
        <v>1</v>
      </c>
      <c r="BL75" s="114">
        <v>1</v>
      </c>
      <c r="BM75" s="114">
        <v>1</v>
      </c>
      <c r="BN75" s="114">
        <v>0</v>
      </c>
      <c r="BO75" s="114">
        <v>1</v>
      </c>
      <c r="BP75" s="114">
        <v>0</v>
      </c>
      <c r="BQ75" s="114">
        <v>1</v>
      </c>
      <c r="BR75" s="114">
        <v>1</v>
      </c>
      <c r="BS75" s="114">
        <v>1</v>
      </c>
      <c r="BT75" s="114">
        <v>1</v>
      </c>
      <c r="BU75" s="114">
        <v>0</v>
      </c>
      <c r="BV75" s="114">
        <v>0</v>
      </c>
      <c r="BW75" s="114">
        <v>0</v>
      </c>
      <c r="BX75" s="114">
        <v>0</v>
      </c>
      <c r="BY75" s="114">
        <v>0</v>
      </c>
    </row>
    <row r="76" spans="1:77" x14ac:dyDescent="0.15">
      <c r="A76" s="193" t="s">
        <v>267</v>
      </c>
      <c r="B76" s="114">
        <v>1</v>
      </c>
      <c r="C76" s="114">
        <v>1</v>
      </c>
      <c r="D76" s="114">
        <v>0</v>
      </c>
      <c r="E76" s="114">
        <v>1</v>
      </c>
      <c r="F76" s="114">
        <v>1</v>
      </c>
      <c r="G76" s="114">
        <v>1</v>
      </c>
      <c r="H76" s="114">
        <v>1</v>
      </c>
      <c r="I76" s="114">
        <v>1</v>
      </c>
      <c r="J76" s="114">
        <v>1</v>
      </c>
      <c r="K76" s="114">
        <v>1</v>
      </c>
      <c r="L76" s="114">
        <v>1</v>
      </c>
      <c r="M76" s="114">
        <v>1</v>
      </c>
      <c r="N76" s="114">
        <v>1</v>
      </c>
      <c r="O76" s="114">
        <v>1</v>
      </c>
      <c r="P76" s="114">
        <v>1</v>
      </c>
      <c r="Q76" s="114">
        <v>1</v>
      </c>
      <c r="R76" s="114">
        <v>1</v>
      </c>
      <c r="S76" s="114">
        <v>1</v>
      </c>
      <c r="T76" s="114">
        <v>0</v>
      </c>
      <c r="U76" s="114">
        <v>1</v>
      </c>
      <c r="V76" s="114">
        <v>0</v>
      </c>
      <c r="W76" s="114">
        <v>1</v>
      </c>
      <c r="X76" s="114">
        <v>1</v>
      </c>
      <c r="Y76" s="114">
        <v>1</v>
      </c>
      <c r="Z76" s="114">
        <v>0</v>
      </c>
      <c r="AA76" s="114">
        <v>1</v>
      </c>
      <c r="AB76" s="114">
        <v>0</v>
      </c>
      <c r="AC76" s="114">
        <v>0</v>
      </c>
      <c r="AD76" s="114">
        <v>1</v>
      </c>
      <c r="AE76" s="114">
        <v>0</v>
      </c>
      <c r="AF76" s="114">
        <v>0</v>
      </c>
      <c r="AG76" s="114">
        <v>1</v>
      </c>
      <c r="AH76" s="114">
        <v>0</v>
      </c>
      <c r="AI76" s="114">
        <v>0</v>
      </c>
      <c r="AJ76" s="114">
        <v>1</v>
      </c>
      <c r="AK76" s="114">
        <v>1</v>
      </c>
      <c r="AL76" s="114">
        <v>1</v>
      </c>
      <c r="AM76" s="114">
        <v>1</v>
      </c>
      <c r="AN76" s="114">
        <v>1</v>
      </c>
      <c r="AO76" s="114">
        <v>1</v>
      </c>
      <c r="AP76" s="114">
        <v>1</v>
      </c>
      <c r="AQ76" s="114">
        <v>1</v>
      </c>
      <c r="AR76" s="114">
        <v>1</v>
      </c>
      <c r="AS76" s="114">
        <v>1</v>
      </c>
      <c r="AT76" s="114">
        <v>1</v>
      </c>
      <c r="AU76" s="114">
        <v>1</v>
      </c>
      <c r="AV76" s="114">
        <v>1</v>
      </c>
      <c r="AW76" s="114">
        <v>1</v>
      </c>
      <c r="AX76" s="114">
        <v>1</v>
      </c>
      <c r="AY76" s="114">
        <v>1</v>
      </c>
      <c r="AZ76" s="114">
        <v>1</v>
      </c>
      <c r="BA76" s="114">
        <v>1</v>
      </c>
      <c r="BB76" s="114">
        <v>1</v>
      </c>
      <c r="BC76" s="114">
        <v>1</v>
      </c>
      <c r="BD76" s="114">
        <v>1</v>
      </c>
      <c r="BE76" s="114">
        <v>1</v>
      </c>
      <c r="BF76" s="114">
        <v>1</v>
      </c>
      <c r="BG76" s="114">
        <v>0</v>
      </c>
      <c r="BH76" s="114">
        <v>0</v>
      </c>
      <c r="BI76" s="114">
        <v>1</v>
      </c>
      <c r="BJ76" s="114">
        <v>1</v>
      </c>
      <c r="BK76" s="114">
        <v>1</v>
      </c>
      <c r="BL76" s="114">
        <v>1</v>
      </c>
      <c r="BM76" s="114">
        <v>1</v>
      </c>
      <c r="BN76" s="114">
        <v>1</v>
      </c>
      <c r="BO76" s="114">
        <v>1</v>
      </c>
      <c r="BP76" s="114">
        <v>1</v>
      </c>
      <c r="BQ76" s="114">
        <v>1</v>
      </c>
      <c r="BR76" s="114">
        <v>1</v>
      </c>
      <c r="BS76" s="114">
        <v>1</v>
      </c>
      <c r="BT76" s="114">
        <v>1</v>
      </c>
      <c r="BU76" s="114">
        <v>0</v>
      </c>
      <c r="BV76" s="114">
        <v>0</v>
      </c>
      <c r="BW76" s="114">
        <v>0</v>
      </c>
      <c r="BX76" s="114">
        <v>0</v>
      </c>
      <c r="BY76" s="114">
        <v>0</v>
      </c>
    </row>
    <row r="77" spans="1:77" x14ac:dyDescent="0.15">
      <c r="A77" s="193" t="s">
        <v>268</v>
      </c>
      <c r="B77" s="114">
        <v>0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0</v>
      </c>
      <c r="T77" s="114">
        <v>0</v>
      </c>
      <c r="U77" s="114">
        <v>0</v>
      </c>
      <c r="V77" s="114">
        <v>0</v>
      </c>
      <c r="W77" s="114">
        <v>0</v>
      </c>
      <c r="X77" s="114">
        <v>0</v>
      </c>
      <c r="Y77" s="114">
        <v>0</v>
      </c>
      <c r="Z77" s="114">
        <v>0</v>
      </c>
      <c r="AA77" s="114">
        <v>0</v>
      </c>
      <c r="AB77" s="114">
        <v>0</v>
      </c>
      <c r="AC77" s="114">
        <v>0</v>
      </c>
      <c r="AD77" s="114">
        <v>0</v>
      </c>
      <c r="AE77" s="114">
        <v>0</v>
      </c>
      <c r="AF77" s="114">
        <v>0</v>
      </c>
      <c r="AG77" s="114">
        <v>0</v>
      </c>
      <c r="AH77" s="114">
        <v>0</v>
      </c>
      <c r="AI77" s="114">
        <v>0</v>
      </c>
      <c r="AJ77" s="114">
        <v>0</v>
      </c>
      <c r="AK77" s="114">
        <v>0</v>
      </c>
      <c r="AL77" s="114">
        <v>0</v>
      </c>
      <c r="AM77" s="114">
        <v>0</v>
      </c>
      <c r="AN77" s="114">
        <v>0</v>
      </c>
      <c r="AO77" s="114">
        <v>0</v>
      </c>
      <c r="AP77" s="114">
        <v>0</v>
      </c>
      <c r="AQ77" s="114">
        <v>0</v>
      </c>
      <c r="AR77" s="114">
        <v>0</v>
      </c>
      <c r="AS77" s="114">
        <v>0</v>
      </c>
      <c r="AT77" s="114">
        <v>0</v>
      </c>
      <c r="AU77" s="114">
        <v>0</v>
      </c>
      <c r="AV77" s="114">
        <v>0</v>
      </c>
      <c r="AW77" s="114">
        <v>0</v>
      </c>
      <c r="AX77" s="114">
        <v>0</v>
      </c>
      <c r="AY77" s="114">
        <v>0</v>
      </c>
      <c r="AZ77" s="114">
        <v>0</v>
      </c>
      <c r="BA77" s="114">
        <v>0</v>
      </c>
      <c r="BB77" s="114">
        <v>0</v>
      </c>
      <c r="BC77" s="114">
        <v>0</v>
      </c>
      <c r="BD77" s="114">
        <v>0</v>
      </c>
      <c r="BE77" s="114">
        <v>0</v>
      </c>
      <c r="BF77" s="114">
        <v>0</v>
      </c>
      <c r="BG77" s="114">
        <v>0</v>
      </c>
      <c r="BH77" s="114">
        <v>0</v>
      </c>
      <c r="BI77" s="114">
        <v>0</v>
      </c>
      <c r="BJ77" s="114">
        <v>0</v>
      </c>
      <c r="BK77" s="114">
        <v>0</v>
      </c>
      <c r="BL77" s="114">
        <v>0</v>
      </c>
      <c r="BM77" s="114">
        <v>0</v>
      </c>
      <c r="BN77" s="114">
        <v>0</v>
      </c>
      <c r="BO77" s="114">
        <v>0</v>
      </c>
      <c r="BP77" s="114">
        <v>0</v>
      </c>
      <c r="BQ77" s="114">
        <v>0</v>
      </c>
      <c r="BR77" s="114">
        <v>0</v>
      </c>
      <c r="BS77" s="114">
        <v>0</v>
      </c>
      <c r="BT77" s="114">
        <v>0</v>
      </c>
      <c r="BU77" s="114">
        <v>0</v>
      </c>
      <c r="BV77" s="114">
        <v>0</v>
      </c>
      <c r="BW77" s="114">
        <v>0</v>
      </c>
      <c r="BX77" s="114">
        <v>0</v>
      </c>
      <c r="BY77" s="114">
        <v>0</v>
      </c>
    </row>
    <row r="78" spans="1:77" x14ac:dyDescent="0.15">
      <c r="A78" s="193" t="s">
        <v>293</v>
      </c>
      <c r="B78" s="114">
        <v>1</v>
      </c>
      <c r="C78" s="114">
        <v>1</v>
      </c>
      <c r="D78" s="114">
        <v>1</v>
      </c>
      <c r="E78" s="114">
        <v>1</v>
      </c>
      <c r="F78" s="114">
        <v>1</v>
      </c>
      <c r="G78" s="114">
        <v>1</v>
      </c>
      <c r="H78" s="114">
        <v>1</v>
      </c>
      <c r="I78" s="114">
        <v>1</v>
      </c>
      <c r="J78" s="114">
        <v>1</v>
      </c>
      <c r="K78" s="114">
        <v>1</v>
      </c>
      <c r="L78" s="114">
        <v>1</v>
      </c>
      <c r="M78" s="114">
        <v>1</v>
      </c>
      <c r="N78" s="114">
        <v>1</v>
      </c>
      <c r="O78" s="114">
        <v>1</v>
      </c>
      <c r="P78" s="114">
        <v>1</v>
      </c>
      <c r="Q78" s="114">
        <v>1</v>
      </c>
      <c r="R78" s="114">
        <v>0</v>
      </c>
      <c r="S78" s="114">
        <v>0</v>
      </c>
      <c r="T78" s="114">
        <v>1</v>
      </c>
      <c r="U78" s="114">
        <v>0</v>
      </c>
      <c r="V78" s="114">
        <v>0</v>
      </c>
      <c r="W78" s="114">
        <v>0</v>
      </c>
      <c r="X78" s="114">
        <v>1</v>
      </c>
      <c r="Y78" s="114">
        <v>1</v>
      </c>
      <c r="Z78" s="114">
        <v>0</v>
      </c>
      <c r="AA78" s="114">
        <v>0</v>
      </c>
      <c r="AB78" s="114">
        <v>0</v>
      </c>
      <c r="AC78" s="114">
        <v>0</v>
      </c>
      <c r="AD78" s="114">
        <v>0</v>
      </c>
      <c r="AE78" s="114">
        <v>0</v>
      </c>
      <c r="AF78" s="114">
        <v>0</v>
      </c>
      <c r="AG78" s="114">
        <v>0</v>
      </c>
      <c r="AH78" s="114">
        <v>0</v>
      </c>
      <c r="AI78" s="114">
        <v>0</v>
      </c>
      <c r="AJ78" s="114">
        <v>0</v>
      </c>
      <c r="AK78" s="114">
        <v>0</v>
      </c>
      <c r="AL78" s="114">
        <v>0</v>
      </c>
      <c r="AM78" s="114">
        <v>0</v>
      </c>
      <c r="AN78" s="114">
        <v>1</v>
      </c>
      <c r="AO78" s="114">
        <v>1</v>
      </c>
      <c r="AP78" s="114">
        <v>0</v>
      </c>
      <c r="AQ78" s="114">
        <v>0</v>
      </c>
      <c r="AR78" s="114">
        <v>1</v>
      </c>
      <c r="AS78" s="114">
        <v>1</v>
      </c>
      <c r="AT78" s="114">
        <v>1</v>
      </c>
      <c r="AU78" s="114">
        <v>1</v>
      </c>
      <c r="AV78" s="114">
        <v>1</v>
      </c>
      <c r="AW78" s="114">
        <v>1</v>
      </c>
      <c r="AX78" s="114">
        <v>1</v>
      </c>
      <c r="AY78" s="114">
        <v>1</v>
      </c>
      <c r="AZ78" s="114">
        <v>0</v>
      </c>
      <c r="BA78" s="114">
        <v>1</v>
      </c>
      <c r="BB78" s="114">
        <v>0</v>
      </c>
      <c r="BC78" s="114">
        <v>1</v>
      </c>
      <c r="BD78" s="114">
        <v>1</v>
      </c>
      <c r="BE78" s="114">
        <v>0</v>
      </c>
      <c r="BF78" s="114">
        <v>0</v>
      </c>
      <c r="BG78" s="114">
        <v>0</v>
      </c>
      <c r="BH78" s="114">
        <v>1</v>
      </c>
      <c r="BI78" s="114">
        <v>1</v>
      </c>
      <c r="BJ78" s="114">
        <v>0</v>
      </c>
      <c r="BK78" s="114">
        <v>1</v>
      </c>
      <c r="BL78" s="114">
        <v>1</v>
      </c>
      <c r="BM78" s="114">
        <v>0</v>
      </c>
      <c r="BN78" s="114">
        <v>0</v>
      </c>
      <c r="BO78" s="114">
        <v>0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Z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7.6640625" bestFit="1" customWidth="1"/>
    <col min="3" max="4" width="3.83203125" bestFit="1" customWidth="1"/>
    <col min="5" max="26" width="3.83203125" customWidth="1"/>
  </cols>
  <sheetData>
    <row r="1" spans="1:26" ht="112" x14ac:dyDescent="0.15">
      <c r="A1" s="5" t="s">
        <v>83</v>
      </c>
      <c r="B1" s="3" t="s">
        <v>0</v>
      </c>
      <c r="C1" s="196" t="s">
        <v>269</v>
      </c>
      <c r="D1" s="196" t="s">
        <v>270</v>
      </c>
      <c r="E1" s="196" t="s">
        <v>271</v>
      </c>
      <c r="F1" s="196" t="s">
        <v>272</v>
      </c>
      <c r="G1" s="196" t="s">
        <v>273</v>
      </c>
      <c r="H1" s="196" t="s">
        <v>274</v>
      </c>
      <c r="I1" s="196" t="s">
        <v>275</v>
      </c>
      <c r="J1" s="196" t="s">
        <v>276</v>
      </c>
      <c r="K1" s="196" t="s">
        <v>277</v>
      </c>
      <c r="L1" s="196" t="s">
        <v>278</v>
      </c>
      <c r="M1" s="196" t="s">
        <v>279</v>
      </c>
      <c r="N1" s="196" t="s">
        <v>280</v>
      </c>
      <c r="O1" s="196" t="s">
        <v>281</v>
      </c>
      <c r="P1" s="196" t="s">
        <v>282</v>
      </c>
      <c r="Q1" s="196" t="s">
        <v>283</v>
      </c>
      <c r="R1" s="196" t="s">
        <v>284</v>
      </c>
      <c r="S1" s="196" t="s">
        <v>285</v>
      </c>
      <c r="T1" s="196" t="s">
        <v>286</v>
      </c>
      <c r="U1" s="196" t="s">
        <v>287</v>
      </c>
      <c r="V1" s="196" t="s">
        <v>288</v>
      </c>
      <c r="W1" s="196" t="s">
        <v>289</v>
      </c>
      <c r="X1" s="196" t="s">
        <v>290</v>
      </c>
      <c r="Y1" s="196" t="s">
        <v>291</v>
      </c>
      <c r="Z1" s="196" t="s">
        <v>292</v>
      </c>
    </row>
    <row r="2" spans="1:26" x14ac:dyDescent="0.15">
      <c r="A2">
        <v>1</v>
      </c>
      <c r="B2" s="19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15">
      <c r="A3">
        <v>2</v>
      </c>
      <c r="B3" s="19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0.8</v>
      </c>
    </row>
    <row r="4" spans="1:26" x14ac:dyDescent="0.15">
      <c r="A4">
        <v>3</v>
      </c>
      <c r="B4" s="195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0.8</v>
      </c>
    </row>
    <row r="5" spans="1:26" x14ac:dyDescent="0.15">
      <c r="A5">
        <v>4</v>
      </c>
      <c r="B5" s="195" t="s">
        <v>196</v>
      </c>
      <c r="C5">
        <v>0.8</v>
      </c>
      <c r="D5">
        <v>0.8</v>
      </c>
      <c r="E5">
        <v>0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0.8</v>
      </c>
      <c r="U5">
        <v>0</v>
      </c>
      <c r="V5">
        <v>0</v>
      </c>
      <c r="W5">
        <v>0</v>
      </c>
      <c r="X5">
        <v>0</v>
      </c>
      <c r="Y5">
        <v>0</v>
      </c>
      <c r="Z5">
        <v>0.8</v>
      </c>
    </row>
    <row r="6" spans="1:26" x14ac:dyDescent="0.15">
      <c r="A6">
        <v>5</v>
      </c>
      <c r="B6" s="195" t="s">
        <v>197</v>
      </c>
      <c r="C6">
        <v>0.8</v>
      </c>
      <c r="D6">
        <v>0</v>
      </c>
      <c r="E6">
        <v>0</v>
      </c>
      <c r="F6">
        <v>0.8</v>
      </c>
      <c r="G6">
        <v>0</v>
      </c>
      <c r="H6">
        <v>0.8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0.8</v>
      </c>
    </row>
    <row r="7" spans="1:26" x14ac:dyDescent="0.15">
      <c r="A7">
        <v>6</v>
      </c>
      <c r="B7" s="195" t="s">
        <v>198</v>
      </c>
      <c r="C7">
        <v>0.8</v>
      </c>
      <c r="D7">
        <v>0</v>
      </c>
      <c r="E7">
        <v>0</v>
      </c>
      <c r="F7">
        <v>0.8</v>
      </c>
      <c r="G7">
        <v>0</v>
      </c>
      <c r="H7">
        <v>0.8</v>
      </c>
      <c r="I7">
        <v>0.8</v>
      </c>
      <c r="J7">
        <v>0.8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0.8</v>
      </c>
    </row>
    <row r="8" spans="1:26" x14ac:dyDescent="0.15">
      <c r="A8">
        <v>7</v>
      </c>
      <c r="B8" s="195" t="s">
        <v>199</v>
      </c>
      <c r="C8">
        <v>0.8</v>
      </c>
      <c r="D8">
        <v>0</v>
      </c>
      <c r="E8">
        <v>0.8</v>
      </c>
      <c r="F8">
        <v>0.8</v>
      </c>
      <c r="G8">
        <v>0</v>
      </c>
      <c r="H8">
        <v>0.8</v>
      </c>
      <c r="I8">
        <v>0.8</v>
      </c>
      <c r="J8">
        <v>0.8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0.8</v>
      </c>
    </row>
    <row r="9" spans="1:26" x14ac:dyDescent="0.15">
      <c r="A9">
        <v>8</v>
      </c>
      <c r="B9" s="195" t="s">
        <v>200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  <c r="I9">
        <v>0.8</v>
      </c>
      <c r="J9">
        <v>0.8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0.8</v>
      </c>
      <c r="U9">
        <v>0</v>
      </c>
      <c r="V9">
        <v>0.8</v>
      </c>
      <c r="W9">
        <v>0</v>
      </c>
      <c r="X9">
        <v>0</v>
      </c>
      <c r="Y9">
        <v>0</v>
      </c>
      <c r="Z9">
        <v>0.8</v>
      </c>
    </row>
    <row r="10" spans="1:26" x14ac:dyDescent="0.15">
      <c r="A10">
        <v>9</v>
      </c>
      <c r="B10" s="195" t="s">
        <v>201</v>
      </c>
      <c r="C10">
        <v>0.8</v>
      </c>
      <c r="D10">
        <v>0</v>
      </c>
      <c r="E10">
        <v>0</v>
      </c>
      <c r="F10">
        <v>0.8</v>
      </c>
      <c r="G10">
        <v>0.8</v>
      </c>
      <c r="H10">
        <v>0.8</v>
      </c>
      <c r="I10">
        <v>0</v>
      </c>
      <c r="J10">
        <v>0.8</v>
      </c>
      <c r="K10">
        <v>0</v>
      </c>
      <c r="L10">
        <v>0</v>
      </c>
      <c r="M10">
        <v>0</v>
      </c>
      <c r="N10">
        <v>0.8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0.8</v>
      </c>
    </row>
    <row r="11" spans="1:26" x14ac:dyDescent="0.15">
      <c r="A11">
        <v>10</v>
      </c>
      <c r="B11" s="195" t="s">
        <v>202</v>
      </c>
      <c r="C11">
        <v>0.8</v>
      </c>
      <c r="D11">
        <v>0</v>
      </c>
      <c r="E11">
        <v>0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</v>
      </c>
      <c r="L11">
        <v>0</v>
      </c>
      <c r="M11">
        <v>0</v>
      </c>
      <c r="N11">
        <v>0.8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0.8</v>
      </c>
    </row>
    <row r="12" spans="1:26" x14ac:dyDescent="0.15">
      <c r="A12">
        <v>11</v>
      </c>
      <c r="B12" s="195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0.8</v>
      </c>
      <c r="J12">
        <v>0.8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0.8</v>
      </c>
      <c r="U12">
        <v>0</v>
      </c>
      <c r="V12">
        <v>0.8</v>
      </c>
      <c r="W12">
        <v>0.8</v>
      </c>
      <c r="X12">
        <v>0</v>
      </c>
      <c r="Y12">
        <v>0</v>
      </c>
      <c r="Z12">
        <v>0.8</v>
      </c>
    </row>
    <row r="13" spans="1:26" x14ac:dyDescent="0.15">
      <c r="A13">
        <v>12</v>
      </c>
      <c r="B13" s="195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0.8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0.8</v>
      </c>
    </row>
    <row r="14" spans="1:26" x14ac:dyDescent="0.15">
      <c r="A14">
        <v>13</v>
      </c>
      <c r="B14" s="195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0.8</v>
      </c>
      <c r="J14">
        <v>0.8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0.8</v>
      </c>
      <c r="U14">
        <v>0</v>
      </c>
      <c r="V14">
        <v>0.8</v>
      </c>
      <c r="W14">
        <v>0.8</v>
      </c>
      <c r="X14">
        <v>0</v>
      </c>
      <c r="Y14">
        <v>0</v>
      </c>
      <c r="Z14">
        <v>0.8</v>
      </c>
    </row>
    <row r="15" spans="1:26" x14ac:dyDescent="0.15">
      <c r="A15">
        <v>14</v>
      </c>
      <c r="B15" s="195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0.8</v>
      </c>
    </row>
    <row r="16" spans="1:26" x14ac:dyDescent="0.15">
      <c r="A16">
        <v>15</v>
      </c>
      <c r="B16" s="195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0.8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0.8</v>
      </c>
      <c r="U16">
        <v>0</v>
      </c>
      <c r="V16">
        <v>0.8</v>
      </c>
      <c r="W16">
        <v>0.8</v>
      </c>
      <c r="X16">
        <v>0</v>
      </c>
      <c r="Y16">
        <v>0</v>
      </c>
      <c r="Z16">
        <v>0.8</v>
      </c>
    </row>
    <row r="17" spans="1:26" x14ac:dyDescent="0.15">
      <c r="A17">
        <v>16</v>
      </c>
      <c r="B17" s="195" t="s">
        <v>208</v>
      </c>
      <c r="C17">
        <v>0</v>
      </c>
      <c r="D17">
        <v>0</v>
      </c>
      <c r="E17">
        <v>0</v>
      </c>
      <c r="F17">
        <v>0</v>
      </c>
      <c r="G17">
        <v>0.8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</v>
      </c>
      <c r="N17">
        <v>0.8</v>
      </c>
      <c r="O17">
        <v>0</v>
      </c>
      <c r="P17">
        <v>0.8</v>
      </c>
      <c r="Q17">
        <v>0.8</v>
      </c>
      <c r="R17">
        <v>0.8</v>
      </c>
      <c r="S17">
        <v>0</v>
      </c>
      <c r="T17">
        <v>0.8</v>
      </c>
      <c r="U17">
        <v>0</v>
      </c>
      <c r="V17">
        <v>0.8</v>
      </c>
      <c r="W17">
        <v>0.8</v>
      </c>
      <c r="X17">
        <v>0.8</v>
      </c>
      <c r="Y17">
        <v>0</v>
      </c>
      <c r="Z17">
        <v>0.8</v>
      </c>
    </row>
    <row r="18" spans="1:26" x14ac:dyDescent="0.15">
      <c r="A18">
        <v>17</v>
      </c>
      <c r="B18" s="195" t="s">
        <v>209</v>
      </c>
      <c r="C18">
        <v>0</v>
      </c>
      <c r="D18">
        <v>0</v>
      </c>
      <c r="E18">
        <v>0.8</v>
      </c>
      <c r="F18">
        <v>0</v>
      </c>
      <c r="G18">
        <v>0</v>
      </c>
      <c r="H18">
        <v>0</v>
      </c>
      <c r="I18">
        <v>0.8</v>
      </c>
      <c r="J18">
        <v>0.8</v>
      </c>
      <c r="K18">
        <v>0.8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0.8</v>
      </c>
      <c r="S18">
        <v>0</v>
      </c>
      <c r="T18">
        <v>0.8</v>
      </c>
      <c r="U18">
        <v>0.8</v>
      </c>
      <c r="V18">
        <v>0.8</v>
      </c>
      <c r="W18">
        <v>0.8</v>
      </c>
      <c r="X18">
        <v>0</v>
      </c>
      <c r="Y18">
        <v>0.8</v>
      </c>
      <c r="Z18">
        <v>0.8</v>
      </c>
    </row>
    <row r="19" spans="1:26" x14ac:dyDescent="0.15">
      <c r="A19">
        <v>18</v>
      </c>
      <c r="B19" s="195" t="s">
        <v>210</v>
      </c>
      <c r="C19">
        <v>0</v>
      </c>
      <c r="D19">
        <v>0</v>
      </c>
      <c r="E19">
        <v>0.8</v>
      </c>
      <c r="F19">
        <v>0</v>
      </c>
      <c r="G19">
        <v>0</v>
      </c>
      <c r="H19">
        <v>0</v>
      </c>
      <c r="I19">
        <v>0.8</v>
      </c>
      <c r="J19">
        <v>0.8</v>
      </c>
      <c r="K19">
        <v>0.8</v>
      </c>
      <c r="L19">
        <v>0</v>
      </c>
      <c r="M19">
        <v>0</v>
      </c>
      <c r="N19">
        <v>0.8</v>
      </c>
      <c r="O19">
        <v>0</v>
      </c>
      <c r="P19">
        <v>0.8</v>
      </c>
      <c r="Q19">
        <v>0</v>
      </c>
      <c r="R19">
        <v>0.8</v>
      </c>
      <c r="S19">
        <v>0</v>
      </c>
      <c r="T19">
        <v>0.8</v>
      </c>
      <c r="U19">
        <v>0.8</v>
      </c>
      <c r="V19">
        <v>0.8</v>
      </c>
      <c r="W19">
        <v>0.8</v>
      </c>
      <c r="X19">
        <v>0.8</v>
      </c>
      <c r="Y19">
        <v>0</v>
      </c>
      <c r="Z19">
        <v>0.8</v>
      </c>
    </row>
    <row r="20" spans="1:26" x14ac:dyDescent="0.15">
      <c r="A20">
        <v>19</v>
      </c>
      <c r="B20" s="195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15">
      <c r="A21">
        <v>20</v>
      </c>
      <c r="B21" s="195" t="s">
        <v>212</v>
      </c>
      <c r="C21">
        <v>0</v>
      </c>
      <c r="D21">
        <v>0</v>
      </c>
      <c r="E21">
        <v>0</v>
      </c>
      <c r="F21">
        <v>0</v>
      </c>
      <c r="G21">
        <v>0.8</v>
      </c>
      <c r="H21">
        <v>0.8</v>
      </c>
      <c r="I21">
        <v>0.8</v>
      </c>
      <c r="J21">
        <v>0.8</v>
      </c>
      <c r="K21">
        <v>0</v>
      </c>
      <c r="L21">
        <v>0</v>
      </c>
      <c r="M21">
        <v>0</v>
      </c>
      <c r="N21">
        <v>0.8</v>
      </c>
      <c r="O21">
        <v>0</v>
      </c>
      <c r="P21">
        <v>0</v>
      </c>
      <c r="Q21">
        <v>0</v>
      </c>
      <c r="R21">
        <v>0.8</v>
      </c>
      <c r="S21">
        <v>0</v>
      </c>
      <c r="T21">
        <v>0.8</v>
      </c>
      <c r="U21">
        <v>0.8</v>
      </c>
      <c r="V21">
        <v>0.8</v>
      </c>
      <c r="W21">
        <v>0.8</v>
      </c>
      <c r="X21">
        <v>0.8</v>
      </c>
      <c r="Y21">
        <v>0.8</v>
      </c>
      <c r="Z21">
        <v>0</v>
      </c>
    </row>
    <row r="22" spans="1:26" x14ac:dyDescent="0.15">
      <c r="A22">
        <v>21</v>
      </c>
      <c r="B22" s="195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15">
      <c r="A23">
        <v>22</v>
      </c>
      <c r="B23" s="195" t="s">
        <v>214</v>
      </c>
      <c r="C23">
        <v>0</v>
      </c>
      <c r="D23">
        <v>0</v>
      </c>
      <c r="E23">
        <v>0</v>
      </c>
      <c r="F23">
        <v>0</v>
      </c>
      <c r="G23">
        <v>0.8</v>
      </c>
      <c r="H23">
        <v>0.8</v>
      </c>
      <c r="I23">
        <v>0.8</v>
      </c>
      <c r="J23">
        <v>0.8</v>
      </c>
      <c r="K23">
        <v>0</v>
      </c>
      <c r="L23">
        <v>0</v>
      </c>
      <c r="M23">
        <v>0</v>
      </c>
      <c r="N23">
        <v>0.8</v>
      </c>
      <c r="O23">
        <v>0</v>
      </c>
      <c r="P23">
        <v>0.8</v>
      </c>
      <c r="Q23">
        <v>0.8</v>
      </c>
      <c r="R23">
        <v>0</v>
      </c>
      <c r="S23">
        <v>0</v>
      </c>
      <c r="T23">
        <v>0.8</v>
      </c>
      <c r="U23">
        <v>0.8</v>
      </c>
      <c r="V23">
        <v>0.8</v>
      </c>
      <c r="W23">
        <v>0.8</v>
      </c>
      <c r="X23">
        <v>0.8</v>
      </c>
      <c r="Y23">
        <v>0</v>
      </c>
      <c r="Z23">
        <v>0.8</v>
      </c>
    </row>
    <row r="24" spans="1:26" x14ac:dyDescent="0.15">
      <c r="A24">
        <v>23</v>
      </c>
      <c r="B24" s="195" t="s">
        <v>215</v>
      </c>
      <c r="C24">
        <v>0</v>
      </c>
      <c r="D24">
        <v>0</v>
      </c>
      <c r="E24">
        <v>0</v>
      </c>
      <c r="F24">
        <v>0</v>
      </c>
      <c r="G24">
        <v>0.8</v>
      </c>
      <c r="H24">
        <v>0.8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0.8</v>
      </c>
      <c r="U24">
        <v>0</v>
      </c>
      <c r="V24">
        <v>0.8</v>
      </c>
      <c r="W24">
        <v>0.8</v>
      </c>
      <c r="X24">
        <v>0.8</v>
      </c>
      <c r="Y24">
        <v>0</v>
      </c>
      <c r="Z24">
        <v>0.8</v>
      </c>
    </row>
    <row r="25" spans="1:26" x14ac:dyDescent="0.15">
      <c r="A25">
        <v>24</v>
      </c>
      <c r="B25" s="195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15">
      <c r="A26">
        <v>25</v>
      </c>
      <c r="B26" s="195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0.8</v>
      </c>
    </row>
    <row r="27" spans="1:26" x14ac:dyDescent="0.15">
      <c r="A27">
        <v>26</v>
      </c>
      <c r="B27" s="195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0.8</v>
      </c>
      <c r="J27">
        <v>0.8</v>
      </c>
      <c r="K27">
        <v>0.8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0.8</v>
      </c>
      <c r="S27">
        <v>0</v>
      </c>
      <c r="T27">
        <v>0.8</v>
      </c>
      <c r="U27">
        <v>0.8</v>
      </c>
      <c r="V27">
        <v>0.8</v>
      </c>
      <c r="W27">
        <v>0.8</v>
      </c>
      <c r="X27">
        <v>0</v>
      </c>
      <c r="Y27">
        <v>0</v>
      </c>
      <c r="Z27">
        <v>0.8</v>
      </c>
    </row>
    <row r="28" spans="1:26" x14ac:dyDescent="0.15">
      <c r="A28">
        <v>27</v>
      </c>
      <c r="B28" s="195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15">
      <c r="A29">
        <v>28</v>
      </c>
      <c r="B29" s="195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0.8</v>
      </c>
    </row>
    <row r="30" spans="1:26" x14ac:dyDescent="0.15">
      <c r="A30">
        <v>29</v>
      </c>
      <c r="B30" s="195" t="s">
        <v>221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0.8</v>
      </c>
      <c r="J30">
        <v>0.8</v>
      </c>
      <c r="K30">
        <v>0.8</v>
      </c>
      <c r="L30">
        <v>0</v>
      </c>
      <c r="M30">
        <v>0.8</v>
      </c>
      <c r="N30">
        <v>0</v>
      </c>
      <c r="O30">
        <v>0</v>
      </c>
      <c r="P30">
        <v>0</v>
      </c>
      <c r="Q30">
        <v>0</v>
      </c>
      <c r="R30">
        <v>0.8</v>
      </c>
      <c r="S30">
        <v>0</v>
      </c>
      <c r="T30">
        <v>0.8</v>
      </c>
      <c r="U30">
        <v>0.8</v>
      </c>
      <c r="V30">
        <v>0.8</v>
      </c>
      <c r="W30">
        <v>0.8</v>
      </c>
      <c r="X30">
        <v>0.8</v>
      </c>
      <c r="Y30">
        <v>0</v>
      </c>
      <c r="Z30">
        <v>0.8</v>
      </c>
    </row>
    <row r="31" spans="1:26" x14ac:dyDescent="0.15">
      <c r="A31">
        <v>30</v>
      </c>
      <c r="B31" s="195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15">
      <c r="A32">
        <v>31</v>
      </c>
      <c r="B32" s="195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0.8</v>
      </c>
    </row>
    <row r="33" spans="1:26" x14ac:dyDescent="0.15">
      <c r="A33">
        <v>32</v>
      </c>
      <c r="B33" s="195" t="s">
        <v>224</v>
      </c>
      <c r="C33">
        <v>0.8</v>
      </c>
      <c r="D33">
        <v>0</v>
      </c>
      <c r="E33">
        <v>0</v>
      </c>
      <c r="F33">
        <v>0</v>
      </c>
      <c r="G33">
        <v>0</v>
      </c>
      <c r="H33">
        <v>0</v>
      </c>
      <c r="I33">
        <v>0.8</v>
      </c>
      <c r="J33">
        <v>0.8</v>
      </c>
      <c r="K33">
        <v>0.8</v>
      </c>
      <c r="L33">
        <v>0</v>
      </c>
      <c r="M33">
        <v>0.8</v>
      </c>
      <c r="N33">
        <v>0</v>
      </c>
      <c r="O33">
        <v>0</v>
      </c>
      <c r="P33">
        <v>0</v>
      </c>
      <c r="Q33">
        <v>0</v>
      </c>
      <c r="R33">
        <v>0.8</v>
      </c>
      <c r="S33">
        <v>0</v>
      </c>
      <c r="T33">
        <v>0.8</v>
      </c>
      <c r="U33">
        <v>0.8</v>
      </c>
      <c r="V33">
        <v>0.8</v>
      </c>
      <c r="W33">
        <v>0.8</v>
      </c>
      <c r="X33">
        <v>0</v>
      </c>
      <c r="Y33">
        <v>0</v>
      </c>
      <c r="Z33">
        <v>0.8</v>
      </c>
    </row>
    <row r="34" spans="1:26" x14ac:dyDescent="0.15">
      <c r="A34">
        <v>33</v>
      </c>
      <c r="B34" s="195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15">
      <c r="A35">
        <v>34</v>
      </c>
      <c r="B35" s="195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0.8</v>
      </c>
    </row>
    <row r="36" spans="1:26" x14ac:dyDescent="0.15">
      <c r="A36">
        <v>35</v>
      </c>
      <c r="B36" s="195" t="s">
        <v>227</v>
      </c>
      <c r="C36">
        <v>0.8</v>
      </c>
      <c r="D36">
        <v>0</v>
      </c>
      <c r="E36">
        <v>0</v>
      </c>
      <c r="F36">
        <v>0</v>
      </c>
      <c r="G36">
        <v>0</v>
      </c>
      <c r="H36">
        <v>0</v>
      </c>
      <c r="I36">
        <v>0.8</v>
      </c>
      <c r="J36">
        <v>0.8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0.8</v>
      </c>
      <c r="U36">
        <v>0.8</v>
      </c>
      <c r="V36">
        <v>0</v>
      </c>
      <c r="W36">
        <v>0</v>
      </c>
      <c r="X36">
        <v>0</v>
      </c>
      <c r="Y36">
        <v>0.8</v>
      </c>
      <c r="Z36">
        <v>0.8</v>
      </c>
    </row>
    <row r="37" spans="1:26" x14ac:dyDescent="0.15">
      <c r="A37">
        <v>36</v>
      </c>
      <c r="B37" s="195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0.8</v>
      </c>
    </row>
    <row r="38" spans="1:26" x14ac:dyDescent="0.15">
      <c r="A38">
        <v>37</v>
      </c>
      <c r="B38" s="195" t="s">
        <v>229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0.8</v>
      </c>
      <c r="J38">
        <v>0.8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</v>
      </c>
      <c r="U38">
        <v>0</v>
      </c>
      <c r="V38">
        <v>0.8</v>
      </c>
      <c r="W38">
        <v>0.8</v>
      </c>
      <c r="X38">
        <v>0</v>
      </c>
      <c r="Y38">
        <v>0</v>
      </c>
      <c r="Z38">
        <v>0.8</v>
      </c>
    </row>
    <row r="39" spans="1:26" x14ac:dyDescent="0.15">
      <c r="A39">
        <v>38</v>
      </c>
      <c r="B39" s="195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0.8</v>
      </c>
      <c r="J39">
        <v>0.8</v>
      </c>
      <c r="K39">
        <v>0.8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0.8</v>
      </c>
      <c r="S39">
        <v>0</v>
      </c>
      <c r="T39">
        <v>0.8</v>
      </c>
      <c r="U39">
        <v>0</v>
      </c>
      <c r="V39">
        <v>0.8</v>
      </c>
      <c r="W39">
        <v>0.8</v>
      </c>
      <c r="X39">
        <v>0</v>
      </c>
      <c r="Y39">
        <v>0</v>
      </c>
      <c r="Z39">
        <v>0.8</v>
      </c>
    </row>
    <row r="40" spans="1:26" x14ac:dyDescent="0.15">
      <c r="A40">
        <v>39</v>
      </c>
      <c r="B40" s="195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15">
      <c r="A41">
        <v>40</v>
      </c>
      <c r="B41" s="195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0.8</v>
      </c>
      <c r="J41">
        <v>0.8</v>
      </c>
      <c r="K41">
        <v>0.8</v>
      </c>
      <c r="L41">
        <v>0</v>
      </c>
      <c r="M41">
        <v>0</v>
      </c>
      <c r="N41">
        <v>0.8</v>
      </c>
      <c r="O41">
        <v>0</v>
      </c>
      <c r="P41">
        <v>0</v>
      </c>
      <c r="Q41">
        <v>0</v>
      </c>
      <c r="R41">
        <v>0.8</v>
      </c>
      <c r="S41">
        <v>0</v>
      </c>
      <c r="T41">
        <v>0.8</v>
      </c>
      <c r="U41">
        <v>0.8</v>
      </c>
      <c r="V41">
        <v>0.8</v>
      </c>
      <c r="W41">
        <v>0.8</v>
      </c>
      <c r="X41">
        <v>0.8</v>
      </c>
      <c r="Y41">
        <v>0.8</v>
      </c>
      <c r="Z41">
        <v>0</v>
      </c>
    </row>
    <row r="42" spans="1:26" x14ac:dyDescent="0.15">
      <c r="A42">
        <v>41</v>
      </c>
      <c r="B42" s="195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0.8</v>
      </c>
      <c r="J42">
        <v>0.8</v>
      </c>
      <c r="K42">
        <v>0.8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0.8</v>
      </c>
      <c r="S42">
        <v>0</v>
      </c>
      <c r="T42">
        <v>0.8</v>
      </c>
      <c r="U42">
        <v>0</v>
      </c>
      <c r="V42">
        <v>0.8</v>
      </c>
      <c r="W42">
        <v>0.8</v>
      </c>
      <c r="X42">
        <v>0</v>
      </c>
      <c r="Y42">
        <v>0</v>
      </c>
      <c r="Z42">
        <v>0</v>
      </c>
    </row>
    <row r="43" spans="1:26" x14ac:dyDescent="0.15">
      <c r="A43">
        <v>42</v>
      </c>
      <c r="B43" s="195" t="s">
        <v>234</v>
      </c>
      <c r="C43">
        <v>0.8</v>
      </c>
      <c r="D43">
        <v>0</v>
      </c>
      <c r="E43">
        <v>0</v>
      </c>
      <c r="F43">
        <v>0</v>
      </c>
      <c r="G43">
        <v>0</v>
      </c>
      <c r="H43">
        <v>0</v>
      </c>
      <c r="I43">
        <v>0.8</v>
      </c>
      <c r="J43">
        <v>0.8</v>
      </c>
      <c r="K43">
        <v>0.8</v>
      </c>
      <c r="L43">
        <v>0</v>
      </c>
      <c r="M43">
        <v>0.8</v>
      </c>
      <c r="N43">
        <v>0</v>
      </c>
      <c r="O43">
        <v>0</v>
      </c>
      <c r="P43">
        <v>0</v>
      </c>
      <c r="Q43">
        <v>0</v>
      </c>
      <c r="R43">
        <v>0.8</v>
      </c>
      <c r="S43">
        <v>0</v>
      </c>
      <c r="T43">
        <v>0.8</v>
      </c>
      <c r="U43">
        <v>0.8</v>
      </c>
      <c r="V43">
        <v>0.8</v>
      </c>
      <c r="W43">
        <v>0.8</v>
      </c>
      <c r="X43">
        <v>0.8</v>
      </c>
      <c r="Y43">
        <v>0.8</v>
      </c>
      <c r="Z43">
        <v>0</v>
      </c>
    </row>
    <row r="44" spans="1:26" x14ac:dyDescent="0.15">
      <c r="A44">
        <v>43</v>
      </c>
      <c r="B44" s="195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0.8</v>
      </c>
      <c r="J44">
        <v>0.8</v>
      </c>
      <c r="K44">
        <v>0.8</v>
      </c>
      <c r="L44">
        <v>0</v>
      </c>
      <c r="M44">
        <v>0.8</v>
      </c>
      <c r="N44">
        <v>0</v>
      </c>
      <c r="O44">
        <v>0</v>
      </c>
      <c r="P44">
        <v>0.8</v>
      </c>
      <c r="Q44">
        <v>0.8</v>
      </c>
      <c r="R44">
        <v>0.8</v>
      </c>
      <c r="S44">
        <v>0</v>
      </c>
      <c r="T44">
        <v>0.8</v>
      </c>
      <c r="U44">
        <v>0</v>
      </c>
      <c r="V44">
        <v>0.8</v>
      </c>
      <c r="W44">
        <v>0.8</v>
      </c>
      <c r="X44">
        <v>0.8</v>
      </c>
      <c r="Y44">
        <v>0</v>
      </c>
      <c r="Z44">
        <v>0.8</v>
      </c>
    </row>
    <row r="45" spans="1:26" x14ac:dyDescent="0.15">
      <c r="A45">
        <v>44</v>
      </c>
      <c r="B45" s="195" t="s">
        <v>236</v>
      </c>
      <c r="C45">
        <v>0</v>
      </c>
      <c r="D45">
        <v>0</v>
      </c>
      <c r="E45">
        <v>0</v>
      </c>
      <c r="F45">
        <v>0</v>
      </c>
      <c r="G45">
        <v>0.8</v>
      </c>
      <c r="H45">
        <v>0.8</v>
      </c>
      <c r="I45">
        <v>0</v>
      </c>
      <c r="J45">
        <v>0.8</v>
      </c>
      <c r="K45">
        <v>0</v>
      </c>
      <c r="L45">
        <v>0</v>
      </c>
      <c r="M45">
        <v>0</v>
      </c>
      <c r="N45">
        <v>0</v>
      </c>
      <c r="O45">
        <v>0</v>
      </c>
      <c r="P45">
        <v>0.8</v>
      </c>
      <c r="Q45">
        <v>0.8</v>
      </c>
      <c r="R45">
        <v>0</v>
      </c>
      <c r="S45">
        <v>0</v>
      </c>
      <c r="T45">
        <v>0.8</v>
      </c>
      <c r="U45">
        <v>0</v>
      </c>
      <c r="V45">
        <v>0.8</v>
      </c>
      <c r="W45">
        <v>0.8</v>
      </c>
      <c r="X45">
        <v>0.8</v>
      </c>
      <c r="Y45">
        <v>0</v>
      </c>
      <c r="Z45">
        <v>0.8</v>
      </c>
    </row>
    <row r="46" spans="1:26" x14ac:dyDescent="0.15">
      <c r="A46">
        <v>45</v>
      </c>
      <c r="B46" s="195" t="s">
        <v>237</v>
      </c>
      <c r="C46">
        <v>0</v>
      </c>
      <c r="D46">
        <v>0</v>
      </c>
      <c r="E46">
        <v>0</v>
      </c>
      <c r="F46">
        <v>0</v>
      </c>
      <c r="G46">
        <v>0.8</v>
      </c>
      <c r="H46">
        <v>0</v>
      </c>
      <c r="I46">
        <v>0</v>
      </c>
      <c r="J46">
        <v>0.8</v>
      </c>
      <c r="K46">
        <v>0</v>
      </c>
      <c r="L46">
        <v>0</v>
      </c>
      <c r="M46">
        <v>0</v>
      </c>
      <c r="N46">
        <v>0.8</v>
      </c>
      <c r="O46">
        <v>0</v>
      </c>
      <c r="P46">
        <v>0.8</v>
      </c>
      <c r="Q46">
        <v>0</v>
      </c>
      <c r="R46">
        <v>0</v>
      </c>
      <c r="S46">
        <v>0</v>
      </c>
      <c r="T46">
        <v>0.8</v>
      </c>
      <c r="U46">
        <v>0</v>
      </c>
      <c r="V46">
        <v>0.8</v>
      </c>
      <c r="W46">
        <v>0.8</v>
      </c>
      <c r="X46">
        <v>0.8</v>
      </c>
      <c r="Y46">
        <v>0</v>
      </c>
      <c r="Z46">
        <v>0.8</v>
      </c>
    </row>
    <row r="47" spans="1:26" x14ac:dyDescent="0.15">
      <c r="A47">
        <v>46</v>
      </c>
      <c r="B47" s="195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0.8</v>
      </c>
      <c r="I47">
        <v>0.8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0.8</v>
      </c>
      <c r="U47">
        <v>0</v>
      </c>
      <c r="V47">
        <v>0.8</v>
      </c>
      <c r="W47">
        <v>0.8</v>
      </c>
      <c r="X47">
        <v>0</v>
      </c>
      <c r="Y47">
        <v>0</v>
      </c>
      <c r="Z47">
        <v>0</v>
      </c>
    </row>
    <row r="48" spans="1:26" x14ac:dyDescent="0.15">
      <c r="A48">
        <v>47</v>
      </c>
      <c r="B48" s="195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0.8</v>
      </c>
      <c r="K48">
        <v>0</v>
      </c>
      <c r="L48">
        <v>0.8</v>
      </c>
      <c r="M48">
        <v>0</v>
      </c>
      <c r="N48">
        <v>0.8</v>
      </c>
      <c r="O48">
        <v>0.8</v>
      </c>
      <c r="P48">
        <v>0</v>
      </c>
      <c r="Q48">
        <v>0</v>
      </c>
      <c r="R48">
        <v>0.8</v>
      </c>
      <c r="S48">
        <v>0</v>
      </c>
      <c r="T48">
        <v>0.8</v>
      </c>
      <c r="U48">
        <v>0</v>
      </c>
      <c r="V48">
        <v>0.8</v>
      </c>
      <c r="W48">
        <v>0.8</v>
      </c>
      <c r="X48">
        <v>0.8</v>
      </c>
      <c r="Y48">
        <v>0</v>
      </c>
      <c r="Z48">
        <v>0.8</v>
      </c>
    </row>
    <row r="49" spans="1:26" x14ac:dyDescent="0.15">
      <c r="A49">
        <v>48</v>
      </c>
      <c r="B49" s="195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0.8</v>
      </c>
      <c r="J49">
        <v>0.8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0.8</v>
      </c>
      <c r="S49">
        <v>0</v>
      </c>
      <c r="T49">
        <v>0.8</v>
      </c>
      <c r="U49">
        <v>0</v>
      </c>
      <c r="V49">
        <v>0.8</v>
      </c>
      <c r="W49">
        <v>0.8</v>
      </c>
      <c r="X49">
        <v>0.8</v>
      </c>
      <c r="Y49">
        <v>0</v>
      </c>
      <c r="Z49">
        <v>0.8</v>
      </c>
    </row>
    <row r="50" spans="1:26" x14ac:dyDescent="0.15">
      <c r="A50">
        <v>49</v>
      </c>
      <c r="B50" s="195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0.8</v>
      </c>
      <c r="I50">
        <v>0.8</v>
      </c>
      <c r="J50">
        <v>0.8</v>
      </c>
      <c r="K50">
        <v>0.8</v>
      </c>
      <c r="L50">
        <v>0.8</v>
      </c>
      <c r="M50">
        <v>0.8</v>
      </c>
      <c r="N50">
        <v>0.8</v>
      </c>
      <c r="O50">
        <v>0</v>
      </c>
      <c r="P50">
        <v>0.8</v>
      </c>
      <c r="Q50">
        <v>0.8</v>
      </c>
      <c r="R50">
        <v>0.8</v>
      </c>
      <c r="S50">
        <v>0</v>
      </c>
      <c r="T50">
        <v>0.8</v>
      </c>
      <c r="U50">
        <v>0</v>
      </c>
      <c r="V50">
        <v>0.8</v>
      </c>
      <c r="W50">
        <v>0.8</v>
      </c>
      <c r="X50">
        <v>0.8</v>
      </c>
      <c r="Y50">
        <v>0</v>
      </c>
      <c r="Z50">
        <v>0.8</v>
      </c>
    </row>
    <row r="51" spans="1:26" x14ac:dyDescent="0.15">
      <c r="A51">
        <v>50</v>
      </c>
      <c r="B51" s="195" t="s">
        <v>242</v>
      </c>
      <c r="C51">
        <v>0</v>
      </c>
      <c r="D51">
        <v>0</v>
      </c>
      <c r="E51">
        <v>0</v>
      </c>
      <c r="F51">
        <v>0</v>
      </c>
      <c r="G51">
        <v>0.8</v>
      </c>
      <c r="H51">
        <v>0.8</v>
      </c>
      <c r="I51">
        <v>0.8</v>
      </c>
      <c r="J51">
        <v>0.8</v>
      </c>
      <c r="K51">
        <v>0.8</v>
      </c>
      <c r="L51">
        <v>0.8</v>
      </c>
      <c r="M51">
        <v>0.8</v>
      </c>
      <c r="N51">
        <v>0.8</v>
      </c>
      <c r="O51">
        <v>0.8</v>
      </c>
      <c r="P51">
        <v>0.8</v>
      </c>
      <c r="Q51">
        <v>0.8</v>
      </c>
      <c r="R51">
        <v>0.8</v>
      </c>
      <c r="S51">
        <v>0</v>
      </c>
      <c r="T51">
        <v>0.8</v>
      </c>
      <c r="U51">
        <v>0</v>
      </c>
      <c r="V51">
        <v>0.8</v>
      </c>
      <c r="W51">
        <v>0.8</v>
      </c>
      <c r="X51">
        <v>0.8</v>
      </c>
      <c r="Y51">
        <v>0</v>
      </c>
      <c r="Z51">
        <v>0.8</v>
      </c>
    </row>
    <row r="52" spans="1:26" x14ac:dyDescent="0.15">
      <c r="A52">
        <v>51</v>
      </c>
      <c r="B52" s="195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0.8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0.8</v>
      </c>
      <c r="W52">
        <v>0.8</v>
      </c>
      <c r="X52">
        <v>0.8</v>
      </c>
      <c r="Y52">
        <v>0</v>
      </c>
      <c r="Z52">
        <v>0.8</v>
      </c>
    </row>
    <row r="53" spans="1:26" x14ac:dyDescent="0.15">
      <c r="A53">
        <v>52</v>
      </c>
      <c r="B53" s="195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0.8</v>
      </c>
      <c r="I53">
        <v>0.8</v>
      </c>
      <c r="J53">
        <v>0.8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0.8</v>
      </c>
      <c r="W53">
        <v>0.8</v>
      </c>
      <c r="X53">
        <v>0.8</v>
      </c>
      <c r="Y53">
        <v>0</v>
      </c>
      <c r="Z53">
        <v>0.8</v>
      </c>
    </row>
    <row r="54" spans="1:26" x14ac:dyDescent="0.15">
      <c r="A54">
        <v>53</v>
      </c>
      <c r="B54" s="195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0.8</v>
      </c>
      <c r="J54">
        <v>0.8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0.8</v>
      </c>
      <c r="U54">
        <v>0</v>
      </c>
      <c r="V54">
        <v>0.8</v>
      </c>
      <c r="W54">
        <v>0.8</v>
      </c>
      <c r="X54">
        <v>0</v>
      </c>
      <c r="Y54">
        <v>0</v>
      </c>
      <c r="Z54">
        <v>0</v>
      </c>
    </row>
    <row r="55" spans="1:26" x14ac:dyDescent="0.15">
      <c r="A55">
        <v>54</v>
      </c>
      <c r="B55" s="195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0.8</v>
      </c>
      <c r="J55">
        <v>0.8</v>
      </c>
      <c r="K55">
        <v>0.8</v>
      </c>
      <c r="L55">
        <v>0</v>
      </c>
      <c r="M55">
        <v>0</v>
      </c>
      <c r="N55">
        <v>0.8</v>
      </c>
      <c r="O55">
        <v>0</v>
      </c>
      <c r="P55">
        <v>0</v>
      </c>
      <c r="Q55">
        <v>0</v>
      </c>
      <c r="R55">
        <v>0</v>
      </c>
      <c r="S55">
        <v>0</v>
      </c>
      <c r="T55">
        <v>0.8</v>
      </c>
      <c r="U55">
        <v>0.8</v>
      </c>
      <c r="V55">
        <v>0.8</v>
      </c>
      <c r="W55">
        <v>0.8</v>
      </c>
      <c r="X55">
        <v>0.8</v>
      </c>
      <c r="Y55">
        <v>0</v>
      </c>
      <c r="Z55">
        <v>0.8</v>
      </c>
    </row>
    <row r="56" spans="1:26" x14ac:dyDescent="0.15">
      <c r="A56">
        <v>55</v>
      </c>
      <c r="B56" s="195" t="s">
        <v>247</v>
      </c>
      <c r="C56">
        <v>0</v>
      </c>
      <c r="D56">
        <v>0</v>
      </c>
      <c r="E56">
        <v>0</v>
      </c>
      <c r="F56">
        <v>0</v>
      </c>
      <c r="G56">
        <v>0.8</v>
      </c>
      <c r="H56">
        <v>0.8</v>
      </c>
      <c r="I56">
        <v>0</v>
      </c>
      <c r="J56">
        <v>0.8</v>
      </c>
      <c r="K56">
        <v>0.8</v>
      </c>
      <c r="L56">
        <v>0</v>
      </c>
      <c r="M56">
        <v>0</v>
      </c>
      <c r="N56">
        <v>0.8</v>
      </c>
      <c r="O56">
        <v>0</v>
      </c>
      <c r="P56">
        <v>0</v>
      </c>
      <c r="Q56">
        <v>0.8</v>
      </c>
      <c r="R56">
        <v>0</v>
      </c>
      <c r="S56">
        <v>0</v>
      </c>
      <c r="T56">
        <v>0.8</v>
      </c>
      <c r="U56">
        <v>0</v>
      </c>
      <c r="V56">
        <v>0.8</v>
      </c>
      <c r="W56">
        <v>0.8</v>
      </c>
      <c r="X56">
        <v>0.8</v>
      </c>
      <c r="Y56">
        <v>0</v>
      </c>
      <c r="Z56">
        <v>0.8</v>
      </c>
    </row>
    <row r="57" spans="1:26" x14ac:dyDescent="0.15">
      <c r="A57">
        <v>56</v>
      </c>
      <c r="B57" s="195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0.8</v>
      </c>
      <c r="K57">
        <v>0</v>
      </c>
      <c r="L57">
        <v>0</v>
      </c>
      <c r="M57">
        <v>0.8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0.8</v>
      </c>
      <c r="W57">
        <v>0.8</v>
      </c>
      <c r="X57">
        <v>0.8</v>
      </c>
      <c r="Y57">
        <v>0</v>
      </c>
      <c r="Z57">
        <v>0</v>
      </c>
    </row>
    <row r="58" spans="1:26" x14ac:dyDescent="0.15">
      <c r="A58">
        <v>57</v>
      </c>
      <c r="B58" s="195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0.8</v>
      </c>
      <c r="U58">
        <v>0</v>
      </c>
      <c r="V58">
        <v>0.8</v>
      </c>
      <c r="W58">
        <v>0.8</v>
      </c>
      <c r="X58">
        <v>0</v>
      </c>
      <c r="Y58">
        <v>0</v>
      </c>
      <c r="Z58">
        <v>0</v>
      </c>
    </row>
    <row r="59" spans="1:26" x14ac:dyDescent="0.15">
      <c r="A59">
        <v>58</v>
      </c>
      <c r="B59" s="195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15">
      <c r="A60">
        <v>59</v>
      </c>
      <c r="B60" s="195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15">
      <c r="A61">
        <v>60</v>
      </c>
      <c r="B61" s="195" t="s">
        <v>252</v>
      </c>
      <c r="C61">
        <v>0</v>
      </c>
      <c r="D61">
        <v>0</v>
      </c>
      <c r="E61">
        <v>0</v>
      </c>
      <c r="F61">
        <v>0</v>
      </c>
      <c r="G61">
        <v>0.8</v>
      </c>
      <c r="H61">
        <v>0.8</v>
      </c>
      <c r="I61">
        <v>0</v>
      </c>
      <c r="J61">
        <v>0.8</v>
      </c>
      <c r="K61">
        <v>0</v>
      </c>
      <c r="L61">
        <v>0</v>
      </c>
      <c r="M61">
        <v>0</v>
      </c>
      <c r="N61">
        <v>0</v>
      </c>
      <c r="O61">
        <v>0</v>
      </c>
      <c r="P61">
        <v>0.8</v>
      </c>
      <c r="Q61">
        <v>0.8</v>
      </c>
      <c r="R61">
        <v>0</v>
      </c>
      <c r="S61">
        <v>0</v>
      </c>
      <c r="T61">
        <v>0.8</v>
      </c>
      <c r="U61">
        <v>0</v>
      </c>
      <c r="V61">
        <v>0.8</v>
      </c>
      <c r="W61">
        <v>0.8</v>
      </c>
      <c r="X61">
        <v>0.8</v>
      </c>
      <c r="Y61">
        <v>0</v>
      </c>
      <c r="Z61">
        <v>0.8</v>
      </c>
    </row>
    <row r="62" spans="1:26" x14ac:dyDescent="0.15">
      <c r="A62">
        <v>61</v>
      </c>
      <c r="B62" s="195" t="s">
        <v>253</v>
      </c>
      <c r="C62">
        <v>0</v>
      </c>
      <c r="D62">
        <v>0</v>
      </c>
      <c r="E62">
        <v>0</v>
      </c>
      <c r="F62">
        <v>0</v>
      </c>
      <c r="G62">
        <v>0.8</v>
      </c>
      <c r="H62">
        <v>0.8</v>
      </c>
      <c r="I62">
        <v>0</v>
      </c>
      <c r="J62">
        <v>0.8</v>
      </c>
      <c r="K62">
        <v>0.8</v>
      </c>
      <c r="L62">
        <v>0</v>
      </c>
      <c r="M62">
        <v>0</v>
      </c>
      <c r="N62">
        <v>0.8</v>
      </c>
      <c r="O62">
        <v>0</v>
      </c>
      <c r="P62">
        <v>0.8</v>
      </c>
      <c r="Q62">
        <v>0.8</v>
      </c>
      <c r="R62">
        <v>0</v>
      </c>
      <c r="S62">
        <v>0</v>
      </c>
      <c r="T62">
        <v>0</v>
      </c>
      <c r="U62">
        <v>0</v>
      </c>
      <c r="V62">
        <v>0</v>
      </c>
      <c r="W62">
        <v>0.8</v>
      </c>
      <c r="X62">
        <v>0.8</v>
      </c>
      <c r="Y62">
        <v>0</v>
      </c>
      <c r="Z62">
        <v>0</v>
      </c>
    </row>
    <row r="63" spans="1:26" x14ac:dyDescent="0.15">
      <c r="A63">
        <v>62</v>
      </c>
      <c r="B63" s="195" t="s">
        <v>254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0.8</v>
      </c>
    </row>
    <row r="64" spans="1:26" x14ac:dyDescent="0.15">
      <c r="A64">
        <v>63</v>
      </c>
      <c r="B64" s="195" t="s">
        <v>255</v>
      </c>
      <c r="C64">
        <v>0</v>
      </c>
      <c r="D64">
        <v>0</v>
      </c>
      <c r="E64">
        <v>0</v>
      </c>
      <c r="F64">
        <v>0</v>
      </c>
      <c r="G64">
        <v>0.8</v>
      </c>
      <c r="H64">
        <v>0.8</v>
      </c>
      <c r="I64">
        <v>0</v>
      </c>
      <c r="J64">
        <v>0.8</v>
      </c>
      <c r="K64">
        <v>0</v>
      </c>
      <c r="L64">
        <v>0</v>
      </c>
      <c r="M64">
        <v>0</v>
      </c>
      <c r="N64">
        <v>0.8</v>
      </c>
      <c r="O64">
        <v>0</v>
      </c>
      <c r="P64">
        <v>0.8</v>
      </c>
      <c r="Q64">
        <v>0.8</v>
      </c>
      <c r="R64">
        <v>0.8</v>
      </c>
      <c r="S64">
        <v>0</v>
      </c>
      <c r="T64">
        <v>0.8</v>
      </c>
      <c r="U64">
        <v>0</v>
      </c>
      <c r="V64">
        <v>0.8</v>
      </c>
      <c r="W64">
        <v>0.8</v>
      </c>
      <c r="X64">
        <v>0.8</v>
      </c>
      <c r="Y64">
        <v>0</v>
      </c>
      <c r="Z64">
        <v>0.8</v>
      </c>
    </row>
    <row r="65" spans="1:26" x14ac:dyDescent="0.15">
      <c r="A65">
        <v>64</v>
      </c>
      <c r="B65" s="195" t="s">
        <v>256</v>
      </c>
      <c r="C65">
        <v>0</v>
      </c>
      <c r="D65">
        <v>0</v>
      </c>
      <c r="E65">
        <v>0</v>
      </c>
      <c r="F65">
        <v>0</v>
      </c>
      <c r="G65">
        <v>0.8</v>
      </c>
      <c r="H65">
        <v>0.8</v>
      </c>
      <c r="I65">
        <v>0</v>
      </c>
      <c r="J65">
        <v>0.8</v>
      </c>
      <c r="K65">
        <v>0</v>
      </c>
      <c r="L65">
        <v>0</v>
      </c>
      <c r="M65">
        <v>0</v>
      </c>
      <c r="N65">
        <v>0.8</v>
      </c>
      <c r="O65">
        <v>0</v>
      </c>
      <c r="P65">
        <v>0.8</v>
      </c>
      <c r="Q65">
        <v>0.8</v>
      </c>
      <c r="R65">
        <v>0</v>
      </c>
      <c r="S65">
        <v>0</v>
      </c>
      <c r="T65">
        <v>0.8</v>
      </c>
      <c r="U65">
        <v>0</v>
      </c>
      <c r="V65">
        <v>0</v>
      </c>
      <c r="W65">
        <v>0</v>
      </c>
      <c r="X65">
        <v>0</v>
      </c>
      <c r="Y65">
        <v>0</v>
      </c>
      <c r="Z65">
        <v>0.8</v>
      </c>
    </row>
    <row r="66" spans="1:26" x14ac:dyDescent="0.15">
      <c r="A66">
        <v>65</v>
      </c>
      <c r="B66" s="195" t="s">
        <v>257</v>
      </c>
      <c r="C66">
        <v>0</v>
      </c>
      <c r="D66">
        <v>0</v>
      </c>
      <c r="E66">
        <v>0</v>
      </c>
      <c r="F66">
        <v>0</v>
      </c>
      <c r="G66">
        <v>0</v>
      </c>
      <c r="H66">
        <v>0.8</v>
      </c>
      <c r="I66">
        <v>0</v>
      </c>
      <c r="J66">
        <v>0.8</v>
      </c>
      <c r="K66">
        <v>0.8</v>
      </c>
      <c r="L66">
        <v>0.8</v>
      </c>
      <c r="M66">
        <v>0</v>
      </c>
      <c r="N66">
        <v>0.8</v>
      </c>
      <c r="O66">
        <v>0</v>
      </c>
      <c r="P66">
        <v>0</v>
      </c>
      <c r="Q66">
        <v>0</v>
      </c>
      <c r="R66">
        <v>0</v>
      </c>
      <c r="S66">
        <v>0</v>
      </c>
      <c r="T66">
        <v>0.8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15">
      <c r="A67">
        <v>66</v>
      </c>
      <c r="B67" s="195" t="s">
        <v>258</v>
      </c>
      <c r="C67">
        <v>0</v>
      </c>
      <c r="D67">
        <v>0</v>
      </c>
      <c r="E67">
        <v>0</v>
      </c>
      <c r="F67">
        <v>0</v>
      </c>
      <c r="G67">
        <v>0</v>
      </c>
      <c r="H67">
        <v>0.8</v>
      </c>
      <c r="I67">
        <v>0</v>
      </c>
      <c r="J67">
        <v>0</v>
      </c>
      <c r="K67">
        <v>0.8</v>
      </c>
      <c r="L67">
        <v>0.8</v>
      </c>
      <c r="M67">
        <v>0</v>
      </c>
      <c r="N67">
        <v>0.8</v>
      </c>
      <c r="O67">
        <v>0</v>
      </c>
      <c r="P67">
        <v>0.8</v>
      </c>
      <c r="Q67">
        <v>0.8</v>
      </c>
      <c r="R67">
        <v>0</v>
      </c>
      <c r="S67">
        <v>0</v>
      </c>
      <c r="T67">
        <v>0.8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15">
      <c r="A68">
        <v>67</v>
      </c>
      <c r="B68" s="195" t="s">
        <v>259</v>
      </c>
      <c r="C68">
        <v>0</v>
      </c>
      <c r="D68">
        <v>0</v>
      </c>
      <c r="E68">
        <v>0</v>
      </c>
      <c r="F68">
        <v>0</v>
      </c>
      <c r="G68">
        <v>0.8</v>
      </c>
      <c r="H68">
        <v>0.8</v>
      </c>
      <c r="I68">
        <v>0</v>
      </c>
      <c r="J68">
        <v>0.8</v>
      </c>
      <c r="K68">
        <v>0.8</v>
      </c>
      <c r="L68">
        <v>0.8</v>
      </c>
      <c r="M68">
        <v>0.8</v>
      </c>
      <c r="N68">
        <v>0.8</v>
      </c>
      <c r="O68">
        <v>0</v>
      </c>
      <c r="P68">
        <v>0</v>
      </c>
      <c r="Q68">
        <v>0</v>
      </c>
      <c r="R68">
        <v>0.8</v>
      </c>
      <c r="S68">
        <v>0</v>
      </c>
      <c r="T68">
        <v>0.8</v>
      </c>
      <c r="U68">
        <v>0</v>
      </c>
      <c r="V68">
        <v>0</v>
      </c>
      <c r="W68">
        <v>0</v>
      </c>
      <c r="X68">
        <v>0</v>
      </c>
      <c r="Y68">
        <v>0</v>
      </c>
      <c r="Z68">
        <v>0.8</v>
      </c>
    </row>
    <row r="69" spans="1:26" x14ac:dyDescent="0.15">
      <c r="A69">
        <v>68</v>
      </c>
      <c r="B69" s="195" t="s">
        <v>260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0.8</v>
      </c>
      <c r="S69">
        <v>0.8</v>
      </c>
      <c r="T69">
        <v>0.8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15">
      <c r="A70">
        <v>69</v>
      </c>
      <c r="B70" s="195" t="s">
        <v>261</v>
      </c>
      <c r="C70">
        <v>0</v>
      </c>
      <c r="D70">
        <v>0</v>
      </c>
      <c r="E70">
        <v>0</v>
      </c>
      <c r="F70">
        <v>0</v>
      </c>
      <c r="G70">
        <v>0</v>
      </c>
      <c r="H70">
        <v>0.8</v>
      </c>
      <c r="I70">
        <v>0</v>
      </c>
      <c r="J70">
        <v>0</v>
      </c>
      <c r="K70">
        <v>0.8</v>
      </c>
      <c r="L70">
        <v>0.8</v>
      </c>
      <c r="M70">
        <v>0.8</v>
      </c>
      <c r="N70">
        <v>0.8</v>
      </c>
      <c r="O70">
        <v>0</v>
      </c>
      <c r="P70">
        <v>0</v>
      </c>
      <c r="Q70">
        <v>0</v>
      </c>
      <c r="R70">
        <v>0.8</v>
      </c>
      <c r="S70">
        <v>0</v>
      </c>
      <c r="T70">
        <v>0.8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15">
      <c r="A71">
        <v>70</v>
      </c>
      <c r="B71" s="195" t="s">
        <v>262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0.8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15">
      <c r="A72">
        <v>71</v>
      </c>
      <c r="B72" s="195" t="s">
        <v>263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0.8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15">
      <c r="A73">
        <v>72</v>
      </c>
      <c r="B73" s="195" t="s">
        <v>264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15">
      <c r="A74">
        <v>73</v>
      </c>
      <c r="B74" s="195" t="s">
        <v>265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15">
      <c r="A75">
        <v>74</v>
      </c>
      <c r="B75" s="195" t="s">
        <v>266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15">
      <c r="A76">
        <v>75</v>
      </c>
      <c r="B76" s="195" t="s">
        <v>267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15">
      <c r="A77">
        <v>76</v>
      </c>
      <c r="B77" s="195" t="s">
        <v>268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Z7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7.6640625" bestFit="1" customWidth="1"/>
    <col min="3" max="4" width="3.83203125" bestFit="1" customWidth="1"/>
    <col min="5" max="26" width="3.83203125" customWidth="1"/>
  </cols>
  <sheetData>
    <row r="1" spans="1:26" ht="112" x14ac:dyDescent="0.15">
      <c r="A1" s="5" t="s">
        <v>82</v>
      </c>
      <c r="B1" s="3" t="s">
        <v>0</v>
      </c>
      <c r="C1" s="198" t="s">
        <v>269</v>
      </c>
      <c r="D1" s="198" t="s">
        <v>270</v>
      </c>
      <c r="E1" s="198" t="s">
        <v>271</v>
      </c>
      <c r="F1" s="198" t="s">
        <v>272</v>
      </c>
      <c r="G1" s="198" t="s">
        <v>273</v>
      </c>
      <c r="H1" s="198" t="s">
        <v>274</v>
      </c>
      <c r="I1" s="198" t="s">
        <v>275</v>
      </c>
      <c r="J1" s="198" t="s">
        <v>276</v>
      </c>
      <c r="K1" s="198" t="s">
        <v>277</v>
      </c>
      <c r="L1" s="198" t="s">
        <v>278</v>
      </c>
      <c r="M1" s="198" t="s">
        <v>279</v>
      </c>
      <c r="N1" s="198" t="s">
        <v>280</v>
      </c>
      <c r="O1" s="198" t="s">
        <v>281</v>
      </c>
      <c r="P1" s="198" t="s">
        <v>282</v>
      </c>
      <c r="Q1" s="198" t="s">
        <v>283</v>
      </c>
      <c r="R1" s="198" t="s">
        <v>284</v>
      </c>
      <c r="S1" s="198" t="s">
        <v>285</v>
      </c>
      <c r="T1" s="198" t="s">
        <v>286</v>
      </c>
      <c r="U1" s="198" t="s">
        <v>287</v>
      </c>
      <c r="V1" s="198" t="s">
        <v>288</v>
      </c>
      <c r="W1" s="198" t="s">
        <v>289</v>
      </c>
      <c r="X1" s="198" t="s">
        <v>290</v>
      </c>
      <c r="Y1" s="198" t="s">
        <v>291</v>
      </c>
      <c r="Z1" s="198" t="s">
        <v>292</v>
      </c>
    </row>
    <row r="2" spans="1:26" x14ac:dyDescent="0.15">
      <c r="A2">
        <v>1</v>
      </c>
      <c r="B2" s="197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15">
      <c r="A3">
        <v>2</v>
      </c>
      <c r="B3" s="19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0.8</v>
      </c>
    </row>
    <row r="4" spans="1:26" x14ac:dyDescent="0.15">
      <c r="A4">
        <v>3</v>
      </c>
      <c r="B4" s="197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0.8</v>
      </c>
    </row>
    <row r="5" spans="1:26" x14ac:dyDescent="0.15">
      <c r="A5">
        <v>4</v>
      </c>
      <c r="B5" s="197" t="s">
        <v>196</v>
      </c>
      <c r="C5">
        <v>0.8</v>
      </c>
      <c r="D5">
        <v>0.8</v>
      </c>
      <c r="E5">
        <v>0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0.8</v>
      </c>
      <c r="U5">
        <v>0</v>
      </c>
      <c r="V5">
        <v>0</v>
      </c>
      <c r="W5">
        <v>0</v>
      </c>
      <c r="X5">
        <v>0</v>
      </c>
      <c r="Y5">
        <v>0</v>
      </c>
      <c r="Z5">
        <v>0.8</v>
      </c>
    </row>
    <row r="6" spans="1:26" x14ac:dyDescent="0.15">
      <c r="A6">
        <v>5</v>
      </c>
      <c r="B6" s="197" t="s">
        <v>197</v>
      </c>
      <c r="C6">
        <v>0.8</v>
      </c>
      <c r="D6">
        <v>0</v>
      </c>
      <c r="E6">
        <v>0</v>
      </c>
      <c r="F6">
        <v>0.8</v>
      </c>
      <c r="G6">
        <v>0</v>
      </c>
      <c r="H6">
        <v>0.8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0.8</v>
      </c>
    </row>
    <row r="7" spans="1:26" x14ac:dyDescent="0.15">
      <c r="A7">
        <v>6</v>
      </c>
      <c r="B7" s="197" t="s">
        <v>198</v>
      </c>
      <c r="C7">
        <v>0.8</v>
      </c>
      <c r="D7">
        <v>0</v>
      </c>
      <c r="E7">
        <v>0</v>
      </c>
      <c r="F7">
        <v>0.8</v>
      </c>
      <c r="G7">
        <v>0</v>
      </c>
      <c r="H7">
        <v>0.8</v>
      </c>
      <c r="I7">
        <v>0.8</v>
      </c>
      <c r="J7">
        <v>0.8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0.8</v>
      </c>
    </row>
    <row r="8" spans="1:26" x14ac:dyDescent="0.15">
      <c r="A8">
        <v>7</v>
      </c>
      <c r="B8" s="197" t="s">
        <v>199</v>
      </c>
      <c r="C8">
        <v>0.8</v>
      </c>
      <c r="D8">
        <v>0</v>
      </c>
      <c r="E8">
        <v>0.8</v>
      </c>
      <c r="F8">
        <v>0.8</v>
      </c>
      <c r="G8">
        <v>0</v>
      </c>
      <c r="H8">
        <v>0.8</v>
      </c>
      <c r="I8">
        <v>0.8</v>
      </c>
      <c r="J8">
        <v>0.8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0.8</v>
      </c>
    </row>
    <row r="9" spans="1:26" x14ac:dyDescent="0.15">
      <c r="A9">
        <v>8</v>
      </c>
      <c r="B9" s="197" t="s">
        <v>200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  <c r="I9">
        <v>0.8</v>
      </c>
      <c r="J9">
        <v>0.8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0.8</v>
      </c>
      <c r="U9">
        <v>0</v>
      </c>
      <c r="V9">
        <v>0.8</v>
      </c>
      <c r="W9">
        <v>0</v>
      </c>
      <c r="X9">
        <v>0</v>
      </c>
      <c r="Y9">
        <v>0</v>
      </c>
      <c r="Z9">
        <v>0.8</v>
      </c>
    </row>
    <row r="10" spans="1:26" x14ac:dyDescent="0.15">
      <c r="A10">
        <v>9</v>
      </c>
      <c r="B10" s="197" t="s">
        <v>201</v>
      </c>
      <c r="C10">
        <v>0.8</v>
      </c>
      <c r="D10">
        <v>0</v>
      </c>
      <c r="E10">
        <v>0</v>
      </c>
      <c r="F10">
        <v>0.8</v>
      </c>
      <c r="G10">
        <v>0.8</v>
      </c>
      <c r="H10">
        <v>0.8</v>
      </c>
      <c r="I10">
        <v>0</v>
      </c>
      <c r="J10">
        <v>0.8</v>
      </c>
      <c r="K10">
        <v>0</v>
      </c>
      <c r="L10">
        <v>0</v>
      </c>
      <c r="M10">
        <v>0</v>
      </c>
      <c r="N10">
        <v>0.8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0.8</v>
      </c>
    </row>
    <row r="11" spans="1:26" x14ac:dyDescent="0.15">
      <c r="A11">
        <v>10</v>
      </c>
      <c r="B11" s="197" t="s">
        <v>202</v>
      </c>
      <c r="C11">
        <v>0.8</v>
      </c>
      <c r="D11">
        <v>0</v>
      </c>
      <c r="E11">
        <v>0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</v>
      </c>
      <c r="L11">
        <v>0</v>
      </c>
      <c r="M11">
        <v>0</v>
      </c>
      <c r="N11">
        <v>0.8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0.8</v>
      </c>
    </row>
    <row r="12" spans="1:26" x14ac:dyDescent="0.15">
      <c r="A12">
        <v>11</v>
      </c>
      <c r="B12" s="197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0.8</v>
      </c>
      <c r="J12">
        <v>0.8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0.8</v>
      </c>
      <c r="U12">
        <v>0</v>
      </c>
      <c r="V12">
        <v>0.8</v>
      </c>
      <c r="W12">
        <v>0.8</v>
      </c>
      <c r="X12">
        <v>0</v>
      </c>
      <c r="Y12">
        <v>0</v>
      </c>
      <c r="Z12">
        <v>0.8</v>
      </c>
    </row>
    <row r="13" spans="1:26" x14ac:dyDescent="0.15">
      <c r="A13">
        <v>12</v>
      </c>
      <c r="B13" s="197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0.8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0.8</v>
      </c>
    </row>
    <row r="14" spans="1:26" x14ac:dyDescent="0.15">
      <c r="A14">
        <v>13</v>
      </c>
      <c r="B14" s="197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0.8</v>
      </c>
      <c r="J14">
        <v>0.8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0.8</v>
      </c>
      <c r="U14">
        <v>0</v>
      </c>
      <c r="V14">
        <v>0.8</v>
      </c>
      <c r="W14">
        <v>0.8</v>
      </c>
      <c r="X14">
        <v>0</v>
      </c>
      <c r="Y14">
        <v>0</v>
      </c>
      <c r="Z14">
        <v>0.8</v>
      </c>
    </row>
    <row r="15" spans="1:26" x14ac:dyDescent="0.15">
      <c r="A15">
        <v>14</v>
      </c>
      <c r="B15" s="197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0.8</v>
      </c>
    </row>
    <row r="16" spans="1:26" x14ac:dyDescent="0.15">
      <c r="A16">
        <v>15</v>
      </c>
      <c r="B16" s="197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0.8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0.8</v>
      </c>
      <c r="U16">
        <v>0</v>
      </c>
      <c r="V16">
        <v>0.8</v>
      </c>
      <c r="W16">
        <v>0.8</v>
      </c>
      <c r="X16">
        <v>0</v>
      </c>
      <c r="Y16">
        <v>0</v>
      </c>
      <c r="Z16">
        <v>0.8</v>
      </c>
    </row>
    <row r="17" spans="1:26" x14ac:dyDescent="0.15">
      <c r="A17">
        <v>16</v>
      </c>
      <c r="B17" s="197" t="s">
        <v>208</v>
      </c>
      <c r="C17">
        <v>0</v>
      </c>
      <c r="D17">
        <v>0</v>
      </c>
      <c r="E17">
        <v>0</v>
      </c>
      <c r="F17">
        <v>0</v>
      </c>
      <c r="G17">
        <v>0.8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</v>
      </c>
      <c r="N17">
        <v>0.8</v>
      </c>
      <c r="O17">
        <v>0</v>
      </c>
      <c r="P17">
        <v>0.8</v>
      </c>
      <c r="Q17">
        <v>0.8</v>
      </c>
      <c r="R17">
        <v>0.8</v>
      </c>
      <c r="S17">
        <v>0</v>
      </c>
      <c r="T17">
        <v>0.8</v>
      </c>
      <c r="U17">
        <v>0</v>
      </c>
      <c r="V17">
        <v>0.8</v>
      </c>
      <c r="W17">
        <v>0.8</v>
      </c>
      <c r="X17">
        <v>0.8</v>
      </c>
      <c r="Y17">
        <v>0</v>
      </c>
      <c r="Z17">
        <v>0.8</v>
      </c>
    </row>
    <row r="18" spans="1:26" x14ac:dyDescent="0.15">
      <c r="A18">
        <v>17</v>
      </c>
      <c r="B18" s="197" t="s">
        <v>209</v>
      </c>
      <c r="C18">
        <v>0</v>
      </c>
      <c r="D18">
        <v>0</v>
      </c>
      <c r="E18">
        <v>0.8</v>
      </c>
      <c r="F18">
        <v>0</v>
      </c>
      <c r="G18">
        <v>0</v>
      </c>
      <c r="H18">
        <v>0</v>
      </c>
      <c r="I18">
        <v>0.8</v>
      </c>
      <c r="J18">
        <v>0.8</v>
      </c>
      <c r="K18">
        <v>0.8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0.8</v>
      </c>
      <c r="S18">
        <v>0</v>
      </c>
      <c r="T18">
        <v>0.8</v>
      </c>
      <c r="U18">
        <v>0.8</v>
      </c>
      <c r="V18">
        <v>0.8</v>
      </c>
      <c r="W18">
        <v>0.8</v>
      </c>
      <c r="X18">
        <v>0</v>
      </c>
      <c r="Y18">
        <v>0.8</v>
      </c>
      <c r="Z18">
        <v>0.8</v>
      </c>
    </row>
    <row r="19" spans="1:26" x14ac:dyDescent="0.15">
      <c r="A19">
        <v>18</v>
      </c>
      <c r="B19" s="197" t="s">
        <v>210</v>
      </c>
      <c r="C19">
        <v>0</v>
      </c>
      <c r="D19">
        <v>0</v>
      </c>
      <c r="E19">
        <v>0.8</v>
      </c>
      <c r="F19">
        <v>0</v>
      </c>
      <c r="G19">
        <v>0</v>
      </c>
      <c r="H19">
        <v>0</v>
      </c>
      <c r="I19">
        <v>0.8</v>
      </c>
      <c r="J19">
        <v>0.8</v>
      </c>
      <c r="K19">
        <v>0.8</v>
      </c>
      <c r="L19">
        <v>0</v>
      </c>
      <c r="M19">
        <v>0</v>
      </c>
      <c r="N19">
        <v>0.8</v>
      </c>
      <c r="O19">
        <v>0</v>
      </c>
      <c r="P19">
        <v>0.8</v>
      </c>
      <c r="Q19">
        <v>0</v>
      </c>
      <c r="R19">
        <v>0.8</v>
      </c>
      <c r="S19">
        <v>0</v>
      </c>
      <c r="T19">
        <v>0.8</v>
      </c>
      <c r="U19">
        <v>0.8</v>
      </c>
      <c r="V19">
        <v>0.8</v>
      </c>
      <c r="W19">
        <v>0.8</v>
      </c>
      <c r="X19">
        <v>0.8</v>
      </c>
      <c r="Y19">
        <v>0</v>
      </c>
      <c r="Z19">
        <v>0.8</v>
      </c>
    </row>
    <row r="20" spans="1:26" x14ac:dyDescent="0.15">
      <c r="A20">
        <v>19</v>
      </c>
      <c r="B20" s="197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15">
      <c r="A21">
        <v>20</v>
      </c>
      <c r="B21" s="197" t="s">
        <v>212</v>
      </c>
      <c r="C21">
        <v>0</v>
      </c>
      <c r="D21">
        <v>0</v>
      </c>
      <c r="E21">
        <v>0</v>
      </c>
      <c r="F21">
        <v>0</v>
      </c>
      <c r="G21">
        <v>0.8</v>
      </c>
      <c r="H21">
        <v>0.8</v>
      </c>
      <c r="I21">
        <v>0.8</v>
      </c>
      <c r="J21">
        <v>0.8</v>
      </c>
      <c r="K21">
        <v>0</v>
      </c>
      <c r="L21">
        <v>0</v>
      </c>
      <c r="M21">
        <v>0</v>
      </c>
      <c r="N21">
        <v>0.8</v>
      </c>
      <c r="O21">
        <v>0</v>
      </c>
      <c r="P21">
        <v>0</v>
      </c>
      <c r="Q21">
        <v>0</v>
      </c>
      <c r="R21">
        <v>0.8</v>
      </c>
      <c r="S21">
        <v>0</v>
      </c>
      <c r="T21">
        <v>0.8</v>
      </c>
      <c r="U21">
        <v>0.8</v>
      </c>
      <c r="V21">
        <v>0.8</v>
      </c>
      <c r="W21">
        <v>0.8</v>
      </c>
      <c r="X21">
        <v>0.8</v>
      </c>
      <c r="Y21">
        <v>0.8</v>
      </c>
      <c r="Z21">
        <v>0</v>
      </c>
    </row>
    <row r="22" spans="1:26" x14ac:dyDescent="0.15">
      <c r="A22">
        <v>21</v>
      </c>
      <c r="B22" s="197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15">
      <c r="A23">
        <v>22</v>
      </c>
      <c r="B23" s="197" t="s">
        <v>214</v>
      </c>
      <c r="C23">
        <v>0</v>
      </c>
      <c r="D23">
        <v>0</v>
      </c>
      <c r="E23">
        <v>0</v>
      </c>
      <c r="F23">
        <v>0</v>
      </c>
      <c r="G23">
        <v>0.8</v>
      </c>
      <c r="H23">
        <v>0.8</v>
      </c>
      <c r="I23">
        <v>0.8</v>
      </c>
      <c r="J23">
        <v>0.8</v>
      </c>
      <c r="K23">
        <v>0</v>
      </c>
      <c r="L23">
        <v>0</v>
      </c>
      <c r="M23">
        <v>0</v>
      </c>
      <c r="N23">
        <v>0.8</v>
      </c>
      <c r="O23">
        <v>0</v>
      </c>
      <c r="P23">
        <v>0.8</v>
      </c>
      <c r="Q23">
        <v>0.8</v>
      </c>
      <c r="R23">
        <v>0</v>
      </c>
      <c r="S23">
        <v>0</v>
      </c>
      <c r="T23">
        <v>0.8</v>
      </c>
      <c r="U23">
        <v>0.8</v>
      </c>
      <c r="V23">
        <v>0.8</v>
      </c>
      <c r="W23">
        <v>0.8</v>
      </c>
      <c r="X23">
        <v>0.8</v>
      </c>
      <c r="Y23">
        <v>0</v>
      </c>
      <c r="Z23">
        <v>0.8</v>
      </c>
    </row>
    <row r="24" spans="1:26" x14ac:dyDescent="0.15">
      <c r="A24">
        <v>23</v>
      </c>
      <c r="B24" s="197" t="s">
        <v>215</v>
      </c>
      <c r="C24">
        <v>0</v>
      </c>
      <c r="D24">
        <v>0</v>
      </c>
      <c r="E24">
        <v>0</v>
      </c>
      <c r="F24">
        <v>0</v>
      </c>
      <c r="G24">
        <v>0.8</v>
      </c>
      <c r="H24">
        <v>0.8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0.8</v>
      </c>
      <c r="U24">
        <v>0</v>
      </c>
      <c r="V24">
        <v>0.8</v>
      </c>
      <c r="W24">
        <v>0.8</v>
      </c>
      <c r="X24">
        <v>0.8</v>
      </c>
      <c r="Y24">
        <v>0</v>
      </c>
      <c r="Z24">
        <v>0.8</v>
      </c>
    </row>
    <row r="25" spans="1:26" x14ac:dyDescent="0.15">
      <c r="A25">
        <v>24</v>
      </c>
      <c r="B25" s="197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15">
      <c r="A26">
        <v>25</v>
      </c>
      <c r="B26" s="197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0.8</v>
      </c>
    </row>
    <row r="27" spans="1:26" x14ac:dyDescent="0.15">
      <c r="A27">
        <v>26</v>
      </c>
      <c r="B27" s="19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0.8</v>
      </c>
      <c r="J27">
        <v>0.8</v>
      </c>
      <c r="K27">
        <v>0.8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0.8</v>
      </c>
      <c r="S27">
        <v>0</v>
      </c>
      <c r="T27">
        <v>0.8</v>
      </c>
      <c r="U27">
        <v>0.8</v>
      </c>
      <c r="V27">
        <v>0.8</v>
      </c>
      <c r="W27">
        <v>0.8</v>
      </c>
      <c r="X27">
        <v>0</v>
      </c>
      <c r="Y27">
        <v>0</v>
      </c>
      <c r="Z27">
        <v>0.8</v>
      </c>
    </row>
    <row r="28" spans="1:26" x14ac:dyDescent="0.15">
      <c r="A28">
        <v>27</v>
      </c>
      <c r="B28" s="197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15">
      <c r="A29">
        <v>28</v>
      </c>
      <c r="B29" s="197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0.8</v>
      </c>
    </row>
    <row r="30" spans="1:26" x14ac:dyDescent="0.15">
      <c r="A30">
        <v>29</v>
      </c>
      <c r="B30" s="197" t="s">
        <v>221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0.8</v>
      </c>
      <c r="J30">
        <v>0.8</v>
      </c>
      <c r="K30">
        <v>0.8</v>
      </c>
      <c r="L30">
        <v>0</v>
      </c>
      <c r="M30">
        <v>0.8</v>
      </c>
      <c r="N30">
        <v>0</v>
      </c>
      <c r="O30">
        <v>0</v>
      </c>
      <c r="P30">
        <v>0</v>
      </c>
      <c r="Q30">
        <v>0</v>
      </c>
      <c r="R30">
        <v>0.8</v>
      </c>
      <c r="S30">
        <v>0</v>
      </c>
      <c r="T30">
        <v>0.8</v>
      </c>
      <c r="U30">
        <v>0.8</v>
      </c>
      <c r="V30">
        <v>0.8</v>
      </c>
      <c r="W30">
        <v>0.8</v>
      </c>
      <c r="X30">
        <v>0.8</v>
      </c>
      <c r="Y30">
        <v>0</v>
      </c>
      <c r="Z30">
        <v>0.8</v>
      </c>
    </row>
    <row r="31" spans="1:26" x14ac:dyDescent="0.15">
      <c r="A31">
        <v>30</v>
      </c>
      <c r="B31" s="197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15">
      <c r="A32">
        <v>31</v>
      </c>
      <c r="B32" s="197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0.8</v>
      </c>
    </row>
    <row r="33" spans="1:26" x14ac:dyDescent="0.15">
      <c r="A33">
        <v>32</v>
      </c>
      <c r="B33" s="197" t="s">
        <v>224</v>
      </c>
      <c r="C33">
        <v>0.8</v>
      </c>
      <c r="D33">
        <v>0</v>
      </c>
      <c r="E33">
        <v>0</v>
      </c>
      <c r="F33">
        <v>0</v>
      </c>
      <c r="G33">
        <v>0</v>
      </c>
      <c r="H33">
        <v>0</v>
      </c>
      <c r="I33">
        <v>0.8</v>
      </c>
      <c r="J33">
        <v>0.8</v>
      </c>
      <c r="K33">
        <v>0.8</v>
      </c>
      <c r="L33">
        <v>0</v>
      </c>
      <c r="M33">
        <v>0.8</v>
      </c>
      <c r="N33">
        <v>0</v>
      </c>
      <c r="O33">
        <v>0</v>
      </c>
      <c r="P33">
        <v>0</v>
      </c>
      <c r="Q33">
        <v>0</v>
      </c>
      <c r="R33">
        <v>0.8</v>
      </c>
      <c r="S33">
        <v>0</v>
      </c>
      <c r="T33">
        <v>0.8</v>
      </c>
      <c r="U33">
        <v>0.8</v>
      </c>
      <c r="V33">
        <v>0.8</v>
      </c>
      <c r="W33">
        <v>0.8</v>
      </c>
      <c r="X33">
        <v>0</v>
      </c>
      <c r="Y33">
        <v>0</v>
      </c>
      <c r="Z33">
        <v>0.8</v>
      </c>
    </row>
    <row r="34" spans="1:26" x14ac:dyDescent="0.15">
      <c r="A34">
        <v>33</v>
      </c>
      <c r="B34" s="197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15">
      <c r="A35">
        <v>34</v>
      </c>
      <c r="B35" s="197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0.8</v>
      </c>
    </row>
    <row r="36" spans="1:26" x14ac:dyDescent="0.15">
      <c r="A36">
        <v>35</v>
      </c>
      <c r="B36" s="197" t="s">
        <v>227</v>
      </c>
      <c r="C36">
        <v>0.8</v>
      </c>
      <c r="D36">
        <v>0</v>
      </c>
      <c r="E36">
        <v>0</v>
      </c>
      <c r="F36">
        <v>0</v>
      </c>
      <c r="G36">
        <v>0</v>
      </c>
      <c r="H36">
        <v>0</v>
      </c>
      <c r="I36">
        <v>0.8</v>
      </c>
      <c r="J36">
        <v>0.8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0.8</v>
      </c>
      <c r="U36">
        <v>0.8</v>
      </c>
      <c r="V36">
        <v>0</v>
      </c>
      <c r="W36">
        <v>0</v>
      </c>
      <c r="X36">
        <v>0</v>
      </c>
      <c r="Y36">
        <v>0.8</v>
      </c>
      <c r="Z36">
        <v>0.8</v>
      </c>
    </row>
    <row r="37" spans="1:26" x14ac:dyDescent="0.15">
      <c r="A37">
        <v>36</v>
      </c>
      <c r="B37" s="197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0.8</v>
      </c>
    </row>
    <row r="38" spans="1:26" x14ac:dyDescent="0.15">
      <c r="A38">
        <v>37</v>
      </c>
      <c r="B38" s="197" t="s">
        <v>229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0.8</v>
      </c>
      <c r="J38">
        <v>0.8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</v>
      </c>
      <c r="U38">
        <v>0</v>
      </c>
      <c r="V38">
        <v>0.8</v>
      </c>
      <c r="W38">
        <v>0.8</v>
      </c>
      <c r="X38">
        <v>0</v>
      </c>
      <c r="Y38">
        <v>0</v>
      </c>
      <c r="Z38">
        <v>0.8</v>
      </c>
    </row>
    <row r="39" spans="1:26" x14ac:dyDescent="0.15">
      <c r="A39">
        <v>38</v>
      </c>
      <c r="B39" s="197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0.8</v>
      </c>
      <c r="J39">
        <v>0.8</v>
      </c>
      <c r="K39">
        <v>0.8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0.8</v>
      </c>
      <c r="S39">
        <v>0</v>
      </c>
      <c r="T39">
        <v>0.8</v>
      </c>
      <c r="U39">
        <v>0</v>
      </c>
      <c r="V39">
        <v>0.8</v>
      </c>
      <c r="W39">
        <v>0.8</v>
      </c>
      <c r="X39">
        <v>0</v>
      </c>
      <c r="Y39">
        <v>0</v>
      </c>
      <c r="Z39">
        <v>0.8</v>
      </c>
    </row>
    <row r="40" spans="1:26" x14ac:dyDescent="0.15">
      <c r="A40">
        <v>39</v>
      </c>
      <c r="B40" s="197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15">
      <c r="A41">
        <v>40</v>
      </c>
      <c r="B41" s="197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0.8</v>
      </c>
      <c r="J41">
        <v>0.8</v>
      </c>
      <c r="K41">
        <v>0.8</v>
      </c>
      <c r="L41">
        <v>0</v>
      </c>
      <c r="M41">
        <v>0</v>
      </c>
      <c r="N41">
        <v>0.8</v>
      </c>
      <c r="O41">
        <v>0</v>
      </c>
      <c r="P41">
        <v>0</v>
      </c>
      <c r="Q41">
        <v>0</v>
      </c>
      <c r="R41">
        <v>0.8</v>
      </c>
      <c r="S41">
        <v>0</v>
      </c>
      <c r="T41">
        <v>0.8</v>
      </c>
      <c r="U41">
        <v>0.8</v>
      </c>
      <c r="V41">
        <v>0.8</v>
      </c>
      <c r="W41">
        <v>0.8</v>
      </c>
      <c r="X41">
        <v>0.8</v>
      </c>
      <c r="Y41">
        <v>0.8</v>
      </c>
      <c r="Z41">
        <v>0</v>
      </c>
    </row>
    <row r="42" spans="1:26" x14ac:dyDescent="0.15">
      <c r="A42">
        <v>41</v>
      </c>
      <c r="B42" s="197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0.8</v>
      </c>
      <c r="J42">
        <v>0.8</v>
      </c>
      <c r="K42">
        <v>0.8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0.8</v>
      </c>
      <c r="S42">
        <v>0</v>
      </c>
      <c r="T42">
        <v>0.8</v>
      </c>
      <c r="U42">
        <v>0</v>
      </c>
      <c r="V42">
        <v>0.8</v>
      </c>
      <c r="W42">
        <v>0.8</v>
      </c>
      <c r="X42">
        <v>0</v>
      </c>
      <c r="Y42">
        <v>0</v>
      </c>
      <c r="Z42">
        <v>0</v>
      </c>
    </row>
    <row r="43" spans="1:26" x14ac:dyDescent="0.15">
      <c r="A43">
        <v>42</v>
      </c>
      <c r="B43" s="197" t="s">
        <v>234</v>
      </c>
      <c r="C43">
        <v>0.8</v>
      </c>
      <c r="D43">
        <v>0</v>
      </c>
      <c r="E43">
        <v>0</v>
      </c>
      <c r="F43">
        <v>0</v>
      </c>
      <c r="G43">
        <v>0</v>
      </c>
      <c r="H43">
        <v>0</v>
      </c>
      <c r="I43">
        <v>0.8</v>
      </c>
      <c r="J43">
        <v>0.8</v>
      </c>
      <c r="K43">
        <v>0.8</v>
      </c>
      <c r="L43">
        <v>0</v>
      </c>
      <c r="M43">
        <v>0.8</v>
      </c>
      <c r="N43">
        <v>0</v>
      </c>
      <c r="O43">
        <v>0</v>
      </c>
      <c r="P43">
        <v>0</v>
      </c>
      <c r="Q43">
        <v>0</v>
      </c>
      <c r="R43">
        <v>0.8</v>
      </c>
      <c r="S43">
        <v>0</v>
      </c>
      <c r="T43">
        <v>0.8</v>
      </c>
      <c r="U43">
        <v>0.8</v>
      </c>
      <c r="V43">
        <v>0.8</v>
      </c>
      <c r="W43">
        <v>0.8</v>
      </c>
      <c r="X43">
        <v>0.8</v>
      </c>
      <c r="Y43">
        <v>0.8</v>
      </c>
      <c r="Z43">
        <v>0</v>
      </c>
    </row>
    <row r="44" spans="1:26" x14ac:dyDescent="0.15">
      <c r="A44">
        <v>43</v>
      </c>
      <c r="B44" s="197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0.8</v>
      </c>
      <c r="J44">
        <v>0.8</v>
      </c>
      <c r="K44">
        <v>0.8</v>
      </c>
      <c r="L44">
        <v>0</v>
      </c>
      <c r="M44">
        <v>0.8</v>
      </c>
      <c r="N44">
        <v>0</v>
      </c>
      <c r="O44">
        <v>0</v>
      </c>
      <c r="P44">
        <v>0.8</v>
      </c>
      <c r="Q44">
        <v>0.8</v>
      </c>
      <c r="R44">
        <v>0.8</v>
      </c>
      <c r="S44">
        <v>0</v>
      </c>
      <c r="T44">
        <v>0.8</v>
      </c>
      <c r="U44">
        <v>0</v>
      </c>
      <c r="V44">
        <v>0.8</v>
      </c>
      <c r="W44">
        <v>0.8</v>
      </c>
      <c r="X44">
        <v>0.8</v>
      </c>
      <c r="Y44">
        <v>0</v>
      </c>
      <c r="Z44">
        <v>0.8</v>
      </c>
    </row>
    <row r="45" spans="1:26" x14ac:dyDescent="0.15">
      <c r="A45">
        <v>44</v>
      </c>
      <c r="B45" s="197" t="s">
        <v>236</v>
      </c>
      <c r="C45">
        <v>0</v>
      </c>
      <c r="D45">
        <v>0</v>
      </c>
      <c r="E45">
        <v>0</v>
      </c>
      <c r="F45">
        <v>0</v>
      </c>
      <c r="G45">
        <v>0.8</v>
      </c>
      <c r="H45">
        <v>0.8</v>
      </c>
      <c r="I45">
        <v>0</v>
      </c>
      <c r="J45">
        <v>0.8</v>
      </c>
      <c r="K45">
        <v>0</v>
      </c>
      <c r="L45">
        <v>0</v>
      </c>
      <c r="M45">
        <v>0</v>
      </c>
      <c r="N45">
        <v>0</v>
      </c>
      <c r="O45">
        <v>0</v>
      </c>
      <c r="P45">
        <v>0.8</v>
      </c>
      <c r="Q45">
        <v>0.8</v>
      </c>
      <c r="R45">
        <v>0</v>
      </c>
      <c r="S45">
        <v>0</v>
      </c>
      <c r="T45">
        <v>0.8</v>
      </c>
      <c r="U45">
        <v>0</v>
      </c>
      <c r="V45">
        <v>0.8</v>
      </c>
      <c r="W45">
        <v>0.8</v>
      </c>
      <c r="X45">
        <v>0.8</v>
      </c>
      <c r="Y45">
        <v>0</v>
      </c>
      <c r="Z45">
        <v>0.8</v>
      </c>
    </row>
    <row r="46" spans="1:26" x14ac:dyDescent="0.15">
      <c r="A46">
        <v>45</v>
      </c>
      <c r="B46" s="197" t="s">
        <v>237</v>
      </c>
      <c r="C46">
        <v>0</v>
      </c>
      <c r="D46">
        <v>0</v>
      </c>
      <c r="E46">
        <v>0</v>
      </c>
      <c r="F46">
        <v>0</v>
      </c>
      <c r="G46">
        <v>0.8</v>
      </c>
      <c r="H46">
        <v>0</v>
      </c>
      <c r="I46">
        <v>0</v>
      </c>
      <c r="J46">
        <v>0.8</v>
      </c>
      <c r="K46">
        <v>0</v>
      </c>
      <c r="L46">
        <v>0</v>
      </c>
      <c r="M46">
        <v>0</v>
      </c>
      <c r="N46">
        <v>0.8</v>
      </c>
      <c r="O46">
        <v>0</v>
      </c>
      <c r="P46">
        <v>0.8</v>
      </c>
      <c r="Q46">
        <v>0</v>
      </c>
      <c r="R46">
        <v>0</v>
      </c>
      <c r="S46">
        <v>0</v>
      </c>
      <c r="T46">
        <v>0.8</v>
      </c>
      <c r="U46">
        <v>0</v>
      </c>
      <c r="V46">
        <v>0.8</v>
      </c>
      <c r="W46">
        <v>0.8</v>
      </c>
      <c r="X46">
        <v>0.8</v>
      </c>
      <c r="Y46">
        <v>0</v>
      </c>
      <c r="Z46">
        <v>0.8</v>
      </c>
    </row>
    <row r="47" spans="1:26" x14ac:dyDescent="0.15">
      <c r="A47">
        <v>46</v>
      </c>
      <c r="B47" s="197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0.8</v>
      </c>
      <c r="I47">
        <v>0.8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0.8</v>
      </c>
      <c r="U47">
        <v>0</v>
      </c>
      <c r="V47">
        <v>0.8</v>
      </c>
      <c r="W47">
        <v>0.8</v>
      </c>
      <c r="X47">
        <v>0</v>
      </c>
      <c r="Y47">
        <v>0</v>
      </c>
      <c r="Z47">
        <v>0</v>
      </c>
    </row>
    <row r="48" spans="1:26" x14ac:dyDescent="0.15">
      <c r="A48">
        <v>47</v>
      </c>
      <c r="B48" s="197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0.8</v>
      </c>
      <c r="K48">
        <v>0</v>
      </c>
      <c r="L48">
        <v>0.8</v>
      </c>
      <c r="M48">
        <v>0</v>
      </c>
      <c r="N48">
        <v>0.8</v>
      </c>
      <c r="O48">
        <v>0.8</v>
      </c>
      <c r="P48">
        <v>0</v>
      </c>
      <c r="Q48">
        <v>0</v>
      </c>
      <c r="R48">
        <v>0.8</v>
      </c>
      <c r="S48">
        <v>0</v>
      </c>
      <c r="T48">
        <v>0.8</v>
      </c>
      <c r="U48">
        <v>0</v>
      </c>
      <c r="V48">
        <v>0.8</v>
      </c>
      <c r="W48">
        <v>0.8</v>
      </c>
      <c r="X48">
        <v>0.8</v>
      </c>
      <c r="Y48">
        <v>0</v>
      </c>
      <c r="Z48">
        <v>0.8</v>
      </c>
    </row>
    <row r="49" spans="1:26" x14ac:dyDescent="0.15">
      <c r="A49">
        <v>48</v>
      </c>
      <c r="B49" s="197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0.8</v>
      </c>
      <c r="J49">
        <v>0.8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0.8</v>
      </c>
      <c r="S49">
        <v>0</v>
      </c>
      <c r="T49">
        <v>0.8</v>
      </c>
      <c r="U49">
        <v>0</v>
      </c>
      <c r="V49">
        <v>0.8</v>
      </c>
      <c r="W49">
        <v>0.8</v>
      </c>
      <c r="X49">
        <v>0.8</v>
      </c>
      <c r="Y49">
        <v>0</v>
      </c>
      <c r="Z49">
        <v>0.8</v>
      </c>
    </row>
    <row r="50" spans="1:26" x14ac:dyDescent="0.15">
      <c r="A50">
        <v>49</v>
      </c>
      <c r="B50" s="197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0.8</v>
      </c>
      <c r="I50">
        <v>0.8</v>
      </c>
      <c r="J50">
        <v>0.8</v>
      </c>
      <c r="K50">
        <v>0.8</v>
      </c>
      <c r="L50">
        <v>0.8</v>
      </c>
      <c r="M50">
        <v>0.8</v>
      </c>
      <c r="N50">
        <v>0.8</v>
      </c>
      <c r="O50">
        <v>0</v>
      </c>
      <c r="P50">
        <v>0.8</v>
      </c>
      <c r="Q50">
        <v>0.8</v>
      </c>
      <c r="R50">
        <v>0.8</v>
      </c>
      <c r="S50">
        <v>0</v>
      </c>
      <c r="T50">
        <v>0.8</v>
      </c>
      <c r="U50">
        <v>0</v>
      </c>
      <c r="V50">
        <v>0.8</v>
      </c>
      <c r="W50">
        <v>0.8</v>
      </c>
      <c r="X50">
        <v>0.8</v>
      </c>
      <c r="Y50">
        <v>0</v>
      </c>
      <c r="Z50">
        <v>0.8</v>
      </c>
    </row>
    <row r="51" spans="1:26" x14ac:dyDescent="0.15">
      <c r="A51">
        <v>50</v>
      </c>
      <c r="B51" s="197" t="s">
        <v>242</v>
      </c>
      <c r="C51">
        <v>0</v>
      </c>
      <c r="D51">
        <v>0</v>
      </c>
      <c r="E51">
        <v>0</v>
      </c>
      <c r="F51">
        <v>0</v>
      </c>
      <c r="G51">
        <v>0.8</v>
      </c>
      <c r="H51">
        <v>0.8</v>
      </c>
      <c r="I51">
        <v>0.8</v>
      </c>
      <c r="J51">
        <v>0.8</v>
      </c>
      <c r="K51">
        <v>0.8</v>
      </c>
      <c r="L51">
        <v>0.8</v>
      </c>
      <c r="M51">
        <v>0.8</v>
      </c>
      <c r="N51">
        <v>0.8</v>
      </c>
      <c r="O51">
        <v>0.8</v>
      </c>
      <c r="P51">
        <v>0.8</v>
      </c>
      <c r="Q51">
        <v>0.8</v>
      </c>
      <c r="R51">
        <v>0.8</v>
      </c>
      <c r="S51">
        <v>0</v>
      </c>
      <c r="T51">
        <v>0.8</v>
      </c>
      <c r="U51">
        <v>0</v>
      </c>
      <c r="V51">
        <v>0.8</v>
      </c>
      <c r="W51">
        <v>0.8</v>
      </c>
      <c r="X51">
        <v>0.8</v>
      </c>
      <c r="Y51">
        <v>0</v>
      </c>
      <c r="Z51">
        <v>0.8</v>
      </c>
    </row>
    <row r="52" spans="1:26" x14ac:dyDescent="0.15">
      <c r="A52">
        <v>51</v>
      </c>
      <c r="B52" s="197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0.8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0.8</v>
      </c>
      <c r="W52">
        <v>0.8</v>
      </c>
      <c r="X52">
        <v>0.8</v>
      </c>
      <c r="Y52">
        <v>0</v>
      </c>
      <c r="Z52">
        <v>0.8</v>
      </c>
    </row>
    <row r="53" spans="1:26" x14ac:dyDescent="0.15">
      <c r="A53">
        <v>52</v>
      </c>
      <c r="B53" s="197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0.8</v>
      </c>
      <c r="I53">
        <v>0.8</v>
      </c>
      <c r="J53">
        <v>0.8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0.8</v>
      </c>
      <c r="W53">
        <v>0.8</v>
      </c>
      <c r="X53">
        <v>0.8</v>
      </c>
      <c r="Y53">
        <v>0</v>
      </c>
      <c r="Z53">
        <v>0.8</v>
      </c>
    </row>
    <row r="54" spans="1:26" x14ac:dyDescent="0.15">
      <c r="A54">
        <v>53</v>
      </c>
      <c r="B54" s="197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0.8</v>
      </c>
      <c r="J54">
        <v>0.8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0.8</v>
      </c>
      <c r="U54">
        <v>0</v>
      </c>
      <c r="V54">
        <v>0.8</v>
      </c>
      <c r="W54">
        <v>0.8</v>
      </c>
      <c r="X54">
        <v>0</v>
      </c>
      <c r="Y54">
        <v>0</v>
      </c>
      <c r="Z54">
        <v>0</v>
      </c>
    </row>
    <row r="55" spans="1:26" x14ac:dyDescent="0.15">
      <c r="A55">
        <v>54</v>
      </c>
      <c r="B55" s="197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0.8</v>
      </c>
      <c r="J55">
        <v>0.8</v>
      </c>
      <c r="K55">
        <v>0.8</v>
      </c>
      <c r="L55">
        <v>0</v>
      </c>
      <c r="M55">
        <v>0</v>
      </c>
      <c r="N55">
        <v>0.8</v>
      </c>
      <c r="O55">
        <v>0</v>
      </c>
      <c r="P55">
        <v>0</v>
      </c>
      <c r="Q55">
        <v>0</v>
      </c>
      <c r="R55">
        <v>0</v>
      </c>
      <c r="S55">
        <v>0</v>
      </c>
      <c r="T55">
        <v>0.8</v>
      </c>
      <c r="U55">
        <v>0.8</v>
      </c>
      <c r="V55">
        <v>0.8</v>
      </c>
      <c r="W55">
        <v>0.8</v>
      </c>
      <c r="X55">
        <v>0.8</v>
      </c>
      <c r="Y55">
        <v>0</v>
      </c>
      <c r="Z55">
        <v>0.8</v>
      </c>
    </row>
    <row r="56" spans="1:26" x14ac:dyDescent="0.15">
      <c r="A56">
        <v>55</v>
      </c>
      <c r="B56" s="197" t="s">
        <v>247</v>
      </c>
      <c r="C56">
        <v>0</v>
      </c>
      <c r="D56">
        <v>0</v>
      </c>
      <c r="E56">
        <v>0</v>
      </c>
      <c r="F56">
        <v>0</v>
      </c>
      <c r="G56">
        <v>0.8</v>
      </c>
      <c r="H56">
        <v>0.8</v>
      </c>
      <c r="I56">
        <v>0</v>
      </c>
      <c r="J56">
        <v>0.8</v>
      </c>
      <c r="K56">
        <v>0.8</v>
      </c>
      <c r="L56">
        <v>0</v>
      </c>
      <c r="M56">
        <v>0</v>
      </c>
      <c r="N56">
        <v>0.8</v>
      </c>
      <c r="O56">
        <v>0</v>
      </c>
      <c r="P56">
        <v>0</v>
      </c>
      <c r="Q56">
        <v>0.8</v>
      </c>
      <c r="R56">
        <v>0</v>
      </c>
      <c r="S56">
        <v>0</v>
      </c>
      <c r="T56">
        <v>0.8</v>
      </c>
      <c r="U56">
        <v>0</v>
      </c>
      <c r="V56">
        <v>0.8</v>
      </c>
      <c r="W56">
        <v>0.8</v>
      </c>
      <c r="X56">
        <v>0.8</v>
      </c>
      <c r="Y56">
        <v>0</v>
      </c>
      <c r="Z56">
        <v>0.8</v>
      </c>
    </row>
    <row r="57" spans="1:26" x14ac:dyDescent="0.15">
      <c r="A57">
        <v>56</v>
      </c>
      <c r="B57" s="197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0.8</v>
      </c>
      <c r="K57">
        <v>0</v>
      </c>
      <c r="L57">
        <v>0</v>
      </c>
      <c r="M57">
        <v>0.8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0.8</v>
      </c>
      <c r="W57">
        <v>0.8</v>
      </c>
      <c r="X57">
        <v>0.8</v>
      </c>
      <c r="Y57">
        <v>0</v>
      </c>
      <c r="Z57">
        <v>0</v>
      </c>
    </row>
    <row r="58" spans="1:26" x14ac:dyDescent="0.15">
      <c r="A58">
        <v>57</v>
      </c>
      <c r="B58" s="197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0.8</v>
      </c>
      <c r="U58">
        <v>0</v>
      </c>
      <c r="V58">
        <v>0.8</v>
      </c>
      <c r="W58">
        <v>0.8</v>
      </c>
      <c r="X58">
        <v>0</v>
      </c>
      <c r="Y58">
        <v>0</v>
      </c>
      <c r="Z58">
        <v>0</v>
      </c>
    </row>
    <row r="59" spans="1:26" x14ac:dyDescent="0.15">
      <c r="A59">
        <v>58</v>
      </c>
      <c r="B59" s="197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15">
      <c r="A60">
        <v>59</v>
      </c>
      <c r="B60" s="197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15">
      <c r="A61">
        <v>60</v>
      </c>
      <c r="B61" s="197" t="s">
        <v>252</v>
      </c>
      <c r="C61">
        <v>0</v>
      </c>
      <c r="D61">
        <v>0</v>
      </c>
      <c r="E61">
        <v>0</v>
      </c>
      <c r="F61">
        <v>0</v>
      </c>
      <c r="G61">
        <v>0.8</v>
      </c>
      <c r="H61">
        <v>0.8</v>
      </c>
      <c r="I61">
        <v>0</v>
      </c>
      <c r="J61">
        <v>0.8</v>
      </c>
      <c r="K61">
        <v>0</v>
      </c>
      <c r="L61">
        <v>0</v>
      </c>
      <c r="M61">
        <v>0</v>
      </c>
      <c r="N61">
        <v>0</v>
      </c>
      <c r="O61">
        <v>0</v>
      </c>
      <c r="P61">
        <v>0.8</v>
      </c>
      <c r="Q61">
        <v>0.8</v>
      </c>
      <c r="R61">
        <v>0</v>
      </c>
      <c r="S61">
        <v>0</v>
      </c>
      <c r="T61">
        <v>0.8</v>
      </c>
      <c r="U61">
        <v>0</v>
      </c>
      <c r="V61">
        <v>0.8</v>
      </c>
      <c r="W61">
        <v>0.8</v>
      </c>
      <c r="X61">
        <v>0.8</v>
      </c>
      <c r="Y61">
        <v>0</v>
      </c>
      <c r="Z61">
        <v>0.8</v>
      </c>
    </row>
    <row r="62" spans="1:26" x14ac:dyDescent="0.15">
      <c r="A62">
        <v>61</v>
      </c>
      <c r="B62" s="197" t="s">
        <v>253</v>
      </c>
      <c r="C62">
        <v>0</v>
      </c>
      <c r="D62">
        <v>0</v>
      </c>
      <c r="E62">
        <v>0</v>
      </c>
      <c r="F62">
        <v>0</v>
      </c>
      <c r="G62">
        <v>0.8</v>
      </c>
      <c r="H62">
        <v>0.8</v>
      </c>
      <c r="I62">
        <v>0</v>
      </c>
      <c r="J62">
        <v>0.8</v>
      </c>
      <c r="K62">
        <v>0.8</v>
      </c>
      <c r="L62">
        <v>0</v>
      </c>
      <c r="M62">
        <v>0</v>
      </c>
      <c r="N62">
        <v>0.8</v>
      </c>
      <c r="O62">
        <v>0</v>
      </c>
      <c r="P62">
        <v>0.8</v>
      </c>
      <c r="Q62">
        <v>0.8</v>
      </c>
      <c r="R62">
        <v>0</v>
      </c>
      <c r="S62">
        <v>0</v>
      </c>
      <c r="T62">
        <v>0</v>
      </c>
      <c r="U62">
        <v>0</v>
      </c>
      <c r="V62">
        <v>0</v>
      </c>
      <c r="W62">
        <v>0.8</v>
      </c>
      <c r="X62">
        <v>0.8</v>
      </c>
      <c r="Y62">
        <v>0</v>
      </c>
      <c r="Z62">
        <v>0</v>
      </c>
    </row>
    <row r="63" spans="1:26" x14ac:dyDescent="0.15">
      <c r="A63">
        <v>62</v>
      </c>
      <c r="B63" s="197" t="s">
        <v>254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0.8</v>
      </c>
    </row>
    <row r="64" spans="1:26" x14ac:dyDescent="0.15">
      <c r="A64">
        <v>63</v>
      </c>
      <c r="B64" s="197" t="s">
        <v>255</v>
      </c>
      <c r="C64">
        <v>0</v>
      </c>
      <c r="D64">
        <v>0</v>
      </c>
      <c r="E64">
        <v>0</v>
      </c>
      <c r="F64">
        <v>0</v>
      </c>
      <c r="G64">
        <v>0.8</v>
      </c>
      <c r="H64">
        <v>0.8</v>
      </c>
      <c r="I64">
        <v>0</v>
      </c>
      <c r="J64">
        <v>0.8</v>
      </c>
      <c r="K64">
        <v>0</v>
      </c>
      <c r="L64">
        <v>0</v>
      </c>
      <c r="M64">
        <v>0</v>
      </c>
      <c r="N64">
        <v>0.8</v>
      </c>
      <c r="O64">
        <v>0</v>
      </c>
      <c r="P64">
        <v>0.8</v>
      </c>
      <c r="Q64">
        <v>0.8</v>
      </c>
      <c r="R64">
        <v>0.8</v>
      </c>
      <c r="S64">
        <v>0</v>
      </c>
      <c r="T64">
        <v>0.8</v>
      </c>
      <c r="U64">
        <v>0</v>
      </c>
      <c r="V64">
        <v>0.8</v>
      </c>
      <c r="W64">
        <v>0.8</v>
      </c>
      <c r="X64">
        <v>0.8</v>
      </c>
      <c r="Y64">
        <v>0</v>
      </c>
      <c r="Z64">
        <v>0.8</v>
      </c>
    </row>
    <row r="65" spans="1:26" x14ac:dyDescent="0.15">
      <c r="A65">
        <v>64</v>
      </c>
      <c r="B65" s="197" t="s">
        <v>256</v>
      </c>
      <c r="C65">
        <v>0</v>
      </c>
      <c r="D65">
        <v>0</v>
      </c>
      <c r="E65">
        <v>0</v>
      </c>
      <c r="F65">
        <v>0</v>
      </c>
      <c r="G65">
        <v>0.8</v>
      </c>
      <c r="H65">
        <v>0.8</v>
      </c>
      <c r="I65">
        <v>0</v>
      </c>
      <c r="J65">
        <v>0.8</v>
      </c>
      <c r="K65">
        <v>0</v>
      </c>
      <c r="L65">
        <v>0</v>
      </c>
      <c r="M65">
        <v>0</v>
      </c>
      <c r="N65">
        <v>0.8</v>
      </c>
      <c r="O65">
        <v>0</v>
      </c>
      <c r="P65">
        <v>0.8</v>
      </c>
      <c r="Q65">
        <v>0.8</v>
      </c>
      <c r="R65">
        <v>0</v>
      </c>
      <c r="S65">
        <v>0</v>
      </c>
      <c r="T65">
        <v>0.8</v>
      </c>
      <c r="U65">
        <v>0</v>
      </c>
      <c r="V65">
        <v>0</v>
      </c>
      <c r="W65">
        <v>0</v>
      </c>
      <c r="X65">
        <v>0</v>
      </c>
      <c r="Y65">
        <v>0</v>
      </c>
      <c r="Z65">
        <v>0.8</v>
      </c>
    </row>
    <row r="66" spans="1:26" x14ac:dyDescent="0.15">
      <c r="A66">
        <v>65</v>
      </c>
      <c r="B66" s="197" t="s">
        <v>257</v>
      </c>
      <c r="C66">
        <v>0</v>
      </c>
      <c r="D66">
        <v>0</v>
      </c>
      <c r="E66">
        <v>0</v>
      </c>
      <c r="F66">
        <v>0</v>
      </c>
      <c r="G66">
        <v>0</v>
      </c>
      <c r="H66">
        <v>0.8</v>
      </c>
      <c r="I66">
        <v>0</v>
      </c>
      <c r="J66">
        <v>0.8</v>
      </c>
      <c r="K66">
        <v>0.8</v>
      </c>
      <c r="L66">
        <v>0.8</v>
      </c>
      <c r="M66">
        <v>0</v>
      </c>
      <c r="N66">
        <v>0.8</v>
      </c>
      <c r="O66">
        <v>0</v>
      </c>
      <c r="P66">
        <v>0</v>
      </c>
      <c r="Q66">
        <v>0</v>
      </c>
      <c r="R66">
        <v>0</v>
      </c>
      <c r="S66">
        <v>0</v>
      </c>
      <c r="T66">
        <v>0.8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15">
      <c r="A67">
        <v>66</v>
      </c>
      <c r="B67" s="197" t="s">
        <v>258</v>
      </c>
      <c r="C67">
        <v>0</v>
      </c>
      <c r="D67">
        <v>0</v>
      </c>
      <c r="E67">
        <v>0</v>
      </c>
      <c r="F67">
        <v>0</v>
      </c>
      <c r="G67">
        <v>0</v>
      </c>
      <c r="H67">
        <v>0.8</v>
      </c>
      <c r="I67">
        <v>0</v>
      </c>
      <c r="J67">
        <v>0</v>
      </c>
      <c r="K67">
        <v>0.8</v>
      </c>
      <c r="L67">
        <v>0.8</v>
      </c>
      <c r="M67">
        <v>0</v>
      </c>
      <c r="N67">
        <v>0.8</v>
      </c>
      <c r="O67">
        <v>0</v>
      </c>
      <c r="P67">
        <v>0.8</v>
      </c>
      <c r="Q67">
        <v>0.8</v>
      </c>
      <c r="R67">
        <v>0</v>
      </c>
      <c r="S67">
        <v>0</v>
      </c>
      <c r="T67">
        <v>0.8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15">
      <c r="A68">
        <v>67</v>
      </c>
      <c r="B68" s="197" t="s">
        <v>259</v>
      </c>
      <c r="C68">
        <v>0</v>
      </c>
      <c r="D68">
        <v>0</v>
      </c>
      <c r="E68">
        <v>0</v>
      </c>
      <c r="F68">
        <v>0</v>
      </c>
      <c r="G68">
        <v>0.8</v>
      </c>
      <c r="H68">
        <v>0.8</v>
      </c>
      <c r="I68">
        <v>0</v>
      </c>
      <c r="J68">
        <v>0.8</v>
      </c>
      <c r="K68">
        <v>0.8</v>
      </c>
      <c r="L68">
        <v>0.8</v>
      </c>
      <c r="M68">
        <v>0.8</v>
      </c>
      <c r="N68">
        <v>0.8</v>
      </c>
      <c r="O68">
        <v>0</v>
      </c>
      <c r="P68">
        <v>0</v>
      </c>
      <c r="Q68">
        <v>0</v>
      </c>
      <c r="R68">
        <v>0.8</v>
      </c>
      <c r="S68">
        <v>0</v>
      </c>
      <c r="T68">
        <v>0.8</v>
      </c>
      <c r="U68">
        <v>0</v>
      </c>
      <c r="V68">
        <v>0</v>
      </c>
      <c r="W68">
        <v>0</v>
      </c>
      <c r="X68">
        <v>0</v>
      </c>
      <c r="Y68">
        <v>0</v>
      </c>
      <c r="Z68">
        <v>0.8</v>
      </c>
    </row>
    <row r="69" spans="1:26" x14ac:dyDescent="0.15">
      <c r="A69">
        <v>68</v>
      </c>
      <c r="B69" s="197" t="s">
        <v>260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0.8</v>
      </c>
      <c r="S69">
        <v>0.8</v>
      </c>
      <c r="T69">
        <v>0.8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15">
      <c r="A70">
        <v>69</v>
      </c>
      <c r="B70" s="197" t="s">
        <v>261</v>
      </c>
      <c r="C70">
        <v>0</v>
      </c>
      <c r="D70">
        <v>0</v>
      </c>
      <c r="E70">
        <v>0</v>
      </c>
      <c r="F70">
        <v>0</v>
      </c>
      <c r="G70">
        <v>0</v>
      </c>
      <c r="H70">
        <v>0.8</v>
      </c>
      <c r="I70">
        <v>0</v>
      </c>
      <c r="J70">
        <v>0</v>
      </c>
      <c r="K70">
        <v>0.8</v>
      </c>
      <c r="L70">
        <v>0.8</v>
      </c>
      <c r="M70">
        <v>0.8</v>
      </c>
      <c r="N70">
        <v>0.8</v>
      </c>
      <c r="O70">
        <v>0</v>
      </c>
      <c r="P70">
        <v>0</v>
      </c>
      <c r="Q70">
        <v>0</v>
      </c>
      <c r="R70">
        <v>0.8</v>
      </c>
      <c r="S70">
        <v>0</v>
      </c>
      <c r="T70">
        <v>0.8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15">
      <c r="A71">
        <v>70</v>
      </c>
      <c r="B71" s="197" t="s">
        <v>262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0.8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15">
      <c r="A72">
        <v>71</v>
      </c>
      <c r="B72" s="197" t="s">
        <v>263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0.8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15">
      <c r="A73">
        <v>72</v>
      </c>
      <c r="B73" s="197" t="s">
        <v>264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15">
      <c r="A74">
        <v>73</v>
      </c>
      <c r="B74" s="197" t="s">
        <v>265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15">
      <c r="A75">
        <v>74</v>
      </c>
      <c r="B75" s="197" t="s">
        <v>266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15">
      <c r="A76">
        <v>75</v>
      </c>
      <c r="B76" s="197" t="s">
        <v>267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15">
      <c r="A77">
        <v>76</v>
      </c>
      <c r="B77" s="197" t="s">
        <v>268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193</v>
      </c>
      <c r="C2" s="8">
        <v>3.9706258773803711</v>
      </c>
      <c r="D2" s="9">
        <v>1.5589999966323376E-2</v>
      </c>
      <c r="E2" s="9">
        <v>0.15999999642372131</v>
      </c>
      <c r="F2" s="9">
        <v>40</v>
      </c>
      <c r="G2" s="9">
        <v>0.95285683870315552</v>
      </c>
      <c r="H2" s="9">
        <v>3.9999997243285179E-3</v>
      </c>
      <c r="I2">
        <v>0</v>
      </c>
      <c r="J2"/>
    </row>
    <row r="3" spans="1:10" ht="15" customHeight="1" x14ac:dyDescent="0.15">
      <c r="A3" s="151">
        <v>2</v>
      </c>
      <c r="B3" s="151" t="s">
        <v>194</v>
      </c>
      <c r="C3" s="8">
        <v>3.7273235321044922</v>
      </c>
      <c r="D3" s="9">
        <v>1.193000003695488E-2</v>
      </c>
      <c r="E3" s="9">
        <v>0.25</v>
      </c>
      <c r="F3" s="9">
        <v>33</v>
      </c>
      <c r="G3" s="9">
        <v>0.93475830554962158</v>
      </c>
      <c r="H3" s="9">
        <v>7.5757578015327454E-3</v>
      </c>
      <c r="I3">
        <v>7.1300000854535028E-6</v>
      </c>
      <c r="J3"/>
    </row>
    <row r="4" spans="1:10" ht="15" customHeight="1" x14ac:dyDescent="0.15">
      <c r="A4" s="152">
        <v>3</v>
      </c>
      <c r="B4" s="152" t="s">
        <v>195</v>
      </c>
      <c r="C4" s="8">
        <v>3.6023736000061035</v>
      </c>
      <c r="D4" s="9">
        <v>1.2810000218451023E-2</v>
      </c>
      <c r="E4" s="9">
        <v>0.31000000238418579</v>
      </c>
      <c r="F4" s="9">
        <v>3.0999999046325684</v>
      </c>
      <c r="G4" s="9">
        <v>0.6494864821434021</v>
      </c>
      <c r="H4" s="9">
        <v>0.10000000149011612</v>
      </c>
      <c r="I4">
        <v>5.0945201655849814E-4</v>
      </c>
      <c r="J4"/>
    </row>
    <row r="5" spans="1:10" ht="15" customHeight="1" x14ac:dyDescent="0.15">
      <c r="A5" s="153">
        <v>4</v>
      </c>
      <c r="B5" s="153" t="s">
        <v>196</v>
      </c>
      <c r="C5" s="8">
        <v>4.1708178520202637</v>
      </c>
      <c r="D5" s="9">
        <v>2.199999988079071E-2</v>
      </c>
      <c r="E5" s="9">
        <v>0.44999998807907104</v>
      </c>
      <c r="F5" s="9">
        <v>2</v>
      </c>
      <c r="G5" s="9">
        <v>0.9618191123008728</v>
      </c>
      <c r="H5" s="9">
        <v>0.22499999403953552</v>
      </c>
      <c r="I5">
        <v>8.5140522569417953E-3</v>
      </c>
      <c r="J5"/>
    </row>
    <row r="6" spans="1:10" ht="15" customHeight="1" x14ac:dyDescent="0.15">
      <c r="A6" s="154">
        <v>5</v>
      </c>
      <c r="B6" s="154" t="s">
        <v>197</v>
      </c>
      <c r="C6" s="8">
        <v>4.1840372085571289</v>
      </c>
      <c r="D6" s="9">
        <v>1.0999999940395355E-2</v>
      </c>
      <c r="E6" s="9">
        <v>0.38499999046325684</v>
      </c>
      <c r="F6" s="9">
        <v>2</v>
      </c>
      <c r="G6" s="9">
        <v>0.98774564266204834</v>
      </c>
      <c r="H6" s="9">
        <v>0.19249999523162842</v>
      </c>
      <c r="I6">
        <v>6.0918158851563931E-4</v>
      </c>
      <c r="J6"/>
    </row>
    <row r="7" spans="1:10" ht="15" customHeight="1" x14ac:dyDescent="0.15">
      <c r="A7" s="155">
        <v>6</v>
      </c>
      <c r="B7" s="155" t="s">
        <v>198</v>
      </c>
      <c r="C7" s="8">
        <v>3.9377224445343018</v>
      </c>
      <c r="D7" s="9">
        <v>1.3799999840557575E-2</v>
      </c>
      <c r="E7" s="9">
        <v>0.2800000011920929</v>
      </c>
      <c r="F7" s="9">
        <v>2.5999999046325684</v>
      </c>
      <c r="G7" s="9">
        <v>0.92321467399597168</v>
      </c>
      <c r="H7" s="9">
        <v>0.10769230872392654</v>
      </c>
      <c r="I7">
        <v>2.8547337278723717E-3</v>
      </c>
      <c r="J7"/>
    </row>
    <row r="8" spans="1:10" ht="15" customHeight="1" x14ac:dyDescent="0.15">
      <c r="A8" s="156">
        <v>7</v>
      </c>
      <c r="B8" s="156" t="s">
        <v>199</v>
      </c>
      <c r="C8" s="8">
        <v>4.1625733375549316</v>
      </c>
      <c r="D8" s="9">
        <v>1.679999940097332E-2</v>
      </c>
      <c r="E8" s="9">
        <v>0.37000000476837158</v>
      </c>
      <c r="F8" s="9">
        <v>2.0999999046325684</v>
      </c>
      <c r="G8" s="9">
        <v>0.98961353302001953</v>
      </c>
      <c r="H8" s="9">
        <v>0.17619048058986664</v>
      </c>
      <c r="I8">
        <v>3.5501813981682062E-3</v>
      </c>
      <c r="J8"/>
    </row>
    <row r="9" spans="1:10" ht="15" customHeight="1" x14ac:dyDescent="0.15">
      <c r="A9" s="157">
        <v>8</v>
      </c>
      <c r="B9" s="157" t="s">
        <v>200</v>
      </c>
      <c r="C9" s="8">
        <v>4.2461481094360352</v>
      </c>
      <c r="D9" s="9">
        <v>6.0700001195073128E-3</v>
      </c>
      <c r="E9" s="9">
        <v>0.27000001072883606</v>
      </c>
      <c r="F9" s="9">
        <v>1.7999999523162842</v>
      </c>
      <c r="G9" s="9">
        <v>0.99655431509017944</v>
      </c>
      <c r="H9" s="9">
        <v>0.15000000596046448</v>
      </c>
      <c r="I9">
        <v>1.0600298410281539E-3</v>
      </c>
      <c r="J9"/>
    </row>
    <row r="10" spans="1:10" ht="15" customHeight="1" x14ac:dyDescent="0.15">
      <c r="A10" s="158">
        <v>9</v>
      </c>
      <c r="B10" s="158" t="s">
        <v>201</v>
      </c>
      <c r="C10" s="8">
        <v>3.8272171020507812</v>
      </c>
      <c r="D10" s="9">
        <v>3.8199998438358307E-2</v>
      </c>
      <c r="E10" s="9">
        <v>0.64999997615814209</v>
      </c>
      <c r="F10" s="9">
        <v>5.3000001907348633</v>
      </c>
      <c r="G10" s="9">
        <v>0.9891049861907959</v>
      </c>
      <c r="H10" s="9">
        <v>0.12264150381088257</v>
      </c>
      <c r="I10">
        <v>8.2382457330822945E-3</v>
      </c>
      <c r="J10"/>
    </row>
    <row r="11" spans="1:10" ht="15" customHeight="1" x14ac:dyDescent="0.15">
      <c r="A11" s="159">
        <v>10</v>
      </c>
      <c r="B11" s="159" t="s">
        <v>202</v>
      </c>
      <c r="C11" s="8">
        <v>3.8251852989196777</v>
      </c>
      <c r="D11" s="9">
        <v>6.9200001657009125E-2</v>
      </c>
      <c r="E11" s="9">
        <v>0.82999998331069946</v>
      </c>
      <c r="F11" s="9">
        <v>5</v>
      </c>
      <c r="G11" s="9">
        <v>0.98861289024353027</v>
      </c>
      <c r="H11" s="9">
        <v>0.16599999368190765</v>
      </c>
      <c r="I11">
        <v>3.0210351105779409E-3</v>
      </c>
      <c r="J11"/>
    </row>
    <row r="12" spans="1:10" ht="15" customHeight="1" x14ac:dyDescent="0.15">
      <c r="A12" s="160">
        <v>11</v>
      </c>
      <c r="B12" s="160" t="s">
        <v>203</v>
      </c>
      <c r="C12" s="8">
        <v>4.166264533996582</v>
      </c>
      <c r="D12" s="9">
        <v>1.0499999858438969E-2</v>
      </c>
      <c r="E12" s="9">
        <v>0.7149999737739563</v>
      </c>
      <c r="F12" s="9">
        <v>5.1999998092651367</v>
      </c>
      <c r="G12" s="9">
        <v>0.99613863229751587</v>
      </c>
      <c r="H12" s="9">
        <v>0.13750000298023224</v>
      </c>
      <c r="I12">
        <v>4.4951527379453182E-3</v>
      </c>
      <c r="J12"/>
    </row>
    <row r="13" spans="1:10" ht="15" customHeight="1" x14ac:dyDescent="0.15">
      <c r="A13" s="161">
        <v>12</v>
      </c>
      <c r="B13" s="161" t="s">
        <v>204</v>
      </c>
      <c r="C13" s="8">
        <v>3.9694700241088867</v>
      </c>
      <c r="D13" s="9">
        <v>9.7700003534555435E-3</v>
      </c>
      <c r="E13" s="9">
        <v>0.93999999761581421</v>
      </c>
      <c r="F13" s="9">
        <v>3.4000000953674316</v>
      </c>
      <c r="G13" s="9">
        <v>0.99296581745147705</v>
      </c>
      <c r="H13" s="9">
        <v>0.27647057175636292</v>
      </c>
      <c r="I13">
        <v>1.5010969946160913E-4</v>
      </c>
      <c r="J13"/>
    </row>
    <row r="14" spans="1:10" ht="15" customHeight="1" x14ac:dyDescent="0.15">
      <c r="A14" s="162">
        <v>13</v>
      </c>
      <c r="B14" s="162" t="s">
        <v>205</v>
      </c>
      <c r="C14" s="8">
        <v>4.1226544380187988</v>
      </c>
      <c r="D14" s="9">
        <v>1.4800000004470348E-2</v>
      </c>
      <c r="E14" s="9">
        <v>0.93000000715255737</v>
      </c>
      <c r="F14" s="9">
        <v>5</v>
      </c>
      <c r="G14" s="9">
        <v>0.96087878942489624</v>
      </c>
      <c r="H14" s="9">
        <v>0.18600000441074371</v>
      </c>
      <c r="I14">
        <v>1.7014071345329285E-3</v>
      </c>
      <c r="J14"/>
    </row>
    <row r="15" spans="1:10" ht="15" customHeight="1" x14ac:dyDescent="0.15">
      <c r="A15" s="163">
        <v>14</v>
      </c>
      <c r="B15" s="163" t="s">
        <v>206</v>
      </c>
      <c r="C15" s="8">
        <v>4.1100907325744629</v>
      </c>
      <c r="D15" s="9">
        <v>5.2000000141561031E-3</v>
      </c>
      <c r="E15" s="9">
        <v>0.37999999523162842</v>
      </c>
      <c r="F15" s="9">
        <v>3.5</v>
      </c>
      <c r="G15" s="9">
        <v>0.99347090721130371</v>
      </c>
      <c r="H15" s="9">
        <v>0.10857142508029938</v>
      </c>
      <c r="I15">
        <v>1.6193199553526938E-4</v>
      </c>
      <c r="J15"/>
    </row>
    <row r="16" spans="1:10" ht="15" customHeight="1" x14ac:dyDescent="0.15">
      <c r="A16" s="164">
        <v>15</v>
      </c>
      <c r="B16" s="164" t="s">
        <v>207</v>
      </c>
      <c r="C16" s="8">
        <v>4.1569242477416992</v>
      </c>
      <c r="D16" s="9">
        <v>1.940000057220459E-2</v>
      </c>
      <c r="E16" s="9">
        <v>0.81000000238418579</v>
      </c>
      <c r="F16" s="9">
        <v>3.2000000476837158</v>
      </c>
      <c r="G16" s="9">
        <v>0.99121373891830444</v>
      </c>
      <c r="H16" s="9">
        <v>0.25312498211860657</v>
      </c>
      <c r="I16">
        <v>1.5194158768281341E-3</v>
      </c>
      <c r="J16"/>
    </row>
    <row r="17" spans="1:10" ht="15" customHeight="1" x14ac:dyDescent="0.15">
      <c r="A17" s="165">
        <v>16</v>
      </c>
      <c r="B17" s="165" t="s">
        <v>208</v>
      </c>
      <c r="C17" s="8">
        <v>3.8352723121643066</v>
      </c>
      <c r="D17" s="9">
        <v>0.1120000034570694</v>
      </c>
      <c r="E17" s="9">
        <v>1.7999999523162842</v>
      </c>
      <c r="F17" s="9">
        <v>6</v>
      </c>
      <c r="G17" s="9">
        <v>0.99281424283981323</v>
      </c>
      <c r="H17" s="9">
        <v>0.29999998211860657</v>
      </c>
      <c r="I17">
        <v>2.2651571780443192E-2</v>
      </c>
      <c r="J17"/>
    </row>
    <row r="18" spans="1:10" ht="15" customHeight="1" x14ac:dyDescent="0.15">
      <c r="A18" s="166">
        <v>17</v>
      </c>
      <c r="B18" s="166" t="s">
        <v>209</v>
      </c>
      <c r="C18" s="8">
        <v>3.9218776226043701</v>
      </c>
      <c r="D18" s="9">
        <v>5.1899999380111694E-2</v>
      </c>
      <c r="E18" s="9">
        <v>1.1000000238418579</v>
      </c>
      <c r="F18" s="9">
        <v>3.5999999046325684</v>
      </c>
      <c r="G18" s="9">
        <v>0.99947077035903931</v>
      </c>
      <c r="H18" s="9">
        <v>0.30555558204650879</v>
      </c>
      <c r="I18">
        <v>7.7921086922287941E-3</v>
      </c>
      <c r="J18"/>
    </row>
    <row r="19" spans="1:10" ht="15" customHeight="1" x14ac:dyDescent="0.15">
      <c r="A19" s="167">
        <v>18</v>
      </c>
      <c r="B19" s="167" t="s">
        <v>210</v>
      </c>
      <c r="C19" s="8">
        <v>4.0128068923950195</v>
      </c>
      <c r="D19" s="9">
        <v>4.1999999433755875E-2</v>
      </c>
      <c r="E19" s="9">
        <v>0.89999997615814209</v>
      </c>
      <c r="F19" s="9">
        <v>3.7999999523162842</v>
      </c>
      <c r="G19" s="9">
        <v>0.93097221851348877</v>
      </c>
      <c r="H19" s="9">
        <v>0.23684209585189819</v>
      </c>
      <c r="I19">
        <v>4.5687388628721237E-3</v>
      </c>
      <c r="J19"/>
    </row>
    <row r="20" spans="1:10" ht="15" customHeight="1" x14ac:dyDescent="0.15">
      <c r="A20" s="168">
        <v>19</v>
      </c>
      <c r="B20" s="168" t="s">
        <v>211</v>
      </c>
      <c r="C20" s="8">
        <v>3.8694064617156982</v>
      </c>
      <c r="D20" s="9">
        <v>1.1038100346922874E-3</v>
      </c>
      <c r="E20" s="9">
        <v>1.3999999761581421</v>
      </c>
      <c r="F20" s="9">
        <v>12.119832038879395</v>
      </c>
      <c r="G20" s="9">
        <v>0.43815982341766357</v>
      </c>
      <c r="H20" s="9">
        <v>0.1155131533741951</v>
      </c>
      <c r="I20">
        <v>0</v>
      </c>
      <c r="J20"/>
    </row>
    <row r="21" spans="1:10" ht="15" customHeight="1" x14ac:dyDescent="0.15">
      <c r="A21" s="169">
        <v>20</v>
      </c>
      <c r="B21" s="169" t="s">
        <v>212</v>
      </c>
      <c r="C21" s="8">
        <v>4.0293326377868652</v>
      </c>
      <c r="D21" s="9">
        <v>3.0700000002980232E-2</v>
      </c>
      <c r="E21" s="9">
        <v>0.89999997615814209</v>
      </c>
      <c r="F21" s="9">
        <v>3.5</v>
      </c>
      <c r="G21" s="9">
        <v>0.99154877662658691</v>
      </c>
      <c r="H21" s="9">
        <v>0.25714284181594849</v>
      </c>
      <c r="I21">
        <v>1.4460678212344646E-2</v>
      </c>
      <c r="J21"/>
    </row>
    <row r="22" spans="1:10" ht="15" customHeight="1" x14ac:dyDescent="0.15">
      <c r="A22" s="170">
        <v>21</v>
      </c>
      <c r="B22" s="170" t="s">
        <v>213</v>
      </c>
      <c r="C22" s="8">
        <v>3.8434116840362549</v>
      </c>
      <c r="D22" s="9">
        <v>1.1642320081591606E-2</v>
      </c>
      <c r="E22" s="9">
        <v>2</v>
      </c>
      <c r="F22" s="9">
        <v>14.669380187988281</v>
      </c>
      <c r="G22" s="9">
        <v>0.77939069271087646</v>
      </c>
      <c r="H22" s="9">
        <v>0.13633841276168823</v>
      </c>
      <c r="I22">
        <v>0</v>
      </c>
      <c r="J22"/>
    </row>
    <row r="23" spans="1:10" ht="15" customHeight="1" x14ac:dyDescent="0.15">
      <c r="A23" s="171">
        <v>22</v>
      </c>
      <c r="B23" s="171" t="s">
        <v>214</v>
      </c>
      <c r="C23" s="8">
        <v>3.9525785446166992</v>
      </c>
      <c r="D23" s="9">
        <v>9.9500000476837158E-2</v>
      </c>
      <c r="E23" s="9">
        <v>1.2000000476837158</v>
      </c>
      <c r="F23" s="9">
        <v>5.4000000953674316</v>
      </c>
      <c r="G23" s="9">
        <v>0.97857773303985596</v>
      </c>
      <c r="H23" s="9">
        <v>0.2222222238779068</v>
      </c>
      <c r="I23">
        <v>5.5667880922555923E-2</v>
      </c>
      <c r="J23"/>
    </row>
    <row r="24" spans="1:10" ht="15" customHeight="1" x14ac:dyDescent="0.15">
      <c r="A24" s="172">
        <v>23</v>
      </c>
      <c r="B24" s="172" t="s">
        <v>215</v>
      </c>
      <c r="C24" s="8">
        <v>3.4302942752838135</v>
      </c>
      <c r="D24" s="9">
        <v>0.13650000095367432</v>
      </c>
      <c r="E24" s="9">
        <v>1.1000000238418579</v>
      </c>
      <c r="F24" s="9">
        <v>7.8000001907348633</v>
      </c>
      <c r="G24" s="9">
        <v>0.93669295310974121</v>
      </c>
      <c r="H24" s="9">
        <v>0.14102564752101898</v>
      </c>
      <c r="I24">
        <v>6.9719463586807251E-2</v>
      </c>
      <c r="J24"/>
    </row>
    <row r="25" spans="1:10" ht="15" customHeight="1" x14ac:dyDescent="0.15">
      <c r="A25" s="173">
        <v>24</v>
      </c>
      <c r="B25" s="173" t="s">
        <v>216</v>
      </c>
      <c r="C25" s="8">
        <v>3.6628165245056152</v>
      </c>
      <c r="D25" s="9">
        <v>3.1596655026078224E-3</v>
      </c>
      <c r="E25" s="9">
        <v>1.8999999761581421</v>
      </c>
      <c r="F25" s="9">
        <v>19.405105590820312</v>
      </c>
      <c r="G25" s="9">
        <v>0.20145535469055176</v>
      </c>
      <c r="H25" s="9">
        <v>9.791237860918045E-2</v>
      </c>
      <c r="I25">
        <v>0</v>
      </c>
      <c r="J25"/>
    </row>
    <row r="26" spans="1:10" ht="15" customHeight="1" x14ac:dyDescent="0.15">
      <c r="A26" s="174">
        <v>25</v>
      </c>
      <c r="B26" s="174" t="s">
        <v>217</v>
      </c>
      <c r="C26" s="8">
        <v>3.8844161033630371</v>
      </c>
      <c r="D26" s="9">
        <v>3.3352117985486984E-2</v>
      </c>
      <c r="E26" s="9">
        <v>1</v>
      </c>
      <c r="F26" s="9">
        <v>6.9429788589477539</v>
      </c>
      <c r="G26" s="9">
        <v>0.45888444781303406</v>
      </c>
      <c r="H26" s="9">
        <v>0.14403039216995239</v>
      </c>
      <c r="I26">
        <v>1.7109699547290802E-4</v>
      </c>
      <c r="J26"/>
    </row>
    <row r="27" spans="1:10" ht="15" customHeight="1" x14ac:dyDescent="0.15">
      <c r="A27" s="175">
        <v>26</v>
      </c>
      <c r="B27" s="175" t="s">
        <v>218</v>
      </c>
      <c r="C27" s="8">
        <v>3.8111872673034668</v>
      </c>
      <c r="D27" s="9">
        <v>6.9700002670288086E-2</v>
      </c>
      <c r="E27" s="9">
        <v>0.61000001430511475</v>
      </c>
      <c r="F27" s="9">
        <v>3.2000000476837158</v>
      </c>
      <c r="G27" s="9">
        <v>0.55452018976211548</v>
      </c>
      <c r="H27" s="9">
        <v>0.19062499701976776</v>
      </c>
      <c r="I27">
        <v>1.9109202548861504E-2</v>
      </c>
      <c r="J27"/>
    </row>
    <row r="28" spans="1:10" ht="15" customHeight="1" x14ac:dyDescent="0.15">
      <c r="A28" s="176">
        <v>27</v>
      </c>
      <c r="B28" s="176" t="s">
        <v>219</v>
      </c>
      <c r="C28" s="8">
        <v>3.6742949485778809</v>
      </c>
      <c r="D28" s="9">
        <v>2.3141605779528618E-3</v>
      </c>
      <c r="E28" s="9">
        <v>1.7999999523162842</v>
      </c>
      <c r="F28" s="9">
        <v>18.240360260009766</v>
      </c>
      <c r="G28" s="9">
        <v>0.1943737119436264</v>
      </c>
      <c r="H28" s="9">
        <v>9.8682262003421783E-2</v>
      </c>
      <c r="I28">
        <v>0</v>
      </c>
      <c r="J28"/>
    </row>
    <row r="29" spans="1:10" ht="15" customHeight="1" x14ac:dyDescent="0.15">
      <c r="A29" s="177">
        <v>28</v>
      </c>
      <c r="B29" s="177" t="s">
        <v>220</v>
      </c>
      <c r="C29" s="8">
        <v>3.685774564743042</v>
      </c>
      <c r="D29" s="9">
        <v>3.1025605276226997E-2</v>
      </c>
      <c r="E29" s="9">
        <v>0.80000001192092896</v>
      </c>
      <c r="F29" s="9">
        <v>6.5504794120788574</v>
      </c>
      <c r="G29" s="9">
        <v>0.51454842090606689</v>
      </c>
      <c r="H29" s="9">
        <v>0.12212846428155899</v>
      </c>
      <c r="I29">
        <v>9.4299997726920992E-5</v>
      </c>
      <c r="J29"/>
    </row>
    <row r="30" spans="1:10" ht="15" customHeight="1" x14ac:dyDescent="0.15">
      <c r="A30" s="178">
        <v>29</v>
      </c>
      <c r="B30" s="178" t="s">
        <v>221</v>
      </c>
      <c r="C30" s="8">
        <v>3.7017440795898438</v>
      </c>
      <c r="D30" s="9">
        <v>0.10649999976158142</v>
      </c>
      <c r="E30" s="9">
        <v>0.5</v>
      </c>
      <c r="F30" s="9">
        <v>3.0999999046325684</v>
      </c>
      <c r="G30" s="9">
        <v>0.5289570689201355</v>
      </c>
      <c r="H30" s="9">
        <v>0.16129033267498016</v>
      </c>
      <c r="I30">
        <v>2.2426068782806396E-2</v>
      </c>
      <c r="J30"/>
    </row>
    <row r="31" spans="1:10" ht="15" customHeight="1" x14ac:dyDescent="0.15">
      <c r="A31" s="179">
        <v>30</v>
      </c>
      <c r="B31" s="179" t="s">
        <v>222</v>
      </c>
      <c r="C31" s="8">
        <v>3.5303146839141846</v>
      </c>
      <c r="D31" s="9">
        <v>2.3355439770966768E-3</v>
      </c>
      <c r="E31" s="9">
        <v>2</v>
      </c>
      <c r="F31" s="9">
        <v>17.033668518066406</v>
      </c>
      <c r="G31" s="9">
        <v>0.21182897686958313</v>
      </c>
      <c r="H31" s="9">
        <v>0.11741451919078827</v>
      </c>
      <c r="I31">
        <v>0</v>
      </c>
      <c r="J31"/>
    </row>
    <row r="32" spans="1:10" ht="15" customHeight="1" x14ac:dyDescent="0.15">
      <c r="A32" s="207">
        <v>31</v>
      </c>
      <c r="B32" s="207" t="s">
        <v>223</v>
      </c>
      <c r="C32" s="8">
        <v>3.9216604232788086</v>
      </c>
      <c r="D32" s="9">
        <v>2.665288932621479E-2</v>
      </c>
      <c r="E32" s="9">
        <v>0.89999997615814209</v>
      </c>
      <c r="F32" s="9">
        <v>6.1505246162414551</v>
      </c>
      <c r="G32" s="9">
        <v>0.49412089586257935</v>
      </c>
      <c r="H32" s="9">
        <v>0.14632897078990936</v>
      </c>
      <c r="I32">
        <v>2.0800000129383989E-5</v>
      </c>
      <c r="J32"/>
    </row>
    <row r="33" spans="1:10" ht="15" customHeight="1" x14ac:dyDescent="0.15">
      <c r="A33" s="208">
        <v>32</v>
      </c>
      <c r="B33" s="208" t="s">
        <v>224</v>
      </c>
      <c r="C33" s="8">
        <v>3.3524057865142822</v>
      </c>
      <c r="D33" s="9">
        <v>8.6681999266147614E-2</v>
      </c>
      <c r="E33" s="9">
        <v>0.5</v>
      </c>
      <c r="F33" s="9">
        <v>2.9000000953674316</v>
      </c>
      <c r="G33" s="9">
        <v>0.12483888864517212</v>
      </c>
      <c r="H33" s="9">
        <v>0.17241378128528595</v>
      </c>
      <c r="I33">
        <v>5.2408070769160986E-4</v>
      </c>
      <c r="J33"/>
    </row>
    <row r="34" spans="1:10" ht="15" customHeight="1" x14ac:dyDescent="0.15">
      <c r="A34" s="209">
        <v>33</v>
      </c>
      <c r="B34" s="209" t="s">
        <v>225</v>
      </c>
      <c r="C34" s="8">
        <v>3.7624173164367676</v>
      </c>
      <c r="D34" s="9">
        <v>3.2278087455779314E-3</v>
      </c>
      <c r="E34" s="9">
        <v>3</v>
      </c>
      <c r="F34" s="9">
        <v>23.981046676635742</v>
      </c>
      <c r="G34" s="9">
        <v>0.25414544343948364</v>
      </c>
      <c r="H34" s="9">
        <v>0.12509879469871521</v>
      </c>
      <c r="I34">
        <v>0</v>
      </c>
      <c r="J34"/>
    </row>
    <row r="35" spans="1:10" ht="15" customHeight="1" x14ac:dyDescent="0.15">
      <c r="A35" s="210">
        <v>34</v>
      </c>
      <c r="B35" s="210" t="s">
        <v>226</v>
      </c>
      <c r="C35" s="8">
        <v>3.6164519786834717</v>
      </c>
      <c r="D35" s="9">
        <v>2.2966045886278152E-2</v>
      </c>
      <c r="E35" s="9">
        <v>1.2000000476837158</v>
      </c>
      <c r="F35" s="9">
        <v>7.970158576965332</v>
      </c>
      <c r="G35" s="9">
        <v>0.61799788475036621</v>
      </c>
      <c r="H35" s="9">
        <v>0.1505616307258606</v>
      </c>
      <c r="I35">
        <v>9.2800000857096165E-5</v>
      </c>
      <c r="J35"/>
    </row>
    <row r="36" spans="1:10" ht="15" customHeight="1" x14ac:dyDescent="0.15">
      <c r="A36" s="211">
        <v>35</v>
      </c>
      <c r="B36" s="211" t="s">
        <v>227</v>
      </c>
      <c r="C36" s="8">
        <v>3.3900716304779053</v>
      </c>
      <c r="D36" s="9">
        <v>8.8409997522830963E-2</v>
      </c>
      <c r="E36" s="9">
        <v>0.5</v>
      </c>
      <c r="F36" s="9">
        <v>3.0999999046325684</v>
      </c>
      <c r="G36" s="9">
        <v>0.11065922677516937</v>
      </c>
      <c r="H36" s="9">
        <v>0.16129033267498016</v>
      </c>
      <c r="I36">
        <v>1.9269965123385191E-3</v>
      </c>
      <c r="J36"/>
    </row>
    <row r="37" spans="1:10" ht="15" customHeight="1" x14ac:dyDescent="0.15">
      <c r="A37" s="212">
        <v>36</v>
      </c>
      <c r="B37" s="212" t="s">
        <v>228</v>
      </c>
      <c r="C37" s="8">
        <v>3.8653073310852051</v>
      </c>
      <c r="D37" s="9">
        <v>8.9844260364770889E-3</v>
      </c>
      <c r="E37" s="9">
        <v>0.41800001263618469</v>
      </c>
      <c r="F37" s="9">
        <v>3.7999999523162842</v>
      </c>
      <c r="G37" s="9">
        <v>0.66548150777816772</v>
      </c>
      <c r="H37" s="9">
        <v>0.11000000685453415</v>
      </c>
      <c r="I37">
        <v>4.0300001273863018E-5</v>
      </c>
      <c r="J37"/>
    </row>
    <row r="38" spans="1:10" ht="15" customHeight="1" x14ac:dyDescent="0.15">
      <c r="A38" s="213">
        <v>37</v>
      </c>
      <c r="B38" s="213" t="s">
        <v>229</v>
      </c>
      <c r="C38" s="8">
        <v>3.924217700958252</v>
      </c>
      <c r="D38" s="9">
        <v>1.0909999720752239E-2</v>
      </c>
      <c r="E38" s="9">
        <v>0.60000002384185791</v>
      </c>
      <c r="F38" s="9">
        <v>4</v>
      </c>
      <c r="G38" s="9">
        <v>0.40411365032196045</v>
      </c>
      <c r="H38" s="9">
        <v>0.15000000596046448</v>
      </c>
      <c r="I38">
        <v>8.2021462731063366E-4</v>
      </c>
      <c r="J38"/>
    </row>
    <row r="39" spans="1:10" ht="15" customHeight="1" x14ac:dyDescent="0.15">
      <c r="A39" s="214">
        <v>38</v>
      </c>
      <c r="B39" s="214" t="s">
        <v>230</v>
      </c>
      <c r="C39" s="8">
        <v>3.7502262592315674</v>
      </c>
      <c r="D39" s="9">
        <v>1.7968965694308281E-2</v>
      </c>
      <c r="E39" s="9">
        <v>0.80000001192092896</v>
      </c>
      <c r="F39" s="9">
        <v>6.1999998092651367</v>
      </c>
      <c r="G39" s="9">
        <v>0.82053977251052856</v>
      </c>
      <c r="H39" s="9">
        <v>0.12903226912021637</v>
      </c>
      <c r="I39">
        <v>7.0972106186673045E-4</v>
      </c>
      <c r="J39"/>
    </row>
    <row r="40" spans="1:10" ht="15" customHeight="1" x14ac:dyDescent="0.15">
      <c r="A40" s="215">
        <v>39</v>
      </c>
      <c r="B40" s="215" t="s">
        <v>231</v>
      </c>
      <c r="C40" s="8">
        <v>3.8093616962432861</v>
      </c>
      <c r="D40" s="9">
        <v>1.888513914309442E-3</v>
      </c>
      <c r="E40" s="9">
        <v>1.7000000476837158</v>
      </c>
      <c r="F40" s="9">
        <v>13.5</v>
      </c>
      <c r="G40" s="9">
        <v>0.51447463035583496</v>
      </c>
      <c r="H40" s="9">
        <v>0.12592592835426331</v>
      </c>
      <c r="I40">
        <v>0</v>
      </c>
      <c r="J40"/>
    </row>
    <row r="41" spans="1:10" ht="15" customHeight="1" x14ac:dyDescent="0.15">
      <c r="A41" s="216">
        <v>40</v>
      </c>
      <c r="B41" s="216" t="s">
        <v>232</v>
      </c>
      <c r="C41" s="8">
        <v>3.6498534679412842</v>
      </c>
      <c r="D41" s="9">
        <v>7.4500001966953278E-2</v>
      </c>
      <c r="E41" s="9">
        <v>0.69999998807907104</v>
      </c>
      <c r="F41" s="9">
        <v>3.4780645370483398</v>
      </c>
      <c r="G41" s="9">
        <v>0.96451610326766968</v>
      </c>
      <c r="H41" s="9">
        <v>0.20126135647296906</v>
      </c>
      <c r="I41">
        <v>3.8475587964057922E-2</v>
      </c>
      <c r="J41"/>
    </row>
    <row r="42" spans="1:10" ht="15" customHeight="1" x14ac:dyDescent="0.15">
      <c r="A42" s="217">
        <v>41</v>
      </c>
      <c r="B42" s="217" t="s">
        <v>233</v>
      </c>
      <c r="C42" s="8">
        <v>3.4286983013153076</v>
      </c>
      <c r="D42" s="9">
        <v>8.6900003254413605E-2</v>
      </c>
      <c r="E42" s="9">
        <v>1.2000000476837158</v>
      </c>
      <c r="F42" s="9">
        <v>11.5</v>
      </c>
      <c r="G42" s="9">
        <v>0.69640856981277466</v>
      </c>
      <c r="H42" s="9">
        <v>0.1043478325009346</v>
      </c>
      <c r="I42">
        <v>4.4393083080649376E-3</v>
      </c>
      <c r="J42"/>
    </row>
    <row r="43" spans="1:10" ht="15" customHeight="1" x14ac:dyDescent="0.15">
      <c r="A43" s="218">
        <v>42</v>
      </c>
      <c r="B43" s="218" t="s">
        <v>234</v>
      </c>
      <c r="C43" s="8">
        <v>3.4643235206604004</v>
      </c>
      <c r="D43" s="9">
        <v>7.7250629663467407E-2</v>
      </c>
      <c r="E43" s="9">
        <v>1.2000000476837158</v>
      </c>
      <c r="F43" s="9">
        <v>11.300000190734863</v>
      </c>
      <c r="G43" s="9">
        <v>0.20616155862808228</v>
      </c>
      <c r="H43" s="9">
        <v>0.10619468986988068</v>
      </c>
      <c r="I43">
        <v>5.9352035168558359E-4</v>
      </c>
      <c r="J43"/>
    </row>
    <row r="44" spans="1:10" ht="15" customHeight="1" x14ac:dyDescent="0.15">
      <c r="A44" s="219">
        <v>43</v>
      </c>
      <c r="B44" s="219" t="s">
        <v>235</v>
      </c>
      <c r="C44" s="8">
        <v>3.425828218460083</v>
      </c>
      <c r="D44" s="9">
        <v>0.19750000536441803</v>
      </c>
      <c r="E44" s="9">
        <v>1.7999999523162842</v>
      </c>
      <c r="F44" s="9">
        <v>11.800000190734863</v>
      </c>
      <c r="G44" s="9">
        <v>0.38282540440559387</v>
      </c>
      <c r="H44" s="9">
        <v>0.1525423675775528</v>
      </c>
      <c r="I44">
        <v>3.4826849587261677E-3</v>
      </c>
      <c r="J44"/>
    </row>
    <row r="45" spans="1:10" ht="15" customHeight="1" x14ac:dyDescent="0.15">
      <c r="A45" s="220">
        <v>44</v>
      </c>
      <c r="B45" s="220" t="s">
        <v>236</v>
      </c>
      <c r="C45" s="8">
        <v>3.5873425006866455</v>
      </c>
      <c r="D45" s="9">
        <v>7.5400002300739288E-2</v>
      </c>
      <c r="E45" s="9">
        <v>1.6499999761581421</v>
      </c>
      <c r="F45" s="9">
        <v>9.5</v>
      </c>
      <c r="G45" s="9">
        <v>0.93256759643554688</v>
      </c>
      <c r="H45" s="9">
        <v>0.17368420958518982</v>
      </c>
      <c r="I45">
        <v>1.9806195050477982E-2</v>
      </c>
      <c r="J45"/>
    </row>
    <row r="46" spans="1:10" ht="15" customHeight="1" x14ac:dyDescent="0.15">
      <c r="A46" s="221">
        <v>45</v>
      </c>
      <c r="B46" s="221" t="s">
        <v>237</v>
      </c>
      <c r="C46" s="8">
        <v>3.3412675857543945</v>
      </c>
      <c r="D46" s="9">
        <v>0.24150000512599945</v>
      </c>
      <c r="E46" s="9">
        <v>1.7999999523162842</v>
      </c>
      <c r="F46" s="9">
        <v>10.199999809265137</v>
      </c>
      <c r="G46" s="9">
        <v>0.65641504526138306</v>
      </c>
      <c r="H46" s="9">
        <v>0.17647059261798859</v>
      </c>
      <c r="I46">
        <v>3.192746639251709E-2</v>
      </c>
      <c r="J46"/>
    </row>
    <row r="47" spans="1:10" ht="15" customHeight="1" x14ac:dyDescent="0.15">
      <c r="A47" s="222">
        <v>46</v>
      </c>
      <c r="B47" s="222" t="s">
        <v>238</v>
      </c>
      <c r="C47" s="8">
        <v>3.7417094707489014</v>
      </c>
      <c r="D47" s="9">
        <v>0.11749999970197678</v>
      </c>
      <c r="E47" s="9">
        <v>1.3400000333786011</v>
      </c>
      <c r="F47" s="9">
        <v>6.1999998092651367</v>
      </c>
      <c r="G47" s="9">
        <v>0.99354010820388794</v>
      </c>
      <c r="H47" s="9">
        <v>0.21612904965877533</v>
      </c>
      <c r="I47">
        <v>5.8437773259356618E-4</v>
      </c>
      <c r="J47"/>
    </row>
    <row r="48" spans="1:10" ht="15" customHeight="1" x14ac:dyDescent="0.15">
      <c r="A48" s="223">
        <v>47</v>
      </c>
      <c r="B48" s="223" t="s">
        <v>239</v>
      </c>
      <c r="C48" s="8">
        <v>3.7025077342987061</v>
      </c>
      <c r="D48" s="9">
        <v>0.13500000536441803</v>
      </c>
      <c r="E48" s="9">
        <v>1.5399999618530273</v>
      </c>
      <c r="F48" s="9">
        <v>6.1999998092651367</v>
      </c>
      <c r="G48" s="9">
        <v>0.98103183507919312</v>
      </c>
      <c r="H48" s="9">
        <v>0.24838709831237793</v>
      </c>
      <c r="I48">
        <v>1.8721682950854301E-2</v>
      </c>
      <c r="J48"/>
    </row>
    <row r="49" spans="1:10" ht="15" customHeight="1" x14ac:dyDescent="0.15">
      <c r="A49" s="224">
        <v>48</v>
      </c>
      <c r="B49" s="224" t="s">
        <v>240</v>
      </c>
      <c r="C49" s="8">
        <v>3.5814189910888672</v>
      </c>
      <c r="D49" s="9">
        <v>0.1088000014424324</v>
      </c>
      <c r="E49" s="9">
        <v>1.3200000524520874</v>
      </c>
      <c r="F49" s="9">
        <v>7</v>
      </c>
      <c r="G49" s="9">
        <v>0.6356576681137085</v>
      </c>
      <c r="H49" s="9">
        <v>0.18857143819332123</v>
      </c>
      <c r="I49">
        <v>6.0744240181520581E-4</v>
      </c>
      <c r="J49"/>
    </row>
    <row r="50" spans="1:10" ht="15" customHeight="1" x14ac:dyDescent="0.15">
      <c r="A50" s="225">
        <v>49</v>
      </c>
      <c r="B50" s="225" t="s">
        <v>241</v>
      </c>
      <c r="C50" s="8">
        <v>3.0737433433532715</v>
      </c>
      <c r="D50" s="9">
        <v>0.56499999761581421</v>
      </c>
      <c r="E50" s="9">
        <v>2.7999999523162842</v>
      </c>
      <c r="F50" s="9">
        <v>12.5</v>
      </c>
      <c r="G50" s="9">
        <v>0.57827943563461304</v>
      </c>
      <c r="H50" s="9">
        <v>0.2239999920129776</v>
      </c>
      <c r="I50">
        <v>3.8941770792007446E-2</v>
      </c>
      <c r="J50"/>
    </row>
    <row r="51" spans="1:10" ht="15" customHeight="1" x14ac:dyDescent="0.15">
      <c r="A51" s="226">
        <v>50</v>
      </c>
      <c r="B51" s="226" t="s">
        <v>242</v>
      </c>
      <c r="C51" s="8">
        <v>2.9964361190795898</v>
      </c>
      <c r="D51" s="9">
        <v>1.0850000381469727</v>
      </c>
      <c r="E51" s="9">
        <v>3</v>
      </c>
      <c r="F51" s="9">
        <v>14.199999809265137</v>
      </c>
      <c r="G51" s="9">
        <v>0.54750490188598633</v>
      </c>
      <c r="H51" s="9">
        <v>0.21126760542392731</v>
      </c>
      <c r="I51">
        <v>0.57343053817749023</v>
      </c>
      <c r="J51"/>
    </row>
    <row r="52" spans="1:10" ht="15" customHeight="1" x14ac:dyDescent="0.15">
      <c r="A52" s="227">
        <v>51</v>
      </c>
      <c r="B52" s="227" t="s">
        <v>243</v>
      </c>
      <c r="C52" s="8">
        <v>3.5285017490386963</v>
      </c>
      <c r="D52" s="9">
        <v>0.14000000059604645</v>
      </c>
      <c r="E52" s="9">
        <v>1.6000000238418579</v>
      </c>
      <c r="F52" s="9">
        <v>8.5</v>
      </c>
      <c r="G52" s="9">
        <v>0.26696237921714783</v>
      </c>
      <c r="H52" s="9">
        <v>0.18823529779911041</v>
      </c>
      <c r="I52">
        <v>1.8982000648975372E-2</v>
      </c>
      <c r="J52"/>
    </row>
    <row r="53" spans="1:10" ht="15" customHeight="1" x14ac:dyDescent="0.15">
      <c r="A53" s="228">
        <v>52</v>
      </c>
      <c r="B53" s="228" t="s">
        <v>244</v>
      </c>
      <c r="C53" s="8">
        <v>3.0383729934692383</v>
      </c>
      <c r="D53" s="9">
        <v>1.0255000591278076</v>
      </c>
      <c r="E53" s="9">
        <v>3.0999999046325684</v>
      </c>
      <c r="F53" s="9">
        <v>15.600000381469727</v>
      </c>
      <c r="G53" s="9">
        <v>0.40217921137809753</v>
      </c>
      <c r="H53" s="9">
        <v>0.19871793687343597</v>
      </c>
      <c r="I53">
        <v>2.3335311561822891E-3</v>
      </c>
      <c r="J53"/>
    </row>
    <row r="54" spans="1:10" ht="15" customHeight="1" x14ac:dyDescent="0.15">
      <c r="A54" s="229">
        <v>53</v>
      </c>
      <c r="B54" s="229" t="s">
        <v>245</v>
      </c>
      <c r="C54" s="8">
        <v>3.4733424186706543</v>
      </c>
      <c r="D54" s="9">
        <v>8.5900001227855682E-2</v>
      </c>
      <c r="E54" s="9">
        <v>1.7999999523162842</v>
      </c>
      <c r="F54" s="9">
        <v>10</v>
      </c>
      <c r="G54" s="9">
        <v>8.926035463809967E-2</v>
      </c>
      <c r="H54" s="9">
        <v>0.17999999225139618</v>
      </c>
      <c r="I54">
        <v>7.4651674367487431E-4</v>
      </c>
      <c r="J54"/>
    </row>
    <row r="55" spans="1:10" ht="15" customHeight="1" x14ac:dyDescent="0.15">
      <c r="A55" s="230">
        <v>54</v>
      </c>
      <c r="B55" s="230" t="s">
        <v>246</v>
      </c>
      <c r="C55" s="8">
        <v>2.9661836624145508</v>
      </c>
      <c r="D55" s="9">
        <v>8.919999748468399E-2</v>
      </c>
      <c r="E55" s="9">
        <v>2</v>
      </c>
      <c r="F55" s="9">
        <v>15.100000381469727</v>
      </c>
      <c r="G55" s="9">
        <v>0.10962538421154022</v>
      </c>
      <c r="H55" s="9">
        <v>0.13245032727718353</v>
      </c>
      <c r="I55">
        <v>2.6483510155230761E-3</v>
      </c>
      <c r="J55"/>
    </row>
    <row r="56" spans="1:10" ht="15" customHeight="1" x14ac:dyDescent="0.15">
      <c r="A56" s="231">
        <v>55</v>
      </c>
      <c r="B56" s="231" t="s">
        <v>247</v>
      </c>
      <c r="C56" s="8">
        <v>2.9020607471466064</v>
      </c>
      <c r="D56" s="9">
        <v>0.34999999403953552</v>
      </c>
      <c r="E56" s="9">
        <v>2.5999999046325684</v>
      </c>
      <c r="F56" s="9">
        <v>17.600000381469727</v>
      </c>
      <c r="G56" s="9">
        <v>0.92287778854370117</v>
      </c>
      <c r="H56" s="9">
        <v>0.14772726595401764</v>
      </c>
      <c r="I56">
        <v>1.5164187178015709E-2</v>
      </c>
      <c r="J56"/>
    </row>
    <row r="57" spans="1:10" ht="15" customHeight="1" x14ac:dyDescent="0.15">
      <c r="A57" s="232">
        <v>56</v>
      </c>
      <c r="B57" s="232" t="s">
        <v>248</v>
      </c>
      <c r="C57" s="8">
        <v>2.8038516044616699</v>
      </c>
      <c r="D57" s="9">
        <v>0.31999999284744263</v>
      </c>
      <c r="E57" s="9">
        <v>2.7000000476837158</v>
      </c>
      <c r="F57" s="9">
        <v>22.200000762939453</v>
      </c>
      <c r="G57" s="9">
        <v>0.95248275995254517</v>
      </c>
      <c r="H57" s="9">
        <v>0.12162161618471146</v>
      </c>
      <c r="I57">
        <v>3.8691810004820582E-6</v>
      </c>
      <c r="J57"/>
    </row>
    <row r="58" spans="1:10" ht="15" customHeight="1" x14ac:dyDescent="0.15">
      <c r="A58" s="233">
        <v>57</v>
      </c>
      <c r="B58" s="233" t="s">
        <v>249</v>
      </c>
      <c r="C58" s="8">
        <v>3.1182794570922852</v>
      </c>
      <c r="D58" s="9">
        <v>0.22900000214576721</v>
      </c>
      <c r="E58" s="9">
        <v>2.7000000476837158</v>
      </c>
      <c r="F58" s="9">
        <v>11.699999809265137</v>
      </c>
      <c r="G58" s="9">
        <v>0.71612966060638428</v>
      </c>
      <c r="H58" s="9">
        <v>0.23076923191547394</v>
      </c>
      <c r="I58">
        <v>8.809158462099731E-4</v>
      </c>
      <c r="J58"/>
    </row>
    <row r="59" spans="1:10" ht="15" customHeight="1" x14ac:dyDescent="0.15">
      <c r="A59" s="234">
        <v>58</v>
      </c>
      <c r="B59" s="234" t="s">
        <v>250</v>
      </c>
      <c r="C59" s="8">
        <v>3.414736270904541</v>
      </c>
      <c r="D59" s="9">
        <v>0.15399999916553497</v>
      </c>
      <c r="E59" s="9">
        <v>0.60000002384185791</v>
      </c>
      <c r="F59" s="9">
        <v>11</v>
      </c>
      <c r="G59" s="9">
        <v>0.22101636230945587</v>
      </c>
      <c r="H59" s="9">
        <v>5.4545458406209946E-2</v>
      </c>
      <c r="I59">
        <v>0</v>
      </c>
      <c r="J59"/>
    </row>
    <row r="60" spans="1:10" ht="15" customHeight="1" x14ac:dyDescent="0.15">
      <c r="A60" s="235">
        <v>59</v>
      </c>
      <c r="B60" s="235" t="s">
        <v>251</v>
      </c>
      <c r="C60" s="8">
        <v>3.4339923858642578</v>
      </c>
      <c r="D60" s="9">
        <v>0.31999999284744263</v>
      </c>
      <c r="E60" s="9">
        <v>2.4000000953674316</v>
      </c>
      <c r="F60" s="9">
        <v>11.699999809265137</v>
      </c>
      <c r="G60" s="9">
        <v>0.81684607267379761</v>
      </c>
      <c r="H60" s="9">
        <v>0.20512822270393372</v>
      </c>
      <c r="I60">
        <v>0</v>
      </c>
      <c r="J60"/>
    </row>
    <row r="61" spans="1:10" ht="15" customHeight="1" x14ac:dyDescent="0.15">
      <c r="A61" s="236">
        <v>60</v>
      </c>
      <c r="B61" s="236" t="s">
        <v>252</v>
      </c>
      <c r="C61" s="8">
        <v>3.0210623741149902</v>
      </c>
      <c r="D61" s="9">
        <v>1.1000000238418579</v>
      </c>
      <c r="E61" s="9">
        <v>2.6500000953674316</v>
      </c>
      <c r="F61" s="9">
        <v>12.100000381469727</v>
      </c>
      <c r="G61" s="9">
        <v>0.64032107591629028</v>
      </c>
      <c r="H61" s="9">
        <v>0.21900826692581177</v>
      </c>
      <c r="I61">
        <v>3.7625744938850403E-2</v>
      </c>
      <c r="J61"/>
    </row>
    <row r="62" spans="1:10" ht="15" customHeight="1" x14ac:dyDescent="0.15">
      <c r="A62" s="237">
        <v>61</v>
      </c>
      <c r="B62" s="237" t="s">
        <v>253</v>
      </c>
      <c r="C62" s="8">
        <v>2.5261895656585693</v>
      </c>
      <c r="D62" s="9">
        <v>1.0700000524520874</v>
      </c>
      <c r="E62" s="9">
        <v>2.7000000476837158</v>
      </c>
      <c r="F62" s="9">
        <v>13.899999618530273</v>
      </c>
      <c r="G62" s="9">
        <v>0.71546334028244019</v>
      </c>
      <c r="H62" s="9">
        <v>0.19424460828304291</v>
      </c>
      <c r="I62">
        <v>1.3641663789749146</v>
      </c>
      <c r="J62"/>
    </row>
    <row r="63" spans="1:10" ht="15" customHeight="1" x14ac:dyDescent="0.15">
      <c r="A63" s="238">
        <v>62</v>
      </c>
      <c r="B63" s="238" t="s">
        <v>254</v>
      </c>
      <c r="C63" s="8">
        <v>2.9280581474304199</v>
      </c>
      <c r="D63" s="9">
        <v>1.3980000019073486</v>
      </c>
      <c r="E63" s="9">
        <v>3.5</v>
      </c>
      <c r="F63" s="9">
        <v>15.899999618530273</v>
      </c>
      <c r="G63" s="9">
        <v>0.40363192558288574</v>
      </c>
      <c r="H63" s="9">
        <v>0.22012579441070557</v>
      </c>
      <c r="I63">
        <v>0.25449490547180176</v>
      </c>
      <c r="J63"/>
    </row>
    <row r="64" spans="1:10" ht="15" customHeight="1" x14ac:dyDescent="0.15">
      <c r="A64" s="239">
        <v>63</v>
      </c>
      <c r="B64" s="239" t="s">
        <v>255</v>
      </c>
      <c r="C64" s="8">
        <v>2.4577333927154541</v>
      </c>
      <c r="D64" s="9">
        <v>0.55000001192092896</v>
      </c>
      <c r="E64" s="9">
        <v>3.0999999046325684</v>
      </c>
      <c r="F64" s="9">
        <v>19.399999618530273</v>
      </c>
      <c r="G64" s="9">
        <v>0.26505991816520691</v>
      </c>
      <c r="H64" s="9">
        <v>0.15979380905628204</v>
      </c>
      <c r="I64">
        <v>2.5188691914081573E-2</v>
      </c>
      <c r="J64"/>
    </row>
    <row r="65" spans="1:10" ht="15" customHeight="1" x14ac:dyDescent="0.15">
      <c r="A65" s="240">
        <v>64</v>
      </c>
      <c r="B65" s="240" t="s">
        <v>256</v>
      </c>
      <c r="C65" s="8">
        <v>2.9194624423980713</v>
      </c>
      <c r="D65" s="9">
        <v>0.49500000476837158</v>
      </c>
      <c r="E65" s="9">
        <v>3.5</v>
      </c>
      <c r="F65" s="9">
        <v>12.5</v>
      </c>
      <c r="G65" s="9">
        <v>9.0485692024230957E-2</v>
      </c>
      <c r="H65" s="9">
        <v>0.2800000011920929</v>
      </c>
      <c r="I65">
        <v>6.3999241683632135E-4</v>
      </c>
      <c r="J65"/>
    </row>
    <row r="66" spans="1:10" ht="15" customHeight="1" x14ac:dyDescent="0.15">
      <c r="A66" s="241">
        <v>65</v>
      </c>
      <c r="B66" s="241" t="s">
        <v>257</v>
      </c>
      <c r="C66" s="8">
        <v>3.3005468845367432</v>
      </c>
      <c r="D66" s="9">
        <v>1.3799999952316284</v>
      </c>
      <c r="E66" s="9">
        <v>3.5</v>
      </c>
      <c r="F66" s="9">
        <v>13.699999809265137</v>
      </c>
      <c r="G66" s="9">
        <v>0.996238112449646</v>
      </c>
      <c r="H66" s="9">
        <v>0.25547444820404053</v>
      </c>
      <c r="I66">
        <v>9.8768578027375042E-5</v>
      </c>
      <c r="J66"/>
    </row>
    <row r="67" spans="1:10" ht="15" customHeight="1" x14ac:dyDescent="0.15">
      <c r="A67" s="242">
        <v>66</v>
      </c>
      <c r="B67" s="242" t="s">
        <v>258</v>
      </c>
      <c r="C67" s="8">
        <v>2.7700529098510742</v>
      </c>
      <c r="D67" s="9">
        <v>2.4000000953674316</v>
      </c>
      <c r="E67" s="9">
        <v>3.7999999523162842</v>
      </c>
      <c r="F67" s="9">
        <v>19.200000762939453</v>
      </c>
      <c r="G67" s="9">
        <v>0.91300642490386963</v>
      </c>
      <c r="H67" s="9">
        <v>0.1979166567325592</v>
      </c>
      <c r="I67">
        <v>0.3423994779586792</v>
      </c>
      <c r="J67"/>
    </row>
    <row r="68" spans="1:10" ht="15" customHeight="1" x14ac:dyDescent="0.15">
      <c r="A68" s="243">
        <v>67</v>
      </c>
      <c r="B68" s="243" t="s">
        <v>259</v>
      </c>
      <c r="C68" s="8">
        <v>3.1446993350982666</v>
      </c>
      <c r="D68" s="9">
        <v>2.2200000286102295</v>
      </c>
      <c r="E68" s="9">
        <v>3</v>
      </c>
      <c r="F68" s="9">
        <v>10.5</v>
      </c>
      <c r="G68" s="9">
        <v>0.99500840902328491</v>
      </c>
      <c r="H68" s="9">
        <v>0.28571429848670959</v>
      </c>
      <c r="I68">
        <v>9.1601796448230743E-2</v>
      </c>
      <c r="J68"/>
    </row>
    <row r="69" spans="1:10" ht="15" customHeight="1" x14ac:dyDescent="0.15">
      <c r="A69" s="244">
        <v>68</v>
      </c>
      <c r="B69" s="244" t="s">
        <v>260</v>
      </c>
      <c r="C69" s="8">
        <v>2.0123260021209717</v>
      </c>
      <c r="D69" s="9">
        <v>20</v>
      </c>
      <c r="E69" s="9">
        <v>5</v>
      </c>
      <c r="F69" s="9">
        <v>17</v>
      </c>
      <c r="G69" s="9">
        <v>0.54283046722412109</v>
      </c>
      <c r="H69" s="9">
        <v>0.29411765933036804</v>
      </c>
      <c r="I69">
        <v>3.1502645462751389E-2</v>
      </c>
      <c r="J69"/>
    </row>
    <row r="70" spans="1:10" ht="15" customHeight="1" x14ac:dyDescent="0.15">
      <c r="A70" s="245">
        <v>69</v>
      </c>
      <c r="B70" s="245" t="s">
        <v>261</v>
      </c>
      <c r="C70" s="8">
        <v>2.3750729560852051</v>
      </c>
      <c r="D70" s="9">
        <v>15</v>
      </c>
      <c r="E70" s="9">
        <v>6</v>
      </c>
      <c r="F70" s="9">
        <v>27</v>
      </c>
      <c r="G70" s="9">
        <v>0.98865276575088501</v>
      </c>
      <c r="H70" s="9">
        <v>0.2222222238779068</v>
      </c>
      <c r="I70">
        <v>5.240508820861578E-3</v>
      </c>
      <c r="J70"/>
    </row>
    <row r="71" spans="1:10" ht="15" customHeight="1" x14ac:dyDescent="0.15">
      <c r="A71" s="246">
        <v>70</v>
      </c>
      <c r="B71" s="246" t="s">
        <v>262</v>
      </c>
      <c r="C71" s="8">
        <v>2.2159218788146973</v>
      </c>
      <c r="D71" s="9">
        <v>13</v>
      </c>
      <c r="E71" s="9">
        <v>10</v>
      </c>
      <c r="F71" s="9">
        <v>40</v>
      </c>
      <c r="G71" s="9">
        <v>0.9994925856590271</v>
      </c>
      <c r="H71" s="9">
        <v>0.25</v>
      </c>
      <c r="I71">
        <v>1.4025019481778145E-3</v>
      </c>
      <c r="J71"/>
    </row>
    <row r="72" spans="1:10" ht="15" customHeight="1" x14ac:dyDescent="0.15">
      <c r="A72" s="247">
        <v>71</v>
      </c>
      <c r="B72" s="247" t="s">
        <v>263</v>
      </c>
      <c r="C72" s="8">
        <v>2.0453579425811768</v>
      </c>
      <c r="D72" s="9">
        <v>18.5</v>
      </c>
      <c r="E72" s="9">
        <v>6</v>
      </c>
      <c r="F72" s="9">
        <v>22</v>
      </c>
      <c r="G72" s="9">
        <v>0.97516846656799316</v>
      </c>
      <c r="H72" s="9">
        <v>0.27272728085517883</v>
      </c>
      <c r="I72">
        <v>2.7038701227866113E-4</v>
      </c>
      <c r="J72"/>
    </row>
    <row r="73" spans="1:10" ht="15" customHeight="1" x14ac:dyDescent="0.15">
      <c r="A73" s="248">
        <v>72</v>
      </c>
      <c r="B73" s="248" t="s">
        <v>264</v>
      </c>
      <c r="C73" s="8">
        <v>1</v>
      </c>
      <c r="D73" s="9">
        <v>29.799999237060547</v>
      </c>
      <c r="E73" s="9">
        <v>27.5</v>
      </c>
      <c r="F73" s="10"/>
      <c r="G73" s="9">
        <v>8.3422854542732239E-2</v>
      </c>
      <c r="H73" s="10"/>
      <c r="I73">
        <v>0</v>
      </c>
      <c r="J73"/>
    </row>
    <row r="74" spans="1:10" ht="15" customHeight="1" x14ac:dyDescent="0.15">
      <c r="A74" s="249">
        <v>73</v>
      </c>
      <c r="B74" s="249" t="s">
        <v>265</v>
      </c>
      <c r="C74" s="8">
        <v>1</v>
      </c>
      <c r="D74" s="9">
        <v>150</v>
      </c>
      <c r="E74" s="9">
        <v>25</v>
      </c>
      <c r="F74" s="10"/>
      <c r="G74" s="9">
        <v>1.0404783301055431E-2</v>
      </c>
      <c r="H74" s="10"/>
      <c r="I74">
        <v>0</v>
      </c>
      <c r="J74"/>
    </row>
    <row r="75" spans="1:10" ht="15" customHeight="1" x14ac:dyDescent="0.15">
      <c r="A75" s="250">
        <v>74</v>
      </c>
      <c r="B75" s="250" t="s">
        <v>266</v>
      </c>
      <c r="C75" s="8">
        <v>1</v>
      </c>
      <c r="D75" s="9">
        <v>25</v>
      </c>
      <c r="E75" s="9">
        <v>160</v>
      </c>
      <c r="F75" s="10"/>
      <c r="G75" s="9">
        <v>0.20754306018352509</v>
      </c>
      <c r="H75" s="10"/>
      <c r="I75">
        <v>0</v>
      </c>
      <c r="J75"/>
    </row>
    <row r="76" spans="1:10" ht="15" customHeight="1" x14ac:dyDescent="0.15">
      <c r="A76" s="251">
        <v>75</v>
      </c>
      <c r="B76" s="251" t="s">
        <v>267</v>
      </c>
      <c r="C76" s="8">
        <v>1</v>
      </c>
      <c r="D76" s="9">
        <v>100</v>
      </c>
      <c r="E76" s="10"/>
      <c r="F76" s="10"/>
      <c r="G76" s="7">
        <v>6.8230085074901581E-2</v>
      </c>
      <c r="H76" s="10"/>
      <c r="I76">
        <v>0</v>
      </c>
      <c r="J76"/>
    </row>
    <row r="77" spans="1:10" ht="15" customHeight="1" x14ac:dyDescent="0.15">
      <c r="A77" s="252">
        <v>76</v>
      </c>
      <c r="B77" s="252" t="s">
        <v>268</v>
      </c>
      <c r="C77" s="8">
        <v>1</v>
      </c>
      <c r="D77" s="9">
        <v>5</v>
      </c>
      <c r="E77" s="10"/>
      <c r="F77" s="10"/>
      <c r="G77" s="7">
        <v>0</v>
      </c>
      <c r="H77" s="10"/>
      <c r="I77">
        <v>0</v>
      </c>
      <c r="J77"/>
    </row>
    <row r="78" spans="1:10" ht="15" customHeight="1" x14ac:dyDescent="0.15">
      <c r="A78" s="253">
        <v>77</v>
      </c>
      <c r="B78" s="253" t="s">
        <v>269</v>
      </c>
      <c r="C78" s="8">
        <v>5.0709547996520996</v>
      </c>
      <c r="D78" s="10"/>
      <c r="E78" s="10"/>
      <c r="F78" s="10"/>
      <c r="G78" s="10"/>
      <c r="H78" s="10"/>
      <c r="I78">
        <v>5.105891264975071E-3</v>
      </c>
      <c r="J78"/>
    </row>
    <row r="79" spans="1:10" ht="15" customHeight="1" x14ac:dyDescent="0.15">
      <c r="A79" s="254">
        <v>78</v>
      </c>
      <c r="B79" s="254" t="s">
        <v>270</v>
      </c>
      <c r="C79" s="8">
        <v>5.1708178520202637</v>
      </c>
      <c r="D79" s="10"/>
      <c r="E79" s="10"/>
      <c r="F79" s="10"/>
      <c r="G79" s="10"/>
      <c r="H79" s="10"/>
      <c r="I79">
        <v>3.7867898936383426E-4</v>
      </c>
      <c r="J79"/>
    </row>
    <row r="80" spans="1:10" ht="15" customHeight="1" x14ac:dyDescent="0.15">
      <c r="A80" s="255">
        <v>79</v>
      </c>
      <c r="B80" s="255" t="s">
        <v>271</v>
      </c>
      <c r="C80" s="8">
        <v>5.2292790412902832</v>
      </c>
      <c r="D80" s="10"/>
      <c r="E80" s="10"/>
      <c r="F80" s="10"/>
      <c r="G80" s="10"/>
      <c r="H80" s="10"/>
      <c r="I80">
        <v>1.1999059934169054E-3</v>
      </c>
      <c r="J80"/>
    </row>
    <row r="81" spans="1:10" ht="15" customHeight="1" x14ac:dyDescent="0.15">
      <c r="A81" s="256">
        <v>80</v>
      </c>
      <c r="B81" s="256" t="s">
        <v>272</v>
      </c>
      <c r="C81" s="8">
        <v>5.0245623588562012</v>
      </c>
      <c r="D81" s="10"/>
      <c r="E81" s="10"/>
      <c r="F81" s="10"/>
      <c r="G81" s="10"/>
      <c r="H81" s="10"/>
      <c r="I81">
        <v>6.0356613248586655E-3</v>
      </c>
      <c r="J81"/>
    </row>
    <row r="82" spans="1:10" ht="15" customHeight="1" x14ac:dyDescent="0.15">
      <c r="A82" s="257">
        <v>81</v>
      </c>
      <c r="B82" s="257" t="s">
        <v>273</v>
      </c>
      <c r="C82" s="8">
        <v>4.1394438743591309</v>
      </c>
      <c r="D82" s="10"/>
      <c r="E82" s="10"/>
      <c r="F82" s="10"/>
      <c r="G82" s="10"/>
      <c r="H82" s="10"/>
      <c r="I82">
        <v>1.1155568063259125E-2</v>
      </c>
      <c r="J82"/>
    </row>
    <row r="83" spans="1:10" ht="15" customHeight="1" x14ac:dyDescent="0.15">
      <c r="A83" s="258">
        <v>82</v>
      </c>
      <c r="B83" s="258" t="s">
        <v>274</v>
      </c>
      <c r="C83" s="8">
        <v>3.5435421466827393</v>
      </c>
      <c r="D83" s="10"/>
      <c r="E83" s="10"/>
      <c r="F83" s="10"/>
      <c r="G83" s="10"/>
      <c r="H83" s="10"/>
      <c r="I83">
        <v>1.3950099945068359</v>
      </c>
      <c r="J83"/>
    </row>
    <row r="84" spans="1:10" ht="15" customHeight="1" x14ac:dyDescent="0.15">
      <c r="A84" s="259">
        <v>83</v>
      </c>
      <c r="B84" s="259" t="s">
        <v>275</v>
      </c>
      <c r="C84" s="8">
        <v>4.8067655563354492</v>
      </c>
      <c r="D84" s="10"/>
      <c r="E84" s="10"/>
      <c r="F84" s="10"/>
      <c r="G84" s="10"/>
      <c r="H84" s="10"/>
      <c r="I84">
        <v>1.6475321725010872E-2</v>
      </c>
      <c r="J84"/>
    </row>
    <row r="85" spans="1:10" ht="15" customHeight="1" x14ac:dyDescent="0.15">
      <c r="A85" s="260">
        <v>84</v>
      </c>
      <c r="B85" s="260" t="s">
        <v>276</v>
      </c>
      <c r="C85" s="8">
        <v>4.6209368705749512</v>
      </c>
      <c r="D85" s="10"/>
      <c r="E85" s="10"/>
      <c r="F85" s="10"/>
      <c r="G85" s="10"/>
      <c r="H85" s="10"/>
      <c r="I85">
        <v>3.6748889833688736E-2</v>
      </c>
      <c r="J85"/>
    </row>
    <row r="86" spans="1:10" ht="15" customHeight="1" x14ac:dyDescent="0.15">
      <c r="A86" s="261">
        <v>85</v>
      </c>
      <c r="B86" s="261" t="s">
        <v>277</v>
      </c>
      <c r="C86" s="8">
        <v>4.4393415451049805</v>
      </c>
      <c r="D86" s="10"/>
      <c r="E86" s="10"/>
      <c r="F86" s="10"/>
      <c r="G86" s="10"/>
      <c r="H86" s="10"/>
      <c r="I86">
        <v>9.0623745927587152E-4</v>
      </c>
      <c r="J86"/>
    </row>
    <row r="87" spans="1:10" ht="15" customHeight="1" x14ac:dyDescent="0.15">
      <c r="A87" s="262">
        <v>86</v>
      </c>
      <c r="B87" s="262" t="s">
        <v>278</v>
      </c>
      <c r="C87" s="8">
        <v>4.1445984840393066</v>
      </c>
      <c r="D87" s="10"/>
      <c r="E87" s="10"/>
      <c r="F87" s="10"/>
      <c r="G87" s="10"/>
      <c r="H87" s="10"/>
      <c r="I87">
        <v>8.7009675800800323E-2</v>
      </c>
      <c r="J87"/>
    </row>
    <row r="88" spans="1:10" ht="15" customHeight="1" x14ac:dyDescent="0.15">
      <c r="A88" s="263">
        <v>87</v>
      </c>
      <c r="B88" s="263" t="s">
        <v>279</v>
      </c>
      <c r="C88" s="8">
        <v>3.3830099105834961</v>
      </c>
      <c r="D88" s="10"/>
      <c r="E88" s="10"/>
      <c r="F88" s="10"/>
      <c r="G88" s="10"/>
      <c r="H88" s="10"/>
      <c r="I88">
        <v>4.9694827757775784E-3</v>
      </c>
      <c r="J88"/>
    </row>
    <row r="89" spans="1:10" ht="15" customHeight="1" x14ac:dyDescent="0.15">
      <c r="A89" s="264">
        <v>88</v>
      </c>
      <c r="B89" s="264" t="s">
        <v>280</v>
      </c>
      <c r="C89" s="8">
        <v>3.9280416965484619</v>
      </c>
      <c r="D89" s="10"/>
      <c r="E89" s="10"/>
      <c r="F89" s="10"/>
      <c r="G89" s="10"/>
      <c r="H89" s="10"/>
      <c r="I89">
        <v>0.3162379264831543</v>
      </c>
      <c r="J89"/>
    </row>
    <row r="90" spans="1:10" ht="15" customHeight="1" x14ac:dyDescent="0.15">
      <c r="A90" s="265">
        <v>89</v>
      </c>
      <c r="B90" s="265" t="s">
        <v>281</v>
      </c>
      <c r="C90" s="8">
        <v>4.0023727416992188</v>
      </c>
      <c r="D90" s="10"/>
      <c r="E90" s="10"/>
      <c r="F90" s="10"/>
      <c r="G90" s="10"/>
      <c r="H90" s="10"/>
      <c r="I90">
        <v>1.0741923324530944E-4</v>
      </c>
      <c r="J90"/>
    </row>
    <row r="91" spans="1:10" ht="15" customHeight="1" x14ac:dyDescent="0.15">
      <c r="A91" s="266">
        <v>90</v>
      </c>
      <c r="B91" s="266" t="s">
        <v>282</v>
      </c>
      <c r="C91" s="8">
        <v>3.7262356281280518</v>
      </c>
      <c r="D91" s="10"/>
      <c r="E91" s="10"/>
      <c r="F91" s="10"/>
      <c r="G91" s="10"/>
      <c r="H91" s="10"/>
      <c r="I91">
        <v>3.4847103524953127E-3</v>
      </c>
      <c r="J91"/>
    </row>
    <row r="92" spans="1:10" ht="15" customHeight="1" x14ac:dyDescent="0.15">
      <c r="A92" s="267">
        <v>91</v>
      </c>
      <c r="B92" s="267" t="s">
        <v>283</v>
      </c>
      <c r="C92" s="8">
        <v>3.5656867027282715</v>
      </c>
      <c r="D92" s="10"/>
      <c r="E92" s="10"/>
      <c r="F92" s="10"/>
      <c r="G92" s="10"/>
      <c r="H92" s="10"/>
      <c r="I92">
        <v>8.4610963240265846E-3</v>
      </c>
      <c r="J92"/>
    </row>
    <row r="93" spans="1:10" ht="15" customHeight="1" x14ac:dyDescent="0.15">
      <c r="A93" s="268">
        <v>92</v>
      </c>
      <c r="B93" s="268" t="s">
        <v>284</v>
      </c>
      <c r="C93" s="8">
        <v>3.7524704933166504</v>
      </c>
      <c r="D93" s="10"/>
      <c r="E93" s="10"/>
      <c r="F93" s="10"/>
      <c r="G93" s="10"/>
      <c r="H93" s="10"/>
      <c r="I93">
        <v>5.6806387146934867E-4</v>
      </c>
      <c r="J93"/>
    </row>
    <row r="94" spans="1:10" ht="15" customHeight="1" x14ac:dyDescent="0.15">
      <c r="A94" s="269">
        <v>93</v>
      </c>
      <c r="B94" s="269" t="s">
        <v>285</v>
      </c>
      <c r="C94" s="8">
        <v>3.0123260021209717</v>
      </c>
      <c r="D94" s="10"/>
      <c r="E94" s="10"/>
      <c r="F94" s="10"/>
      <c r="G94" s="10"/>
      <c r="H94" s="10"/>
      <c r="I94">
        <v>1.9902903586626053E-2</v>
      </c>
      <c r="J94"/>
    </row>
    <row r="95" spans="1:10" ht="15" customHeight="1" x14ac:dyDescent="0.15">
      <c r="A95" s="270">
        <v>94</v>
      </c>
      <c r="B95" s="270" t="s">
        <v>286</v>
      </c>
      <c r="C95" s="8">
        <v>3.7504467964172363</v>
      </c>
      <c r="D95" s="10"/>
      <c r="E95" s="10"/>
      <c r="F95" s="10"/>
      <c r="G95" s="10"/>
      <c r="H95" s="10"/>
      <c r="I95">
        <v>0.10160642862319946</v>
      </c>
      <c r="J95"/>
    </row>
    <row r="96" spans="1:10" ht="15" customHeight="1" x14ac:dyDescent="0.15">
      <c r="A96" s="271">
        <v>95</v>
      </c>
      <c r="B96" s="271" t="s">
        <v>287</v>
      </c>
      <c r="C96" s="8">
        <v>4.7258234024047852</v>
      </c>
      <c r="D96" s="10"/>
      <c r="E96" s="10"/>
      <c r="F96" s="10"/>
      <c r="G96" s="10"/>
      <c r="H96" s="10"/>
      <c r="I96">
        <v>2.6789433322846889E-3</v>
      </c>
      <c r="J96"/>
    </row>
    <row r="97" spans="1:10" ht="15" customHeight="1" x14ac:dyDescent="0.15">
      <c r="A97" s="272">
        <v>96</v>
      </c>
      <c r="B97" s="272" t="s">
        <v>288</v>
      </c>
      <c r="C97" s="8">
        <v>4.7006058692932129</v>
      </c>
      <c r="D97" s="10"/>
      <c r="E97" s="10"/>
      <c r="F97" s="10"/>
      <c r="G97" s="10"/>
      <c r="H97" s="10"/>
      <c r="I97">
        <v>2.5910686701536179E-2</v>
      </c>
      <c r="J97"/>
    </row>
    <row r="98" spans="1:10" ht="15" customHeight="1" x14ac:dyDescent="0.15">
      <c r="A98" s="273">
        <v>97</v>
      </c>
      <c r="B98" s="273" t="s">
        <v>289</v>
      </c>
      <c r="C98" s="8">
        <v>4.5019693374633789</v>
      </c>
      <c r="D98" s="10"/>
      <c r="E98" s="10"/>
      <c r="F98" s="10"/>
      <c r="G98" s="10"/>
      <c r="H98" s="10"/>
      <c r="I98">
        <v>7.8638285398483276E-2</v>
      </c>
      <c r="J98"/>
    </row>
    <row r="99" spans="1:10" ht="15" customHeight="1" x14ac:dyDescent="0.15">
      <c r="A99" s="274">
        <v>98</v>
      </c>
      <c r="B99" s="274" t="s">
        <v>290</v>
      </c>
      <c r="C99" s="8">
        <v>4.6367287635803223</v>
      </c>
      <c r="D99" s="10"/>
      <c r="E99" s="10"/>
      <c r="F99" s="10"/>
      <c r="G99" s="10"/>
      <c r="H99" s="10"/>
      <c r="I99">
        <v>1.7557445913553238E-2</v>
      </c>
      <c r="J99"/>
    </row>
    <row r="100" spans="1:10" ht="15" customHeight="1" x14ac:dyDescent="0.15">
      <c r="A100" s="275">
        <v>99</v>
      </c>
      <c r="B100" s="275" t="s">
        <v>291</v>
      </c>
      <c r="C100" s="8">
        <v>4.7255940437316895</v>
      </c>
      <c r="D100" s="10"/>
      <c r="E100" s="10"/>
      <c r="F100" s="10"/>
      <c r="G100" s="10"/>
      <c r="H100" s="10"/>
      <c r="I100">
        <v>2.3902732878923416E-2</v>
      </c>
      <c r="J100"/>
    </row>
    <row r="101" spans="1:10" ht="15" customHeight="1" x14ac:dyDescent="0.15">
      <c r="A101" s="276">
        <v>100</v>
      </c>
      <c r="B101" s="276" t="s">
        <v>292</v>
      </c>
      <c r="C101" s="8">
        <v>4.055269718170166</v>
      </c>
      <c r="D101" s="10"/>
      <c r="E101" s="10"/>
      <c r="F101" s="10"/>
      <c r="G101" s="10"/>
      <c r="H101" s="10"/>
      <c r="I101">
        <v>1.0195375680923462</v>
      </c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303</v>
      </c>
      <c r="K1" t="s">
        <v>304</v>
      </c>
      <c r="L1" t="s">
        <v>305</v>
      </c>
      <c r="M1" t="s">
        <v>306</v>
      </c>
      <c r="N1" t="s">
        <v>307</v>
      </c>
      <c r="O1" t="s">
        <v>308</v>
      </c>
      <c r="P1" t="s">
        <v>309</v>
      </c>
      <c r="Q1" t="s">
        <v>310</v>
      </c>
      <c r="R1" t="s">
        <v>311</v>
      </c>
      <c r="S1" t="s">
        <v>312</v>
      </c>
      <c r="T1" t="s">
        <v>313</v>
      </c>
      <c r="U1" t="s">
        <v>314</v>
      </c>
      <c r="V1" t="s">
        <v>315</v>
      </c>
      <c r="W1" t="s">
        <v>316</v>
      </c>
      <c r="X1" t="s">
        <v>317</v>
      </c>
      <c r="Y1" t="s">
        <v>318</v>
      </c>
      <c r="Z1" t="s">
        <v>319</v>
      </c>
      <c r="AA1" t="s">
        <v>320</v>
      </c>
      <c r="AB1" t="s">
        <v>193</v>
      </c>
      <c r="AC1" t="s">
        <v>194</v>
      </c>
      <c r="AD1" t="s">
        <v>195</v>
      </c>
      <c r="AE1" t="s">
        <v>196</v>
      </c>
      <c r="AF1" t="s">
        <v>197</v>
      </c>
      <c r="AG1" t="s">
        <v>198</v>
      </c>
      <c r="AH1" t="s">
        <v>199</v>
      </c>
      <c r="AI1" t="s">
        <v>200</v>
      </c>
      <c r="AJ1" t="s">
        <v>201</v>
      </c>
      <c r="AK1" t="s">
        <v>202</v>
      </c>
      <c r="AL1" t="s">
        <v>203</v>
      </c>
      <c r="AM1" t="s">
        <v>204</v>
      </c>
      <c r="AN1" t="s">
        <v>205</v>
      </c>
      <c r="AO1" t="s">
        <v>206</v>
      </c>
      <c r="AP1" t="s">
        <v>207</v>
      </c>
      <c r="AQ1" t="s">
        <v>208</v>
      </c>
      <c r="AR1" t="s">
        <v>209</v>
      </c>
      <c r="AS1" t="s">
        <v>210</v>
      </c>
      <c r="AT1" t="s">
        <v>211</v>
      </c>
      <c r="AU1" t="s">
        <v>212</v>
      </c>
      <c r="AV1" t="s">
        <v>213</v>
      </c>
      <c r="AW1" t="s">
        <v>214</v>
      </c>
      <c r="AX1" t="s">
        <v>215</v>
      </c>
      <c r="AY1" t="s">
        <v>216</v>
      </c>
      <c r="AZ1" t="s">
        <v>217</v>
      </c>
      <c r="BA1" t="s">
        <v>218</v>
      </c>
      <c r="BB1" t="s">
        <v>219</v>
      </c>
      <c r="BC1" t="s">
        <v>220</v>
      </c>
      <c r="BD1" t="s">
        <v>221</v>
      </c>
      <c r="BE1" t="s">
        <v>222</v>
      </c>
      <c r="BF1" t="s">
        <v>223</v>
      </c>
      <c r="BG1" t="s">
        <v>224</v>
      </c>
      <c r="BH1" t="s">
        <v>225</v>
      </c>
      <c r="BI1" t="s">
        <v>226</v>
      </c>
      <c r="BJ1" t="s">
        <v>227</v>
      </c>
      <c r="BK1" t="s">
        <v>228</v>
      </c>
      <c r="BL1" t="s">
        <v>229</v>
      </c>
      <c r="BM1" t="s">
        <v>230</v>
      </c>
      <c r="BN1" t="s">
        <v>231</v>
      </c>
      <c r="BO1" t="s">
        <v>232</v>
      </c>
      <c r="BP1" t="s">
        <v>233</v>
      </c>
      <c r="BQ1" t="s">
        <v>234</v>
      </c>
      <c r="BR1" t="s">
        <v>235</v>
      </c>
      <c r="BS1" t="s">
        <v>236</v>
      </c>
      <c r="BT1" t="s">
        <v>237</v>
      </c>
      <c r="BU1" t="s">
        <v>238</v>
      </c>
      <c r="BV1" t="s">
        <v>239</v>
      </c>
      <c r="BW1" t="s">
        <v>240</v>
      </c>
      <c r="BX1" t="s">
        <v>241</v>
      </c>
      <c r="BY1" t="s">
        <v>242</v>
      </c>
      <c r="BZ1" t="s">
        <v>243</v>
      </c>
      <c r="CA1" t="s">
        <v>244</v>
      </c>
      <c r="CB1" t="s">
        <v>245</v>
      </c>
      <c r="CC1" t="s">
        <v>246</v>
      </c>
      <c r="CD1" t="s">
        <v>247</v>
      </c>
      <c r="CE1" t="s">
        <v>248</v>
      </c>
      <c r="CF1" t="s">
        <v>249</v>
      </c>
      <c r="CG1" t="s">
        <v>250</v>
      </c>
      <c r="CH1" t="s">
        <v>251</v>
      </c>
      <c r="CI1" t="s">
        <v>252</v>
      </c>
      <c r="CJ1" t="s">
        <v>253</v>
      </c>
      <c r="CK1" t="s">
        <v>254</v>
      </c>
      <c r="CL1" t="s">
        <v>255</v>
      </c>
      <c r="CM1" t="s">
        <v>256</v>
      </c>
      <c r="CN1" t="s">
        <v>257</v>
      </c>
      <c r="CO1" t="s">
        <v>258</v>
      </c>
      <c r="CP1" t="s">
        <v>259</v>
      </c>
      <c r="CQ1" t="s">
        <v>260</v>
      </c>
      <c r="CR1" t="s">
        <v>261</v>
      </c>
      <c r="CS1" t="s">
        <v>262</v>
      </c>
      <c r="CT1" t="s">
        <v>263</v>
      </c>
      <c r="CU1" t="s">
        <v>264</v>
      </c>
      <c r="CV1" t="s">
        <v>265</v>
      </c>
      <c r="CW1" t="s">
        <v>266</v>
      </c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0.15999999642372131</v>
      </c>
      <c r="C2">
        <v>7.5429058633744717E-3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 s="316">
        <v>3.271036222577095E-2</v>
      </c>
      <c r="AF2" s="296">
        <v>2.1430868655443192E-2</v>
      </c>
      <c r="AG2" s="110">
        <v>2.7503732591867447E-2</v>
      </c>
      <c r="AH2" s="315">
        <v>2.8559308499097824E-2</v>
      </c>
      <c r="AI2" s="64">
        <v>8.8412733748555183E-3</v>
      </c>
      <c r="AJ2"/>
      <c r="AK2"/>
      <c r="AL2"/>
      <c r="AM2"/>
      <c r="AN2" s="317">
        <v>3.3411551266908646E-2</v>
      </c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0.25</v>
      </c>
      <c r="C3">
        <v>1.6310423612594604E-2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 s="14">
        <v>5.9765297919511795E-4</v>
      </c>
      <c r="AB3"/>
      <c r="AC3" s="325">
        <v>0.20153674483299255</v>
      </c>
      <c r="AD3"/>
      <c r="AE3"/>
      <c r="AF3" s="11">
        <v>2.8491385819506831E-6</v>
      </c>
      <c r="AG3"/>
      <c r="AH3" s="301">
        <v>2.6580655947327614E-2</v>
      </c>
      <c r="AI3" s="21">
        <v>4.9716918729245663E-3</v>
      </c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0.31000000238418579</v>
      </c>
      <c r="C4">
        <v>0.10865919291973114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 s="299">
        <v>3.9769869297742844E-2</v>
      </c>
      <c r="AB4"/>
      <c r="AC4"/>
      <c r="AD4"/>
      <c r="AE4"/>
      <c r="AF4" s="308">
        <v>1.7549943178892136E-2</v>
      </c>
      <c r="AG4"/>
      <c r="AH4" s="311">
        <v>2.7006512507796288E-2</v>
      </c>
      <c r="AI4" s="16">
        <v>4.6341447159647942E-3</v>
      </c>
      <c r="AJ4"/>
      <c r="AK4"/>
      <c r="AL4"/>
      <c r="AM4"/>
      <c r="AN4"/>
      <c r="AO4" s="280">
        <v>1.2344277463853359E-2</v>
      </c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 s="320">
        <v>0.10003606975078583</v>
      </c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0.44999998807907104</v>
      </c>
      <c r="C5">
        <v>1.7181398347020149E-2</v>
      </c>
      <c r="D5" s="277">
        <v>0.1152026355266571</v>
      </c>
      <c r="E5" s="280">
        <v>1.7212681472301483E-2</v>
      </c>
      <c r="F5"/>
      <c r="G5" s="70">
        <v>2.2725725546479225E-2</v>
      </c>
      <c r="H5" s="14">
        <v>5.0439999904483557E-4</v>
      </c>
      <c r="I5" s="285">
        <v>1.4863635413348675E-2</v>
      </c>
      <c r="J5" s="23">
        <v>2.4457455147057772E-3</v>
      </c>
      <c r="K5" s="19">
        <v>7.551318034529686E-3</v>
      </c>
      <c r="L5"/>
      <c r="M5"/>
      <c r="N5"/>
      <c r="O5"/>
      <c r="P5"/>
      <c r="Q5"/>
      <c r="R5"/>
      <c r="S5"/>
      <c r="T5"/>
      <c r="U5" s="11">
        <v>3.6070411442779005E-4</v>
      </c>
      <c r="V5"/>
      <c r="W5"/>
      <c r="X5"/>
      <c r="Y5"/>
      <c r="Z5"/>
      <c r="AA5" s="303">
        <v>0.20613555610179901</v>
      </c>
      <c r="AB5"/>
      <c r="AC5"/>
      <c r="AD5"/>
      <c r="AE5" s="15">
        <v>4.6638716012239456E-3</v>
      </c>
      <c r="AF5" s="148">
        <v>1.2893279083073139E-2</v>
      </c>
      <c r="AG5" s="15">
        <v>4.1076936759054661E-3</v>
      </c>
      <c r="AH5" s="29">
        <v>2.1019734442234039E-2</v>
      </c>
      <c r="AI5" s="22">
        <v>3.1316257081925869E-3</v>
      </c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0.38499999046325684</v>
      </c>
      <c r="C6">
        <v>4.7179274260997772E-3</v>
      </c>
      <c r="D6" s="22">
        <v>3.352554515004158E-3</v>
      </c>
      <c r="E6"/>
      <c r="F6"/>
      <c r="G6" s="282">
        <v>4.2173046618700027E-2</v>
      </c>
      <c r="H6"/>
      <c r="I6" s="286">
        <v>8.9090904220938683E-3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 s="14">
        <v>9.4545457977801561E-4</v>
      </c>
      <c r="AB6"/>
      <c r="AC6"/>
      <c r="AD6"/>
      <c r="AE6" s="324">
        <v>0.20128257572650909</v>
      </c>
      <c r="AF6" s="306">
        <v>3.1659379601478577E-2</v>
      </c>
      <c r="AG6" s="299">
        <v>4.9245025962591171E-2</v>
      </c>
      <c r="AH6" s="313">
        <v>3.6821626126766205E-2</v>
      </c>
      <c r="AI6" s="16">
        <v>5.8933291584253311E-3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0.2800000011920929</v>
      </c>
      <c r="C7">
        <v>2.1499890834093094E-2</v>
      </c>
      <c r="D7" s="278">
        <v>6.6789276897907257E-2</v>
      </c>
      <c r="E7"/>
      <c r="F7"/>
      <c r="G7" s="283">
        <v>5.292833223938942E-2</v>
      </c>
      <c r="H7"/>
      <c r="I7" s="14">
        <v>5.0724641187116504E-4</v>
      </c>
      <c r="J7" s="12">
        <v>8.8826811406761408E-4</v>
      </c>
      <c r="K7" s="11">
        <v>4.2075724195456132E-5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 s="304">
        <v>8.5709564387798309E-2</v>
      </c>
      <c r="AB7"/>
      <c r="AC7"/>
      <c r="AD7"/>
      <c r="AE7" s="16">
        <v>4.6638720668852329E-3</v>
      </c>
      <c r="AF7" s="300">
        <v>1.289327722042799E-2</v>
      </c>
      <c r="AG7" s="17">
        <v>4.1076932102441788E-3</v>
      </c>
      <c r="AH7" s="301">
        <v>2.9534678906202316E-2</v>
      </c>
      <c r="AI7" s="14">
        <v>4.3582543730735779E-4</v>
      </c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0.37000000476837158</v>
      </c>
      <c r="C8">
        <v>3.8429929409176111E-3</v>
      </c>
      <c r="D8" s="279">
        <v>4.6262383460998535E-2</v>
      </c>
      <c r="E8"/>
      <c r="F8" s="13">
        <v>1.3970953412353992E-2</v>
      </c>
      <c r="G8" s="284">
        <v>0.13753387331962585</v>
      </c>
      <c r="H8"/>
      <c r="I8" s="26">
        <v>9.4642862677574158E-3</v>
      </c>
      <c r="J8" s="22">
        <v>3.2064525876194239E-3</v>
      </c>
      <c r="K8" s="11">
        <v>1.1451607861090451E-4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 s="14">
        <v>7.6785718556493521E-4</v>
      </c>
      <c r="AB8"/>
      <c r="AC8"/>
      <c r="AD8"/>
      <c r="AE8" s="111">
        <v>6.7132376134395599E-2</v>
      </c>
      <c r="AF8" s="313">
        <v>3.5369511693716049E-2</v>
      </c>
      <c r="AG8" s="18">
        <v>4.1076941415667534E-3</v>
      </c>
      <c r="AH8" s="72">
        <v>2.5924598798155785E-2</v>
      </c>
      <c r="AI8" s="15">
        <v>3.9661964401602745E-3</v>
      </c>
      <c r="AJ8"/>
      <c r="AK8"/>
      <c r="AL8" s="310">
        <v>1.8336301669478416E-2</v>
      </c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0.27000001072883606</v>
      </c>
      <c r="C9">
        <v>9.3033496523275971E-4</v>
      </c>
      <c r="D9"/>
      <c r="E9"/>
      <c r="F9" s="281">
        <v>0.15865980088710785</v>
      </c>
      <c r="G9"/>
      <c r="H9"/>
      <c r="I9"/>
      <c r="J9" s="18">
        <v>3.4118122421205044E-3</v>
      </c>
      <c r="K9" s="11">
        <v>2.55088962148875E-4</v>
      </c>
      <c r="L9"/>
      <c r="M9"/>
      <c r="N9"/>
      <c r="O9"/>
      <c r="P9"/>
      <c r="Q9"/>
      <c r="R9"/>
      <c r="S9"/>
      <c r="T9"/>
      <c r="U9" s="14">
        <v>4.4640526175498962E-4</v>
      </c>
      <c r="V9"/>
      <c r="W9" s="23">
        <v>1.5481071313843131E-3</v>
      </c>
      <c r="X9"/>
      <c r="Y9"/>
      <c r="Z9"/>
      <c r="AA9" s="13">
        <v>1.0313014499843121E-2</v>
      </c>
      <c r="AB9"/>
      <c r="AC9"/>
      <c r="AD9"/>
      <c r="AE9"/>
      <c r="AF9" s="21">
        <v>5.2131586708128452E-3</v>
      </c>
      <c r="AG9" s="16">
        <v>4.4460520148277283E-3</v>
      </c>
      <c r="AH9" s="312">
        <v>6.2661238014698029E-2</v>
      </c>
      <c r="AI9" s="306">
        <v>2.2114986553788185E-2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0.64999997615814209</v>
      </c>
      <c r="C10">
        <v>7.0817586965858936E-3</v>
      </c>
      <c r="D10" s="18">
        <v>8.0762309953570366E-3</v>
      </c>
      <c r="E10"/>
      <c r="F10"/>
      <c r="G10" s="29">
        <v>3.0166206881403923E-2</v>
      </c>
      <c r="H10" s="25">
        <v>2.0374450832605362E-2</v>
      </c>
      <c r="I10" s="11">
        <v>3.1413615215569735E-4</v>
      </c>
      <c r="J10"/>
      <c r="K10" s="11">
        <v>4.5844767009839416E-4</v>
      </c>
      <c r="L10"/>
      <c r="M10"/>
      <c r="N10"/>
      <c r="O10" s="295">
        <v>0.12168709933757782</v>
      </c>
      <c r="P10"/>
      <c r="Q10"/>
      <c r="R10"/>
      <c r="S10"/>
      <c r="T10"/>
      <c r="U10"/>
      <c r="V10"/>
      <c r="W10"/>
      <c r="X10"/>
      <c r="Y10"/>
      <c r="Z10"/>
      <c r="AA10" s="305">
        <v>3.4584321081638336E-2</v>
      </c>
      <c r="AB10" s="328">
        <v>0.17366120219230652</v>
      </c>
      <c r="AC10"/>
      <c r="AD10" s="15">
        <v>5.9287119656801224E-3</v>
      </c>
      <c r="AE10" s="13">
        <v>2.4815922603011131E-2</v>
      </c>
      <c r="AF10" s="22">
        <v>4.8164199106395245E-3</v>
      </c>
      <c r="AG10" s="23">
        <v>4.1076946072280407E-3</v>
      </c>
      <c r="AH10" s="21">
        <v>1.2766621075570583E-2</v>
      </c>
      <c r="AI10" s="12">
        <v>1.988445408642292E-3</v>
      </c>
      <c r="AJ10" s="70">
        <v>3.3171895891427994E-2</v>
      </c>
      <c r="AK10" s="144">
        <v>0.13973084092140198</v>
      </c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 s="23">
        <v>3.4336373209953308E-3</v>
      </c>
      <c r="BB10"/>
      <c r="BC10"/>
      <c r="BD10" s="21">
        <v>1.2498856522142887E-2</v>
      </c>
      <c r="BE10"/>
      <c r="BF10"/>
      <c r="BG10" s="17">
        <v>9.0570636093616486E-3</v>
      </c>
      <c r="BH10"/>
      <c r="BI10"/>
      <c r="BJ10" s="14">
        <v>1.1233324185013771E-3</v>
      </c>
      <c r="BK10" s="11">
        <v>1.5663665544707328E-4</v>
      </c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0.82999998331069946</v>
      </c>
      <c r="C11">
        <v>9.4513008370995522E-3</v>
      </c>
      <c r="D11" s="15">
        <v>7.5412285514175892E-3</v>
      </c>
      <c r="E11"/>
      <c r="F11"/>
      <c r="G11" s="16">
        <v>1.2694551609456539E-2</v>
      </c>
      <c r="H11" s="12">
        <v>2.5341762229800224E-3</v>
      </c>
      <c r="I11" s="14">
        <v>1.6184970736503601E-3</v>
      </c>
      <c r="J11" s="11">
        <v>3.7292486467777053E-6</v>
      </c>
      <c r="K11" s="11">
        <v>2.2007225197739899E-5</v>
      </c>
      <c r="L11"/>
      <c r="M11"/>
      <c r="N11"/>
      <c r="O11" s="17">
        <v>1.0905764997005463E-2</v>
      </c>
      <c r="P11"/>
      <c r="Q11"/>
      <c r="R11"/>
      <c r="S11"/>
      <c r="T11"/>
      <c r="U11"/>
      <c r="V11"/>
      <c r="W11"/>
      <c r="X11"/>
      <c r="Y11"/>
      <c r="Z11"/>
      <c r="AA11" s="15">
        <v>8.336617611348629E-3</v>
      </c>
      <c r="AB11" s="341">
        <v>0.35665956139564514</v>
      </c>
      <c r="AC11"/>
      <c r="AD11" s="22">
        <v>5.843037273734808E-3</v>
      </c>
      <c r="AE11" s="21">
        <v>1.5720009803771973E-2</v>
      </c>
      <c r="AF11" s="21">
        <v>1.694781705737114E-2</v>
      </c>
      <c r="AG11" s="18">
        <v>1.0348003357648849E-2</v>
      </c>
      <c r="AH11" s="16">
        <v>1.2696287594735622E-2</v>
      </c>
      <c r="AI11" s="14">
        <v>1.2898404384031892E-3</v>
      </c>
      <c r="AJ11" s="280">
        <v>3.2692529261112213E-2</v>
      </c>
      <c r="AK11" s="69">
        <v>7.7301748096942902E-2</v>
      </c>
      <c r="AL11"/>
      <c r="AM11" s="11">
        <v>7.8956072684377432E-4</v>
      </c>
      <c r="AN11"/>
      <c r="AO11"/>
      <c r="AP11" s="21">
        <v>1.6607467085123062E-2</v>
      </c>
      <c r="AQ11"/>
      <c r="AR11"/>
      <c r="AS11" s="77">
        <v>5.3989950567483902E-2</v>
      </c>
      <c r="AT11"/>
      <c r="AU11"/>
      <c r="AV11"/>
      <c r="AW11"/>
      <c r="AX11"/>
      <c r="AY11"/>
      <c r="AZ11"/>
      <c r="BA11" s="12">
        <v>3.3840199466794729E-3</v>
      </c>
      <c r="BB11"/>
      <c r="BC11"/>
      <c r="BD11" s="16">
        <v>1.2318238615989685E-2</v>
      </c>
      <c r="BE11"/>
      <c r="BF11"/>
      <c r="BG11" s="15">
        <v>8.9261820539832115E-3</v>
      </c>
      <c r="BH11"/>
      <c r="BI11"/>
      <c r="BJ11" s="14">
        <v>1.1071001645177603E-3</v>
      </c>
      <c r="BK11" s="11">
        <v>1.5437323600053787E-4</v>
      </c>
      <c r="BL11"/>
      <c r="BM11"/>
      <c r="BN11"/>
      <c r="BO11"/>
      <c r="BP11"/>
      <c r="BQ11"/>
      <c r="BR11"/>
      <c r="BS11"/>
      <c r="BT11"/>
      <c r="BU11" s="335">
        <v>0.13852995634078979</v>
      </c>
      <c r="BV11"/>
      <c r="BW11"/>
      <c r="BX11"/>
      <c r="BY11"/>
      <c r="BZ11"/>
      <c r="CA11"/>
      <c r="CB11" s="17">
        <v>1.1586469598114491E-2</v>
      </c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0.7149999737739563</v>
      </c>
      <c r="C12">
        <v>2.7608778327703476E-3</v>
      </c>
      <c r="D12"/>
      <c r="E12"/>
      <c r="F12"/>
      <c r="G12"/>
      <c r="H12"/>
      <c r="I12"/>
      <c r="J12" s="289">
        <v>0.31886953115463257</v>
      </c>
      <c r="K12" s="15">
        <v>7.459285669028759E-3</v>
      </c>
      <c r="L12"/>
      <c r="M12"/>
      <c r="N12"/>
      <c r="O12"/>
      <c r="P12"/>
      <c r="Q12"/>
      <c r="R12"/>
      <c r="S12"/>
      <c r="T12"/>
      <c r="U12" s="22">
        <v>4.9216668121516705E-3</v>
      </c>
      <c r="V12"/>
      <c r="W12" s="109">
        <v>4.7886956483125687E-2</v>
      </c>
      <c r="X12" s="70">
        <v>3.6455713212490082E-2</v>
      </c>
      <c r="Y12"/>
      <c r="Z12"/>
      <c r="AA12" s="19">
        <v>1.2516666203737259E-2</v>
      </c>
      <c r="AB12"/>
      <c r="AC12"/>
      <c r="AD12"/>
      <c r="AE12" s="290">
        <v>5.2869338542222977E-2</v>
      </c>
      <c r="AF12" s="14">
        <v>1.9547692500054836E-3</v>
      </c>
      <c r="AG12" s="14">
        <v>1.2497447896748781E-3</v>
      </c>
      <c r="AH12" s="12">
        <v>2.4138912558555603E-3</v>
      </c>
      <c r="AI12" s="22">
        <v>6.1814389191567898E-3</v>
      </c>
      <c r="AJ12"/>
      <c r="AK12"/>
      <c r="AL12" s="70">
        <v>3.6522343754768372E-2</v>
      </c>
      <c r="AM12" s="11">
        <v>1.5413343498948961E-4</v>
      </c>
      <c r="AN12" s="23">
        <v>4.0339301340281963E-3</v>
      </c>
      <c r="AO12" s="286">
        <v>1.6469364985823631E-2</v>
      </c>
      <c r="AP12" s="23">
        <v>4.4699907302856445E-3</v>
      </c>
      <c r="AQ12" s="28">
        <v>2.5658687576651573E-2</v>
      </c>
      <c r="AR12"/>
      <c r="AS12" s="16">
        <v>1.1457243002951145E-2</v>
      </c>
      <c r="AT12"/>
      <c r="AU12" s="22">
        <v>5.6472853757441044E-3</v>
      </c>
      <c r="AV12"/>
      <c r="AW12"/>
      <c r="AX12"/>
      <c r="AY12"/>
      <c r="AZ12"/>
      <c r="BA12" s="24">
        <v>2.0073752850294113E-2</v>
      </c>
      <c r="BB12"/>
      <c r="BC12"/>
      <c r="BD12" s="19">
        <v>1.2498850934207439E-2</v>
      </c>
      <c r="BE12"/>
      <c r="BF12"/>
      <c r="BG12" s="18">
        <v>9.0570710599422455E-3</v>
      </c>
      <c r="BH12"/>
      <c r="BI12"/>
      <c r="BJ12" s="11">
        <v>3.2972305780276656E-4</v>
      </c>
      <c r="BK12" s="11">
        <v>4.7522393288090825E-4</v>
      </c>
      <c r="BL12"/>
      <c r="BM12"/>
      <c r="BN12"/>
      <c r="BO12"/>
      <c r="BP12"/>
      <c r="BQ12"/>
      <c r="BR12"/>
      <c r="BS12"/>
      <c r="BT12"/>
      <c r="BU12" s="292">
        <v>7.2612501680850983E-2</v>
      </c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0.93999999761581421</v>
      </c>
      <c r="C13">
        <v>6.6121313720941544E-3</v>
      </c>
      <c r="D13"/>
      <c r="E13"/>
      <c r="F13"/>
      <c r="G13"/>
      <c r="H13"/>
      <c r="I13"/>
      <c r="J13" s="17">
        <v>1.3347973115742207E-2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 s="14">
        <v>2.0163767039775848E-3</v>
      </c>
      <c r="AB13"/>
      <c r="AC13"/>
      <c r="AD13"/>
      <c r="AE13" s="12">
        <v>4.3034786358475685E-3</v>
      </c>
      <c r="AF13" s="286">
        <v>2.2902615368366241E-2</v>
      </c>
      <c r="AG13" s="14">
        <v>1.2497439747676253E-3</v>
      </c>
      <c r="AH13" s="14">
        <v>2.4138924200087786E-3</v>
      </c>
      <c r="AI13" s="11">
        <v>4.6999123878777027E-4</v>
      </c>
      <c r="AJ13"/>
      <c r="AK13"/>
      <c r="AL13" s="15">
        <v>8.6627788841724396E-3</v>
      </c>
      <c r="AM13" s="11">
        <v>1.5413323126267642E-4</v>
      </c>
      <c r="AN13" s="12">
        <v>4.0339315310120583E-3</v>
      </c>
      <c r="AO13" s="21">
        <v>1.756126806139946E-2</v>
      </c>
      <c r="AP13" s="12">
        <v>4.4699953868985176E-3</v>
      </c>
      <c r="AQ13" s="330">
        <v>0.71992671489715576</v>
      </c>
      <c r="AR13"/>
      <c r="AS13" s="18">
        <v>1.1457237415015697E-2</v>
      </c>
      <c r="AT13"/>
      <c r="AU13" s="23">
        <v>5.6472835130989552E-3</v>
      </c>
      <c r="AV13"/>
      <c r="AW13"/>
      <c r="AX13"/>
      <c r="AY13"/>
      <c r="AZ13"/>
      <c r="BA13" s="65">
        <v>2.0073764026165009E-2</v>
      </c>
      <c r="BB13"/>
      <c r="BC13"/>
      <c r="BD13" s="17">
        <v>1.2498863041400909E-2</v>
      </c>
      <c r="BE13"/>
      <c r="BF13"/>
      <c r="BG13" s="15">
        <v>9.0570626780390739E-3</v>
      </c>
      <c r="BH13"/>
      <c r="BI13"/>
      <c r="BJ13" s="11">
        <v>5.3063729865243658E-5</v>
      </c>
      <c r="BK13" s="11">
        <v>4.7522483509965241E-4</v>
      </c>
      <c r="BL13"/>
      <c r="BM13"/>
      <c r="BN13"/>
      <c r="BO13"/>
      <c r="BP13"/>
      <c r="BQ13"/>
      <c r="BR13"/>
      <c r="BS13"/>
      <c r="BT13"/>
      <c r="BU13" s="27">
        <v>7.2612494230270386E-2</v>
      </c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0.93000000715255737</v>
      </c>
      <c r="C14">
        <v>3.6382727324962616E-2</v>
      </c>
      <c r="D14"/>
      <c r="E14"/>
      <c r="F14"/>
      <c r="G14"/>
      <c r="H14"/>
      <c r="I14"/>
      <c r="J14" s="12">
        <v>4.2371419258415699E-3</v>
      </c>
      <c r="K14" s="11">
        <v>7.5850001303479075E-4</v>
      </c>
      <c r="L14"/>
      <c r="M14"/>
      <c r="N14"/>
      <c r="O14"/>
      <c r="P14"/>
      <c r="Q14"/>
      <c r="R14"/>
      <c r="S14"/>
      <c r="T14"/>
      <c r="U14" s="11">
        <v>1.3077635230729356E-5</v>
      </c>
      <c r="V14"/>
      <c r="W14" s="13">
        <v>3.4163378179073334E-2</v>
      </c>
      <c r="X14" s="67">
        <v>5.5317435413599014E-2</v>
      </c>
      <c r="Y14"/>
      <c r="Z14"/>
      <c r="AA14" s="65">
        <v>2.0470404997467995E-2</v>
      </c>
      <c r="AB14"/>
      <c r="AC14"/>
      <c r="AD14"/>
      <c r="AE14" s="12">
        <v>4.3034791015088558E-3</v>
      </c>
      <c r="AF14" s="14">
        <v>1.9547699484974146E-3</v>
      </c>
      <c r="AG14" s="14">
        <v>1.2497440911829472E-3</v>
      </c>
      <c r="AH14" s="26">
        <v>2.3866113275289536E-2</v>
      </c>
      <c r="AI14" s="23">
        <v>6.3094226643443108E-3</v>
      </c>
      <c r="AJ14"/>
      <c r="AK14"/>
      <c r="AL14" s="25">
        <v>2.8639534488320351E-2</v>
      </c>
      <c r="AM14" s="11">
        <v>1.5413333312608302E-4</v>
      </c>
      <c r="AN14" s="20">
        <v>3.956817090511322E-2</v>
      </c>
      <c r="AO14" s="17">
        <v>1.2743305414915085E-2</v>
      </c>
      <c r="AP14" s="29">
        <v>4.3094892054796219E-2</v>
      </c>
      <c r="AQ14" s="331">
        <v>0.48441281914710999</v>
      </c>
      <c r="AR14"/>
      <c r="AS14" s="18">
        <v>1.1457242071628571E-2</v>
      </c>
      <c r="AT14"/>
      <c r="AU14" s="23">
        <v>5.6472891010344028E-3</v>
      </c>
      <c r="AV14"/>
      <c r="AW14"/>
      <c r="AX14"/>
      <c r="AY14"/>
      <c r="AZ14"/>
      <c r="BA14" s="65">
        <v>2.0073752850294113E-2</v>
      </c>
      <c r="BB14"/>
      <c r="BC14"/>
      <c r="BD14" s="17">
        <v>1.2498854659497738E-2</v>
      </c>
      <c r="BE14"/>
      <c r="BF14"/>
      <c r="BG14" s="15">
        <v>9.0570747852325439E-3</v>
      </c>
      <c r="BH14"/>
      <c r="BI14"/>
      <c r="BJ14" s="11">
        <v>5.3909397684037685E-4</v>
      </c>
      <c r="BK14" s="11">
        <v>4.7522407840006053E-4</v>
      </c>
      <c r="BL14"/>
      <c r="BM14"/>
      <c r="BN14"/>
      <c r="BO14"/>
      <c r="BP14"/>
      <c r="BQ14"/>
      <c r="BR14"/>
      <c r="BS14"/>
      <c r="BT14"/>
      <c r="BU14" s="75">
        <v>7.2612486779689789E-2</v>
      </c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0.37999999523162842</v>
      </c>
      <c r="C15">
        <v>2.4810552131384611E-3</v>
      </c>
      <c r="D15"/>
      <c r="E15"/>
      <c r="F15"/>
      <c r="G15"/>
      <c r="H15"/>
      <c r="I15"/>
      <c r="J15" s="290">
        <v>2.8659999370574951E-2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 s="23">
        <v>2.4807692971080542E-3</v>
      </c>
      <c r="AB15"/>
      <c r="AC15"/>
      <c r="AD15"/>
      <c r="AE15"/>
      <c r="AF15" s="65">
        <v>8.1712603569030762E-3</v>
      </c>
      <c r="AG15"/>
      <c r="AH15" s="285">
        <v>1.2947345152497292E-2</v>
      </c>
      <c r="AI15" s="22">
        <v>2.9027878772467375E-3</v>
      </c>
      <c r="AJ15"/>
      <c r="AK15"/>
      <c r="AL15" s="25">
        <v>1.2002035975456238E-2</v>
      </c>
      <c r="AM15"/>
      <c r="AN15" s="287">
        <v>2.6103969663381577E-2</v>
      </c>
      <c r="AO15" s="19">
        <v>6.9039422087371349E-3</v>
      </c>
      <c r="AP15"/>
      <c r="AQ15" s="321">
        <v>0.27734681963920593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0.81000000238418579</v>
      </c>
      <c r="C16">
        <v>7.1168714202940464E-3</v>
      </c>
      <c r="D16"/>
      <c r="E16"/>
      <c r="F16"/>
      <c r="G16"/>
      <c r="H16"/>
      <c r="I16"/>
      <c r="J16" s="72">
        <v>5.6832421571016312E-2</v>
      </c>
      <c r="K16" s="11">
        <v>6.1190722044557333E-4</v>
      </c>
      <c r="L16"/>
      <c r="M16"/>
      <c r="N16"/>
      <c r="O16"/>
      <c r="P16"/>
      <c r="Q16"/>
      <c r="R16"/>
      <c r="S16"/>
      <c r="T16"/>
      <c r="U16" s="11">
        <v>2.9930153687018901E-5</v>
      </c>
      <c r="V16"/>
      <c r="W16" s="11">
        <v>6.475411937572062E-4</v>
      </c>
      <c r="X16" s="15">
        <v>8.2395356148481369E-3</v>
      </c>
      <c r="Y16"/>
      <c r="Z16"/>
      <c r="AA16" s="16">
        <v>1.1959072202444077E-2</v>
      </c>
      <c r="AB16"/>
      <c r="AC16"/>
      <c r="AD16"/>
      <c r="AE16"/>
      <c r="AF16" s="15">
        <v>8.1712603569030762E-3</v>
      </c>
      <c r="AG16"/>
      <c r="AH16" s="16">
        <v>1.2947347015142441E-2</v>
      </c>
      <c r="AI16" s="15">
        <v>8.1817377358675003E-3</v>
      </c>
      <c r="AJ16"/>
      <c r="AK16"/>
      <c r="AL16" s="285">
        <v>2.7082262560725212E-2</v>
      </c>
      <c r="AM16"/>
      <c r="AN16" s="25">
        <v>2.6103977113962173E-2</v>
      </c>
      <c r="AO16" s="21">
        <v>1.5116147696971893E-2</v>
      </c>
      <c r="AP16"/>
      <c r="AQ16" s="337">
        <v>0.62695997953414917</v>
      </c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1.7999999523162842</v>
      </c>
      <c r="C17">
        <v>1.2934362515807152E-2</v>
      </c>
      <c r="D17"/>
      <c r="E17"/>
      <c r="F17"/>
      <c r="G17"/>
      <c r="H17" s="14">
        <v>2.3173927329480648E-3</v>
      </c>
      <c r="I17" s="23">
        <v>1.0339312255382538E-2</v>
      </c>
      <c r="J17" s="11">
        <v>1.3116338523104787E-3</v>
      </c>
      <c r="K17" s="11">
        <v>1.2453927192837E-3</v>
      </c>
      <c r="L17" s="11">
        <v>2.3041427539283177E-6</v>
      </c>
      <c r="M17" s="11">
        <v>4.0322588574781548E-6</v>
      </c>
      <c r="N17"/>
      <c r="O17" s="11">
        <v>9.2166064860066399E-6</v>
      </c>
      <c r="P17"/>
      <c r="Q17" s="14">
        <v>2.5368658825755119E-3</v>
      </c>
      <c r="R17" s="11">
        <v>1.5984999481588602E-3</v>
      </c>
      <c r="S17" s="11">
        <v>1.4976963029766921E-5</v>
      </c>
      <c r="T17"/>
      <c r="U17" s="11">
        <v>3.8075982592999935E-4</v>
      </c>
      <c r="V17"/>
      <c r="W17" s="22">
        <v>1.4815731905400753E-2</v>
      </c>
      <c r="X17" s="16">
        <v>2.8017828240990639E-2</v>
      </c>
      <c r="Y17" s="23">
        <v>1.1197946034371853E-2</v>
      </c>
      <c r="Z17"/>
      <c r="AA17" s="72">
        <v>0.12845428287982941</v>
      </c>
      <c r="AB17" s="77">
        <v>0.11620119214057922</v>
      </c>
      <c r="AC17" s="66">
        <v>7.534664124250412E-2</v>
      </c>
      <c r="AD17" s="12">
        <v>6.4543397165834904E-3</v>
      </c>
      <c r="AE17" s="23">
        <v>1.2223673053085804E-2</v>
      </c>
      <c r="AF17" s="12">
        <v>6.9235204719007015E-3</v>
      </c>
      <c r="AG17" s="23">
        <v>1.055207010358572E-2</v>
      </c>
      <c r="AH17" s="23">
        <v>1.1690749786794186E-2</v>
      </c>
      <c r="AI17" s="23">
        <v>1.038000825792551E-2</v>
      </c>
      <c r="AJ17" s="12">
        <v>5.423049908131361E-3</v>
      </c>
      <c r="AK17" s="148">
        <v>5.3488727658987045E-2</v>
      </c>
      <c r="AL17" s="16">
        <v>2.7709640562534332E-2</v>
      </c>
      <c r="AM17" s="14">
        <v>1.7760146874934435E-3</v>
      </c>
      <c r="AN17" s="15">
        <v>1.7305880784988403E-2</v>
      </c>
      <c r="AO17" s="12">
        <v>7.7045746147632599E-3</v>
      </c>
      <c r="AP17" s="15">
        <v>1.648123562335968E-2</v>
      </c>
      <c r="AQ17" s="310">
        <v>8.7688818573951721E-2</v>
      </c>
      <c r="AR17" s="70">
        <v>9.1773539781570435E-2</v>
      </c>
      <c r="AS17" s="65">
        <v>3.7408720701932907E-2</v>
      </c>
      <c r="AT17"/>
      <c r="AU17" s="26">
        <v>4.5263912528753281E-2</v>
      </c>
      <c r="AV17"/>
      <c r="AW17" s="334">
        <v>0.15758870542049408</v>
      </c>
      <c r="AX17" s="14">
        <v>2.9931534081697464E-3</v>
      </c>
      <c r="AY17"/>
      <c r="AZ17"/>
      <c r="BA17" s="300">
        <v>8.2518108189105988E-2</v>
      </c>
      <c r="BB17"/>
      <c r="BC17"/>
      <c r="BD17" s="18">
        <v>2.1036026999354362E-2</v>
      </c>
      <c r="BE17"/>
      <c r="BF17"/>
      <c r="BG17" s="22">
        <v>1.5243365429341793E-2</v>
      </c>
      <c r="BH17"/>
      <c r="BI17"/>
      <c r="BJ17" s="11">
        <v>1.059127738699317E-3</v>
      </c>
      <c r="BK17" s="11">
        <v>1.4768373512197286E-4</v>
      </c>
      <c r="BL17" s="11">
        <v>1.5199979534372687E-3</v>
      </c>
      <c r="BM17" s="12">
        <v>5.9119062498211861E-3</v>
      </c>
      <c r="BN17" s="12">
        <v>5.9485840611159801E-3</v>
      </c>
      <c r="BO17"/>
      <c r="BP17" s="16">
        <v>2.9531138017773628E-2</v>
      </c>
      <c r="BQ17"/>
      <c r="BR17"/>
      <c r="BS17" s="75">
        <v>0.14089195430278778</v>
      </c>
      <c r="BT17" s="65">
        <v>3.8593392819166183E-2</v>
      </c>
      <c r="BU17" s="29">
        <v>8.5509933531284332E-2</v>
      </c>
      <c r="BV17" s="72">
        <v>0.12788158655166626</v>
      </c>
      <c r="BW17" s="20">
        <v>7.836797833442688E-2</v>
      </c>
      <c r="BX17" s="285">
        <v>6.058477982878685E-2</v>
      </c>
      <c r="BY17" s="11">
        <v>1.3195187784731388E-3</v>
      </c>
      <c r="BZ17"/>
      <c r="CA17"/>
      <c r="CB17" s="18">
        <v>1.9786367192864418E-2</v>
      </c>
      <c r="CC17"/>
      <c r="CD17" s="28">
        <v>6.4918540418148041E-2</v>
      </c>
      <c r="CE17"/>
      <c r="CF17"/>
      <c r="CG17"/>
      <c r="CH17"/>
      <c r="CI17" s="11">
        <v>1.6713961958885193E-3</v>
      </c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1.1000000238418579</v>
      </c>
      <c r="C18">
        <v>5.8215262833982706E-4</v>
      </c>
      <c r="D18"/>
      <c r="E18"/>
      <c r="F18" s="11">
        <v>2.7347978175384924E-5</v>
      </c>
      <c r="G18"/>
      <c r="H18"/>
      <c r="I18"/>
      <c r="J18" s="12">
        <v>3.5199210979044437E-3</v>
      </c>
      <c r="K18" s="20">
        <v>4.7653276473283768E-2</v>
      </c>
      <c r="L18" s="11">
        <v>1.2430848528310889E-6</v>
      </c>
      <c r="M18"/>
      <c r="N18"/>
      <c r="O18"/>
      <c r="P18"/>
      <c r="Q18"/>
      <c r="R18"/>
      <c r="S18" s="11">
        <v>4.6740079415030777E-4</v>
      </c>
      <c r="T18"/>
      <c r="U18" s="12">
        <v>3.2817532774060965E-3</v>
      </c>
      <c r="V18" s="14">
        <v>3.0791368335485458E-3</v>
      </c>
      <c r="W18" s="19">
        <v>1.8967628479003906E-2</v>
      </c>
      <c r="X18" s="21">
        <v>2.1064933389425278E-2</v>
      </c>
      <c r="Y18"/>
      <c r="Z18" s="300">
        <v>5.0511699169874191E-2</v>
      </c>
      <c r="AA18" s="14">
        <v>1.5626203967258334E-3</v>
      </c>
      <c r="AB18" s="13">
        <v>4.0576055645942688E-2</v>
      </c>
      <c r="AC18" s="14">
        <v>2.7992089744657278E-3</v>
      </c>
      <c r="AD18" s="11">
        <v>7.9742589150555432E-5</v>
      </c>
      <c r="AE18" s="11">
        <v>2.395210467511788E-4</v>
      </c>
      <c r="AF18" s="12">
        <v>3.9453953504562378E-3</v>
      </c>
      <c r="AG18" s="11">
        <v>1.7826000112108886E-4</v>
      </c>
      <c r="AH18" s="11">
        <v>1.0420719627290964E-3</v>
      </c>
      <c r="AI18" s="11">
        <v>1.8715939950197935E-4</v>
      </c>
      <c r="AJ18" s="14">
        <v>1.980495871976018E-3</v>
      </c>
      <c r="AK18" s="14">
        <v>2.1560804452747107E-3</v>
      </c>
      <c r="AL18" s="14">
        <v>2.5402468163520098E-3</v>
      </c>
      <c r="AM18" s="11">
        <v>1.8788141460390761E-5</v>
      </c>
      <c r="AN18" s="18">
        <v>1.2207561172544956E-2</v>
      </c>
      <c r="AO18" s="11">
        <v>5.101757706142962E-4</v>
      </c>
      <c r="AP18" s="11">
        <v>2.7861961279995739E-4</v>
      </c>
      <c r="AQ18" s="335">
        <v>0.1827995777130127</v>
      </c>
      <c r="AR18" s="14">
        <v>1.3182263355702162E-3</v>
      </c>
      <c r="AS18" s="285">
        <v>3.6844015121459961E-2</v>
      </c>
      <c r="AT18"/>
      <c r="AU18" s="11">
        <v>4.9469235818833113E-4</v>
      </c>
      <c r="AV18"/>
      <c r="AW18" s="17">
        <v>1.5363706275820732E-2</v>
      </c>
      <c r="AX18" s="23">
        <v>6.5569472499191761E-3</v>
      </c>
      <c r="AY18"/>
      <c r="AZ18"/>
      <c r="BA18" s="14">
        <v>2.1104658953845501E-3</v>
      </c>
      <c r="BB18"/>
      <c r="BC18"/>
      <c r="BD18" s="22">
        <v>7.6823425479233265E-3</v>
      </c>
      <c r="BE18"/>
      <c r="BF18"/>
      <c r="BG18" s="23">
        <v>5.5668656714260578E-3</v>
      </c>
      <c r="BH18"/>
      <c r="BI18"/>
      <c r="BJ18" s="11">
        <v>4.2985684558516368E-5</v>
      </c>
      <c r="BK18" s="11">
        <v>5.9938843151030596E-6</v>
      </c>
      <c r="BL18" s="11">
        <v>5.5510253878310323E-4</v>
      </c>
      <c r="BM18" s="14">
        <v>2.1590252872556448E-3</v>
      </c>
      <c r="BN18" s="11">
        <v>2.4483984452672303E-4</v>
      </c>
      <c r="BO18"/>
      <c r="BP18" s="15">
        <v>1.0009977035224438E-2</v>
      </c>
      <c r="BQ18"/>
      <c r="BR18"/>
      <c r="BS18" s="14">
        <v>1.6284164739772677E-3</v>
      </c>
      <c r="BT18" s="21">
        <v>2.2160453721880913E-2</v>
      </c>
      <c r="BU18" s="12">
        <v>4.4603422284126282E-3</v>
      </c>
      <c r="BV18" s="22">
        <v>7.9353097826242447E-3</v>
      </c>
      <c r="BW18" s="15">
        <v>9.7888931632041931E-3</v>
      </c>
      <c r="BX18" s="143">
        <v>0.13074173033237457</v>
      </c>
      <c r="BY18" s="339">
        <v>0.28475165367126465</v>
      </c>
      <c r="BZ18"/>
      <c r="CA18"/>
      <c r="CB18" s="23">
        <v>7.2259614244103432E-3</v>
      </c>
      <c r="CC18"/>
      <c r="CD18" s="299">
        <v>0.14009396731853485</v>
      </c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0.89999997615814209</v>
      </c>
      <c r="C19">
        <v>6.2125001102685928E-2</v>
      </c>
      <c r="D19"/>
      <c r="E19"/>
      <c r="F19" s="11">
        <v>1.6897094610612839E-5</v>
      </c>
      <c r="G19"/>
      <c r="H19"/>
      <c r="I19"/>
      <c r="J19" s="11">
        <v>6.1356904916465282E-4</v>
      </c>
      <c r="K19" s="19">
        <v>1.6334738582372665E-2</v>
      </c>
      <c r="L19" s="11">
        <v>6.1443811318895314E-6</v>
      </c>
      <c r="M19"/>
      <c r="N19"/>
      <c r="O19" s="11">
        <v>1.7761905155566637E-6</v>
      </c>
      <c r="P19"/>
      <c r="Q19" s="11">
        <v>1.8433165678288788E-5</v>
      </c>
      <c r="R19"/>
      <c r="S19" s="11">
        <v>9.9846671218983829E-5</v>
      </c>
      <c r="T19"/>
      <c r="U19" s="17">
        <v>1.1577588506042957E-2</v>
      </c>
      <c r="V19" s="14">
        <v>2.5242262054234743E-3</v>
      </c>
      <c r="W19" s="21">
        <v>1.840326189994812E-2</v>
      </c>
      <c r="X19" s="64">
        <v>4.9396667629480362E-2</v>
      </c>
      <c r="Y19" s="14">
        <v>9.9323573522269726E-4</v>
      </c>
      <c r="Z19"/>
      <c r="AA19" s="15">
        <v>8.793119341135025E-3</v>
      </c>
      <c r="AB19" s="14">
        <v>1.4996095560491085E-3</v>
      </c>
      <c r="AC19"/>
      <c r="AD19"/>
      <c r="AE19" s="11">
        <v>1.2691589654423296E-4</v>
      </c>
      <c r="AF19" s="11">
        <v>2.744201265159063E-5</v>
      </c>
      <c r="AG19" s="11">
        <v>5.0661703426158056E-5</v>
      </c>
      <c r="AH19" s="11">
        <v>6.3637562561780214E-5</v>
      </c>
      <c r="AI19" s="11">
        <v>6.3484212660114281E-6</v>
      </c>
      <c r="AJ19" s="14">
        <v>1.2546831276267767E-3</v>
      </c>
      <c r="AK19" s="14">
        <v>9.2281505931168795E-4</v>
      </c>
      <c r="AL19" s="11">
        <v>7.9982899478636682E-5</v>
      </c>
      <c r="AM19" s="11">
        <v>5.674054136761697E-6</v>
      </c>
      <c r="AN19" s="11">
        <v>1.3156583008822054E-4</v>
      </c>
      <c r="AO19" s="11">
        <v>2.5173243557219394E-5</v>
      </c>
      <c r="AP19" s="11">
        <v>1.5259117935784161E-4</v>
      </c>
      <c r="AQ19" s="332">
        <v>0.1756250411272049</v>
      </c>
      <c r="AR19" s="11">
        <v>3.8126079016365111E-4</v>
      </c>
      <c r="AS19" s="11">
        <v>8.2286342512816191E-4</v>
      </c>
      <c r="AT19"/>
      <c r="AU19" s="11">
        <v>5.748881958425045E-4</v>
      </c>
      <c r="AV19"/>
      <c r="AW19" s="21">
        <v>1.7854377627372742E-2</v>
      </c>
      <c r="AX19" s="340">
        <v>0.47548529505729675</v>
      </c>
      <c r="AY19"/>
      <c r="AZ19"/>
      <c r="BA19" s="14">
        <v>2.4526012130081654E-3</v>
      </c>
      <c r="BB19"/>
      <c r="BC19"/>
      <c r="BD19" s="15">
        <v>8.9277597144246101E-3</v>
      </c>
      <c r="BE19"/>
      <c r="BF19"/>
      <c r="BG19" s="22">
        <v>6.4693340100347996E-3</v>
      </c>
      <c r="BH19"/>
      <c r="BI19"/>
      <c r="BJ19" s="11">
        <v>2.9421196086332202E-4</v>
      </c>
      <c r="BK19" s="11">
        <v>4.1024664824362844E-5</v>
      </c>
      <c r="BL19" s="11">
        <v>6.4509175717830658E-4</v>
      </c>
      <c r="BM19" s="14">
        <v>1.6761643346399069E-3</v>
      </c>
      <c r="BN19"/>
      <c r="BO19"/>
      <c r="BP19" s="17">
        <v>1.1632727459073067E-2</v>
      </c>
      <c r="BQ19"/>
      <c r="BR19"/>
      <c r="BS19"/>
      <c r="BT19"/>
      <c r="BU19" s="14">
        <v>2.0925814751535654E-3</v>
      </c>
      <c r="BV19"/>
      <c r="BW19" s="18">
        <v>1.1375801637768745E-2</v>
      </c>
      <c r="BX19"/>
      <c r="BY19"/>
      <c r="BZ19"/>
      <c r="CA19"/>
      <c r="CB19" s="15">
        <v>8.3973994478583336E-3</v>
      </c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1.3999999761581421</v>
      </c>
      <c r="C20">
        <v>0.78657621145248413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 s="68">
        <v>8.8132560253143311E-2</v>
      </c>
      <c r="AC20" s="26">
        <v>3.6439560353755951E-2</v>
      </c>
      <c r="AD20"/>
      <c r="AE20" s="11">
        <v>1.6610624152235687E-4</v>
      </c>
      <c r="AF20" s="11">
        <v>9.8939111921936274E-4</v>
      </c>
      <c r="AG20" s="11">
        <v>1.1683289194479585E-3</v>
      </c>
      <c r="AH20" s="14">
        <v>3.0333683826029301E-3</v>
      </c>
      <c r="AI20" s="11">
        <v>3.5186679451726377E-4</v>
      </c>
      <c r="AJ20" s="14">
        <v>1.6421249601989985E-3</v>
      </c>
      <c r="AK20" s="11">
        <v>1.2077793944627047E-3</v>
      </c>
      <c r="AL20" s="23">
        <v>7.7107078395783901E-3</v>
      </c>
      <c r="AM20" s="11">
        <v>5.1780551439151168E-4</v>
      </c>
      <c r="AN20" s="14">
        <v>1.565845450386405E-3</v>
      </c>
      <c r="AO20" s="14">
        <v>2.5036560837179422E-3</v>
      </c>
      <c r="AP20" s="14">
        <v>1.81122578214854E-3</v>
      </c>
      <c r="AQ20" s="309">
        <v>0.25681883096694946</v>
      </c>
      <c r="AR20" s="22">
        <v>1.1291496455669403E-2</v>
      </c>
      <c r="AS20" s="11">
        <v>1.0769576765596867E-3</v>
      </c>
      <c r="AT20"/>
      <c r="AU20" s="22">
        <v>1.0309869423508644E-2</v>
      </c>
      <c r="AV20"/>
      <c r="AW20" s="285">
        <v>4.6359546482563019E-2</v>
      </c>
      <c r="AX20" s="66">
        <v>5.8405205607414246E-2</v>
      </c>
      <c r="AY20"/>
      <c r="AZ20"/>
      <c r="BA20" s="17">
        <v>1.8766028806567192E-2</v>
      </c>
      <c r="BB20"/>
      <c r="BC20"/>
      <c r="BD20" s="22">
        <v>1.1684595607221127E-2</v>
      </c>
      <c r="BE20"/>
      <c r="BF20"/>
      <c r="BG20" s="23">
        <v>8.4670372307300568E-3</v>
      </c>
      <c r="BH20"/>
      <c r="BI20"/>
      <c r="BJ20"/>
      <c r="BK20" s="11">
        <v>5.240311729721725E-4</v>
      </c>
      <c r="BL20"/>
      <c r="BM20"/>
      <c r="BN20"/>
      <c r="BO20"/>
      <c r="BP20"/>
      <c r="BQ20"/>
      <c r="BR20"/>
      <c r="BS20"/>
      <c r="BT20"/>
      <c r="BU20" s="21">
        <v>2.7591271325945854E-2</v>
      </c>
      <c r="BV20"/>
      <c r="BW20" s="15">
        <v>1.4888599514961243E-2</v>
      </c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0.89999997615814209</v>
      </c>
      <c r="C21">
        <v>7.606100756675005E-3</v>
      </c>
      <c r="D21"/>
      <c r="E21"/>
      <c r="F21"/>
      <c r="G21"/>
      <c r="H21" s="25">
        <v>2.8038274496793747E-2</v>
      </c>
      <c r="I21" s="12">
        <v>3.328240942209959E-3</v>
      </c>
      <c r="J21" s="11">
        <v>3.5725406632991508E-5</v>
      </c>
      <c r="K21" s="292">
        <v>9.223388135433197E-2</v>
      </c>
      <c r="L21"/>
      <c r="M21"/>
      <c r="N21"/>
      <c r="O21" s="296">
        <v>0.12056104093790054</v>
      </c>
      <c r="P21"/>
      <c r="Q21"/>
      <c r="R21"/>
      <c r="S21" s="11">
        <v>2.7319543733028695E-5</v>
      </c>
      <c r="T21"/>
      <c r="U21" s="14">
        <v>1.9817198626697063E-3</v>
      </c>
      <c r="V21" s="22">
        <v>7.2967750020325184E-3</v>
      </c>
      <c r="W21" s="29">
        <v>4.1925407946109772E-2</v>
      </c>
      <c r="X21" s="290">
        <v>6.7611277103424072E-2</v>
      </c>
      <c r="Y21" s="17">
        <v>1.2756450101733208E-2</v>
      </c>
      <c r="Z21" s="301">
        <v>9.5235735177993774E-2</v>
      </c>
      <c r="AA21"/>
      <c r="AB21" s="314">
        <v>8.7893083691596985E-2</v>
      </c>
      <c r="AC21"/>
      <c r="AD21"/>
      <c r="AE21" s="11">
        <v>1.6610643069725484E-4</v>
      </c>
      <c r="AF21" s="14">
        <v>9.8939018789678812E-4</v>
      </c>
      <c r="AG21" s="14">
        <v>1.1683286866173148E-3</v>
      </c>
      <c r="AH21" s="12">
        <v>3.0333688482642174E-3</v>
      </c>
      <c r="AI21" s="11">
        <v>3.5186661989428103E-4</v>
      </c>
      <c r="AJ21" s="14">
        <v>1.6421220498159528E-3</v>
      </c>
      <c r="AK21" s="14">
        <v>1.2077767169103026E-3</v>
      </c>
      <c r="AL21" s="22">
        <v>7.710703182965517E-3</v>
      </c>
      <c r="AM21" s="11">
        <v>5.1780481589958072E-4</v>
      </c>
      <c r="AN21" s="14">
        <v>1.5658471966162324E-3</v>
      </c>
      <c r="AO21" s="14">
        <v>2.5036565493792295E-3</v>
      </c>
      <c r="AP21" s="14">
        <v>1.8112215911969543E-3</v>
      </c>
      <c r="AQ21" s="111">
        <v>0.16432197391986847</v>
      </c>
      <c r="AR21" s="18">
        <v>1.1291489936411381E-2</v>
      </c>
      <c r="AS21" s="14">
        <v>1.0769568616524339E-3</v>
      </c>
      <c r="AT21"/>
      <c r="AU21" s="18">
        <v>1.0309834033250809E-2</v>
      </c>
      <c r="AV21"/>
      <c r="AW21" s="70">
        <v>4.6359509229660034E-2</v>
      </c>
      <c r="AX21" s="23">
        <v>5.8405213057994843E-3</v>
      </c>
      <c r="AY21"/>
      <c r="AZ21"/>
      <c r="BA21" s="65">
        <v>1.8766023218631744E-2</v>
      </c>
      <c r="BB21"/>
      <c r="BC21"/>
      <c r="BD21" s="17">
        <v>1.1684599332511425E-2</v>
      </c>
      <c r="BE21"/>
      <c r="BF21"/>
      <c r="BG21" s="15">
        <v>8.467026986181736E-3</v>
      </c>
      <c r="BH21"/>
      <c r="BI21"/>
      <c r="BJ21"/>
      <c r="BK21" s="11">
        <v>5.2402931032702327E-4</v>
      </c>
      <c r="BL21"/>
      <c r="BM21"/>
      <c r="BN21"/>
      <c r="BO21"/>
      <c r="BP21"/>
      <c r="BQ21"/>
      <c r="BR21"/>
      <c r="BS21"/>
      <c r="BT21"/>
      <c r="BU21" s="25">
        <v>2.759123407304287E-2</v>
      </c>
      <c r="BV21"/>
      <c r="BW21" s="23">
        <v>4.5675165019929409E-3</v>
      </c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2</v>
      </c>
      <c r="C22">
        <v>0.44121861457824707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 s="29">
        <v>9.4003438949584961E-2</v>
      </c>
      <c r="AC22" s="333">
        <v>0.69428884983062744</v>
      </c>
      <c r="AD22"/>
      <c r="AE22" s="14">
        <v>5.7487990707159042E-3</v>
      </c>
      <c r="AF22" s="11">
        <v>1.0583368130028248E-3</v>
      </c>
      <c r="AG22" s="11">
        <v>1.2497465359047055E-3</v>
      </c>
      <c r="AH22" s="12">
        <v>6.0936720110476017E-3</v>
      </c>
      <c r="AI22" s="11">
        <v>3.7638659705407917E-4</v>
      </c>
      <c r="AJ22" s="19">
        <v>3.524872288107872E-2</v>
      </c>
      <c r="AK22" s="26">
        <v>4.9236603081226349E-2</v>
      </c>
      <c r="AL22" s="12">
        <v>8.2480357959866524E-3</v>
      </c>
      <c r="AM22" s="11">
        <v>5.5388826876878738E-4</v>
      </c>
      <c r="AN22" s="11">
        <v>1.6749650239944458E-3</v>
      </c>
      <c r="AO22" s="14">
        <v>2.6781277265399694E-3</v>
      </c>
      <c r="AP22" s="11">
        <v>1.9374379189684987E-3</v>
      </c>
      <c r="AQ22" s="305">
        <v>0.10736241191625595</v>
      </c>
      <c r="AR22" s="23">
        <v>1.2078355066478252E-2</v>
      </c>
      <c r="AS22" s="15">
        <v>1.7868403345346451E-2</v>
      </c>
      <c r="AT22"/>
      <c r="AU22" s="17">
        <v>2.7669321745634079E-2</v>
      </c>
      <c r="AV22"/>
      <c r="AW22" s="149">
        <v>0.1231626570224762</v>
      </c>
      <c r="AX22" s="326">
        <v>0.24232017993927002</v>
      </c>
      <c r="AY22"/>
      <c r="AZ22"/>
      <c r="BA22" s="15">
        <v>2.0073762163519859E-2</v>
      </c>
      <c r="BB22"/>
      <c r="BC22"/>
      <c r="BD22" s="23">
        <v>1.2498848140239716E-2</v>
      </c>
      <c r="BE22"/>
      <c r="BF22"/>
      <c r="BG22" s="12">
        <v>9.0570598840713501E-3</v>
      </c>
      <c r="BH22"/>
      <c r="BI22"/>
      <c r="BJ22"/>
      <c r="BK22" s="11">
        <v>1.499530189903453E-4</v>
      </c>
      <c r="BL22"/>
      <c r="BM22"/>
      <c r="BN22"/>
      <c r="BO22"/>
      <c r="BP22"/>
      <c r="BQ22"/>
      <c r="BR22"/>
      <c r="BS22" s="14">
        <v>2.649364061653614E-3</v>
      </c>
      <c r="BT22" s="19">
        <v>3.6054212599992752E-2</v>
      </c>
      <c r="BU22" s="16">
        <v>2.9513945803046227E-2</v>
      </c>
      <c r="BV22"/>
      <c r="BW22" s="22">
        <v>1.592610776424408E-2</v>
      </c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1.2000000476837158</v>
      </c>
      <c r="C23">
        <v>2.5706721469759941E-2</v>
      </c>
      <c r="D23"/>
      <c r="E23"/>
      <c r="F23"/>
      <c r="G23"/>
      <c r="H23" s="16">
        <v>1.8689317628741264E-2</v>
      </c>
      <c r="I23" s="22">
        <v>8.8998191058635712E-3</v>
      </c>
      <c r="J23" s="11">
        <v>6.4840304503377411E-7</v>
      </c>
      <c r="K23" s="14">
        <v>1.9445848884060979E-3</v>
      </c>
      <c r="L23"/>
      <c r="M23"/>
      <c r="N23"/>
      <c r="O23" s="297">
        <v>0.3456534743309021</v>
      </c>
      <c r="P23"/>
      <c r="Q23" s="11">
        <v>5.0575377827044576E-5</v>
      </c>
      <c r="R23" s="11">
        <v>1.1476682993816212E-4</v>
      </c>
      <c r="S23"/>
      <c r="T23"/>
      <c r="U23" s="11">
        <v>4.3871055822819471E-5</v>
      </c>
      <c r="V23" s="11">
        <v>2.0995477825636044E-5</v>
      </c>
      <c r="W23" s="22">
        <v>8.6794672533869743E-3</v>
      </c>
      <c r="X23" s="77">
        <v>7.7430769801139832E-2</v>
      </c>
      <c r="Y23" s="75">
        <v>9.4293788075447083E-2</v>
      </c>
      <c r="Z23"/>
      <c r="AA23" s="12">
        <v>3.65408044308424E-3</v>
      </c>
      <c r="AB23" s="75">
        <v>9.4028860330581665E-2</v>
      </c>
      <c r="AC23"/>
      <c r="AD23"/>
      <c r="AE23" s="12">
        <v>5.7488004676997662E-3</v>
      </c>
      <c r="AF23" s="11">
        <v>1.0583370458334684E-3</v>
      </c>
      <c r="AG23" s="14">
        <v>1.2497451389208436E-3</v>
      </c>
      <c r="AH23" s="23">
        <v>6.0936715453863144E-3</v>
      </c>
      <c r="AI23" s="11">
        <v>3.7638677167706192E-4</v>
      </c>
      <c r="AJ23" s="148">
        <v>3.524872288107872E-2</v>
      </c>
      <c r="AK23" s="66">
        <v>4.9236591905355453E-2</v>
      </c>
      <c r="AL23" s="22">
        <v>8.2480348646640778E-3</v>
      </c>
      <c r="AM23" s="11">
        <v>5.538883269764483E-4</v>
      </c>
      <c r="AN23" s="14">
        <v>1.6749643255025148E-3</v>
      </c>
      <c r="AO23" s="14">
        <v>2.6781274937093258E-3</v>
      </c>
      <c r="AP23" s="14">
        <v>1.9374402472749352E-3</v>
      </c>
      <c r="AQ23" s="338">
        <v>0.12549340724945068</v>
      </c>
      <c r="AR23" s="15">
        <v>1.2078355066478252E-2</v>
      </c>
      <c r="AS23" s="16">
        <v>1.7868403345346451E-2</v>
      </c>
      <c r="AT23"/>
      <c r="AU23" s="286">
        <v>2.7669323608279228E-2</v>
      </c>
      <c r="AV23"/>
      <c r="AW23" s="292">
        <v>0.12316266447305679</v>
      </c>
      <c r="AX23" s="21">
        <v>2.4232020601630211E-2</v>
      </c>
      <c r="AY23"/>
      <c r="AZ23"/>
      <c r="BA23" s="19">
        <v>2.0073756575584412E-2</v>
      </c>
      <c r="BB23"/>
      <c r="BC23"/>
      <c r="BD23" s="15">
        <v>1.2498857453465462E-2</v>
      </c>
      <c r="BE23"/>
      <c r="BF23"/>
      <c r="BG23" s="22">
        <v>9.057067334651947E-3</v>
      </c>
      <c r="BH23"/>
      <c r="BI23"/>
      <c r="BJ23"/>
      <c r="BK23" s="11">
        <v>1.4995300443843007E-4</v>
      </c>
      <c r="BL23"/>
      <c r="BM23"/>
      <c r="BN23"/>
      <c r="BO23"/>
      <c r="BP23"/>
      <c r="BQ23"/>
      <c r="BR23"/>
      <c r="BS23"/>
      <c r="BT23"/>
      <c r="BU23" s="26">
        <v>2.951396070420742E-2</v>
      </c>
      <c r="BV23"/>
      <c r="BW23" s="12">
        <v>4.8858053050935268E-3</v>
      </c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1.1000000238418579</v>
      </c>
      <c r="C24">
        <v>6.9637753069400787E-2</v>
      </c>
      <c r="D24"/>
      <c r="E24"/>
      <c r="F24"/>
      <c r="G24"/>
      <c r="H24" s="11">
        <v>1.4094285688770469E-5</v>
      </c>
      <c r="I24" s="14">
        <v>1.4970989432185888E-3</v>
      </c>
      <c r="J24"/>
      <c r="K24"/>
      <c r="L24"/>
      <c r="M24"/>
      <c r="N24"/>
      <c r="O24"/>
      <c r="P24"/>
      <c r="Q24"/>
      <c r="R24"/>
      <c r="S24"/>
      <c r="T24"/>
      <c r="U24" s="11">
        <v>1.4094285688770469E-5</v>
      </c>
      <c r="V24"/>
      <c r="W24" s="11">
        <v>7.0613259595120326E-6</v>
      </c>
      <c r="X24" s="14">
        <v>1.1443296680226922E-3</v>
      </c>
      <c r="Y24" s="11">
        <v>6.7988643422722816E-4</v>
      </c>
      <c r="Z24"/>
      <c r="AA24" s="112">
        <v>0.5074087381362915</v>
      </c>
      <c r="AB24" s="310">
        <v>5.2948899567127228E-2</v>
      </c>
      <c r="AC24"/>
      <c r="AD24" s="11">
        <v>5.0566985737532377E-4</v>
      </c>
      <c r="AE24" s="23">
        <v>7.4015813879668713E-3</v>
      </c>
      <c r="AF24" s="23">
        <v>6.0791238211095333E-3</v>
      </c>
      <c r="AG24" s="23">
        <v>6.5412311814725399E-3</v>
      </c>
      <c r="AH24" s="23">
        <v>6.7095016129314899E-3</v>
      </c>
      <c r="AI24" s="11">
        <v>6.9106626324355602E-4</v>
      </c>
      <c r="AJ24" s="24">
        <v>2.9174402356147766E-2</v>
      </c>
      <c r="AK24" s="28">
        <v>3.9141252636909485E-2</v>
      </c>
      <c r="AL24"/>
      <c r="AM24" s="11">
        <v>5.6599581148475409E-4</v>
      </c>
      <c r="AN24"/>
      <c r="AO24"/>
      <c r="AP24" s="12">
        <v>4.2498898692429066E-3</v>
      </c>
      <c r="AQ24"/>
      <c r="AR24" s="26">
        <v>2.8435500338673592E-2</v>
      </c>
      <c r="AS24" s="148">
        <v>3.1577005982398987E-2</v>
      </c>
      <c r="AT24"/>
      <c r="AU24"/>
      <c r="AV24"/>
      <c r="AW24"/>
      <c r="AX24" s="78">
        <v>0.15623475611209869</v>
      </c>
      <c r="AY24"/>
      <c r="AZ24"/>
      <c r="BA24" s="310">
        <v>5.3637418895959854E-2</v>
      </c>
      <c r="BB24"/>
      <c r="BC24"/>
      <c r="BD24" s="18">
        <v>1.2498859316110611E-2</v>
      </c>
      <c r="BE24"/>
      <c r="BF24"/>
      <c r="BG24" s="22">
        <v>9.0570664033293724E-3</v>
      </c>
      <c r="BH24"/>
      <c r="BI24"/>
      <c r="BJ24" s="308">
        <v>6.2267128378152847E-2</v>
      </c>
      <c r="BK24" s="18">
        <v>1.1880630627274513E-2</v>
      </c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1.8999999761581421</v>
      </c>
      <c r="C25">
        <v>1.5172348022460938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286">
        <v>4.4004764407873154E-2</v>
      </c>
      <c r="AD25"/>
      <c r="AE25" s="14">
        <v>3.6599056329578161E-3</v>
      </c>
      <c r="AF25" s="11">
        <v>8.0852292012423277E-4</v>
      </c>
      <c r="AG25"/>
      <c r="AH25" s="11">
        <v>1.3376444112509489E-3</v>
      </c>
      <c r="AI25"/>
      <c r="AJ25"/>
      <c r="AK25"/>
      <c r="AL25"/>
      <c r="AM25"/>
      <c r="AN25"/>
      <c r="AO25"/>
      <c r="AP25"/>
      <c r="AQ25" s="16">
        <v>2.8251873329281807E-2</v>
      </c>
      <c r="AR25" s="12">
        <v>7.9902661964297295E-3</v>
      </c>
      <c r="AS25"/>
      <c r="AT25"/>
      <c r="AU25" s="23">
        <v>9.6660135313868523E-3</v>
      </c>
      <c r="AV25"/>
      <c r="AW25"/>
      <c r="AX25"/>
      <c r="AY25" s="12">
        <v>8.4318090230226517E-3</v>
      </c>
      <c r="AZ25" s="14">
        <v>2.0754570141434669E-3</v>
      </c>
      <c r="BA25"/>
      <c r="BB25" s="23">
        <v>1.1211579665541649E-2</v>
      </c>
      <c r="BC25" s="12">
        <v>7.1577602066099644E-3</v>
      </c>
      <c r="BD25"/>
      <c r="BE25" s="14">
        <v>4.6110348775982857E-3</v>
      </c>
      <c r="BF25" s="16">
        <v>3.110196627676487E-2</v>
      </c>
      <c r="BG25"/>
      <c r="BH25" s="23">
        <v>9.4454418867826462E-3</v>
      </c>
      <c r="BI25" s="14">
        <v>4.8186145722866058E-3</v>
      </c>
      <c r="BJ25"/>
      <c r="BK25"/>
      <c r="BL25"/>
      <c r="BM25" s="22">
        <v>1.4855412766337395E-2</v>
      </c>
      <c r="BN25" s="11">
        <v>1.7888126894831657E-3</v>
      </c>
      <c r="BO25"/>
      <c r="BP25"/>
      <c r="BQ25"/>
      <c r="BR25" s="145">
        <v>0.19154833257198334</v>
      </c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1</v>
      </c>
      <c r="C26">
        <v>0.54111552238464355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 s="23">
        <v>5.1300190389156342E-3</v>
      </c>
      <c r="AB26"/>
      <c r="AC26" s="285">
        <v>3.4290209412574768E-2</v>
      </c>
      <c r="AD26"/>
      <c r="AE26" s="14">
        <v>2.8519395273178816E-3</v>
      </c>
      <c r="AF26" s="11">
        <v>6.3002941897138953E-4</v>
      </c>
      <c r="AG26"/>
      <c r="AH26" s="14">
        <v>1.0423398343846202E-3</v>
      </c>
      <c r="AI26"/>
      <c r="AJ26"/>
      <c r="AK26"/>
      <c r="AL26" s="11">
        <v>6.0535687953233719E-4</v>
      </c>
      <c r="AM26" s="11">
        <v>9.1065434389747679E-5</v>
      </c>
      <c r="AN26" s="14">
        <v>1.0546782286837697E-3</v>
      </c>
      <c r="AO26" s="11">
        <v>5.2027031779289246E-4</v>
      </c>
      <c r="AP26"/>
      <c r="AQ26" s="65">
        <v>2.2014934569597244E-2</v>
      </c>
      <c r="AR26" s="23">
        <v>6.2263063155114651E-3</v>
      </c>
      <c r="AS26" s="22">
        <v>7.3027028702199459E-3</v>
      </c>
      <c r="AT26"/>
      <c r="AU26" s="22">
        <v>7.5321244075894356E-3</v>
      </c>
      <c r="AV26"/>
      <c r="AW26"/>
      <c r="AX26"/>
      <c r="AY26"/>
      <c r="AZ26" s="14">
        <v>1.6172765754163265E-3</v>
      </c>
      <c r="BA26" s="16">
        <v>1.5271073207259178E-2</v>
      </c>
      <c r="BB26"/>
      <c r="BC26" s="23">
        <v>5.5775786750018597E-3</v>
      </c>
      <c r="BD26" s="21">
        <v>1.9873738288879395E-2</v>
      </c>
      <c r="BE26"/>
      <c r="BF26" s="286">
        <v>2.4235822260379791E-2</v>
      </c>
      <c r="BG26" s="17">
        <v>1.440113503485918E-2</v>
      </c>
      <c r="BH26"/>
      <c r="BI26" s="12">
        <v>3.7548497784882784E-3</v>
      </c>
      <c r="BJ26" s="11">
        <v>7.1673188358545303E-4</v>
      </c>
      <c r="BK26" s="11">
        <v>2.3507147852797061E-4</v>
      </c>
      <c r="BL26" s="14">
        <v>1.4360144268721342E-3</v>
      </c>
      <c r="BM26" s="18">
        <v>1.1575905606150627E-2</v>
      </c>
      <c r="BN26" s="14">
        <v>1.393913640640676E-3</v>
      </c>
      <c r="BO26" s="21">
        <v>2.0014209672808647E-2</v>
      </c>
      <c r="BP26"/>
      <c r="BQ26" s="300">
        <v>4.5387085527181625E-2</v>
      </c>
      <c r="BR26" s="295">
        <v>0.18540897965431213</v>
      </c>
      <c r="BS26"/>
      <c r="BT26"/>
      <c r="BU26"/>
      <c r="BV26"/>
      <c r="BW26"/>
      <c r="BX26"/>
      <c r="BY26"/>
      <c r="BZ26"/>
      <c r="CA26"/>
      <c r="CB26" s="21">
        <v>1.8693124875426292E-2</v>
      </c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0.61000001430511475</v>
      </c>
      <c r="C27">
        <v>0.27174270153045654</v>
      </c>
      <c r="D27"/>
      <c r="E27"/>
      <c r="F27"/>
      <c r="G27"/>
      <c r="H27"/>
      <c r="I27"/>
      <c r="J27" s="19">
        <v>1.0630042292177677E-2</v>
      </c>
      <c r="K27" s="293">
        <v>8.974120020866394E-2</v>
      </c>
      <c r="L27" s="11">
        <v>6.3868144934531301E-5</v>
      </c>
      <c r="M27"/>
      <c r="N27"/>
      <c r="O27"/>
      <c r="P27"/>
      <c r="Q27"/>
      <c r="R27"/>
      <c r="S27" s="14">
        <v>6.9144181907176971E-4</v>
      </c>
      <c r="T27"/>
      <c r="U27" s="11">
        <v>4.0912767872214317E-4</v>
      </c>
      <c r="V27" s="19">
        <v>1.1165107600390911E-2</v>
      </c>
      <c r="W27" s="298">
        <v>0.11657768487930298</v>
      </c>
      <c r="X27" s="12">
        <v>2.8237444348633289E-3</v>
      </c>
      <c r="Y27"/>
      <c r="Z27"/>
      <c r="AA27" s="287">
        <v>4.2061362415552139E-2</v>
      </c>
      <c r="AB27"/>
      <c r="AC27"/>
      <c r="AD27"/>
      <c r="AE27" s="14">
        <v>1.5362878330051899E-3</v>
      </c>
      <c r="AF27" s="11">
        <v>3.3938550041057169E-4</v>
      </c>
      <c r="AG27"/>
      <c r="AH27" s="11">
        <v>5.6148954899981618E-4</v>
      </c>
      <c r="AI27"/>
      <c r="AJ27"/>
      <c r="AK27"/>
      <c r="AL27" s="11">
        <v>3.2609514892101288E-4</v>
      </c>
      <c r="AM27" s="11">
        <v>4.9055408453568816E-5</v>
      </c>
      <c r="AN27" s="11">
        <v>5.6813628179952502E-4</v>
      </c>
      <c r="AO27" s="11">
        <v>2.8026013751514256E-4</v>
      </c>
      <c r="AP27"/>
      <c r="AQ27" s="21">
        <v>1.1859044432640076E-2</v>
      </c>
      <c r="AR27" s="23">
        <v>3.3539975993335247E-3</v>
      </c>
      <c r="AS27" s="23">
        <v>3.9338329806923866E-3</v>
      </c>
      <c r="AT27"/>
      <c r="AU27" s="23">
        <v>4.0574180893599987E-3</v>
      </c>
      <c r="AV27"/>
      <c r="AW27"/>
      <c r="AX27"/>
      <c r="AY27"/>
      <c r="AZ27"/>
      <c r="BA27" s="17">
        <v>8.2262502983212471E-3</v>
      </c>
      <c r="BB27"/>
      <c r="BC27"/>
      <c r="BD27" s="19">
        <v>1.0705621913075447E-2</v>
      </c>
      <c r="BE27"/>
      <c r="BF27"/>
      <c r="BG27" s="18">
        <v>7.7576311305165291E-3</v>
      </c>
      <c r="BH27"/>
      <c r="BI27"/>
      <c r="BJ27" s="11">
        <v>3.4296305966563523E-4</v>
      </c>
      <c r="BK27" s="11">
        <v>1.26628641737625E-4</v>
      </c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 s="16">
        <v>1.0069648735225201E-2</v>
      </c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1.7999999523162842</v>
      </c>
      <c r="C28">
        <v>1.4501272439956665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65">
        <v>4.0223181247711182E-2</v>
      </c>
      <c r="AD28"/>
      <c r="AE28" s="14">
        <v>3.3453837968409061E-3</v>
      </c>
      <c r="AF28" s="11">
        <v>7.3903938755393028E-4</v>
      </c>
      <c r="AG28"/>
      <c r="AH28" s="11">
        <v>1.222688821144402E-3</v>
      </c>
      <c r="AI28"/>
      <c r="AJ28"/>
      <c r="AK28"/>
      <c r="AL28"/>
      <c r="AM28"/>
      <c r="AN28"/>
      <c r="AO28"/>
      <c r="AP28"/>
      <c r="AQ28" s="17">
        <v>2.5824034586548805E-2</v>
      </c>
      <c r="AR28" s="12">
        <v>7.3036043904721737E-3</v>
      </c>
      <c r="AS28"/>
      <c r="AT28"/>
      <c r="AU28" s="23">
        <v>8.8353622704744339E-3</v>
      </c>
      <c r="AV28"/>
      <c r="AW28"/>
      <c r="AX28"/>
      <c r="AY28" s="12">
        <v>7.707204669713974E-3</v>
      </c>
      <c r="AZ28" s="14">
        <v>1.8971043173223734E-3</v>
      </c>
      <c r="BA28"/>
      <c r="BB28" s="23">
        <v>1.0248108766973019E-2</v>
      </c>
      <c r="BC28" s="12">
        <v>6.5426342189311981E-3</v>
      </c>
      <c r="BD28"/>
      <c r="BE28" s="14">
        <v>4.2147845961153507E-3</v>
      </c>
      <c r="BF28" s="16">
        <v>2.8429197147488594E-2</v>
      </c>
      <c r="BG28"/>
      <c r="BH28" s="12">
        <v>8.6337421089410782E-3</v>
      </c>
      <c r="BI28" s="14">
        <v>4.4045215472579002E-3</v>
      </c>
      <c r="BJ28"/>
      <c r="BK28"/>
      <c r="BL28"/>
      <c r="BM28" s="22">
        <v>1.3578794896602631E-2</v>
      </c>
      <c r="BN28" s="11">
        <v>1.635088468901813E-3</v>
      </c>
      <c r="BO28"/>
      <c r="BP28"/>
      <c r="BQ28"/>
      <c r="BR28" s="314">
        <v>0.17508818209171295</v>
      </c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0.80000001192092896</v>
      </c>
      <c r="C29">
        <v>0.38836127519607544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 s="12">
        <v>3.0394250061362982E-3</v>
      </c>
      <c r="AB29"/>
      <c r="AC29" s="280">
        <v>3.0811125412583351E-2</v>
      </c>
      <c r="AD29"/>
      <c r="AE29" s="12">
        <v>2.5625822599977255E-3</v>
      </c>
      <c r="AF29" s="11">
        <v>5.6610617320984602E-4</v>
      </c>
      <c r="AG29"/>
      <c r="AH29" s="14">
        <v>9.3658413970842957E-4</v>
      </c>
      <c r="AI29"/>
      <c r="AJ29"/>
      <c r="AK29"/>
      <c r="AL29" s="11">
        <v>5.4393737809732556E-4</v>
      </c>
      <c r="AM29" s="11">
        <v>8.1825935922097415E-5</v>
      </c>
      <c r="AN29" s="14">
        <v>9.476704872213304E-4</v>
      </c>
      <c r="AO29" s="11">
        <v>4.6748362365178764E-4</v>
      </c>
      <c r="AP29"/>
      <c r="AQ29" s="26">
        <v>1.9781302660703659E-2</v>
      </c>
      <c r="AR29" s="22">
        <v>5.5945818312466145E-3</v>
      </c>
      <c r="AS29" s="22">
        <v>6.561769638210535E-3</v>
      </c>
      <c r="AT29"/>
      <c r="AU29" s="22">
        <v>6.767916027456522E-3</v>
      </c>
      <c r="AV29"/>
      <c r="AW29"/>
      <c r="AX29"/>
      <c r="AY29"/>
      <c r="AZ29" s="14">
        <v>1.4531873166561127E-3</v>
      </c>
      <c r="BA29" s="19">
        <v>1.372167281806469E-2</v>
      </c>
      <c r="BB29"/>
      <c r="BC29" s="23">
        <v>5.0116796046495438E-3</v>
      </c>
      <c r="BD29" s="65">
        <v>1.7857344821095467E-2</v>
      </c>
      <c r="BE29"/>
      <c r="BF29" s="24">
        <v>2.1776854991912842E-2</v>
      </c>
      <c r="BG29" s="16">
        <v>1.2939997017383575E-2</v>
      </c>
      <c r="BH29"/>
      <c r="BI29" s="12">
        <v>3.3738792408257723E-3</v>
      </c>
      <c r="BJ29" s="14">
        <v>1.5409513143822551E-3</v>
      </c>
      <c r="BK29" s="11">
        <v>1.9706872990354896E-4</v>
      </c>
      <c r="BL29" s="14">
        <v>1.2903164606541395E-3</v>
      </c>
      <c r="BM29" s="17">
        <v>1.0401415638625622E-2</v>
      </c>
      <c r="BN29" s="14">
        <v>1.2524875346571207E-3</v>
      </c>
      <c r="BO29" s="65">
        <v>1.7983565106987953E-2</v>
      </c>
      <c r="BP29"/>
      <c r="BQ29" s="70">
        <v>4.078211635351181E-2</v>
      </c>
      <c r="BR29" s="317">
        <v>0.16659741103649139</v>
      </c>
      <c r="BS29"/>
      <c r="BT29"/>
      <c r="BU29"/>
      <c r="BV29"/>
      <c r="BW29"/>
      <c r="BX29"/>
      <c r="BY29"/>
      <c r="BZ29"/>
      <c r="CA29"/>
      <c r="CB29" s="65">
        <v>1.679653488099575E-2</v>
      </c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0.5</v>
      </c>
      <c r="C30">
        <v>0.23552146553993225</v>
      </c>
      <c r="D30" s="11">
        <v>3.755868601729162E-5</v>
      </c>
      <c r="E30"/>
      <c r="F30"/>
      <c r="G30"/>
      <c r="H30"/>
      <c r="I30"/>
      <c r="J30" s="291">
        <v>5.5918000638484955E-2</v>
      </c>
      <c r="K30" s="64">
        <v>2.6967070996761322E-2</v>
      </c>
      <c r="L30" s="15">
        <v>5.1071736961603165E-3</v>
      </c>
      <c r="M30"/>
      <c r="N30" s="11">
        <v>1.2115680874558166E-5</v>
      </c>
      <c r="O30"/>
      <c r="P30"/>
      <c r="Q30"/>
      <c r="R30"/>
      <c r="S30" s="11">
        <v>2.6230610092170537E-4</v>
      </c>
      <c r="T30"/>
      <c r="U30" s="12">
        <v>1.8016056856140494E-3</v>
      </c>
      <c r="V30" s="22">
        <v>3.8272507954388857E-3</v>
      </c>
      <c r="W30" s="65">
        <v>1.0836920700967312E-2</v>
      </c>
      <c r="X30" s="299">
        <v>6.3534222543239594E-2</v>
      </c>
      <c r="Y30" s="14">
        <v>8.2347413990646601E-4</v>
      </c>
      <c r="Z30"/>
      <c r="AA30" s="306">
        <v>4.1445709764957428E-2</v>
      </c>
      <c r="AB30"/>
      <c r="AC30"/>
      <c r="AD30"/>
      <c r="AE30" s="14">
        <v>1.288376864977181E-3</v>
      </c>
      <c r="AF30" s="11">
        <v>2.8461863985285163E-4</v>
      </c>
      <c r="AG30"/>
      <c r="AH30" s="11">
        <v>4.7088201972655952E-4</v>
      </c>
      <c r="AI30"/>
      <c r="AJ30"/>
      <c r="AK30"/>
      <c r="AL30" s="11">
        <v>2.7347268769517541E-4</v>
      </c>
      <c r="AM30" s="11">
        <v>4.1139170207316056E-5</v>
      </c>
      <c r="AN30" s="11">
        <v>4.7645648010075092E-4</v>
      </c>
      <c r="AO30" s="11">
        <v>2.3503460397478193E-4</v>
      </c>
      <c r="AP30"/>
      <c r="AQ30" s="21">
        <v>9.9453479051589966E-3</v>
      </c>
      <c r="AR30" s="23">
        <v>2.8127629775553942E-3</v>
      </c>
      <c r="AS30" s="23">
        <v>3.2990307081490755E-3</v>
      </c>
      <c r="AT30"/>
      <c r="AU30" s="23">
        <v>3.4026720095425844E-3</v>
      </c>
      <c r="AV30"/>
      <c r="AW30"/>
      <c r="AX30"/>
      <c r="AY30"/>
      <c r="AZ30"/>
      <c r="BA30" s="17">
        <v>6.898779422044754E-3</v>
      </c>
      <c r="BB30"/>
      <c r="BC30"/>
      <c r="BD30" s="19">
        <v>8.9780557900667191E-3</v>
      </c>
      <c r="BE30"/>
      <c r="BF30"/>
      <c r="BG30" s="17">
        <v>6.5057799220085144E-3</v>
      </c>
      <c r="BH30"/>
      <c r="BI30"/>
      <c r="BJ30" s="11">
        <v>4.4891028665006161E-4</v>
      </c>
      <c r="BK30" s="11">
        <v>9.9079225037712604E-5</v>
      </c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 s="19">
        <v>8.4447041153907776E-3</v>
      </c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2</v>
      </c>
      <c r="C31">
        <v>1.5763421058654785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286">
        <v>4.6462591737508774E-2</v>
      </c>
      <c r="AD31"/>
      <c r="AE31" s="14">
        <v>3.8643341977149248E-3</v>
      </c>
      <c r="AF31" s="11">
        <v>8.5367902647703886E-4</v>
      </c>
      <c r="AG31"/>
      <c r="AH31" s="11">
        <v>1.4123516157269478E-3</v>
      </c>
      <c r="AI31"/>
      <c r="AJ31"/>
      <c r="AK31"/>
      <c r="AL31"/>
      <c r="AM31"/>
      <c r="AN31"/>
      <c r="AO31"/>
      <c r="AP31"/>
      <c r="AQ31" s="16">
        <v>2.9829852283000946E-2</v>
      </c>
      <c r="AR31" s="12">
        <v>8.4365606307983398E-3</v>
      </c>
      <c r="AS31"/>
      <c r="AT31"/>
      <c r="AU31" s="23">
        <v>1.0205878876149654E-2</v>
      </c>
      <c r="AV31"/>
      <c r="AW31"/>
      <c r="AX31"/>
      <c r="AY31" s="12">
        <v>8.9027415961027145E-3</v>
      </c>
      <c r="AZ31" s="14">
        <v>2.1913750097155571E-3</v>
      </c>
      <c r="BA31"/>
      <c r="BB31" s="23">
        <v>1.1837778612971306E-2</v>
      </c>
      <c r="BC31" s="12">
        <v>7.5575252994894981E-3</v>
      </c>
      <c r="BD31"/>
      <c r="BE31" s="14">
        <v>4.8685804940760136E-3</v>
      </c>
      <c r="BF31" s="16">
        <v>3.2839138060808182E-2</v>
      </c>
      <c r="BG31" s="15">
        <v>1.9513243809342384E-2</v>
      </c>
      <c r="BH31" s="23">
        <v>9.9730025976896286E-3</v>
      </c>
      <c r="BI31" s="14">
        <v>5.0877565518021584E-3</v>
      </c>
      <c r="BJ31"/>
      <c r="BK31"/>
      <c r="BL31"/>
      <c r="BM31" s="22">
        <v>1.5685155987739563E-2</v>
      </c>
      <c r="BN31" s="11">
        <v>1.8887296319007874E-3</v>
      </c>
      <c r="BO31"/>
      <c r="BP31"/>
      <c r="BQ31"/>
      <c r="BR31" s="292">
        <v>0.20224766433238983</v>
      </c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0.89999997615814209</v>
      </c>
      <c r="C32">
        <v>0.45529118180274963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 s="11">
        <v>7.8040320659056306E-4</v>
      </c>
      <c r="AB32"/>
      <c r="AC32" s="13">
        <v>3.3395964652299881E-2</v>
      </c>
      <c r="AD32"/>
      <c r="AE32" s="12">
        <v>2.7775648050010204E-3</v>
      </c>
      <c r="AF32" s="11">
        <v>6.1359890969470143E-4</v>
      </c>
      <c r="AG32"/>
      <c r="AH32" s="14">
        <v>1.0151569731533527E-3</v>
      </c>
      <c r="AI32"/>
      <c r="AJ32"/>
      <c r="AK32"/>
      <c r="AL32" s="11">
        <v>5.8957102010026574E-4</v>
      </c>
      <c r="AM32" s="11">
        <v>8.8690554548520595E-5</v>
      </c>
      <c r="AN32" s="14">
        <v>1.0271753417328E-3</v>
      </c>
      <c r="AO32" s="11">
        <v>5.0670269411057234E-4</v>
      </c>
      <c r="AP32"/>
      <c r="AQ32" s="286">
        <v>2.1440805867314339E-2</v>
      </c>
      <c r="AR32" s="23">
        <v>6.0639297589659691E-3</v>
      </c>
      <c r="AS32" s="22">
        <v>7.1122562512755394E-3</v>
      </c>
      <c r="AT32"/>
      <c r="AU32" s="22">
        <v>7.3356973007321358E-3</v>
      </c>
      <c r="AV32"/>
      <c r="AW32"/>
      <c r="AX32"/>
      <c r="AY32"/>
      <c r="AZ32" s="14">
        <v>1.5751009341329336E-3</v>
      </c>
      <c r="BA32" s="16">
        <v>1.4872823841869831E-2</v>
      </c>
      <c r="BB32"/>
      <c r="BC32" s="23">
        <v>5.4321270436048508E-3</v>
      </c>
      <c r="BD32" s="65">
        <v>1.9355457276105881E-2</v>
      </c>
      <c r="BE32"/>
      <c r="BF32" s="26">
        <v>2.3603782057762146E-2</v>
      </c>
      <c r="BG32" s="16">
        <v>1.4025579206645489E-2</v>
      </c>
      <c r="BH32"/>
      <c r="BI32" s="12">
        <v>3.6569272633641958E-3</v>
      </c>
      <c r="BJ32" s="12">
        <v>2.6906535495072603E-3</v>
      </c>
      <c r="BK32" s="11">
        <v>2.4358020164072514E-4</v>
      </c>
      <c r="BL32" s="14">
        <v>1.3985652476549149E-3</v>
      </c>
      <c r="BM32" s="18">
        <v>1.1274022981524467E-2</v>
      </c>
      <c r="BN32" s="14">
        <v>1.3575622579082847E-3</v>
      </c>
      <c r="BO32" s="65">
        <v>1.9492262974381447E-2</v>
      </c>
      <c r="BP32"/>
      <c r="BQ32" s="310">
        <v>4.4203434139490128E-2</v>
      </c>
      <c r="BR32" s="327">
        <v>0.18057377636432648</v>
      </c>
      <c r="BS32"/>
      <c r="BT32"/>
      <c r="BU32"/>
      <c r="BV32"/>
      <c r="BW32"/>
      <c r="BX32"/>
      <c r="BY32"/>
      <c r="BZ32"/>
      <c r="CA32"/>
      <c r="CB32" s="21">
        <v>1.8205635249614716E-2</v>
      </c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0.5</v>
      </c>
      <c r="C33">
        <v>0.43758055567741394</v>
      </c>
      <c r="D33" s="11">
        <v>8.1871439761016518E-6</v>
      </c>
      <c r="E33"/>
      <c r="F33"/>
      <c r="G33"/>
      <c r="H33"/>
      <c r="I33"/>
      <c r="J33" s="14">
        <v>7.1526149986311793E-4</v>
      </c>
      <c r="K33" s="14">
        <v>1.1010521557182074E-3</v>
      </c>
      <c r="L33" s="11">
        <v>3.8702961319359019E-5</v>
      </c>
      <c r="M33"/>
      <c r="N33" s="11">
        <v>2.2328626073431224E-5</v>
      </c>
      <c r="O33"/>
      <c r="P33"/>
      <c r="Q33"/>
      <c r="R33"/>
      <c r="S33" s="11">
        <v>3.5502412356436253E-4</v>
      </c>
      <c r="T33"/>
      <c r="U33" s="11">
        <v>1.2801736011169851E-4</v>
      </c>
      <c r="V33" s="11">
        <v>3.5181696875952184E-4</v>
      </c>
      <c r="W33" s="14">
        <v>5.4023676784709096E-4</v>
      </c>
      <c r="X33" s="12">
        <v>2.169343177229166E-3</v>
      </c>
      <c r="Y33"/>
      <c r="Z33"/>
      <c r="AA33" s="14">
        <v>6.1604485381394625E-4</v>
      </c>
      <c r="AB33"/>
      <c r="AC33"/>
      <c r="AD33"/>
      <c r="AE33" s="14">
        <v>1.3383988989517093E-3</v>
      </c>
      <c r="AF33" s="11">
        <v>2.956693060696125E-4</v>
      </c>
      <c r="AG33"/>
      <c r="AH33" s="11">
        <v>4.8916420200839639E-4</v>
      </c>
      <c r="AI33"/>
      <c r="AJ33"/>
      <c r="AK33"/>
      <c r="AL33" s="11">
        <v>2.8409043443389237E-4</v>
      </c>
      <c r="AM33" s="11">
        <v>4.2736341129057109E-5</v>
      </c>
      <c r="AN33" s="14">
        <v>4.9495534040033817E-4</v>
      </c>
      <c r="AO33" s="11">
        <v>2.4415992083959281E-4</v>
      </c>
      <c r="AP33"/>
      <c r="AQ33" s="65">
        <v>1.033148355782032E-2</v>
      </c>
      <c r="AR33" s="23">
        <v>2.9219696298241615E-3</v>
      </c>
      <c r="AS33" s="23">
        <v>3.4271173644810915E-3</v>
      </c>
      <c r="AT33"/>
      <c r="AU33" s="22">
        <v>3.5347829107195139E-3</v>
      </c>
      <c r="AV33"/>
      <c r="AW33"/>
      <c r="AX33"/>
      <c r="AY33"/>
      <c r="AZ33"/>
      <c r="BA33" s="17">
        <v>7.1666296571493149E-3</v>
      </c>
      <c r="BB33"/>
      <c r="BC33"/>
      <c r="BD33" s="21">
        <v>9.326632134616375E-3</v>
      </c>
      <c r="BE33"/>
      <c r="BF33"/>
      <c r="BG33" s="17">
        <v>6.7583727650344372E-3</v>
      </c>
      <c r="BH33"/>
      <c r="BI33"/>
      <c r="BJ33" s="14">
        <v>8.2731933798640966E-4</v>
      </c>
      <c r="BK33" s="11">
        <v>1.1737192107830197E-4</v>
      </c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 s="19">
        <v>8.772578090429306E-3</v>
      </c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3</v>
      </c>
      <c r="C34">
        <v>2.2375636100769043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 s="11">
        <v>1.8942180322483182E-3</v>
      </c>
      <c r="AG34"/>
      <c r="AH34" s="14">
        <v>3.1338541302829981E-3</v>
      </c>
      <c r="AI34"/>
      <c r="AJ34"/>
      <c r="AK34"/>
      <c r="AL34"/>
      <c r="AM34"/>
      <c r="AN34"/>
      <c r="AO34"/>
      <c r="AP34"/>
      <c r="AQ34" s="65">
        <v>6.618925929069519E-2</v>
      </c>
      <c r="AR34" s="23">
        <v>1.8719721585512161E-2</v>
      </c>
      <c r="AS34"/>
      <c r="AT34"/>
      <c r="AU34"/>
      <c r="AV34"/>
      <c r="AW34"/>
      <c r="AX34"/>
      <c r="AY34" s="23">
        <v>1.9754229113459587E-2</v>
      </c>
      <c r="AZ34" s="14">
        <v>4.8624305054545403E-3</v>
      </c>
      <c r="BA34"/>
      <c r="BB34" s="22">
        <v>2.6266748085618019E-2</v>
      </c>
      <c r="BC34" s="23">
        <v>1.6769317910075188E-2</v>
      </c>
      <c r="BD34"/>
      <c r="BE34" s="12">
        <v>1.0802851989865303E-2</v>
      </c>
      <c r="BF34" s="286">
        <v>7.2866395115852356E-2</v>
      </c>
      <c r="BG34"/>
      <c r="BH34" s="22">
        <v>2.2129015997052193E-2</v>
      </c>
      <c r="BI34" s="12">
        <v>1.1289173737168312E-2</v>
      </c>
      <c r="BJ34"/>
      <c r="BK34"/>
      <c r="BL34"/>
      <c r="BM34" s="18">
        <v>3.4803643822669983E-2</v>
      </c>
      <c r="BN34" s="14">
        <v>4.1908808052539825E-3</v>
      </c>
      <c r="BO34"/>
      <c r="BP34"/>
      <c r="BQ34"/>
      <c r="BR34" s="322">
        <v>0.44876459240913391</v>
      </c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1.2000000476837158</v>
      </c>
      <c r="C35">
        <v>0.45840254426002502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 s="12">
        <v>4.0407478809356689E-3</v>
      </c>
      <c r="AB35"/>
      <c r="AC35"/>
      <c r="AD35"/>
      <c r="AE35"/>
      <c r="AF35" s="11">
        <v>1.1735518928617239E-3</v>
      </c>
      <c r="AG35"/>
      <c r="AH35" s="14">
        <v>1.9415605347603559E-3</v>
      </c>
      <c r="AI35"/>
      <c r="AJ35"/>
      <c r="AK35"/>
      <c r="AL35" s="11">
        <v>1.1275949655100703E-3</v>
      </c>
      <c r="AM35" s="11">
        <v>1.6962757217697799E-4</v>
      </c>
      <c r="AN35" s="14">
        <v>1.9645437132567167E-3</v>
      </c>
      <c r="AO35" s="11">
        <v>9.6910475986078382E-4</v>
      </c>
      <c r="AP35"/>
      <c r="AQ35" s="285">
        <v>4.100707545876503E-2</v>
      </c>
      <c r="AR35" s="15">
        <v>1.1597699485719204E-2</v>
      </c>
      <c r="AS35" s="18">
        <v>1.3602701015770435E-2</v>
      </c>
      <c r="AT35"/>
      <c r="AU35"/>
      <c r="AV35"/>
      <c r="AW35"/>
      <c r="AX35"/>
      <c r="AY35"/>
      <c r="AZ35" s="14">
        <v>3.0124916229397058E-3</v>
      </c>
      <c r="BA35" s="286">
        <v>2.844533696770668E-2</v>
      </c>
      <c r="BB35"/>
      <c r="BC35" s="22">
        <v>1.0389328002929688E-2</v>
      </c>
      <c r="BD35" s="25">
        <v>3.7018701434135437E-2</v>
      </c>
      <c r="BE35"/>
      <c r="BF35" s="13">
        <v>4.5143917202949524E-2</v>
      </c>
      <c r="BG35"/>
      <c r="BH35"/>
      <c r="BI35" s="23">
        <v>6.9941333495080471E-3</v>
      </c>
      <c r="BJ35" s="12">
        <v>4.1634575463831425E-3</v>
      </c>
      <c r="BK35"/>
      <c r="BL35" s="14">
        <v>2.6748552918434143E-3</v>
      </c>
      <c r="BM35" s="19">
        <v>2.1562375128269196E-2</v>
      </c>
      <c r="BN35" s="14">
        <v>2.5964356027543545E-3</v>
      </c>
      <c r="BO35" s="25">
        <v>3.728034719824791E-2</v>
      </c>
      <c r="BP35"/>
      <c r="BQ35" s="72">
        <v>8.4542244672775269E-2</v>
      </c>
      <c r="BR35" s="297">
        <v>0.3453601598739624</v>
      </c>
      <c r="BS35"/>
      <c r="BT35"/>
      <c r="BU35"/>
      <c r="BV35"/>
      <c r="BW35"/>
      <c r="BX35"/>
      <c r="BY35"/>
      <c r="BZ35"/>
      <c r="CA35"/>
      <c r="CB35" s="148">
        <v>3.4819576889276505E-2</v>
      </c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0.5</v>
      </c>
      <c r="C36">
        <v>0.44467037916183472</v>
      </c>
      <c r="D36" s="11">
        <v>7.2973762144101784E-7</v>
      </c>
      <c r="E36"/>
      <c r="F36"/>
      <c r="G36"/>
      <c r="H36"/>
      <c r="I36"/>
      <c r="J36" s="148">
        <v>1.4985974878072739E-2</v>
      </c>
      <c r="K36" s="14">
        <v>8.9547003153711557E-4</v>
      </c>
      <c r="L36"/>
      <c r="M36"/>
      <c r="N36"/>
      <c r="O36"/>
      <c r="P36"/>
      <c r="Q36"/>
      <c r="R36"/>
      <c r="S36"/>
      <c r="T36"/>
      <c r="U36" s="12">
        <v>2.2330053616315126E-3</v>
      </c>
      <c r="V36" s="11">
        <v>2.9411039577098563E-6</v>
      </c>
      <c r="W36"/>
      <c r="X36"/>
      <c r="Y36"/>
      <c r="Z36" s="11">
        <v>2.5323493173345923E-4</v>
      </c>
      <c r="AA36" s="23">
        <v>3.4247823059558868E-3</v>
      </c>
      <c r="AB36"/>
      <c r="AC36"/>
      <c r="AD36"/>
      <c r="AE36"/>
      <c r="AF36" s="11">
        <v>3.5141597618348897E-4</v>
      </c>
      <c r="AG36"/>
      <c r="AH36" s="14">
        <v>5.8139371685683727E-4</v>
      </c>
      <c r="AI36"/>
      <c r="AJ36"/>
      <c r="AK36"/>
      <c r="AL36" s="11">
        <v>3.3765481202863157E-4</v>
      </c>
      <c r="AM36" s="11">
        <v>5.0794122216757387E-5</v>
      </c>
      <c r="AN36" s="14">
        <v>5.8827619068324566E-4</v>
      </c>
      <c r="AO36" s="11">
        <v>2.9019499197602272E-4</v>
      </c>
      <c r="AP36"/>
      <c r="AQ36" s="26">
        <v>1.2279435060918331E-2</v>
      </c>
      <c r="AR36" s="22">
        <v>3.4728930331766605E-3</v>
      </c>
      <c r="AS36" s="22">
        <v>4.0732827037572861E-3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 s="14">
        <v>1.0815310524776578E-3</v>
      </c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 s="65">
        <v>1.0426605120301247E-2</v>
      </c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0.41800001263618469</v>
      </c>
      <c r="C37">
        <v>0.13982872664928436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 s="15">
        <v>4.4855400919914246E-3</v>
      </c>
      <c r="AB37"/>
      <c r="AC37" s="70">
        <v>2.1565575152635574E-2</v>
      </c>
      <c r="AD37"/>
      <c r="AE37" s="12">
        <v>1.7936247168108821E-3</v>
      </c>
      <c r="AF37" s="11">
        <v>3.962334303651005E-4</v>
      </c>
      <c r="AG37"/>
      <c r="AH37" s="14">
        <v>6.5554311731830239E-4</v>
      </c>
      <c r="AI37"/>
      <c r="AJ37"/>
      <c r="AK37"/>
      <c r="AL37" s="11">
        <v>3.8071730523370206E-4</v>
      </c>
      <c r="AM37" s="11">
        <v>5.7272089179605246E-5</v>
      </c>
      <c r="AN37" s="14">
        <v>6.6330144181847572E-4</v>
      </c>
      <c r="AO37" s="11">
        <v>3.2720563467592001E-4</v>
      </c>
      <c r="AP37"/>
      <c r="AQ37" s="285">
        <v>1.3845505192875862E-2</v>
      </c>
      <c r="AR37" s="15">
        <v>3.9158007130026817E-3</v>
      </c>
      <c r="AS37" s="18">
        <v>4.5927590690553188E-3</v>
      </c>
      <c r="AT37"/>
      <c r="AU37" s="18">
        <v>4.7370479442179203E-3</v>
      </c>
      <c r="AV37"/>
      <c r="AW37"/>
      <c r="AX37"/>
      <c r="AY37" s="15">
        <v>4.1322028264403343E-3</v>
      </c>
      <c r="AZ37" s="14">
        <v>1.0171254398301244E-3</v>
      </c>
      <c r="BA37" s="286">
        <v>9.604194201529026E-3</v>
      </c>
      <c r="BB37" s="17">
        <v>5.4944916628301144E-3</v>
      </c>
      <c r="BC37" s="22">
        <v>3.5078127402812243E-3</v>
      </c>
      <c r="BD37" s="148">
        <v>1.2498876079916954E-2</v>
      </c>
      <c r="BE37" s="23">
        <v>2.2597457282245159E-3</v>
      </c>
      <c r="BF37" s="13">
        <v>1.524223480373621E-2</v>
      </c>
      <c r="BG37" s="65">
        <v>9.0570617467164993E-3</v>
      </c>
      <c r="BH37" s="18">
        <v>4.6289646998047829E-3</v>
      </c>
      <c r="BI37" s="23">
        <v>2.3614773526787758E-3</v>
      </c>
      <c r="BJ37"/>
      <c r="BK37" s="11">
        <v>3.710004675667733E-4</v>
      </c>
      <c r="BL37"/>
      <c r="BM37" s="19">
        <v>7.2802463546395302E-3</v>
      </c>
      <c r="BN37" s="14">
        <v>8.7665067985653877E-4</v>
      </c>
      <c r="BO37" s="148">
        <v>1.2587199918925762E-2</v>
      </c>
      <c r="BP37"/>
      <c r="BQ37" s="67">
        <v>2.4206690490245819E-2</v>
      </c>
      <c r="BR37" s="319">
        <v>9.3872793018817902E-2</v>
      </c>
      <c r="BS37"/>
      <c r="BT37"/>
      <c r="BU37"/>
      <c r="BV37"/>
      <c r="BW37"/>
      <c r="BX37"/>
      <c r="BY37"/>
      <c r="BZ37"/>
      <c r="CA37"/>
      <c r="CB37" s="24">
        <v>1.1756382882595062E-2</v>
      </c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0.60000002384185791</v>
      </c>
      <c r="C38">
        <v>0.35753181576728821</v>
      </c>
      <c r="D38" s="11">
        <v>2.3653896278119646E-5</v>
      </c>
      <c r="E38"/>
      <c r="F38"/>
      <c r="G38"/>
      <c r="H38"/>
      <c r="I38"/>
      <c r="J38" s="29">
        <v>2.8556188568472862E-2</v>
      </c>
      <c r="K38" s="285">
        <v>1.9620990380644798E-2</v>
      </c>
      <c r="L38"/>
      <c r="M38"/>
      <c r="N38"/>
      <c r="O38"/>
      <c r="P38"/>
      <c r="Q38"/>
      <c r="R38"/>
      <c r="S38"/>
      <c r="T38"/>
      <c r="U38" s="17">
        <v>8.0955643206834793E-3</v>
      </c>
      <c r="V38"/>
      <c r="W38" s="23">
        <v>2.9515307396650314E-3</v>
      </c>
      <c r="X38" s="12">
        <v>2.7249129489064217E-3</v>
      </c>
      <c r="Y38"/>
      <c r="Z38"/>
      <c r="AA38" s="65">
        <v>1.3207240961492062E-2</v>
      </c>
      <c r="AB38"/>
      <c r="AC38"/>
      <c r="AD38"/>
      <c r="AE38"/>
      <c r="AF38" s="11">
        <v>3.9623392513021827E-4</v>
      </c>
      <c r="AG38"/>
      <c r="AH38" s="14">
        <v>6.555418367497623E-4</v>
      </c>
      <c r="AI38"/>
      <c r="AJ38"/>
      <c r="AK38"/>
      <c r="AL38" s="11">
        <v>3.8071715971454978E-4</v>
      </c>
      <c r="AM38" s="11">
        <v>5.7272281992482021E-5</v>
      </c>
      <c r="AN38" s="14">
        <v>6.6330184927210212E-4</v>
      </c>
      <c r="AO38" s="11">
        <v>3.2720461604185402E-4</v>
      </c>
      <c r="AP38"/>
      <c r="AQ38" s="286">
        <v>1.3845479115843773E-2</v>
      </c>
      <c r="AR38" s="23">
        <v>3.9158137515187263E-3</v>
      </c>
      <c r="AS38" s="22">
        <v>4.5927641913294792E-3</v>
      </c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 s="14">
        <v>6.0092139756307006E-4</v>
      </c>
      <c r="BK38"/>
      <c r="BL38" s="14">
        <v>9.0312812244519591E-4</v>
      </c>
      <c r="BM38"/>
      <c r="BN38"/>
      <c r="BO38" s="65">
        <v>1.2587209232151508E-2</v>
      </c>
      <c r="BP38"/>
      <c r="BQ38"/>
      <c r="BR38" s="113">
        <v>0.1166062131524086</v>
      </c>
      <c r="BS38"/>
      <c r="BT38"/>
      <c r="BU38"/>
      <c r="BV38"/>
      <c r="BW38"/>
      <c r="BX38"/>
      <c r="BY38"/>
      <c r="BZ38"/>
      <c r="CA38"/>
      <c r="CB38" s="21">
        <v>1.1756332591176033E-2</v>
      </c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0.80000001192092896</v>
      </c>
      <c r="C39">
        <v>0.14356818795204163</v>
      </c>
      <c r="D39"/>
      <c r="E39"/>
      <c r="F39"/>
      <c r="G39"/>
      <c r="H39"/>
      <c r="I39"/>
      <c r="J39" s="17">
        <v>1.1133918538689613E-2</v>
      </c>
      <c r="K39" s="16">
        <v>1.2947100214660168E-2</v>
      </c>
      <c r="L39" s="11">
        <v>3.5904181459045503E-6</v>
      </c>
      <c r="M39"/>
      <c r="N39"/>
      <c r="O39"/>
      <c r="P39"/>
      <c r="Q39"/>
      <c r="R39"/>
      <c r="S39" s="11">
        <v>1.6874929133336991E-4</v>
      </c>
      <c r="T39"/>
      <c r="U39" s="14">
        <v>1.6156856436282396E-3</v>
      </c>
      <c r="V39"/>
      <c r="W39" s="23">
        <v>4.035179503262043E-3</v>
      </c>
      <c r="X39" s="12">
        <v>3.8859276100993156E-3</v>
      </c>
      <c r="Y39"/>
      <c r="Z39"/>
      <c r="AA39" s="22">
        <v>5.7068946771323681E-3</v>
      </c>
      <c r="AB39"/>
      <c r="AC39" s="24">
        <v>2.1565571427345276E-2</v>
      </c>
      <c r="AD39"/>
      <c r="AE39" s="14">
        <v>1.7936230869963765E-3</v>
      </c>
      <c r="AF39" s="11">
        <v>3.9623340126127005E-4</v>
      </c>
      <c r="AG39"/>
      <c r="AH39" s="286">
        <v>1.825827918946743E-2</v>
      </c>
      <c r="AI39"/>
      <c r="AJ39"/>
      <c r="AK39" s="284">
        <v>0.29785743355751038</v>
      </c>
      <c r="AL39" s="11">
        <v>3.8071794551797211E-4</v>
      </c>
      <c r="AM39" s="11">
        <v>5.7272278354503214E-5</v>
      </c>
      <c r="AN39" s="11">
        <v>6.6330382833257318E-4</v>
      </c>
      <c r="AO39" s="11">
        <v>3.272055764682591E-4</v>
      </c>
      <c r="AP39"/>
      <c r="AQ39" s="19">
        <v>1.3845492154359818E-2</v>
      </c>
      <c r="AR39" s="12">
        <v>3.915807232260704E-3</v>
      </c>
      <c r="AS39" s="23">
        <v>4.5927655883133411E-3</v>
      </c>
      <c r="AT39"/>
      <c r="AU39" s="23">
        <v>4.7370539978146553E-3</v>
      </c>
      <c r="AV39"/>
      <c r="AW39"/>
      <c r="AX39"/>
      <c r="AY39" s="23">
        <v>4.1322042234241962E-3</v>
      </c>
      <c r="AZ39" s="14">
        <v>1.0171254398301244E-3</v>
      </c>
      <c r="BA39" s="18">
        <v>9.6041830256581306E-3</v>
      </c>
      <c r="BB39" s="22">
        <v>5.4944944567978382E-3</v>
      </c>
      <c r="BC39" s="12">
        <v>3.5078132059425116E-3</v>
      </c>
      <c r="BD39" s="16">
        <v>1.2498872354626656E-2</v>
      </c>
      <c r="BE39" s="14">
        <v>2.2597466595470905E-3</v>
      </c>
      <c r="BF39" s="21">
        <v>1.5242237597703934E-2</v>
      </c>
      <c r="BG39" s="18">
        <v>9.0570757165551186E-3</v>
      </c>
      <c r="BH39" s="23">
        <v>4.6289609745144844E-3</v>
      </c>
      <c r="BI39" s="12">
        <v>2.3614726960659027E-3</v>
      </c>
      <c r="BJ39"/>
      <c r="BK39" s="11">
        <v>1.8549905507825315E-4</v>
      </c>
      <c r="BL39" s="14">
        <v>9.03128064237535E-4</v>
      </c>
      <c r="BM39" s="15">
        <v>7.2802449576556683E-3</v>
      </c>
      <c r="BN39" s="14">
        <v>8.7665067985653877E-4</v>
      </c>
      <c r="BO39" s="16">
        <v>1.2587207369506359E-2</v>
      </c>
      <c r="BP39"/>
      <c r="BQ39" s="28">
        <v>2.8544541448354721E-2</v>
      </c>
      <c r="BR39" s="323">
        <v>0.11660625040531158</v>
      </c>
      <c r="BS39"/>
      <c r="BT39"/>
      <c r="BU39"/>
      <c r="BV39"/>
      <c r="BW39"/>
      <c r="BX39"/>
      <c r="BY39"/>
      <c r="BZ39"/>
      <c r="CA39"/>
      <c r="CB39" s="17">
        <v>1.1756357736885548E-2</v>
      </c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1.7000000476837158</v>
      </c>
      <c r="C40">
        <v>0.82539314031600952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 s="11">
        <v>8.6067878874018788E-4</v>
      </c>
      <c r="AF40"/>
      <c r="AG40" s="11">
        <v>6.2497809994965792E-4</v>
      </c>
      <c r="AH40" s="11">
        <v>5.3074100287631154E-4</v>
      </c>
      <c r="AI40"/>
      <c r="AJ40" s="12">
        <v>6.5954406745731831E-3</v>
      </c>
      <c r="AK40"/>
      <c r="AL40" s="11">
        <v>5.0451938295736909E-4</v>
      </c>
      <c r="AM40"/>
      <c r="AN40" s="11">
        <v>9.0789905516430736E-4</v>
      </c>
      <c r="AO40" s="11">
        <v>2.4068249331321567E-4</v>
      </c>
      <c r="AP40"/>
      <c r="AQ40" s="23">
        <v>1.0362387634813786E-2</v>
      </c>
      <c r="AR40" s="12">
        <v>5.6795082055032253E-3</v>
      </c>
      <c r="AS40" s="16">
        <v>2.5697227567434311E-2</v>
      </c>
      <c r="AT40"/>
      <c r="AU40" s="19">
        <v>2.9189314693212509E-2</v>
      </c>
      <c r="AV40"/>
      <c r="AW40"/>
      <c r="AX40" s="16">
        <v>2.7608206495642662E-2</v>
      </c>
      <c r="AY40"/>
      <c r="AZ40"/>
      <c r="BA40"/>
      <c r="BB40"/>
      <c r="BC40"/>
      <c r="BD40" s="21">
        <v>3.3922944217920303E-2</v>
      </c>
      <c r="BE40" s="14">
        <v>2.8663899283856153E-3</v>
      </c>
      <c r="BF40" s="18">
        <v>1.9334133714437485E-2</v>
      </c>
      <c r="BG40"/>
      <c r="BH40"/>
      <c r="BI40"/>
      <c r="BJ40" s="11">
        <v>1.251733978278935E-3</v>
      </c>
      <c r="BK40"/>
      <c r="BL40"/>
      <c r="BM40" s="12">
        <v>6.4451331272721291E-3</v>
      </c>
      <c r="BN40" s="309">
        <v>0.31452244520187378</v>
      </c>
      <c r="BO40"/>
      <c r="BP40"/>
      <c r="BQ40" s="16">
        <v>2.815905399620533E-2</v>
      </c>
      <c r="BR40"/>
      <c r="BS40"/>
      <c r="BT40"/>
      <c r="BU40"/>
      <c r="BV40"/>
      <c r="BW40"/>
      <c r="BX40" s="318">
        <v>0.35930341482162476</v>
      </c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0.69999998807907104</v>
      </c>
      <c r="C41">
        <v>2.4838726967573166E-2</v>
      </c>
      <c r="D41"/>
      <c r="E41"/>
      <c r="F41"/>
      <c r="G41"/>
      <c r="H41"/>
      <c r="I41"/>
      <c r="J41" s="148">
        <v>2.0332656800746918E-2</v>
      </c>
      <c r="K41" s="294">
        <v>0.14411942660808563</v>
      </c>
      <c r="L41" s="11">
        <v>8.6598784037050791E-6</v>
      </c>
      <c r="M41"/>
      <c r="N41"/>
      <c r="O41" s="11">
        <v>4.1208052425645292E-4</v>
      </c>
      <c r="P41"/>
      <c r="Q41"/>
      <c r="R41"/>
      <c r="S41" s="11">
        <v>1.0998053039656952E-4</v>
      </c>
      <c r="T41"/>
      <c r="U41" s="280">
        <v>2.7712495997548103E-2</v>
      </c>
      <c r="V41" s="16">
        <v>1.1012000031769276E-2</v>
      </c>
      <c r="W41" s="66">
        <v>2.9211463406682014E-2</v>
      </c>
      <c r="X41" s="64">
        <v>3.7864282727241516E-2</v>
      </c>
      <c r="Y41" s="11">
        <v>2.4196106096496806E-5</v>
      </c>
      <c r="Z41" s="302">
        <v>0.24564361572265625</v>
      </c>
      <c r="AA41"/>
      <c r="AB41"/>
      <c r="AC41"/>
      <c r="AD41"/>
      <c r="AE41" s="14">
        <v>8.6067942902445793E-4</v>
      </c>
      <c r="AF41"/>
      <c r="AG41" s="11">
        <v>6.2497850740328431E-4</v>
      </c>
      <c r="AH41" s="11">
        <v>5.3074146853759885E-4</v>
      </c>
      <c r="AI41" s="11">
        <v>1.1273767995589878E-5</v>
      </c>
      <c r="AJ41" s="15">
        <v>6.5954425372183323E-3</v>
      </c>
      <c r="AK41"/>
      <c r="AL41" s="11">
        <v>5.0451938295736909E-4</v>
      </c>
      <c r="AM41"/>
      <c r="AN41" s="14">
        <v>9.0789853129535913E-4</v>
      </c>
      <c r="AO41" s="11">
        <v>2.4068288621492684E-4</v>
      </c>
      <c r="AP41"/>
      <c r="AQ41" s="16">
        <v>1.0362375527620316E-2</v>
      </c>
      <c r="AR41" s="22">
        <v>5.6795091368257999E-3</v>
      </c>
      <c r="AS41" s="13">
        <v>2.5697244331240654E-2</v>
      </c>
      <c r="AT41"/>
      <c r="AU41" s="66">
        <v>2.9189320281147957E-2</v>
      </c>
      <c r="AV41"/>
      <c r="AW41"/>
      <c r="AX41" s="280">
        <v>2.7608191594481468E-2</v>
      </c>
      <c r="AY41"/>
      <c r="AZ41"/>
      <c r="BA41"/>
      <c r="BB41"/>
      <c r="BC41"/>
      <c r="BD41" s="310">
        <v>3.3922895789146423E-2</v>
      </c>
      <c r="BE41" s="12">
        <v>2.8663906268775463E-3</v>
      </c>
      <c r="BF41"/>
      <c r="BG41"/>
      <c r="BH41"/>
      <c r="BI41"/>
      <c r="BJ41" s="14">
        <v>1.2517354916781187E-3</v>
      </c>
      <c r="BK41" s="12">
        <v>2.2486168891191483E-3</v>
      </c>
      <c r="BL41"/>
      <c r="BM41" s="15">
        <v>6.4451410435140133E-3</v>
      </c>
      <c r="BN41"/>
      <c r="BO41" s="12">
        <v>3.1628021970391273E-3</v>
      </c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1.2000000476837158</v>
      </c>
      <c r="C42">
        <v>0.36430972814559937</v>
      </c>
      <c r="D42"/>
      <c r="E42"/>
      <c r="F42"/>
      <c r="G42"/>
      <c r="H42"/>
      <c r="I42"/>
      <c r="J42" s="11">
        <v>8.5378014773596078E-5</v>
      </c>
      <c r="K42" s="148">
        <v>3.5812932997941971E-2</v>
      </c>
      <c r="L42" s="11">
        <v>5.1969273044960573E-6</v>
      </c>
      <c r="M42"/>
      <c r="N42"/>
      <c r="O42"/>
      <c r="P42"/>
      <c r="Q42"/>
      <c r="R42"/>
      <c r="S42" s="11">
        <v>3.7120942124602152E-6</v>
      </c>
      <c r="T42"/>
      <c r="U42" s="23">
        <v>8.0166282132267952E-3</v>
      </c>
      <c r="V42"/>
      <c r="W42" s="12">
        <v>3.6272841971367598E-3</v>
      </c>
      <c r="X42" s="12">
        <v>3.5341193433851004E-3</v>
      </c>
      <c r="Y42"/>
      <c r="Z42"/>
      <c r="AA42"/>
      <c r="AB42"/>
      <c r="AC42"/>
      <c r="AD42"/>
      <c r="AE42" s="11">
        <v>6.7852501524612308E-4</v>
      </c>
      <c r="AF42"/>
      <c r="AG42" s="11">
        <v>4.927079426124692E-4</v>
      </c>
      <c r="AH42" s="11">
        <v>4.1841511847451329E-4</v>
      </c>
      <c r="AI42" s="11">
        <v>8.8877905000117607E-6</v>
      </c>
      <c r="AJ42" s="12">
        <v>5.1995827816426754E-3</v>
      </c>
      <c r="AK42"/>
      <c r="AL42" s="11">
        <v>3.9774310425855219E-4</v>
      </c>
      <c r="AM42"/>
      <c r="AN42" s="11">
        <v>7.1575114270672202E-4</v>
      </c>
      <c r="AO42" s="11">
        <v>1.8974472186528146E-4</v>
      </c>
      <c r="AP42"/>
      <c r="AQ42" s="329">
        <v>8.6225539445877075E-2</v>
      </c>
      <c r="AR42" s="280">
        <v>4.8037204891443253E-2</v>
      </c>
      <c r="AS42"/>
      <c r="AT42"/>
      <c r="AU42" s="21">
        <v>2.3277916014194489E-2</v>
      </c>
      <c r="AV42"/>
      <c r="AW42"/>
      <c r="AX42" s="19">
        <v>2.1765189245343208E-2</v>
      </c>
      <c r="AY42"/>
      <c r="AZ42" s="11">
        <v>1.0171239264309406E-3</v>
      </c>
      <c r="BA42" s="329">
        <v>8.6572155356407166E-2</v>
      </c>
      <c r="BB42"/>
      <c r="BC42" s="14">
        <v>3.5078153014183044E-3</v>
      </c>
      <c r="BD42" s="65">
        <v>2.6743447408080101E-2</v>
      </c>
      <c r="BE42" s="14">
        <v>2.2597471252083778E-3</v>
      </c>
      <c r="BF42" s="18">
        <v>1.5242231078445911E-2</v>
      </c>
      <c r="BG42" s="22">
        <v>9.0570664033293724E-3</v>
      </c>
      <c r="BH42"/>
      <c r="BI42" s="14">
        <v>2.3614743258804083E-3</v>
      </c>
      <c r="BJ42" s="14">
        <v>1.6504843952134252E-3</v>
      </c>
      <c r="BK42" s="14">
        <v>1.772718969732523E-3</v>
      </c>
      <c r="BL42" s="65">
        <v>2.4893965572118759E-2</v>
      </c>
      <c r="BM42" s="25">
        <v>3.7458606064319611E-2</v>
      </c>
      <c r="BN42" s="23">
        <v>7.608574815094471E-3</v>
      </c>
      <c r="BO42" s="14">
        <v>2.4934248067438602E-3</v>
      </c>
      <c r="BP42" s="26">
        <v>3.1435992568731308E-2</v>
      </c>
      <c r="BQ42" s="65">
        <v>2.6537330821156502E-2</v>
      </c>
      <c r="BR42"/>
      <c r="BS42"/>
      <c r="BT42"/>
      <c r="BU42"/>
      <c r="BV42" s="113">
        <v>0.23361600935459137</v>
      </c>
      <c r="BW42" s="12">
        <v>4.8858080990612507E-3</v>
      </c>
      <c r="BX42" s="77">
        <v>7.8083954751491547E-2</v>
      </c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>
        <v>1.2000000476837158</v>
      </c>
      <c r="C43">
        <v>0.95260614156723022</v>
      </c>
      <c r="D43" s="11">
        <v>3.3406072361685801E-6</v>
      </c>
      <c r="E43"/>
      <c r="F43"/>
      <c r="G43"/>
      <c r="H43"/>
      <c r="I43"/>
      <c r="J43" s="14">
        <v>2.1012516226619482E-3</v>
      </c>
      <c r="K43" s="11">
        <v>1.1391493026167154E-3</v>
      </c>
      <c r="L43" s="11">
        <v>9.1866950242547318E-6</v>
      </c>
      <c r="M43"/>
      <c r="N43" s="11">
        <v>6.5977197664324194E-5</v>
      </c>
      <c r="O43"/>
      <c r="P43"/>
      <c r="Q43"/>
      <c r="R43"/>
      <c r="S43" s="11">
        <v>6.5141866798512638E-5</v>
      </c>
      <c r="T43"/>
      <c r="U43" s="11">
        <v>2.5054682737390976E-6</v>
      </c>
      <c r="V43" s="11">
        <v>2.4854165530996397E-5</v>
      </c>
      <c r="W43" s="11">
        <v>7.872816058807075E-4</v>
      </c>
      <c r="X43" s="14">
        <v>2.6027490384876728E-3</v>
      </c>
      <c r="Y43" s="11">
        <v>4.3371814535930753E-4</v>
      </c>
      <c r="Z43" s="11">
        <v>4.478928167372942E-4</v>
      </c>
      <c r="AA43"/>
      <c r="AB43"/>
      <c r="AC43"/>
      <c r="AD43"/>
      <c r="AE43" s="11">
        <v>6.785251316614449E-4</v>
      </c>
      <c r="AF43"/>
      <c r="AG43" s="11">
        <v>4.9270800082013011E-4</v>
      </c>
      <c r="AH43" s="11">
        <v>4.1841511847451329E-4</v>
      </c>
      <c r="AI43" s="11">
        <v>8.8877923190011643E-6</v>
      </c>
      <c r="AJ43" s="12">
        <v>5.19958371296525E-3</v>
      </c>
      <c r="AK43"/>
      <c r="AL43" s="11">
        <v>3.9774275501258671E-4</v>
      </c>
      <c r="AM43"/>
      <c r="AN43" s="11">
        <v>7.1575090987607837E-4</v>
      </c>
      <c r="AO43" s="11">
        <v>1.8974469276145101E-4</v>
      </c>
      <c r="AP43"/>
      <c r="AQ43" s="23">
        <v>8.1692785024642944E-3</v>
      </c>
      <c r="AR43" s="12">
        <v>4.4774985872209072E-3</v>
      </c>
      <c r="AS43"/>
      <c r="AT43"/>
      <c r="AU43" s="14">
        <v>2.9884877149015665E-3</v>
      </c>
      <c r="AV43"/>
      <c r="AW43"/>
      <c r="AX43" s="19">
        <v>2.1765194833278656E-2</v>
      </c>
      <c r="AY43"/>
      <c r="AZ43" s="11">
        <v>1.0171245085075498E-3</v>
      </c>
      <c r="BA43" s="14">
        <v>3.43363918364048E-3</v>
      </c>
      <c r="BB43"/>
      <c r="BC43" s="14">
        <v>3.5078159999102354E-3</v>
      </c>
      <c r="BD43" s="65">
        <v>2.6743447408080101E-2</v>
      </c>
      <c r="BE43" s="14">
        <v>2.2597471252083778E-3</v>
      </c>
      <c r="BF43" s="18">
        <v>1.5242229215800762E-2</v>
      </c>
      <c r="BG43" s="22">
        <v>9.057067334651947E-3</v>
      </c>
      <c r="BH43"/>
      <c r="BI43" s="14">
        <v>2.3614752572029829E-3</v>
      </c>
      <c r="BJ43"/>
      <c r="BK43" s="14">
        <v>1.7727193189784884E-3</v>
      </c>
      <c r="BL43" s="11">
        <v>9.0312876272946596E-4</v>
      </c>
      <c r="BM43" s="12">
        <v>5.0810892134904861E-3</v>
      </c>
      <c r="BN43" s="11">
        <v>8.0217322101816535E-4</v>
      </c>
      <c r="BO43" s="14">
        <v>2.4934252724051476E-3</v>
      </c>
      <c r="BP43"/>
      <c r="BQ43" s="19">
        <v>2.2199459373950958E-2</v>
      </c>
      <c r="BR43"/>
      <c r="BS43"/>
      <c r="BT43"/>
      <c r="BU43"/>
      <c r="BV43" s="12">
        <v>4.6112420968711376E-3</v>
      </c>
      <c r="BW43" s="12">
        <v>4.8858043737709522E-3</v>
      </c>
      <c r="BX43" s="329">
        <v>8.783741295337677E-2</v>
      </c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>
        <v>1.7999999523162842</v>
      </c>
      <c r="C44">
        <v>1.1109142303466797</v>
      </c>
      <c r="D44"/>
      <c r="E44"/>
      <c r="F44"/>
      <c r="G44"/>
      <c r="H44"/>
      <c r="I44"/>
      <c r="J44" s="11">
        <v>4.1094378684647381E-4</v>
      </c>
      <c r="K44" s="14">
        <v>1.9080404890701175E-3</v>
      </c>
      <c r="L44" s="11">
        <v>1.6333215171471238E-6</v>
      </c>
      <c r="M44"/>
      <c r="N44" s="11">
        <v>1.3066531892036437E-6</v>
      </c>
      <c r="O44"/>
      <c r="P44"/>
      <c r="Q44" s="11">
        <v>1.6333215171471238E-6</v>
      </c>
      <c r="R44" s="11">
        <v>1.6333215171471238E-6</v>
      </c>
      <c r="S44" s="11">
        <v>1.1596606782404706E-4</v>
      </c>
      <c r="T44"/>
      <c r="U44" s="11">
        <v>6.7945817136205733E-5</v>
      </c>
      <c r="V44"/>
      <c r="W44" s="14">
        <v>2.928025322034955E-3</v>
      </c>
      <c r="X44" s="12">
        <v>8.6595900356769562E-3</v>
      </c>
      <c r="Y44" s="11">
        <v>1.1282379273325205E-3</v>
      </c>
      <c r="Z44"/>
      <c r="AA44" s="14">
        <v>2.4088912177830935E-3</v>
      </c>
      <c r="AB44"/>
      <c r="AC44"/>
      <c r="AD44"/>
      <c r="AE44" s="11">
        <v>6.7852489883080125E-4</v>
      </c>
      <c r="AF44"/>
      <c r="AG44" s="11">
        <v>4.927079426124692E-4</v>
      </c>
      <c r="AH44" s="11">
        <v>4.1841529309749603E-4</v>
      </c>
      <c r="AI44" s="11">
        <v>8.8877877715276554E-6</v>
      </c>
      <c r="AJ44" s="14">
        <v>5.1995827816426754E-3</v>
      </c>
      <c r="AK44"/>
      <c r="AL44" s="11">
        <v>3.9774287142790854E-4</v>
      </c>
      <c r="AM44"/>
      <c r="AN44" s="11">
        <v>7.1575120091438293E-4</v>
      </c>
      <c r="AO44" s="11">
        <v>1.8974470731336623E-4</v>
      </c>
      <c r="AP44"/>
      <c r="AQ44" s="286">
        <v>4.2510058730840683E-2</v>
      </c>
      <c r="AR44" s="14">
        <v>4.4774981215596199E-3</v>
      </c>
      <c r="AS44"/>
      <c r="AT44"/>
      <c r="AU44" s="23">
        <v>1.2340454384684563E-2</v>
      </c>
      <c r="AV44"/>
      <c r="AW44"/>
      <c r="AX44" s="18">
        <v>2.1765191107988358E-2</v>
      </c>
      <c r="AY44" s="23">
        <v>1.1602767743170261E-2</v>
      </c>
      <c r="AZ44" s="11">
        <v>1.017125672660768E-3</v>
      </c>
      <c r="BA44" s="65">
        <v>3.8204334676265717E-2</v>
      </c>
      <c r="BB44" s="11">
        <v>4.0427182102575898E-4</v>
      </c>
      <c r="BC44" s="14">
        <v>3.5078146029263735E-3</v>
      </c>
      <c r="BD44" s="16">
        <v>2.6743447408080101E-2</v>
      </c>
      <c r="BE44" s="14">
        <v>2.2597471252083778E-3</v>
      </c>
      <c r="BF44" s="22">
        <v>1.5242230147123337E-2</v>
      </c>
      <c r="BG44" s="23">
        <v>9.0570654720067978E-3</v>
      </c>
      <c r="BH44" s="14">
        <v>4.6289600431919098E-3</v>
      </c>
      <c r="BI44" s="14">
        <v>2.3614740930497646E-3</v>
      </c>
      <c r="BJ44" s="14">
        <v>3.953056875616312E-3</v>
      </c>
      <c r="BK44" s="14">
        <v>1.7727190861478448E-3</v>
      </c>
      <c r="BL44" s="11">
        <v>9.0312887914478779E-4</v>
      </c>
      <c r="BM44" s="14">
        <v>5.0810896791517735E-3</v>
      </c>
      <c r="BN44" s="11">
        <v>8.0217310460284352E-4</v>
      </c>
      <c r="BO44" s="14">
        <v>2.4934259708970785E-3</v>
      </c>
      <c r="BP44"/>
      <c r="BQ44" s="16">
        <v>2.6537332683801651E-2</v>
      </c>
      <c r="BR44"/>
      <c r="BS44" s="300">
        <v>7.9845070838928223E-2</v>
      </c>
      <c r="BT44" s="21">
        <v>3.6054134368896484E-2</v>
      </c>
      <c r="BU44" s="148">
        <v>5.1674675196409225E-2</v>
      </c>
      <c r="BV44" s="343">
        <v>0.1437237560749054</v>
      </c>
      <c r="BW44" s="68">
        <v>0.11438756436109543</v>
      </c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>
        <v>1.6499999761581421</v>
      </c>
      <c r="C45">
        <v>0.1112634614109993</v>
      </c>
      <c r="D45"/>
      <c r="E45"/>
      <c r="F45"/>
      <c r="G45"/>
      <c r="H45" s="15">
        <v>1.5921538695693016E-2</v>
      </c>
      <c r="I45" s="287">
        <v>0.11383088678121567</v>
      </c>
      <c r="J45"/>
      <c r="K45" s="11">
        <v>1.1072015622630715E-3</v>
      </c>
      <c r="L45"/>
      <c r="M45"/>
      <c r="N45"/>
      <c r="O45"/>
      <c r="P45"/>
      <c r="Q45" s="14">
        <v>4.6816975809633732E-3</v>
      </c>
      <c r="R45" s="14">
        <v>4.5460741966962814E-3</v>
      </c>
      <c r="S45"/>
      <c r="T45"/>
      <c r="U45" s="11">
        <v>1.142295659519732E-3</v>
      </c>
      <c r="V45"/>
      <c r="W45" s="11">
        <v>6.5336865372955799E-4</v>
      </c>
      <c r="X45" s="12">
        <v>5.4999999701976776E-3</v>
      </c>
      <c r="Y45" s="14">
        <v>2.7592042461037636E-3</v>
      </c>
      <c r="Z45"/>
      <c r="AA45" s="287">
        <v>0.11253935843706131</v>
      </c>
      <c r="AB45" s="301">
        <v>0.17514559626579285</v>
      </c>
      <c r="AC45" s="68">
        <v>0.1029847264289856</v>
      </c>
      <c r="AD45" s="11">
        <v>1.2973802222404629E-4</v>
      </c>
      <c r="AE45" s="12">
        <v>7.1346131153404713E-3</v>
      </c>
      <c r="AF45" s="14">
        <v>3.9268038235604763E-3</v>
      </c>
      <c r="AG45" s="11">
        <v>7.0926282205618918E-5</v>
      </c>
      <c r="AH45" s="14">
        <v>4.4416417367756367E-3</v>
      </c>
      <c r="AI45" s="11">
        <v>7.9538370482623577E-4</v>
      </c>
      <c r="AJ45" s="70">
        <v>8.2772254943847656E-2</v>
      </c>
      <c r="AK45" s="300">
        <v>7.2866454720497131E-2</v>
      </c>
      <c r="AL45"/>
      <c r="AM45" s="11">
        <v>7.9436840678681619E-6</v>
      </c>
      <c r="AN45" s="11">
        <v>1.8419227853883058E-4</v>
      </c>
      <c r="AO45" s="14">
        <v>2.1324597764760256E-3</v>
      </c>
      <c r="AP45"/>
      <c r="AQ45" s="64">
        <v>9.162362664937973E-2</v>
      </c>
      <c r="AR45"/>
      <c r="AS45" s="11">
        <v>1.1520071420818567E-3</v>
      </c>
      <c r="AT45"/>
      <c r="AU45" s="11">
        <v>8.0484466161578894E-4</v>
      </c>
      <c r="AV45" s="12">
        <v>6.638938095420599E-3</v>
      </c>
      <c r="AW45" s="16">
        <v>2.4996122345328331E-2</v>
      </c>
      <c r="AX45" s="14">
        <v>2.4417117238044739E-3</v>
      </c>
      <c r="AY45" s="16">
        <v>2.5965949520468712E-2</v>
      </c>
      <c r="AZ45" s="11">
        <v>1.017123693600297E-3</v>
      </c>
      <c r="BA45"/>
      <c r="BB45" s="11">
        <v>4.0427170461043715E-4</v>
      </c>
      <c r="BC45" s="14">
        <v>3.5078132059425116E-3</v>
      </c>
      <c r="BD45"/>
      <c r="BE45" s="14">
        <v>2.2597473580390215E-3</v>
      </c>
      <c r="BF45" s="15">
        <v>1.5242230147123337E-2</v>
      </c>
      <c r="BG45"/>
      <c r="BH45" s="14">
        <v>4.6289605088531971E-3</v>
      </c>
      <c r="BI45" s="14">
        <v>2.3614736273884773E-3</v>
      </c>
      <c r="BJ45"/>
      <c r="BK45"/>
      <c r="BL45"/>
      <c r="BM45"/>
      <c r="BN45"/>
      <c r="BO45"/>
      <c r="BP45"/>
      <c r="BQ45"/>
      <c r="BR45"/>
      <c r="BS45" s="279">
        <v>0.20557841658592224</v>
      </c>
      <c r="BT45" s="65">
        <v>3.6054134368896484E-2</v>
      </c>
      <c r="BU45" s="14">
        <v>2.9296129941940308E-3</v>
      </c>
      <c r="BV45" s="14">
        <v>4.6112374402582645E-3</v>
      </c>
      <c r="BW45"/>
      <c r="BX45" s="64">
        <v>8.9993305504322052E-2</v>
      </c>
      <c r="BY45" s="143">
        <v>0.1960027813911438</v>
      </c>
      <c r="BZ45"/>
      <c r="CA45" s="77">
        <v>0.10524783283472061</v>
      </c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237</v>
      </c>
      <c r="B46">
        <v>1.7999999523162842</v>
      </c>
      <c r="C46">
        <v>0.61845290660858154</v>
      </c>
      <c r="D46"/>
      <c r="E46"/>
      <c r="F46"/>
      <c r="G46"/>
      <c r="H46" s="11">
        <v>7.8674944234080613E-5</v>
      </c>
      <c r="I46"/>
      <c r="J46"/>
      <c r="K46" s="11">
        <v>4.7204969450831413E-4</v>
      </c>
      <c r="L46"/>
      <c r="M46"/>
      <c r="N46"/>
      <c r="O46" s="11">
        <v>6.2111801526043564E-5</v>
      </c>
      <c r="P46"/>
      <c r="Q46" s="11">
        <v>4.1407865865039639E-6</v>
      </c>
      <c r="R46"/>
      <c r="S46"/>
      <c r="T46"/>
      <c r="U46" s="11">
        <v>8.2815731730079278E-6</v>
      </c>
      <c r="V46"/>
      <c r="W46" s="23">
        <v>1.0318840853869915E-2</v>
      </c>
      <c r="X46" s="300">
        <v>8.2202896475791931E-2</v>
      </c>
      <c r="Y46" s="14">
        <v>3.9213248528540134E-3</v>
      </c>
      <c r="Z46"/>
      <c r="AA46" s="21">
        <v>3.5136513411998749E-2</v>
      </c>
      <c r="AB46" s="75">
        <v>0.14058502018451691</v>
      </c>
      <c r="AC46" s="65">
        <v>3.735487163066864E-2</v>
      </c>
      <c r="AD46" s="11">
        <v>1.2973819684702903E-4</v>
      </c>
      <c r="AE46" s="14">
        <v>2.6968959718942642E-3</v>
      </c>
      <c r="AF46" s="11">
        <v>8.8789529399946332E-4</v>
      </c>
      <c r="AG46" s="14">
        <v>2.0682413596659899E-3</v>
      </c>
      <c r="AH46" s="11">
        <v>1.6282224096357822E-3</v>
      </c>
      <c r="AI46"/>
      <c r="AJ46" s="19">
        <v>3.2589610666036606E-2</v>
      </c>
      <c r="AK46" s="17">
        <v>2.5037946179509163E-2</v>
      </c>
      <c r="AL46"/>
      <c r="AM46" s="11">
        <v>2.2742502915207297E-4</v>
      </c>
      <c r="AN46" s="14">
        <v>2.4160791654139757E-3</v>
      </c>
      <c r="AO46" s="11">
        <v>6.9018930662423372E-4</v>
      </c>
      <c r="AP46"/>
      <c r="AQ46" s="16">
        <v>2.9650025069713593E-2</v>
      </c>
      <c r="AR46"/>
      <c r="AS46" s="12">
        <v>8.8212182745337486E-3</v>
      </c>
      <c r="AT46"/>
      <c r="AU46" s="23">
        <v>1.0637346655130386E-2</v>
      </c>
      <c r="AV46" s="22">
        <v>1.2393162585794926E-2</v>
      </c>
      <c r="AW46" s="285">
        <v>5.8467969298362732E-2</v>
      </c>
      <c r="AX46" s="29">
        <v>8.5379712283611298E-2</v>
      </c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 s="13">
        <v>6.725282222032547E-2</v>
      </c>
      <c r="BT46" s="110">
        <v>0.31103655695915222</v>
      </c>
      <c r="BU46" s="286">
        <v>4.2898263782262802E-2</v>
      </c>
      <c r="BV46" s="310">
        <v>8.720061182975769E-2</v>
      </c>
      <c r="BW46"/>
      <c r="BX46" s="16">
        <v>2.8097290545701981E-2</v>
      </c>
      <c r="BY46" s="285">
        <v>6.1195071786642075E-2</v>
      </c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238</v>
      </c>
      <c r="B47">
        <v>1.3400000333786011</v>
      </c>
      <c r="C47">
        <v>8.6562549695372581E-3</v>
      </c>
      <c r="D47"/>
      <c r="E47"/>
      <c r="F47"/>
      <c r="G47"/>
      <c r="H47"/>
      <c r="I47" s="14">
        <v>3.1884936615824699E-3</v>
      </c>
      <c r="J47" s="14">
        <v>1.3929958222433925E-3</v>
      </c>
      <c r="K47"/>
      <c r="L47"/>
      <c r="M47"/>
      <c r="N47"/>
      <c r="O47"/>
      <c r="P47"/>
      <c r="Q47"/>
      <c r="R47"/>
      <c r="S47"/>
      <c r="T47"/>
      <c r="U47" s="11">
        <v>3.2120765536092222E-4</v>
      </c>
      <c r="V47"/>
      <c r="W47" s="11">
        <v>5.9065107052447274E-5</v>
      </c>
      <c r="X47" s="11">
        <v>1.1665361853374634E-5</v>
      </c>
      <c r="Y47"/>
      <c r="Z47"/>
      <c r="AA47"/>
      <c r="AB47" s="314">
        <v>0.13028198480606079</v>
      </c>
      <c r="AC47" s="310">
        <v>6.5959177911281586E-2</v>
      </c>
      <c r="AD47"/>
      <c r="AE47" s="12">
        <v>4.5863385312259197E-3</v>
      </c>
      <c r="AF47" s="14">
        <v>1.7493509221822023E-3</v>
      </c>
      <c r="AG47" s="14">
        <v>3.8316959980875254E-3</v>
      </c>
      <c r="AH47" s="14">
        <v>2.8139590285718441E-3</v>
      </c>
      <c r="AI47" s="14">
        <v>1.3992439489811659E-3</v>
      </c>
      <c r="AJ47" s="286">
        <v>3.175116702914238E-2</v>
      </c>
      <c r="AK47" s="28">
        <v>4.6636864542961121E-2</v>
      </c>
      <c r="AL47" s="12">
        <v>3.9531625807285309E-3</v>
      </c>
      <c r="AM47" s="11">
        <v>4.5999328722245991E-4</v>
      </c>
      <c r="AN47" s="280">
        <v>5.1367077976465225E-2</v>
      </c>
      <c r="AO47" s="14">
        <v>2.0914673805236816E-3</v>
      </c>
      <c r="AP47" s="15">
        <v>1.3199478387832642E-2</v>
      </c>
      <c r="AQ47" s="300">
        <v>6.0272220522165298E-2</v>
      </c>
      <c r="AR47"/>
      <c r="AS47" s="18">
        <v>1.6960799694061279E-2</v>
      </c>
      <c r="AT47"/>
      <c r="AU47" s="285">
        <v>4.5712459832429886E-2</v>
      </c>
      <c r="AV47"/>
      <c r="AW47" s="314">
        <v>0.13072805106639862</v>
      </c>
      <c r="AX47"/>
      <c r="AY47"/>
      <c r="AZ47"/>
      <c r="BA47"/>
      <c r="BB47"/>
      <c r="BC47"/>
      <c r="BD47"/>
      <c r="BE47"/>
      <c r="BF47"/>
      <c r="BG47"/>
      <c r="BH47"/>
      <c r="BI47"/>
      <c r="BJ47" s="14">
        <v>1.3491126010194421E-3</v>
      </c>
      <c r="BK47"/>
      <c r="BL47"/>
      <c r="BM47"/>
      <c r="BN47" s="12">
        <v>5.1836711354553699E-3</v>
      </c>
      <c r="BO47" s="305">
        <v>7.2160758078098297E-2</v>
      </c>
      <c r="BP47" s="342">
        <v>0.23596362769603729</v>
      </c>
      <c r="BQ47"/>
      <c r="BR47"/>
      <c r="BS47"/>
      <c r="BT47"/>
      <c r="BU47" s="336">
        <v>0.15365825593471527</v>
      </c>
      <c r="BV47" s="142">
        <v>0.17466938495635986</v>
      </c>
      <c r="BW47"/>
      <c r="BX47" s="20">
        <v>5.7748898863792419E-2</v>
      </c>
      <c r="BY47" s="11">
        <v>1.2577540474012494E-4</v>
      </c>
      <c r="BZ47"/>
      <c r="CA47"/>
      <c r="CB47" s="22">
        <v>1.1756354011595249E-2</v>
      </c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239</v>
      </c>
      <c r="B48">
        <v>1.5399999618530273</v>
      </c>
      <c r="C48">
        <v>2.9210973531007767E-2</v>
      </c>
      <c r="D48"/>
      <c r="E48"/>
      <c r="F48"/>
      <c r="G48"/>
      <c r="H48"/>
      <c r="I48"/>
      <c r="J48"/>
      <c r="K48" s="11">
        <v>8.1242222222499549E-5</v>
      </c>
      <c r="L48"/>
      <c r="M48" s="11">
        <v>3.9187554648378864E-5</v>
      </c>
      <c r="N48"/>
      <c r="O48" s="11">
        <v>2.5710888439789414E-4</v>
      </c>
      <c r="P48" s="11">
        <v>6.6905699895869475E-6</v>
      </c>
      <c r="Q48"/>
      <c r="R48"/>
      <c r="S48" s="11">
        <v>7.6463702498585917E-6</v>
      </c>
      <c r="T48"/>
      <c r="U48" s="11">
        <v>4.3775330414064229E-4</v>
      </c>
      <c r="V48"/>
      <c r="W48" s="11">
        <v>3.4083036007359624E-4</v>
      </c>
      <c r="X48" s="23">
        <v>8.096073754131794E-3</v>
      </c>
      <c r="Y48" s="14">
        <v>2.3289702367037535E-3</v>
      </c>
      <c r="Z48"/>
      <c r="AA48" s="306">
        <v>0.12708362936973572</v>
      </c>
      <c r="AB48" s="285">
        <v>5.0479266792535782E-2</v>
      </c>
      <c r="AC48" s="65">
        <v>3.331606462597847E-2</v>
      </c>
      <c r="AD48" s="12">
        <v>5.6033437140285969E-3</v>
      </c>
      <c r="AE48" s="12">
        <v>6.877570878714323E-3</v>
      </c>
      <c r="AF48" s="14">
        <v>1.6381789464503527E-3</v>
      </c>
      <c r="AG48" s="12">
        <v>6.2733953818678856E-3</v>
      </c>
      <c r="AH48" s="14">
        <v>3.8634836673736572E-3</v>
      </c>
      <c r="AI48" s="11">
        <v>5.9335492551326752E-4</v>
      </c>
      <c r="AJ48" s="285">
        <v>5.1575474441051483E-2</v>
      </c>
      <c r="AK48" s="148">
        <v>4.4085491448640823E-2</v>
      </c>
      <c r="AL48" s="14">
        <v>2.5149611756205559E-3</v>
      </c>
      <c r="AM48" s="11">
        <v>4.1700329165905714E-4</v>
      </c>
      <c r="AN48" s="23">
        <v>1.0166666470468044E-2</v>
      </c>
      <c r="AO48" s="14">
        <v>1.6144098481163383E-3</v>
      </c>
      <c r="AP48"/>
      <c r="AQ48" s="305">
        <v>8.2764595746994019E-2</v>
      </c>
      <c r="AR48" s="26">
        <v>3.8241945207118988E-2</v>
      </c>
      <c r="AS48" s="19">
        <v>2.7199096977710724E-2</v>
      </c>
      <c r="AT48" s="11">
        <v>1.4483194099739194E-3</v>
      </c>
      <c r="AU48" s="18">
        <v>1.9165605306625366E-2</v>
      </c>
      <c r="AV48"/>
      <c r="AW48" s="28">
        <v>5.5050842463970184E-2</v>
      </c>
      <c r="AX48" s="22">
        <v>1.2523789890110493E-2</v>
      </c>
      <c r="AY48" s="14">
        <v>3.3197174780070782E-3</v>
      </c>
      <c r="AZ48" s="285">
        <v>5.1088690757751465E-2</v>
      </c>
      <c r="BA48" s="28">
        <v>5.3597219288349152E-2</v>
      </c>
      <c r="BB48"/>
      <c r="BC48" s="308">
        <v>8.8441893458366394E-2</v>
      </c>
      <c r="BD48" s="25">
        <v>4.737192764878273E-2</v>
      </c>
      <c r="BE48"/>
      <c r="BF48"/>
      <c r="BG48" s="19">
        <v>2.6969930157065392E-2</v>
      </c>
      <c r="BH48" s="15">
        <v>1.3784014619886875E-2</v>
      </c>
      <c r="BI48" s="12">
        <v>7.0319455116987228E-3</v>
      </c>
      <c r="BJ48" s="11">
        <v>1.1142569128423929E-3</v>
      </c>
      <c r="BK48"/>
      <c r="BL48" s="18">
        <v>1.7201540991663933E-2</v>
      </c>
      <c r="BM48" s="19">
        <v>2.7916913852095604E-2</v>
      </c>
      <c r="BN48" s="23">
        <v>9.8109720274806023E-3</v>
      </c>
      <c r="BO48" s="26">
        <v>4.0023982524871826E-2</v>
      </c>
      <c r="BP48"/>
      <c r="BQ48" s="18">
        <v>1.8094688653945923E-2</v>
      </c>
      <c r="BR48" s="308">
        <v>8.8009022176265717E-2</v>
      </c>
      <c r="BS48" s="300">
        <v>7.0663854479789734E-2</v>
      </c>
      <c r="BT48" s="18">
        <v>1.9464736804366112E-2</v>
      </c>
      <c r="BU48" s="28">
        <v>5.3670145571231842E-2</v>
      </c>
      <c r="BV48" s="77">
        <v>9.9857985973358154E-2</v>
      </c>
      <c r="BW48" s="13">
        <v>5.7979520410299301E-2</v>
      </c>
      <c r="BX48" s="285">
        <v>5.0262928009033203E-2</v>
      </c>
      <c r="BY48" s="11">
        <v>1.0947117698378861E-4</v>
      </c>
      <c r="BZ48" s="286">
        <v>3.4783262759447098E-2</v>
      </c>
      <c r="CA48" s="11">
        <v>9.819642873480916E-4</v>
      </c>
      <c r="CB48" s="286">
        <v>3.5007815808057785E-2</v>
      </c>
      <c r="CC48"/>
      <c r="CD48"/>
      <c r="CE48"/>
      <c r="CF48"/>
      <c r="CG48"/>
      <c r="CH48"/>
      <c r="CI48" s="11">
        <v>1.3866396329831332E-4</v>
      </c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240</v>
      </c>
      <c r="B49">
        <v>1.3200000524520874</v>
      </c>
      <c r="C49">
        <v>0.48093190789222717</v>
      </c>
      <c r="D49"/>
      <c r="E49"/>
      <c r="F49"/>
      <c r="G49"/>
      <c r="H49"/>
      <c r="I49"/>
      <c r="J49" s="11">
        <v>3.4392738598398864E-5</v>
      </c>
      <c r="K49" s="11">
        <v>1.067362172761932E-4</v>
      </c>
      <c r="L49"/>
      <c r="M49"/>
      <c r="N49"/>
      <c r="O49"/>
      <c r="P49"/>
      <c r="Q49"/>
      <c r="R49"/>
      <c r="S49" s="11">
        <v>1.1859558981086593E-5</v>
      </c>
      <c r="T49"/>
      <c r="U49" s="11">
        <v>4.8624264309182763E-5</v>
      </c>
      <c r="V49"/>
      <c r="W49" s="14">
        <v>1.593924593180418E-3</v>
      </c>
      <c r="X49" s="14">
        <v>3.6829779855906963E-3</v>
      </c>
      <c r="Y49" s="11">
        <v>7.7113603765610605E-5</v>
      </c>
      <c r="Z49"/>
      <c r="AA49" s="11">
        <v>2.7481617507874034E-5</v>
      </c>
      <c r="AB49"/>
      <c r="AC49"/>
      <c r="AD49"/>
      <c r="AE49" s="12">
        <v>4.8646437935531139E-3</v>
      </c>
      <c r="AF49" s="14">
        <v>1.9429659005254507E-3</v>
      </c>
      <c r="AG49" s="12">
        <v>4.2091351933777332E-3</v>
      </c>
      <c r="AH49" s="12">
        <v>4.4525396078824997E-3</v>
      </c>
      <c r="AI49" s="11">
        <v>5.6323077296838164E-4</v>
      </c>
      <c r="AJ49" s="26">
        <v>3.4325599670410156E-2</v>
      </c>
      <c r="AK49" s="13">
        <v>5.0407905131578445E-2</v>
      </c>
      <c r="AL49" s="14">
        <v>3.0038440600037575E-3</v>
      </c>
      <c r="AM49" s="11">
        <v>4.9510394455865026E-4</v>
      </c>
      <c r="AN49" s="12">
        <v>5.0545935519039631E-3</v>
      </c>
      <c r="AO49" s="14">
        <v>1.5127803198993206E-3</v>
      </c>
      <c r="AP49" s="18">
        <v>1.664000004529953E-2</v>
      </c>
      <c r="AQ49" s="310">
        <v>6.3974164426326752E-2</v>
      </c>
      <c r="AR49"/>
      <c r="AS49"/>
      <c r="AT49"/>
      <c r="AU49" s="17">
        <v>1.7082296311855316E-2</v>
      </c>
      <c r="AV49"/>
      <c r="AW49"/>
      <c r="AX49"/>
      <c r="AY49"/>
      <c r="AZ49"/>
      <c r="BA49"/>
      <c r="BB49"/>
      <c r="BC49"/>
      <c r="BD49" s="15">
        <v>1.2498859316110611E-2</v>
      </c>
      <c r="BE49"/>
      <c r="BF49"/>
      <c r="BG49"/>
      <c r="BH49"/>
      <c r="BI49"/>
      <c r="BJ49" s="14">
        <v>1.3591275783255696E-3</v>
      </c>
      <c r="BK49" s="15">
        <v>1.1793100275099277E-2</v>
      </c>
      <c r="BL49" s="11">
        <v>9.0312864631414413E-4</v>
      </c>
      <c r="BM49" s="65">
        <v>2.8221329674124718E-2</v>
      </c>
      <c r="BN49" s="12">
        <v>5.6087183766067028E-3</v>
      </c>
      <c r="BO49" s="67">
        <v>7.8455843031406403E-2</v>
      </c>
      <c r="BP49"/>
      <c r="BQ49"/>
      <c r="BR49"/>
      <c r="BS49"/>
      <c r="BT49"/>
      <c r="BU49" s="287">
        <v>9.1082282364368439E-2</v>
      </c>
      <c r="BV49" s="78">
        <v>0.18747973442077637</v>
      </c>
      <c r="BW49" s="322">
        <v>0.19579778611660004</v>
      </c>
      <c r="BX49"/>
      <c r="BY49"/>
      <c r="BZ49"/>
      <c r="CA49"/>
      <c r="CB49" s="15">
        <v>1.1756354011595249E-2</v>
      </c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241</v>
      </c>
      <c r="B50">
        <v>2.7999999523162842</v>
      </c>
      <c r="C50">
        <v>1.1808176040649414</v>
      </c>
      <c r="D50"/>
      <c r="E50"/>
      <c r="F50"/>
      <c r="G50"/>
      <c r="H50"/>
      <c r="I50" s="11">
        <v>4.219681432005018E-4</v>
      </c>
      <c r="J50" s="11">
        <v>3.0259821869549341E-5</v>
      </c>
      <c r="K50" s="14">
        <v>3.7584919482469559E-3</v>
      </c>
      <c r="L50" s="11">
        <v>3.027115308213979E-4</v>
      </c>
      <c r="M50" s="11">
        <v>3.4256461276527261E-6</v>
      </c>
      <c r="N50" s="11">
        <v>1.0162708349525928E-5</v>
      </c>
      <c r="O50" s="11">
        <v>1.1418778740335256E-6</v>
      </c>
      <c r="P50"/>
      <c r="Q50" s="11">
        <v>7.993150461516052E-7</v>
      </c>
      <c r="R50" s="11">
        <v>5.7093980103672948E-6</v>
      </c>
      <c r="S50" s="11">
        <v>6.051947275409475E-5</v>
      </c>
      <c r="T50"/>
      <c r="U50" s="11">
        <v>4.0879291191231459E-5</v>
      </c>
      <c r="V50"/>
      <c r="W50" s="11">
        <v>3.6904955049976707E-4</v>
      </c>
      <c r="X50" s="14">
        <v>2.7945681940764189E-3</v>
      </c>
      <c r="Y50" s="11">
        <v>8.5892206698190421E-5</v>
      </c>
      <c r="Z50"/>
      <c r="AA50" s="65">
        <v>6.1037912964820862E-2</v>
      </c>
      <c r="AB50" s="17">
        <v>3.7278041243553162E-2</v>
      </c>
      <c r="AC50" s="18">
        <v>3.5320963710546494E-2</v>
      </c>
      <c r="AD50" s="11">
        <v>1.3661135453730822E-3</v>
      </c>
      <c r="AE50" s="12">
        <v>8.7621593847870827E-3</v>
      </c>
      <c r="AF50" s="11">
        <v>1.1861069360747933E-3</v>
      </c>
      <c r="AG50" s="11">
        <v>1.6748971538618207E-3</v>
      </c>
      <c r="AH50" s="11">
        <v>2.1919284481555223E-3</v>
      </c>
      <c r="AI50" s="11">
        <v>1.201000195578672E-4</v>
      </c>
      <c r="AJ50" s="15">
        <v>2.9924983158707619E-2</v>
      </c>
      <c r="AK50" s="12">
        <v>1.1310170404613018E-2</v>
      </c>
      <c r="AL50" s="11">
        <v>1.2240954674780369E-3</v>
      </c>
      <c r="AM50" s="11">
        <v>1.9089526904281229E-4</v>
      </c>
      <c r="AN50" s="11">
        <v>2.1590893156826496E-3</v>
      </c>
      <c r="AO50" s="11">
        <v>7.8197469701990485E-4</v>
      </c>
      <c r="AP50" s="11">
        <v>1.2194543378427625E-3</v>
      </c>
      <c r="AQ50" s="16">
        <v>4.253927618265152E-2</v>
      </c>
      <c r="AR50" s="23">
        <v>1.8667604774236679E-2</v>
      </c>
      <c r="AS50" s="12">
        <v>9.0485354885458946E-3</v>
      </c>
      <c r="AT50" s="11">
        <v>4.2790360748767853E-4</v>
      </c>
      <c r="AU50" s="12">
        <v>1.0282455012202263E-2</v>
      </c>
      <c r="AV50" s="14">
        <v>7.2873281314969063E-3</v>
      </c>
      <c r="AW50" s="15">
        <v>2.4996118620038033E-2</v>
      </c>
      <c r="AX50" s="286">
        <v>6.3460059463977814E-2</v>
      </c>
      <c r="AY50" s="14">
        <v>7.607058621942997E-3</v>
      </c>
      <c r="AZ50" s="23">
        <v>1.6285279765725136E-2</v>
      </c>
      <c r="BA50" s="22">
        <v>2.3219529539346695E-2</v>
      </c>
      <c r="BB50" s="12">
        <v>1.1686974205076694E-2</v>
      </c>
      <c r="BC50" s="17">
        <v>3.7281159311532974E-2</v>
      </c>
      <c r="BD50" s="28">
        <v>9.7160562872886658E-2</v>
      </c>
      <c r="BE50" s="11">
        <v>2.2597471252083778E-3</v>
      </c>
      <c r="BF50" s="23">
        <v>1.5242231078445911E-2</v>
      </c>
      <c r="BG50" s="20">
        <v>0.11920180171728134</v>
      </c>
      <c r="BH50" s="14">
        <v>4.6289600431919098E-3</v>
      </c>
      <c r="BI50" s="11">
        <v>2.3614743258804083E-3</v>
      </c>
      <c r="BJ50" s="14">
        <v>4.5070098713040352E-3</v>
      </c>
      <c r="BK50" s="14">
        <v>4.1282540187239647E-3</v>
      </c>
      <c r="BL50" s="14">
        <v>4.368902649730444E-3</v>
      </c>
      <c r="BM50" s="23">
        <v>1.6751788556575775E-2</v>
      </c>
      <c r="BN50" s="11">
        <v>2.6099872775375843E-3</v>
      </c>
      <c r="BO50" s="15">
        <v>2.7087396010756493E-2</v>
      </c>
      <c r="BP50"/>
      <c r="BQ50" s="24">
        <v>7.6402291655540466E-2</v>
      </c>
      <c r="BR50" s="344">
        <v>0.23407429456710815</v>
      </c>
      <c r="BS50" s="15">
        <v>2.9834356158971786E-2</v>
      </c>
      <c r="BT50" s="70">
        <v>0.14415472745895386</v>
      </c>
      <c r="BU50" s="15">
        <v>2.5383671745657921E-2</v>
      </c>
      <c r="BV50" s="16">
        <v>4.1421059519052505E-2</v>
      </c>
      <c r="BW50" s="65">
        <v>6.1822906136512756E-2</v>
      </c>
      <c r="BX50" s="12">
        <v>1.2009726837277412E-2</v>
      </c>
      <c r="BY50" s="15">
        <v>2.61568333953619E-2</v>
      </c>
      <c r="BZ50" s="148">
        <v>8.3204790949821472E-2</v>
      </c>
      <c r="CA50" s="22">
        <v>2.3462863638997078E-2</v>
      </c>
      <c r="CB50" s="12">
        <v>1.1756357736885548E-2</v>
      </c>
      <c r="CC50"/>
      <c r="CD50"/>
      <c r="CE50"/>
      <c r="CF50"/>
      <c r="CG50"/>
      <c r="CH50"/>
      <c r="CI50" s="18">
        <v>3.3132102340459824E-2</v>
      </c>
      <c r="CJ50"/>
      <c r="CK50"/>
      <c r="CL50"/>
      <c r="CM50"/>
      <c r="CN50" s="23">
        <v>1.7268873751163483E-2</v>
      </c>
      <c r="CO50"/>
      <c r="CP50" s="22">
        <v>2.2365760058164597E-2</v>
      </c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242</v>
      </c>
      <c r="B51">
        <v>3</v>
      </c>
      <c r="C51">
        <v>1.357485294342041</v>
      </c>
      <c r="D51"/>
      <c r="E51"/>
      <c r="F51"/>
      <c r="G51"/>
      <c r="H51" s="11">
        <v>4.222976858727634E-4</v>
      </c>
      <c r="I51" s="23">
        <v>1.7641579732298851E-2</v>
      </c>
      <c r="J51" s="11">
        <v>1.5460091162822209E-5</v>
      </c>
      <c r="K51" s="14">
        <v>3.125286428257823E-3</v>
      </c>
      <c r="L51" s="11">
        <v>9.817142563406378E-5</v>
      </c>
      <c r="M51" s="11">
        <v>2.3963131752680056E-5</v>
      </c>
      <c r="N51" s="11">
        <v>5.9461843449071239E-8</v>
      </c>
      <c r="O51" s="11">
        <v>2.2910689585842192E-4</v>
      </c>
      <c r="P51" s="11">
        <v>9.817142563406378E-5</v>
      </c>
      <c r="Q51" s="11">
        <v>1.21540084364824E-4</v>
      </c>
      <c r="R51" s="11">
        <v>3.2953731715679169E-4</v>
      </c>
      <c r="S51" s="11">
        <v>4.5191150093160104E-6</v>
      </c>
      <c r="T51"/>
      <c r="U51" s="14">
        <v>3.3407455775886774E-3</v>
      </c>
      <c r="V51"/>
      <c r="W51" s="11">
        <v>7.5074005872011185E-4</v>
      </c>
      <c r="X51" s="14">
        <v>5.2286912687122822E-3</v>
      </c>
      <c r="Y51" s="11">
        <v>1.2434294912964106E-3</v>
      </c>
      <c r="Z51"/>
      <c r="AA51" s="307">
        <v>0.4958341121673584</v>
      </c>
      <c r="AB51" s="16">
        <v>4.4906675815582275E-2</v>
      </c>
      <c r="AC51" s="22">
        <v>2.160339243710041E-2</v>
      </c>
      <c r="AD51" s="11">
        <v>7.7317369868978858E-4</v>
      </c>
      <c r="AE51" s="11">
        <v>1.5352444024756551E-3</v>
      </c>
      <c r="AF51" s="11">
        <v>4.7728087520226836E-4</v>
      </c>
      <c r="AG51" s="11">
        <v>1.7806584946811199E-3</v>
      </c>
      <c r="AH51" s="11">
        <v>8.3189457654953003E-4</v>
      </c>
      <c r="AI51" s="11">
        <v>9.3226721219252795E-5</v>
      </c>
      <c r="AJ51" s="23">
        <v>1.564343273639679E-2</v>
      </c>
      <c r="AK51" s="12">
        <v>1.457764208316803E-2</v>
      </c>
      <c r="AL51" s="11">
        <v>5.982967559248209E-4</v>
      </c>
      <c r="AM51" s="11">
        <v>1.1599527351791039E-4</v>
      </c>
      <c r="AN51" s="11">
        <v>1.064803684130311E-3</v>
      </c>
      <c r="AO51" s="11">
        <v>2.7737580239772797E-4</v>
      </c>
      <c r="AP51" s="11">
        <v>1.1409668950363994E-3</v>
      </c>
      <c r="AQ51" s="18">
        <v>3.4809339791536331E-2</v>
      </c>
      <c r="AR51" s="14">
        <v>8.1552108749747276E-3</v>
      </c>
      <c r="AS51" s="12">
        <v>1.0639505460858345E-2</v>
      </c>
      <c r="AT51" s="11">
        <v>1.178056700155139E-3</v>
      </c>
      <c r="AU51" s="14">
        <v>7.1181720122694969E-3</v>
      </c>
      <c r="AV51" s="14">
        <v>7.1769845671951771E-3</v>
      </c>
      <c r="AW51" s="17">
        <v>4.3829653412103653E-2</v>
      </c>
      <c r="AX51" s="21">
        <v>5.8996491134166718E-2</v>
      </c>
      <c r="AY51" s="14">
        <v>3.0626587104052305E-3</v>
      </c>
      <c r="AZ51" s="12">
        <v>1.2592227198183537E-2</v>
      </c>
      <c r="BA51" s="12">
        <v>1.1955643072724342E-2</v>
      </c>
      <c r="BB51" s="11">
        <v>4.0427182102575898E-4</v>
      </c>
      <c r="BC51" s="14">
        <v>3.5078146029263735E-3</v>
      </c>
      <c r="BD51" s="22">
        <v>2.2572902962565422E-2</v>
      </c>
      <c r="BE51" s="11">
        <v>2.2597471252083778E-3</v>
      </c>
      <c r="BF51" s="23">
        <v>1.5242231078445911E-2</v>
      </c>
      <c r="BG51" s="12">
        <v>9.0570654720067978E-3</v>
      </c>
      <c r="BH51" s="14">
        <v>4.6289600431919098E-3</v>
      </c>
      <c r="BI51" s="11">
        <v>2.3614743258804083E-3</v>
      </c>
      <c r="BJ51" s="14">
        <v>4.0966509841382504E-3</v>
      </c>
      <c r="BK51" s="11">
        <v>1.4329456025734544E-3</v>
      </c>
      <c r="BL51" s="11">
        <v>2.7823031414300203E-3</v>
      </c>
      <c r="BM51" s="14">
        <v>7.7843423932790756E-3</v>
      </c>
      <c r="BN51" s="11">
        <v>1.2001079740002751E-3</v>
      </c>
      <c r="BO51" s="12">
        <v>1.003302913159132E-2</v>
      </c>
      <c r="BP51" s="21">
        <v>5.6581556797027588E-2</v>
      </c>
      <c r="BQ51" s="18">
        <v>3.7825465202331543E-2</v>
      </c>
      <c r="BR51" s="64">
        <v>0.16666638851165771</v>
      </c>
      <c r="BS51" s="17">
        <v>4.3578457087278366E-2</v>
      </c>
      <c r="BT51" s="25">
        <v>9.6629314124584198E-2</v>
      </c>
      <c r="BU51" s="23">
        <v>1.9130857661366463E-2</v>
      </c>
      <c r="BV51" s="19">
        <v>5.5818904191255569E-2</v>
      </c>
      <c r="BW51" s="21">
        <v>6.1015885323286057E-2</v>
      </c>
      <c r="BX51" s="14">
        <v>6.2539130449295044E-3</v>
      </c>
      <c r="BY51" s="12">
        <v>1.3620838522911072E-2</v>
      </c>
      <c r="BZ51" s="19">
        <v>5.3576257079839706E-2</v>
      </c>
      <c r="CA51" s="12">
        <v>1.2217988260090351E-2</v>
      </c>
      <c r="CB51" s="286">
        <v>6.8515434861183167E-2</v>
      </c>
      <c r="CC51"/>
      <c r="CD51" s="14">
        <v>6.7012687213718891E-3</v>
      </c>
      <c r="CE51"/>
      <c r="CF51"/>
      <c r="CG51"/>
      <c r="CH51"/>
      <c r="CI51" s="23">
        <v>1.7253121361136436E-2</v>
      </c>
      <c r="CJ51"/>
      <c r="CK51"/>
      <c r="CL51"/>
      <c r="CM51"/>
      <c r="CN51" s="14">
        <v>6.3236821442842484E-3</v>
      </c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243</v>
      </c>
      <c r="B52">
        <v>1.6000000238418579</v>
      </c>
      <c r="C52">
        <v>1.1728602647781372</v>
      </c>
      <c r="D52"/>
      <c r="E52"/>
      <c r="F52"/>
      <c r="G52"/>
      <c r="H52"/>
      <c r="I52"/>
      <c r="J52"/>
      <c r="K52" s="11">
        <v>1.9285714370198548E-4</v>
      </c>
      <c r="L52"/>
      <c r="M52"/>
      <c r="N52"/>
      <c r="O52"/>
      <c r="P52"/>
      <c r="Q52"/>
      <c r="R52"/>
      <c r="S52"/>
      <c r="T52"/>
      <c r="U52"/>
      <c r="V52"/>
      <c r="W52" s="18">
        <v>1.8935713917016983E-2</v>
      </c>
      <c r="X52" s="77">
        <v>0.10300000011920929</v>
      </c>
      <c r="Y52" s="12">
        <v>6.2071424908936024E-3</v>
      </c>
      <c r="Z52"/>
      <c r="AA52" s="12">
        <v>7.2500002570450306E-3</v>
      </c>
      <c r="AB52" s="149">
        <v>9.8724797368049622E-2</v>
      </c>
      <c r="AC52"/>
      <c r="AD52"/>
      <c r="AE52" s="11">
        <v>1.7768172256182879E-4</v>
      </c>
      <c r="AF52"/>
      <c r="AG52"/>
      <c r="AH52" s="11">
        <v>8.90925875864923E-5</v>
      </c>
      <c r="AI52"/>
      <c r="AJ52" s="19">
        <v>2.6931894943118095E-2</v>
      </c>
      <c r="AK52"/>
      <c r="AL52"/>
      <c r="AM52"/>
      <c r="AN52"/>
      <c r="AO52"/>
      <c r="AP52"/>
      <c r="AQ52" s="285">
        <v>5.2572425454854965E-2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 s="72">
        <v>0.11305820941925049</v>
      </c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244</v>
      </c>
      <c r="B53">
        <v>3.0999999046325684</v>
      </c>
      <c r="C53">
        <v>1.853244423866272</v>
      </c>
      <c r="D53"/>
      <c r="E53"/>
      <c r="F53"/>
      <c r="G53"/>
      <c r="H53"/>
      <c r="I53" s="11">
        <v>6.6423985117580742E-5</v>
      </c>
      <c r="J53" s="11">
        <v>1.6357092817997909E-6</v>
      </c>
      <c r="K53" s="11">
        <v>1.8244464854433318E-6</v>
      </c>
      <c r="L53"/>
      <c r="M53"/>
      <c r="N53"/>
      <c r="O53"/>
      <c r="P53"/>
      <c r="Q53"/>
      <c r="R53"/>
      <c r="S53"/>
      <c r="T53"/>
      <c r="U53"/>
      <c r="V53"/>
      <c r="W53" s="11">
        <v>2.6410821192257572E-6</v>
      </c>
      <c r="X53" s="11">
        <v>1.1077717499574646E-4</v>
      </c>
      <c r="Y53" s="11">
        <v>8.2785172708099708E-6</v>
      </c>
      <c r="Z53"/>
      <c r="AA53" s="11">
        <v>2.0839248318225145E-3</v>
      </c>
      <c r="AB53" s="25">
        <v>9.7094915807247162E-2</v>
      </c>
      <c r="AC53" s="15">
        <v>3.1717509031295776E-2</v>
      </c>
      <c r="AD53" s="11">
        <v>1.530327252112329E-3</v>
      </c>
      <c r="AE53" s="11">
        <v>9.5977372257038951E-4</v>
      </c>
      <c r="AF53" s="11">
        <v>3.1306981691159308E-4</v>
      </c>
      <c r="AG53" s="11">
        <v>2.3386045359075069E-3</v>
      </c>
      <c r="AH53" s="11">
        <v>7.3539640288800001E-4</v>
      </c>
      <c r="AI53" s="11">
        <v>1.2599788897205144E-4</v>
      </c>
      <c r="AJ53" s="12">
        <v>1.1788091622292995E-2</v>
      </c>
      <c r="AK53" s="14">
        <v>8.3291986957192421E-3</v>
      </c>
      <c r="AL53" s="11">
        <v>4.187944286968559E-4</v>
      </c>
      <c r="AM53" s="11">
        <v>7.3230237467214465E-4</v>
      </c>
      <c r="AN53" s="11">
        <v>7.1004958590492606E-4</v>
      </c>
      <c r="AO53" s="11">
        <v>3.2321180333383381E-4</v>
      </c>
      <c r="AP53" s="11">
        <v>1.0581627720966935E-3</v>
      </c>
      <c r="AQ53" s="12">
        <v>1.5072694048285484E-2</v>
      </c>
      <c r="AR53" s="14">
        <v>7.7871070243418217E-3</v>
      </c>
      <c r="AS53" s="23">
        <v>1.5223919413983822E-2</v>
      </c>
      <c r="AT53" s="11">
        <v>4.5183466863818467E-4</v>
      </c>
      <c r="AU53" s="14">
        <v>3.8161491975188255E-3</v>
      </c>
      <c r="AV53" s="14">
        <v>6.6389366984367371E-3</v>
      </c>
      <c r="AW53" s="18">
        <v>3.5474907606840134E-2</v>
      </c>
      <c r="AX53" s="17">
        <v>4.2518764734268188E-2</v>
      </c>
      <c r="AY53" s="14">
        <v>4.2775669135153294E-3</v>
      </c>
      <c r="AZ53" s="286">
        <v>7.5158417224884033E-2</v>
      </c>
      <c r="BA53" s="14">
        <v>9.0794162824749947E-3</v>
      </c>
      <c r="BB53" s="11">
        <v>4.0427182102575898E-4</v>
      </c>
      <c r="BC53" s="14">
        <v>3.5078146029263735E-3</v>
      </c>
      <c r="BD53" s="23">
        <v>1.8937669694423676E-2</v>
      </c>
      <c r="BE53" s="11">
        <v>2.2597471252083778E-3</v>
      </c>
      <c r="BF53" s="23">
        <v>1.5242230147123337E-2</v>
      </c>
      <c r="BG53" s="14">
        <v>9.0570654720067978E-3</v>
      </c>
      <c r="BH53" s="14">
        <v>4.6289600431919098E-3</v>
      </c>
      <c r="BI53" s="11">
        <v>2.3614743258804083E-3</v>
      </c>
      <c r="BJ53" s="14">
        <v>3.3044531010091305E-3</v>
      </c>
      <c r="BK53" s="11">
        <v>1.4329456025734544E-3</v>
      </c>
      <c r="BL53" s="11">
        <v>2.7991610113531351E-3</v>
      </c>
      <c r="BM53" s="14">
        <v>5.0831926055252552E-3</v>
      </c>
      <c r="BN53" s="11">
        <v>1.3561253435909748E-3</v>
      </c>
      <c r="BO53" s="22">
        <v>2.6257097721099854E-2</v>
      </c>
      <c r="BP53" s="65">
        <v>6.6452264785766602E-2</v>
      </c>
      <c r="BQ53" s="65">
        <v>6.4503796398639679E-2</v>
      </c>
      <c r="BR53" s="280">
        <v>0.12110208719968796</v>
      </c>
      <c r="BS53" s="18">
        <v>3.5029709339141846E-2</v>
      </c>
      <c r="BT53" s="280">
        <v>0.11949110776185989</v>
      </c>
      <c r="BU53" s="15">
        <v>2.7984520420432091E-2</v>
      </c>
      <c r="BV53" s="19">
        <v>5.5394265800714493E-2</v>
      </c>
      <c r="BW53" s="17">
        <v>4.4714704155921936E-2</v>
      </c>
      <c r="BX53" s="14">
        <v>6.6167674958705902E-3</v>
      </c>
      <c r="BY53" s="12">
        <v>1.4411125332117081E-2</v>
      </c>
      <c r="BZ53" s="26">
        <v>7.6826423406600952E-2</v>
      </c>
      <c r="CA53" s="12">
        <v>1.292688213288784E-2</v>
      </c>
      <c r="CB53" s="12">
        <v>1.1756355874240398E-2</v>
      </c>
      <c r="CC53" s="286">
        <v>7.1066491305828094E-2</v>
      </c>
      <c r="CD53" s="14">
        <v>7.0900791324675083E-3</v>
      </c>
      <c r="CE53" s="14">
        <v>7.2318376041948795E-3</v>
      </c>
      <c r="CF53"/>
      <c r="CG53"/>
      <c r="CH53"/>
      <c r="CI53" s="23">
        <v>1.8254155293107033E-2</v>
      </c>
      <c r="CJ53"/>
      <c r="CK53"/>
      <c r="CL53"/>
      <c r="CM53"/>
      <c r="CN53" s="12">
        <v>1.3320018537342548E-2</v>
      </c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245</v>
      </c>
      <c r="B54">
        <v>1.7999999523162842</v>
      </c>
      <c r="C54">
        <v>1.6393313407897949</v>
      </c>
      <c r="D54"/>
      <c r="E54"/>
      <c r="F54"/>
      <c r="G54"/>
      <c r="H54"/>
      <c r="I54"/>
      <c r="J54" s="12">
        <v>7.1032708510756493E-3</v>
      </c>
      <c r="K54" s="11">
        <v>1.040741553879343E-4</v>
      </c>
      <c r="L54"/>
      <c r="M54"/>
      <c r="N54"/>
      <c r="O54"/>
      <c r="P54"/>
      <c r="Q54"/>
      <c r="R54"/>
      <c r="S54"/>
      <c r="T54"/>
      <c r="U54" s="11">
        <v>1.1814202880486846E-3</v>
      </c>
      <c r="V54"/>
      <c r="W54" s="11">
        <v>7.2161463322117925E-5</v>
      </c>
      <c r="X54" s="11">
        <v>2.296053571626544E-4</v>
      </c>
      <c r="Y54"/>
      <c r="Z54"/>
      <c r="AA54"/>
      <c r="AB54"/>
      <c r="AC54"/>
      <c r="AD54"/>
      <c r="AE54"/>
      <c r="AF54"/>
      <c r="AG54"/>
      <c r="AH54"/>
      <c r="AI54" s="11">
        <v>6.992997950874269E-4</v>
      </c>
      <c r="AJ54"/>
      <c r="AK54"/>
      <c r="AL54" s="14">
        <v>3.5226352047175169E-3</v>
      </c>
      <c r="AM54"/>
      <c r="AN54"/>
      <c r="AO54"/>
      <c r="AP54"/>
      <c r="AQ54"/>
      <c r="AR54"/>
      <c r="AS54"/>
      <c r="AT54"/>
      <c r="AU54" s="18">
        <v>2.1573087200522423E-2</v>
      </c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 s="68">
        <v>0.11442672461271286</v>
      </c>
      <c r="BV54"/>
      <c r="BW54"/>
      <c r="BX54"/>
      <c r="BY54"/>
      <c r="BZ54"/>
      <c r="CA54"/>
      <c r="CB54" s="23">
        <v>1.1756358668208122E-2</v>
      </c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246</v>
      </c>
      <c r="B55">
        <v>2</v>
      </c>
      <c r="C55">
        <v>1.7807492017745972</v>
      </c>
      <c r="D55"/>
      <c r="E55"/>
      <c r="F55"/>
      <c r="G55"/>
      <c r="H55"/>
      <c r="I55"/>
      <c r="J55" s="11">
        <v>1.294080720981583E-4</v>
      </c>
      <c r="K55" s="14">
        <v>2.5666032452136278E-3</v>
      </c>
      <c r="L55" s="11">
        <v>2.3724888160359114E-4</v>
      </c>
      <c r="M55"/>
      <c r="N55"/>
      <c r="O55" s="23">
        <v>1.0891872458159924E-2</v>
      </c>
      <c r="P55"/>
      <c r="Q55"/>
      <c r="R55"/>
      <c r="S55"/>
      <c r="T55"/>
      <c r="U55" s="11">
        <v>2.3723319463897496E-4</v>
      </c>
      <c r="V55" s="11">
        <v>1.660740002989769E-3</v>
      </c>
      <c r="W55" s="14">
        <v>2.942556282505393E-3</v>
      </c>
      <c r="X55" s="14">
        <v>3.9396639913320541E-3</v>
      </c>
      <c r="Y55" s="11">
        <v>5.2542378398356959E-5</v>
      </c>
      <c r="Z55"/>
      <c r="AA55" s="12">
        <v>7.0321634411811829E-3</v>
      </c>
      <c r="AB55" s="14">
        <v>2.1043005399405956E-3</v>
      </c>
      <c r="AC55"/>
      <c r="AD55"/>
      <c r="AE55" s="11">
        <v>8.0786156468093395E-4</v>
      </c>
      <c r="AF55" s="14">
        <v>2.7018729597330093E-3</v>
      </c>
      <c r="AG55" s="11">
        <v>6.0332298744469881E-4</v>
      </c>
      <c r="AH55" s="11">
        <v>4.8887362936511636E-4</v>
      </c>
      <c r="AI55" s="11">
        <v>1.4380844368133694E-4</v>
      </c>
      <c r="AJ55"/>
      <c r="AK55"/>
      <c r="AL55" s="11">
        <v>7.251676288433373E-4</v>
      </c>
      <c r="AM55" s="11">
        <v>7.3443814471829683E-5</v>
      </c>
      <c r="AN55" s="12">
        <v>7.1638356894254684E-3</v>
      </c>
      <c r="AO55" s="11">
        <v>2.6053888723254204E-4</v>
      </c>
      <c r="AP55" s="11">
        <v>9.0951455058529973E-4</v>
      </c>
      <c r="AQ55" s="29">
        <v>9.3067079782485962E-2</v>
      </c>
      <c r="AR55" s="14">
        <v>5.3325621411204338E-3</v>
      </c>
      <c r="AS55" s="18">
        <v>2.4525795131921768E-2</v>
      </c>
      <c r="AT55"/>
      <c r="AU55" s="15">
        <v>2.0614618435502052E-2</v>
      </c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 s="22">
        <v>1.526626106351614E-2</v>
      </c>
      <c r="BS55"/>
      <c r="BT55"/>
      <c r="BU55" s="22">
        <v>1.4771879650652409E-2</v>
      </c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247</v>
      </c>
      <c r="B56">
        <v>2.5999999046325684</v>
      </c>
      <c r="C56">
        <v>0.20051774382591248</v>
      </c>
      <c r="D56"/>
      <c r="E56"/>
      <c r="F56"/>
      <c r="G56"/>
      <c r="H56" s="11">
        <v>7.5576290328172036E-6</v>
      </c>
      <c r="I56" s="11">
        <v>1.9462229101918638E-4</v>
      </c>
      <c r="J56"/>
      <c r="K56" s="11">
        <v>7.7788288763258606E-5</v>
      </c>
      <c r="L56" s="11">
        <v>1.0728115012170747E-4</v>
      </c>
      <c r="M56"/>
      <c r="N56"/>
      <c r="O56" s="11">
        <v>8.1105999925057404E-6</v>
      </c>
      <c r="P56"/>
      <c r="Q56"/>
      <c r="R56" s="11">
        <v>1.0119828948518261E-4</v>
      </c>
      <c r="S56"/>
      <c r="T56"/>
      <c r="U56" s="11">
        <v>1.9170485757058486E-5</v>
      </c>
      <c r="V56"/>
      <c r="W56" s="11">
        <v>3.6523430026136339E-5</v>
      </c>
      <c r="X56" s="14">
        <v>4.0168287232518196E-3</v>
      </c>
      <c r="Y56" s="11">
        <v>1.9478544127196074E-3</v>
      </c>
      <c r="Z56"/>
      <c r="AA56" s="17">
        <v>3.6809314042329788E-2</v>
      </c>
      <c r="AB56" s="16">
        <v>4.3199449777603149E-2</v>
      </c>
      <c r="AC56" s="17">
        <v>3.4001372754573822E-2</v>
      </c>
      <c r="AD56"/>
      <c r="AE56" s="14">
        <v>3.480943851172924E-3</v>
      </c>
      <c r="AF56" s="11">
        <v>1.1976946843788028E-3</v>
      </c>
      <c r="AG56" s="11">
        <v>2.5308176409453154E-3</v>
      </c>
      <c r="AH56" s="11">
        <v>2.0016871858388186E-3</v>
      </c>
      <c r="AI56" s="11">
        <v>4.7043972881510854E-4</v>
      </c>
      <c r="AJ56" s="23">
        <v>1.5051743015646935E-2</v>
      </c>
      <c r="AK56" s="22">
        <v>1.7892815172672272E-2</v>
      </c>
      <c r="AL56" s="14">
        <v>3.7368184421211481E-3</v>
      </c>
      <c r="AM56" s="11">
        <v>3.0278065241873264E-4</v>
      </c>
      <c r="AN56" s="14">
        <v>4.0821386501193047E-3</v>
      </c>
      <c r="AO56" s="11">
        <v>9.8905351478606462E-4</v>
      </c>
      <c r="AP56" s="14">
        <v>3.5001880023628473E-3</v>
      </c>
      <c r="AQ56" s="286">
        <v>5.9101738035678864E-2</v>
      </c>
      <c r="AR56" s="16">
        <v>4.0088824927806854E-2</v>
      </c>
      <c r="AS56" s="23">
        <v>1.5115671791136265E-2</v>
      </c>
      <c r="AT56" s="11">
        <v>5.8360240655019879E-4</v>
      </c>
      <c r="AU56" s="14">
        <v>6.8097757175564766E-3</v>
      </c>
      <c r="AV56" s="23">
        <v>1.3657242991030216E-2</v>
      </c>
      <c r="AW56" s="148">
        <v>7.6583541929721832E-2</v>
      </c>
      <c r="AX56" s="286">
        <v>6.1905603855848312E-2</v>
      </c>
      <c r="AY56" s="12">
        <v>7.8909369185566902E-3</v>
      </c>
      <c r="AZ56" s="15">
        <v>2.3418204858899117E-2</v>
      </c>
      <c r="BA56" s="17">
        <v>3.3887695521116257E-2</v>
      </c>
      <c r="BB56" s="11">
        <v>8.3164504030719399E-4</v>
      </c>
      <c r="BC56" s="16">
        <v>4.233849048614502E-2</v>
      </c>
      <c r="BD56" s="26">
        <v>6.7254059016704559E-2</v>
      </c>
      <c r="BE56" s="14">
        <v>4.6486225910484791E-3</v>
      </c>
      <c r="BF56" s="18">
        <v>3.1355448067188263E-2</v>
      </c>
      <c r="BG56" s="22">
        <v>1.8631679937243462E-2</v>
      </c>
      <c r="BH56" s="12">
        <v>9.5224324613809586E-3</v>
      </c>
      <c r="BI56" s="14">
        <v>4.8578903079032898E-3</v>
      </c>
      <c r="BJ56" s="23">
        <v>1.5273378230631351E-2</v>
      </c>
      <c r="BK56" s="14">
        <v>3.8560524117201567E-3</v>
      </c>
      <c r="BL56"/>
      <c r="BM56" s="23">
        <v>1.2821290642023087E-2</v>
      </c>
      <c r="BN56" s="11">
        <v>2.0125249866396189E-3</v>
      </c>
      <c r="BO56" s="18">
        <v>2.8523540124297142E-2</v>
      </c>
      <c r="BP56"/>
      <c r="BQ56" s="286">
        <v>6.1445821076631546E-2</v>
      </c>
      <c r="BR56" s="18">
        <v>3.1404890120029449E-2</v>
      </c>
      <c r="BS56" s="65">
        <v>5.5106107145547867E-2</v>
      </c>
      <c r="BT56" s="143">
        <v>0.30849570035934448</v>
      </c>
      <c r="BU56" s="286">
        <v>5.8792531490325928E-2</v>
      </c>
      <c r="BV56" s="24">
        <v>7.048315554857254E-2</v>
      </c>
      <c r="BW56" s="22">
        <v>2.045176737010479E-2</v>
      </c>
      <c r="BX56" s="22">
        <v>1.9387131556868553E-2</v>
      </c>
      <c r="BY56" s="16">
        <v>4.2224600911140442E-2</v>
      </c>
      <c r="BZ56" s="305">
        <v>0.135384202003479</v>
      </c>
      <c r="CA56" s="17">
        <v>3.7875767797231674E-2</v>
      </c>
      <c r="CB56"/>
      <c r="CC56"/>
      <c r="CD56"/>
      <c r="CE56"/>
      <c r="CF56"/>
      <c r="CG56"/>
      <c r="CH56"/>
      <c r="CI56" s="21">
        <v>5.3484681993722916E-2</v>
      </c>
      <c r="CJ56"/>
      <c r="CK56"/>
      <c r="CL56"/>
      <c r="CM56"/>
      <c r="CN56" s="290">
        <v>0.19513823091983795</v>
      </c>
      <c r="CO56"/>
      <c r="CP56" s="107">
        <v>0.31957066059112549</v>
      </c>
      <c r="CQ56"/>
      <c r="CR56" s="300">
        <v>0.11681126058101654</v>
      </c>
      <c r="CS56"/>
      <c r="CT56" s="300">
        <v>0.11669155955314636</v>
      </c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248</v>
      </c>
      <c r="B57">
        <v>2.7000000476837158</v>
      </c>
      <c r="C57">
        <v>0.12829655408859253</v>
      </c>
      <c r="D57"/>
      <c r="E57"/>
      <c r="F57"/>
      <c r="G57"/>
      <c r="H57"/>
      <c r="I57"/>
      <c r="J57"/>
      <c r="K57" s="11">
        <v>1.260081262444146E-6</v>
      </c>
      <c r="L57"/>
      <c r="M57"/>
      <c r="N57" s="11">
        <v>5.0403123168507591E-6</v>
      </c>
      <c r="O57"/>
      <c r="P57"/>
      <c r="Q57"/>
      <c r="R57"/>
      <c r="S57"/>
      <c r="T57"/>
      <c r="U57"/>
      <c r="V57"/>
      <c r="W57" s="11">
        <v>7.0856879119673977E-7</v>
      </c>
      <c r="X57" s="11">
        <v>2.329837570869131E-6</v>
      </c>
      <c r="Y57" s="11">
        <v>2.752390628302237E-6</v>
      </c>
      <c r="Z57"/>
      <c r="AA57"/>
      <c r="AB57" s="19">
        <v>4.5008335262537003E-2</v>
      </c>
      <c r="AC57" s="15">
        <v>2.6063393801450729E-2</v>
      </c>
      <c r="AD57"/>
      <c r="AE57" s="11">
        <v>2.2346354089677334E-3</v>
      </c>
      <c r="AF57" s="11">
        <v>7.2344392538070679E-4</v>
      </c>
      <c r="AG57" s="11">
        <v>1.5327644068747759E-3</v>
      </c>
      <c r="AH57" s="11">
        <v>1.2106802314519882E-3</v>
      </c>
      <c r="AI57" s="11">
        <v>2.0447274437174201E-4</v>
      </c>
      <c r="AJ57"/>
      <c r="AK57" s="22">
        <v>1.943676546216011E-2</v>
      </c>
      <c r="AL57" s="11">
        <v>1.2815180234611034E-3</v>
      </c>
      <c r="AM57" s="11">
        <v>1.7128551917267032E-5</v>
      </c>
      <c r="AN57" s="11">
        <v>2.0690956152975559E-3</v>
      </c>
      <c r="AO57" s="11">
        <v>5.7043525157496333E-4</v>
      </c>
      <c r="AP57" s="11">
        <v>2.3298771120607853E-3</v>
      </c>
      <c r="AQ57" s="15">
        <v>2.8145844116806984E-2</v>
      </c>
      <c r="AR57" s="11">
        <v>1.1509314645081758E-3</v>
      </c>
      <c r="AS57" s="12">
        <v>8.5190590471029282E-3</v>
      </c>
      <c r="AT57"/>
      <c r="AU57" s="11">
        <v>1.7354467418044806E-3</v>
      </c>
      <c r="AV57"/>
      <c r="AW57" s="21">
        <v>5.3897883743047714E-2</v>
      </c>
      <c r="AX57" s="26">
        <v>6.7090176045894623E-2</v>
      </c>
      <c r="AY57" s="23">
        <v>1.3864394277334213E-2</v>
      </c>
      <c r="AZ57" s="15">
        <v>2.4278778582811356E-2</v>
      </c>
      <c r="BA57" s="14">
        <v>7.4037830345332623E-3</v>
      </c>
      <c r="BB57" s="12">
        <v>1.0806134901940823E-2</v>
      </c>
      <c r="BC57" s="16">
        <v>4.415145143866539E-2</v>
      </c>
      <c r="BD57" s="15">
        <v>2.6950664818286896E-2</v>
      </c>
      <c r="BE57" s="14">
        <v>4.8725795932114124E-3</v>
      </c>
      <c r="BF57" s="18">
        <v>3.2866064459085464E-2</v>
      </c>
      <c r="BG57" s="22">
        <v>1.9529299810528755E-2</v>
      </c>
      <c r="BH57" s="12">
        <v>9.981195442378521E-3</v>
      </c>
      <c r="BI57" s="14">
        <v>5.091929342597723E-3</v>
      </c>
      <c r="BJ57" s="16">
        <v>4.1534122079610825E-2</v>
      </c>
      <c r="BK57" s="14">
        <v>4.1170036420226097E-3</v>
      </c>
      <c r="BL57"/>
      <c r="BM57" s="23">
        <v>1.3979153707623482E-2</v>
      </c>
      <c r="BN57" s="11">
        <v>2.1954660769551992E-3</v>
      </c>
      <c r="BO57" s="14">
        <v>5.3764502517879009E-3</v>
      </c>
      <c r="BP57"/>
      <c r="BQ57" s="26">
        <v>6.9296643137931824E-2</v>
      </c>
      <c r="BR57" s="18">
        <v>3.2917875796556473E-2</v>
      </c>
      <c r="BS57" s="21">
        <v>5.3359329700469971E-2</v>
      </c>
      <c r="BT57" s="148">
        <v>7.7741719782352448E-2</v>
      </c>
      <c r="BU57" s="17">
        <v>3.6292213946580887E-2</v>
      </c>
      <c r="BV57"/>
      <c r="BW57" s="22">
        <v>2.1437074989080429E-2</v>
      </c>
      <c r="BX57" s="22">
        <v>2.1204674616456032E-2</v>
      </c>
      <c r="BY57" s="19">
        <v>4.6183157712221146E-2</v>
      </c>
      <c r="BZ57" s="305">
        <v>0.14536724984645844</v>
      </c>
      <c r="CA57"/>
      <c r="CB57" s="15">
        <v>2.5349646806716919E-2</v>
      </c>
      <c r="CC57"/>
      <c r="CD57"/>
      <c r="CE57"/>
      <c r="CF57"/>
      <c r="CG57"/>
      <c r="CH57"/>
      <c r="CI57"/>
      <c r="CJ57"/>
      <c r="CK57"/>
      <c r="CL57"/>
      <c r="CM57"/>
      <c r="CN57" s="347">
        <v>1.5123215913772583</v>
      </c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249</v>
      </c>
      <c r="B58">
        <v>2.7000000476837158</v>
      </c>
      <c r="C58">
        <v>0.76644992828369141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 s="14">
        <v>3.841667901724577E-3</v>
      </c>
      <c r="V58"/>
      <c r="W58" s="11">
        <v>2.171082996937912E-6</v>
      </c>
      <c r="X58" s="11">
        <v>2.9552095384133281E-6</v>
      </c>
      <c r="Y58"/>
      <c r="Z58"/>
      <c r="AA58"/>
      <c r="AB58" s="11">
        <v>1.7373660812154412E-3</v>
      </c>
      <c r="AC58" s="19">
        <v>4.7384083271026611E-2</v>
      </c>
      <c r="AD58"/>
      <c r="AE58" s="11">
        <v>1.4664544141851366E-4</v>
      </c>
      <c r="AF58" s="11">
        <v>9.1074442025274038E-4</v>
      </c>
      <c r="AG58" s="11">
        <v>1.9396160496398807E-3</v>
      </c>
      <c r="AH58" s="11">
        <v>1.5378504758700728E-3</v>
      </c>
      <c r="AI58" s="11">
        <v>6.4301962265744805E-4</v>
      </c>
      <c r="AJ58"/>
      <c r="AK58"/>
      <c r="AL58" s="14">
        <v>3.4072357229888439E-3</v>
      </c>
      <c r="AM58" s="11">
        <v>3.2842901418916881E-4</v>
      </c>
      <c r="AN58" s="14">
        <v>3.229974303394556E-3</v>
      </c>
      <c r="AO58" s="11">
        <v>7.8707287320867181E-4</v>
      </c>
      <c r="AP58" s="14">
        <v>2.7097500860691071E-3</v>
      </c>
      <c r="AQ58" s="65">
        <v>5.856211856007576E-2</v>
      </c>
      <c r="AR58" s="11">
        <v>4.4053117744624615E-4</v>
      </c>
      <c r="AS58"/>
      <c r="AT58"/>
      <c r="AU58" s="23">
        <v>1.3755029067397118E-2</v>
      </c>
      <c r="AV58"/>
      <c r="AW58" s="65">
        <v>6.0320422053337097E-2</v>
      </c>
      <c r="AX58" s="11">
        <v>2.0152130164206028E-3</v>
      </c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 s="279">
        <v>0.34079760313034058</v>
      </c>
      <c r="BS58" s="14">
        <v>7.5236544944345951E-3</v>
      </c>
      <c r="BT58" s="18">
        <v>2.9756465926766396E-2</v>
      </c>
      <c r="BU58" s="19">
        <v>4.6953968703746796E-2</v>
      </c>
      <c r="BV58" s="28">
        <v>9.7765818238258362E-2</v>
      </c>
      <c r="BW58" s="300">
        <v>0.12276582419872284</v>
      </c>
      <c r="BX58" s="18">
        <v>2.9630985110998154E-2</v>
      </c>
      <c r="BY58" s="286">
        <v>6.4535416662693024E-2</v>
      </c>
      <c r="BZ58"/>
      <c r="CA58" s="65">
        <v>5.7888723909854889E-2</v>
      </c>
      <c r="CB58"/>
      <c r="CC58" s="109">
        <v>0.18193310499191284</v>
      </c>
      <c r="CD58"/>
      <c r="CE58"/>
      <c r="CF58" s="345">
        <v>0.66855162382125854</v>
      </c>
      <c r="CG58"/>
      <c r="CH58"/>
      <c r="CI58" s="148">
        <v>8.1745140254497528E-2</v>
      </c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250</v>
      </c>
      <c r="B59">
        <v>0.60000002384185791</v>
      </c>
      <c r="C59">
        <v>0.46739020943641663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 s="23">
        <v>3.709268057718873E-3</v>
      </c>
      <c r="AI59" s="14">
        <v>9.5157517353072762E-4</v>
      </c>
      <c r="AJ59"/>
      <c r="AK59"/>
      <c r="AL59" s="12">
        <v>2.1363866981118917E-3</v>
      </c>
      <c r="AM59"/>
      <c r="AN59" s="23">
        <v>3.5629526246339083E-3</v>
      </c>
      <c r="AO59" s="14">
        <v>1.0630469769239426E-3</v>
      </c>
      <c r="AP59"/>
      <c r="AQ59" s="334">
        <v>5.2632026374340057E-2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 s="336">
        <v>6.8554572761058807E-2</v>
      </c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251</v>
      </c>
      <c r="B60">
        <v>2.4000000953674316</v>
      </c>
      <c r="C60">
        <v>0.43956944346427917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 s="19">
        <v>4.2338546365499496E-2</v>
      </c>
      <c r="AC60" s="18">
        <v>2.7851851657032967E-2</v>
      </c>
      <c r="AD60" s="11">
        <v>2.3120916448533535E-3</v>
      </c>
      <c r="AE60" s="11">
        <v>1.7722378252074122E-3</v>
      </c>
      <c r="AF60" s="11">
        <v>3.84188060706947E-5</v>
      </c>
      <c r="AG60" s="11">
        <v>7.0926347689237446E-5</v>
      </c>
      <c r="AH60" s="11">
        <v>1.2417985126376152E-3</v>
      </c>
      <c r="AI60" s="11">
        <v>2.568904310464859E-4</v>
      </c>
      <c r="AJ60"/>
      <c r="AK60"/>
      <c r="AL60" s="22">
        <v>1.6816597431898117E-2</v>
      </c>
      <c r="AM60" s="11">
        <v>1.7378549091517925E-4</v>
      </c>
      <c r="AN60" s="14">
        <v>5.0492482259869576E-3</v>
      </c>
      <c r="AO60" s="11">
        <v>5.2939943270757794E-4</v>
      </c>
      <c r="AP60" s="14">
        <v>3.9942497387528419E-3</v>
      </c>
      <c r="AQ60" s="16">
        <v>3.6210004240274429E-2</v>
      </c>
      <c r="AR60" s="23">
        <v>1.2406187132000923E-2</v>
      </c>
      <c r="AS60"/>
      <c r="AT60" s="11">
        <v>2.8369561186991632E-4</v>
      </c>
      <c r="AU60"/>
      <c r="AV60"/>
      <c r="AW60"/>
      <c r="AX60" s="24">
        <v>6.4641579985618591E-2</v>
      </c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11">
        <v>1.5268425340764225E-4</v>
      </c>
      <c r="BO60" s="14">
        <v>2.4934262037277222E-3</v>
      </c>
      <c r="BP60"/>
      <c r="BQ60"/>
      <c r="BR60"/>
      <c r="BS60"/>
      <c r="BT60"/>
      <c r="BU60" s="17">
        <v>3.3091604709625244E-2</v>
      </c>
      <c r="BV60" s="14">
        <v>4.6112374402582645E-3</v>
      </c>
      <c r="BW60" s="15">
        <v>2.363186702132225E-2</v>
      </c>
      <c r="BX60" s="15">
        <v>2.1204674616456032E-2</v>
      </c>
      <c r="BY60" s="21">
        <v>4.6183157712221146E-2</v>
      </c>
      <c r="BZ60"/>
      <c r="CA60"/>
      <c r="CB60" s="12">
        <v>1.1756356805562973E-2</v>
      </c>
      <c r="CC60"/>
      <c r="CD60"/>
      <c r="CE60"/>
      <c r="CF60"/>
      <c r="CG60" s="277">
        <v>0.61837935447692871</v>
      </c>
      <c r="CH60" s="346">
        <v>0.92444002628326416</v>
      </c>
      <c r="CI60" s="286">
        <v>5.8498870581388474E-2</v>
      </c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252</v>
      </c>
      <c r="B61">
        <v>2.6500000953674316</v>
      </c>
      <c r="C61">
        <v>0.95314919948577881</v>
      </c>
      <c r="D61"/>
      <c r="E61"/>
      <c r="F61"/>
      <c r="G61"/>
      <c r="H61" s="11">
        <v>2.106163592543453E-4</v>
      </c>
      <c r="I61" s="11">
        <v>1.6100581269711256E-3</v>
      </c>
      <c r="J61"/>
      <c r="K61" s="11">
        <v>1.1143727078888332E-6</v>
      </c>
      <c r="L61"/>
      <c r="M61"/>
      <c r="N61"/>
      <c r="O61"/>
      <c r="P61"/>
      <c r="Q61" s="11">
        <v>1.0258090333081782E-4</v>
      </c>
      <c r="R61" s="11">
        <v>6.8387184001039714E-5</v>
      </c>
      <c r="S61"/>
      <c r="T61"/>
      <c r="U61" s="11">
        <v>1.0314363753423095E-3</v>
      </c>
      <c r="V61"/>
      <c r="W61" s="11">
        <v>1.8618362446432002E-5</v>
      </c>
      <c r="X61" s="11">
        <v>1.7145463498309255E-3</v>
      </c>
      <c r="Y61" s="11">
        <v>5.5833545047789812E-4</v>
      </c>
      <c r="Z61"/>
      <c r="AA61" s="18">
        <v>2.8889527544379234E-2</v>
      </c>
      <c r="AB61" s="15">
        <v>2.8241710737347603E-2</v>
      </c>
      <c r="AC61" s="22">
        <v>2.2701255977153778E-2</v>
      </c>
      <c r="AD61" s="11">
        <v>7.6992152025923133E-4</v>
      </c>
      <c r="AE61" s="11">
        <v>1.1635345872491598E-3</v>
      </c>
      <c r="AF61" s="11">
        <v>5.2053539548069239E-4</v>
      </c>
      <c r="AG61" s="11">
        <v>9.1709004482254386E-4</v>
      </c>
      <c r="AH61" s="11">
        <v>7.3338457150384784E-4</v>
      </c>
      <c r="AI61" s="11">
        <v>2.1255238971207291E-4</v>
      </c>
      <c r="AJ61" s="12">
        <v>9.0282121673226357E-3</v>
      </c>
      <c r="AK61" s="12">
        <v>1.0821019299328327E-2</v>
      </c>
      <c r="AL61" s="11">
        <v>1.0162577964365482E-3</v>
      </c>
      <c r="AM61" s="11">
        <v>2.9290313250385225E-4</v>
      </c>
      <c r="AN61" s="14">
        <v>3.0504018068313599E-3</v>
      </c>
      <c r="AO61" s="11">
        <v>3.5016151377931237E-4</v>
      </c>
      <c r="AP61" s="11">
        <v>1.0299209970980883E-3</v>
      </c>
      <c r="AQ61" s="22">
        <v>2.2164417430758476E-2</v>
      </c>
      <c r="AR61" s="16">
        <v>4.0662668645381927E-2</v>
      </c>
      <c r="AS61" s="12">
        <v>9.476078674197197E-3</v>
      </c>
      <c r="AT61" s="11">
        <v>1.515108859166503E-3</v>
      </c>
      <c r="AU61" s="12">
        <v>9.045272134244442E-3</v>
      </c>
      <c r="AV61" s="23">
        <v>1.4547842554748058E-2</v>
      </c>
      <c r="AW61" s="65">
        <v>5.898323655128479E-2</v>
      </c>
      <c r="AX61" s="18">
        <v>2.8647258877754211E-2</v>
      </c>
      <c r="AY61" s="11">
        <v>1.1148306075483561E-3</v>
      </c>
      <c r="AZ61" s="22">
        <v>2.0296188071370125E-2</v>
      </c>
      <c r="BA61" s="17">
        <v>3.501196950674057E-2</v>
      </c>
      <c r="BB61" s="11">
        <v>4.0427185012958944E-4</v>
      </c>
      <c r="BC61" s="12">
        <v>8.3401529118418694E-3</v>
      </c>
      <c r="BD61" s="12">
        <v>1.2498859316110611E-2</v>
      </c>
      <c r="BE61" s="11">
        <v>2.2597471252083778E-3</v>
      </c>
      <c r="BF61" s="23">
        <v>1.5242230147123337E-2</v>
      </c>
      <c r="BG61" s="12">
        <v>9.0570664033293724E-3</v>
      </c>
      <c r="BH61" s="14">
        <v>4.6289600431919098E-3</v>
      </c>
      <c r="BI61" s="11">
        <v>2.3614743258804083E-3</v>
      </c>
      <c r="BJ61" s="23">
        <v>1.3659731484949589E-2</v>
      </c>
      <c r="BK61" s="11">
        <v>1.1608964996412396E-3</v>
      </c>
      <c r="BL61" s="11">
        <v>9.0312876272946596E-4</v>
      </c>
      <c r="BM61" s="14">
        <v>6.0730944387614727E-3</v>
      </c>
      <c r="BN61" s="11">
        <v>5.6395836872979999E-4</v>
      </c>
      <c r="BO61" s="23">
        <v>1.3707190752029419E-2</v>
      </c>
      <c r="BP61" s="23">
        <v>1.6285814344882965E-2</v>
      </c>
      <c r="BQ61" s="14">
        <v>4.7719692811369896E-3</v>
      </c>
      <c r="BR61" s="300">
        <v>0.12029831856489182</v>
      </c>
      <c r="BS61" s="18">
        <v>3.1234374269843102E-2</v>
      </c>
      <c r="BT61" s="28">
        <v>9.1709278523921967E-2</v>
      </c>
      <c r="BU61" s="22">
        <v>2.1834004670381546E-2</v>
      </c>
      <c r="BV61" s="19">
        <v>4.8887509852647781E-2</v>
      </c>
      <c r="BW61" s="16">
        <v>3.9628636091947556E-2</v>
      </c>
      <c r="BX61" s="14">
        <v>6.1686323024332523E-3</v>
      </c>
      <c r="BY61" s="23">
        <v>1.3435100205242634E-2</v>
      </c>
      <c r="BZ61"/>
      <c r="CA61" s="12">
        <v>1.205138023942709E-2</v>
      </c>
      <c r="CB61" s="12">
        <v>1.1756357736885548E-2</v>
      </c>
      <c r="CC61"/>
      <c r="CD61" s="14">
        <v>6.6098878160119057E-3</v>
      </c>
      <c r="CE61"/>
      <c r="CF61" s="286">
        <v>6.2325052917003632E-2</v>
      </c>
      <c r="CG61"/>
      <c r="CH61"/>
      <c r="CI61" s="23">
        <v>1.7017852514982224E-2</v>
      </c>
      <c r="CJ61"/>
      <c r="CK61" s="22">
        <v>2.1159084513783455E-2</v>
      </c>
      <c r="CL61"/>
      <c r="CM61"/>
      <c r="CN61" s="312">
        <v>0.61202448606491089</v>
      </c>
      <c r="CO61"/>
      <c r="CP61" s="20">
        <v>0.11227337270975113</v>
      </c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253</v>
      </c>
      <c r="B62">
        <v>2.7000000476837158</v>
      </c>
      <c r="C62">
        <v>0.76824897527694702</v>
      </c>
      <c r="D62"/>
      <c r="E62"/>
      <c r="F62"/>
      <c r="G62"/>
      <c r="H62" s="11">
        <v>4.8809155123308301E-4</v>
      </c>
      <c r="I62" s="288">
        <v>1.2718216180801392</v>
      </c>
      <c r="J62"/>
      <c r="K62" s="11">
        <v>4.5221586333354935E-6</v>
      </c>
      <c r="L62" s="11">
        <v>8.4413733247856726E-7</v>
      </c>
      <c r="M62"/>
      <c r="N62"/>
      <c r="O62" s="11">
        <v>2.5242685806006193E-3</v>
      </c>
      <c r="P62"/>
      <c r="Q62" s="11">
        <v>6.6325042098469567E-6</v>
      </c>
      <c r="R62" s="11">
        <v>7.5610463682096452E-5</v>
      </c>
      <c r="S62"/>
      <c r="T62"/>
      <c r="U62"/>
      <c r="V62"/>
      <c r="W62"/>
      <c r="X62" s="11">
        <v>8.2595505546123604E-8</v>
      </c>
      <c r="Y62" s="9">
        <v>2.1879624778620155E-9</v>
      </c>
      <c r="Z62"/>
      <c r="AA62"/>
      <c r="AB62" s="22">
        <v>2.254343219101429E-2</v>
      </c>
      <c r="AC62" s="23">
        <v>1.6443535685539246E-2</v>
      </c>
      <c r="AD62" s="11">
        <v>1.2973819684702903E-4</v>
      </c>
      <c r="AE62" s="14">
        <v>2.9370638076215982E-3</v>
      </c>
      <c r="AF62" s="11">
        <v>4.8498061369173229E-4</v>
      </c>
      <c r="AG62" s="11">
        <v>1.1671866523101926E-3</v>
      </c>
      <c r="AH62" s="11">
        <v>5.7786254910752177E-4</v>
      </c>
      <c r="AI62" s="11">
        <v>1.0644833673723042E-4</v>
      </c>
      <c r="AJ62" s="12">
        <v>8.4482375532388687E-3</v>
      </c>
      <c r="AK62" s="12">
        <v>1.0778030380606651E-2</v>
      </c>
      <c r="AL62" s="11">
        <v>5.2334601059556007E-4</v>
      </c>
      <c r="AM62" s="11">
        <v>9.3922062660567462E-5</v>
      </c>
      <c r="AN62" s="11">
        <v>4.2434420902282E-4</v>
      </c>
      <c r="AO62" s="11">
        <v>2.5872519472613931E-4</v>
      </c>
      <c r="AP62" s="11">
        <v>7.4319395935162902E-4</v>
      </c>
      <c r="AQ62" s="23">
        <v>1.49872787296772E-2</v>
      </c>
      <c r="AR62" s="11">
        <v>2.3680718149989843E-3</v>
      </c>
      <c r="AS62" s="14">
        <v>3.7895631976425648E-3</v>
      </c>
      <c r="AT62" s="11">
        <v>1.4759285841137171E-3</v>
      </c>
      <c r="AU62" s="14">
        <v>4.255231935530901E-3</v>
      </c>
      <c r="AV62" s="23">
        <v>1.6974614933133125E-2</v>
      </c>
      <c r="AW62" s="19">
        <v>4.6786900609731674E-2</v>
      </c>
      <c r="AX62" s="11">
        <v>2.4417098611593246E-3</v>
      </c>
      <c r="AY62" s="11">
        <v>1.1148303747177124E-3</v>
      </c>
      <c r="AZ62" s="23">
        <v>1.3556317426264286E-2</v>
      </c>
      <c r="BA62" s="12">
        <v>1.1760082095861435E-2</v>
      </c>
      <c r="BB62" s="11">
        <v>4.0427185012958944E-4</v>
      </c>
      <c r="BC62" s="12">
        <v>8.3401519805192947E-3</v>
      </c>
      <c r="BD62" s="12">
        <v>1.2498859316110611E-2</v>
      </c>
      <c r="BE62"/>
      <c r="BF62"/>
      <c r="BG62"/>
      <c r="BH62" s="14">
        <v>4.6289600431919098E-3</v>
      </c>
      <c r="BI62" s="11">
        <v>2.3614743258804083E-3</v>
      </c>
      <c r="BJ62"/>
      <c r="BK62"/>
      <c r="BL62" s="11">
        <v>9.0312870452180505E-4</v>
      </c>
      <c r="BM62" s="11">
        <v>2.3466302081942558E-3</v>
      </c>
      <c r="BN62" s="11">
        <v>3.1829823274165392E-4</v>
      </c>
      <c r="BO62" s="14">
        <v>6.275547668337822E-3</v>
      </c>
      <c r="BP62"/>
      <c r="BQ62" s="14">
        <v>4.7719692811369896E-3</v>
      </c>
      <c r="BR62" s="65">
        <v>6.0250919312238693E-2</v>
      </c>
      <c r="BS62" s="18">
        <v>3.0901504680514336E-2</v>
      </c>
      <c r="BT62" s="280">
        <v>0.10665953904390335</v>
      </c>
      <c r="BU62" s="14">
        <v>7.798333652317524E-3</v>
      </c>
      <c r="BV62" s="16">
        <v>4.0937189012765884E-2</v>
      </c>
      <c r="BW62" s="12">
        <v>1.259154174476862E-2</v>
      </c>
      <c r="BX62" s="14">
        <v>6.3415844924747944E-3</v>
      </c>
      <c r="BY62" s="23">
        <v>1.3811784796416759E-2</v>
      </c>
      <c r="BZ62" s="28">
        <v>9.7880400717258453E-2</v>
      </c>
      <c r="CA62" s="12">
        <v>1.2389268726110458E-2</v>
      </c>
      <c r="CB62"/>
      <c r="CC62"/>
      <c r="CD62"/>
      <c r="CE62"/>
      <c r="CF62"/>
      <c r="CG62"/>
      <c r="CH62"/>
      <c r="CI62" s="23">
        <v>1.7494987696409225E-2</v>
      </c>
      <c r="CJ62"/>
      <c r="CK62" s="22">
        <v>2.1752329543232918E-2</v>
      </c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254</v>
      </c>
      <c r="B63">
        <v>3.5</v>
      </c>
      <c r="C63">
        <v>2.0872883796691895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 s="305">
        <v>0.18204213678836823</v>
      </c>
      <c r="AB63" s="12">
        <v>1.2807887978851795E-2</v>
      </c>
      <c r="AC63" s="12">
        <v>1.1580696329474449E-2</v>
      </c>
      <c r="AD63" s="11">
        <v>6.2911718850955367E-4</v>
      </c>
      <c r="AE63" s="11">
        <v>5.7500414550304413E-4</v>
      </c>
      <c r="AF63" s="11">
        <v>2.0103706629015505E-4</v>
      </c>
      <c r="AG63" s="11">
        <v>9.3261268921196461E-4</v>
      </c>
      <c r="AH63" s="11">
        <v>3.298230585642159E-4</v>
      </c>
      <c r="AI63" s="11">
        <v>9.4887342129368335E-5</v>
      </c>
      <c r="AJ63" s="14">
        <v>6.0735736042261124E-3</v>
      </c>
      <c r="AK63" s="14">
        <v>5.1502780988812447E-3</v>
      </c>
      <c r="AL63" s="11">
        <v>3.8972977199591696E-4</v>
      </c>
      <c r="AM63" s="11">
        <v>5.7474459026707336E-5</v>
      </c>
      <c r="AN63" s="11">
        <v>5.8966083452105522E-4</v>
      </c>
      <c r="AO63" s="11">
        <v>1.4970745542086661E-4</v>
      </c>
      <c r="AP63" s="11">
        <v>6.2954524764791131E-4</v>
      </c>
      <c r="AQ63" s="14">
        <v>9.7826160490512848E-3</v>
      </c>
      <c r="AR63" s="14">
        <v>8.2944324240088463E-3</v>
      </c>
      <c r="AS63" s="14">
        <v>4.0740007534623146E-3</v>
      </c>
      <c r="AT63" s="11">
        <v>3.1990224961191416E-3</v>
      </c>
      <c r="AU63" s="11">
        <v>2.095093484967947E-3</v>
      </c>
      <c r="AV63" s="17">
        <v>4.7601848840713501E-2</v>
      </c>
      <c r="AW63" s="17">
        <v>4.6213764697313309E-2</v>
      </c>
      <c r="AX63" s="23">
        <v>2.356378361582756E-2</v>
      </c>
      <c r="AY63" s="11">
        <v>2.7051328215748072E-3</v>
      </c>
      <c r="AZ63" s="14">
        <v>7.4696834199130535E-3</v>
      </c>
      <c r="BA63"/>
      <c r="BB63" s="11">
        <v>4.0427182102575898E-4</v>
      </c>
      <c r="BC63" s="14">
        <v>3.5078143700957298E-3</v>
      </c>
      <c r="BD63"/>
      <c r="BE63" s="11">
        <v>2.2597471252083778E-3</v>
      </c>
      <c r="BF63" s="12">
        <v>1.5242230147123337E-2</v>
      </c>
      <c r="BG63" s="14">
        <v>9.0570664033293724E-3</v>
      </c>
      <c r="BH63" s="14">
        <v>4.6289605088531971E-3</v>
      </c>
      <c r="BI63" s="11">
        <v>2.3614745587110519E-3</v>
      </c>
      <c r="BJ63"/>
      <c r="BK63" s="11">
        <v>9.1528601478785276E-4</v>
      </c>
      <c r="BL63" s="11">
        <v>9.0312876272946596E-4</v>
      </c>
      <c r="BM63" s="14">
        <v>4.4629592448472977E-3</v>
      </c>
      <c r="BN63" s="11">
        <v>7.6375296339392662E-4</v>
      </c>
      <c r="BO63" s="14">
        <v>8.4589868783950806E-3</v>
      </c>
      <c r="BP63"/>
      <c r="BQ63" s="12">
        <v>1.5560896135866642E-2</v>
      </c>
      <c r="BR63" s="65">
        <v>7.8360274434089661E-2</v>
      </c>
      <c r="BS63" s="22">
        <v>2.9935659840703011E-2</v>
      </c>
      <c r="BT63" s="13">
        <v>0.1273350864648819</v>
      </c>
      <c r="BU63" s="22">
        <v>2.5439929217100143E-2</v>
      </c>
      <c r="BV63" s="23">
        <v>2.3194350302219391E-2</v>
      </c>
      <c r="BW63" s="23">
        <v>1.9814310595393181E-2</v>
      </c>
      <c r="BX63" s="14">
        <v>4.8537165857851505E-3</v>
      </c>
      <c r="BY63" s="12">
        <v>1.05712516233325E-2</v>
      </c>
      <c r="BZ63" s="65">
        <v>7.6496914029121399E-2</v>
      </c>
      <c r="CA63" s="14">
        <v>9.4824880361557007E-3</v>
      </c>
      <c r="CB63"/>
      <c r="CC63"/>
      <c r="CD63" s="14">
        <v>5.2009131759405136E-3</v>
      </c>
      <c r="CE63"/>
      <c r="CF63" s="19">
        <v>6.232505664229393E-2</v>
      </c>
      <c r="CG63"/>
      <c r="CH63"/>
      <c r="CI63" s="12">
        <v>1.3390298932790756E-2</v>
      </c>
      <c r="CJ63"/>
      <c r="CK63" s="12">
        <v>1.6648778691887856E-2</v>
      </c>
      <c r="CL63"/>
      <c r="CM63"/>
      <c r="CN63" s="291">
        <v>0.39223065972328186</v>
      </c>
      <c r="CO63"/>
      <c r="CP63" s="21">
        <v>7.1672894060611725E-2</v>
      </c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255</v>
      </c>
      <c r="B64">
        <v>3.0999999046325684</v>
      </c>
      <c r="C64">
        <v>2.2783141136169434</v>
      </c>
      <c r="D64"/>
      <c r="E64"/>
      <c r="F64"/>
      <c r="G64"/>
      <c r="H64" s="14">
        <v>8.6773019284009933E-3</v>
      </c>
      <c r="I64" s="11">
        <v>6.1925267800688744E-5</v>
      </c>
      <c r="J64"/>
      <c r="K64" s="11">
        <v>3.7536908621405018E-6</v>
      </c>
      <c r="L64"/>
      <c r="M64"/>
      <c r="N64"/>
      <c r="O64" s="11">
        <v>8.4457633420242928E-6</v>
      </c>
      <c r="P64"/>
      <c r="Q64" s="14">
        <v>4.7048688866198063E-3</v>
      </c>
      <c r="R64" s="12">
        <v>1.3386627659201622E-2</v>
      </c>
      <c r="S64" s="11">
        <v>2.4633454813738354E-6</v>
      </c>
      <c r="T64"/>
      <c r="U64" s="11">
        <v>6.2087818514555693E-4</v>
      </c>
      <c r="V64"/>
      <c r="W64" s="11">
        <v>5.6718909036135301E-6</v>
      </c>
      <c r="X64" s="11">
        <v>2.7867162134498358E-3</v>
      </c>
      <c r="Y64" s="11">
        <v>1.8083509057760239E-3</v>
      </c>
      <c r="Z64"/>
      <c r="AA64" s="12">
        <v>1.3730616308748722E-2</v>
      </c>
      <c r="AB64" s="19">
        <v>5.2826859056949615E-2</v>
      </c>
      <c r="AC64" s="15">
        <v>3.1553652137517929E-2</v>
      </c>
      <c r="AD64" s="11">
        <v>1.4005398843437433E-3</v>
      </c>
      <c r="AE64" s="11">
        <v>1.4961916022002697E-3</v>
      </c>
      <c r="AF64" s="11">
        <v>9.1778632486239076E-4</v>
      </c>
      <c r="AG64" s="11">
        <v>7.0926340413279831E-5</v>
      </c>
      <c r="AH64" s="11">
        <v>8.7247102055698633E-4</v>
      </c>
      <c r="AI64" s="11">
        <v>1.2142297782702371E-4</v>
      </c>
      <c r="AJ64" s="11">
        <v>1.7565571470186114E-3</v>
      </c>
      <c r="AK64" s="12">
        <v>1.099326740950346E-2</v>
      </c>
      <c r="AL64" s="11">
        <v>1.1197616549907252E-4</v>
      </c>
      <c r="AM64" s="11">
        <v>1.0456193558638915E-4</v>
      </c>
      <c r="AN64" s="11">
        <v>1.1328585678711534E-3</v>
      </c>
      <c r="AO64" s="11">
        <v>3.9739481871947646E-4</v>
      </c>
      <c r="AP64"/>
      <c r="AQ64" s="12">
        <v>1.4806193299591541E-2</v>
      </c>
      <c r="AR64" s="12">
        <v>9.2376051470637321E-3</v>
      </c>
      <c r="AS64" s="14">
        <v>4.5184949412941933E-3</v>
      </c>
      <c r="AT64" s="11">
        <v>3.8556411163881421E-4</v>
      </c>
      <c r="AU64" s="14">
        <v>4.0710023604333401E-3</v>
      </c>
      <c r="AV64" s="14">
        <v>6.6389376297593117E-3</v>
      </c>
      <c r="AW64" s="17">
        <v>3.9695758372545242E-2</v>
      </c>
      <c r="AX64" s="18">
        <v>3.8668103516101837E-2</v>
      </c>
      <c r="AY64"/>
      <c r="AZ64"/>
      <c r="BA64" s="12">
        <v>1.3536742888391018E-2</v>
      </c>
      <c r="BB64"/>
      <c r="BC64"/>
      <c r="BD64"/>
      <c r="BE64"/>
      <c r="BF64"/>
      <c r="BG64" s="14">
        <v>9.0570664033293724E-3</v>
      </c>
      <c r="BH64"/>
      <c r="BI64"/>
      <c r="BJ64"/>
      <c r="BK64" s="11">
        <v>2.3537958040833473E-3</v>
      </c>
      <c r="BL64"/>
      <c r="BM64"/>
      <c r="BN64"/>
      <c r="BO64"/>
      <c r="BP64"/>
      <c r="BQ64" s="15">
        <v>3.2297383993864059E-2</v>
      </c>
      <c r="BR64" s="15">
        <v>3.061329759657383E-2</v>
      </c>
      <c r="BS64" s="15">
        <v>3.2782837748527527E-2</v>
      </c>
      <c r="BT64" s="310">
        <v>0.15037943422794342</v>
      </c>
      <c r="BU64" s="22">
        <v>2.2121237590909004E-2</v>
      </c>
      <c r="BV64" s="17">
        <v>4.0801279246807098E-2</v>
      </c>
      <c r="BW64" s="17">
        <v>4.2588949203491211E-2</v>
      </c>
      <c r="BX64"/>
      <c r="BY64" s="22">
        <v>2.6870200410485268E-2</v>
      </c>
      <c r="BZ64" s="26">
        <v>7.8683324158191681E-2</v>
      </c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 s="286">
        <v>7.2024412453174591E-2</v>
      </c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256</v>
      </c>
      <c r="B65">
        <v>3.5</v>
      </c>
      <c r="C65">
        <v>3.1833000183105469</v>
      </c>
      <c r="D65"/>
      <c r="E65"/>
      <c r="F65"/>
      <c r="G65"/>
      <c r="H65" s="11">
        <v>4.1707676246005576E-6</v>
      </c>
      <c r="I65" s="11">
        <v>1.1697009904310107E-3</v>
      </c>
      <c r="J65"/>
      <c r="K65" s="11">
        <v>6.5167876073246589E-7</v>
      </c>
      <c r="L65"/>
      <c r="M65"/>
      <c r="N65"/>
      <c r="O65" s="11">
        <v>5.2134140560156084E-7</v>
      </c>
      <c r="P65"/>
      <c r="Q65" s="11">
        <v>6.5167876073246589E-7</v>
      </c>
      <c r="R65" s="11">
        <v>2.6067070280078042E-7</v>
      </c>
      <c r="S65"/>
      <c r="T65"/>
      <c r="U65" s="11">
        <v>8.4718385551241226E-6</v>
      </c>
      <c r="V65"/>
      <c r="W65"/>
      <c r="X65"/>
      <c r="Y65"/>
      <c r="Z65"/>
      <c r="AA65" s="11">
        <v>1.084848481696099E-4</v>
      </c>
      <c r="AB65" s="22">
        <v>3.0658446252346039E-2</v>
      </c>
      <c r="AC65" s="12">
        <v>1.6440531238913536E-2</v>
      </c>
      <c r="AD65" s="11">
        <v>1.2973821139894426E-4</v>
      </c>
      <c r="AE65" s="11">
        <v>1.3004627544432878E-3</v>
      </c>
      <c r="AF65" s="11">
        <v>4.4275811524130404E-4</v>
      </c>
      <c r="AG65" s="11">
        <v>9.3960127560421824E-4</v>
      </c>
      <c r="AH65" s="11">
        <v>7.3078426066786051E-4</v>
      </c>
      <c r="AI65" s="11">
        <v>1.2879991845693439E-4</v>
      </c>
      <c r="AJ65" s="11">
        <v>1.7565571470186114E-3</v>
      </c>
      <c r="AK65" s="12">
        <v>1.2139888480305672E-2</v>
      </c>
      <c r="AL65" s="11">
        <v>7.0308154681697488E-4</v>
      </c>
      <c r="AM65" s="11">
        <v>1.8705820548348129E-4</v>
      </c>
      <c r="AN65" s="11">
        <v>2.1401408594101667E-3</v>
      </c>
      <c r="AO65" s="11">
        <v>3.7790791247971356E-4</v>
      </c>
      <c r="AP65" s="11">
        <v>1.4475842472165823E-3</v>
      </c>
      <c r="AQ65" s="23">
        <v>2.2540619596838951E-2</v>
      </c>
      <c r="AR65" s="11">
        <v>5.3376524010673165E-4</v>
      </c>
      <c r="AS65" s="14">
        <v>5.1580788567662239E-3</v>
      </c>
      <c r="AT65" s="11">
        <v>2.8369561186991632E-4</v>
      </c>
      <c r="AU65" s="14">
        <v>5.5430992506444454E-3</v>
      </c>
      <c r="AV65" s="14">
        <v>6.6389376297593117E-3</v>
      </c>
      <c r="AW65" s="22">
        <v>2.4996120482683182E-2</v>
      </c>
      <c r="AX65" s="18">
        <v>4.238545149564743E-2</v>
      </c>
      <c r="AY65"/>
      <c r="AZ65"/>
      <c r="BA65"/>
      <c r="BB65"/>
      <c r="BC65"/>
      <c r="BD65"/>
      <c r="BE65"/>
      <c r="BF65"/>
      <c r="BG65"/>
      <c r="BH65"/>
      <c r="BI65"/>
      <c r="BJ65"/>
      <c r="BK65"/>
      <c r="BL65" s="14">
        <v>5.1811486482620239E-3</v>
      </c>
      <c r="BM65"/>
      <c r="BN65" s="11">
        <v>1.3540827203541994E-3</v>
      </c>
      <c r="BO65" s="11">
        <v>2.4934262037277222E-3</v>
      </c>
      <c r="BP65"/>
      <c r="BQ65" s="14">
        <v>4.7719692811369896E-3</v>
      </c>
      <c r="BR65" s="12">
        <v>1.5266264788806438E-2</v>
      </c>
      <c r="BS65"/>
      <c r="BT65"/>
      <c r="BU65" s="23">
        <v>2.2280028089880943E-2</v>
      </c>
      <c r="BV65" s="17">
        <v>4.4844869524240494E-2</v>
      </c>
      <c r="BW65"/>
      <c r="BX65"/>
      <c r="BY65" s="22">
        <v>2.9855778440833092E-2</v>
      </c>
      <c r="BZ65"/>
      <c r="CA65"/>
      <c r="CB65" s="12">
        <v>1.1756356805562973E-2</v>
      </c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257</v>
      </c>
      <c r="B66">
        <v>3.5</v>
      </c>
      <c r="C66">
        <v>1.3166606426239014E-2</v>
      </c>
      <c r="D66"/>
      <c r="E66"/>
      <c r="F66"/>
      <c r="G66"/>
      <c r="H66"/>
      <c r="I66" s="11">
        <v>2.4680362912476994E-5</v>
      </c>
      <c r="J66"/>
      <c r="K66" s="11">
        <v>1.8700289672324288E-7</v>
      </c>
      <c r="L66" s="11">
        <v>2.5712970455060713E-6</v>
      </c>
      <c r="M66" s="11">
        <v>5.2828404477622826E-6</v>
      </c>
      <c r="N66"/>
      <c r="O66" s="11">
        <v>1.8560072930995375E-5</v>
      </c>
      <c r="P66"/>
      <c r="Q66"/>
      <c r="R66"/>
      <c r="S66"/>
      <c r="T66"/>
      <c r="U66" s="11">
        <v>2.0289855456212536E-5</v>
      </c>
      <c r="V66"/>
      <c r="W66"/>
      <c r="X66"/>
      <c r="Y66"/>
      <c r="Z66"/>
      <c r="AA66"/>
      <c r="AB66" s="12">
        <v>1.531118992716074E-2</v>
      </c>
      <c r="AC66" s="14">
        <v>6.4451168291270733E-3</v>
      </c>
      <c r="AD66" s="11">
        <v>7.8635645331814885E-4</v>
      </c>
      <c r="AE66" s="11">
        <v>3.7486213841475546E-4</v>
      </c>
      <c r="AF66" s="11">
        <v>6.8434159038588405E-4</v>
      </c>
      <c r="AG66" s="11">
        <v>1.5878410777077079E-3</v>
      </c>
      <c r="AH66" s="11">
        <v>5.605742335319519E-4</v>
      </c>
      <c r="AI66" s="11">
        <v>1.3516793842427433E-4</v>
      </c>
      <c r="AJ66" s="14">
        <v>5.2990843541920185E-3</v>
      </c>
      <c r="AK66" s="14">
        <v>5.7630822993814945E-3</v>
      </c>
      <c r="AL66" s="11">
        <v>1.5711261657997966E-3</v>
      </c>
      <c r="AM66" s="11">
        <v>9.9439734185580164E-5</v>
      </c>
      <c r="AN66" s="11">
        <v>8.1803579814732075E-4</v>
      </c>
      <c r="AO66" s="11">
        <v>3.2944607664830983E-4</v>
      </c>
      <c r="AP66" s="14">
        <v>5.9183551929891109E-3</v>
      </c>
      <c r="AQ66" s="14">
        <v>6.5662143751978874E-3</v>
      </c>
      <c r="AR66" s="14">
        <v>5.4342495277523994E-3</v>
      </c>
      <c r="AS66" s="11">
        <v>1.7591018695384264E-3</v>
      </c>
      <c r="AT66" s="11">
        <v>7.0000707637518644E-4</v>
      </c>
      <c r="AU66" s="14">
        <v>6.9009112194180489E-3</v>
      </c>
      <c r="AV66" s="11">
        <v>1.9768592901527882E-3</v>
      </c>
      <c r="AW66" s="23">
        <v>1.927809976041317E-2</v>
      </c>
      <c r="AX66" s="22">
        <v>2.506658248603344E-2</v>
      </c>
      <c r="AY66" s="11">
        <v>1.7672858666628599E-3</v>
      </c>
      <c r="AZ66" s="14">
        <v>5.4370383732020855E-3</v>
      </c>
      <c r="BA66" s="14">
        <v>4.1543585248291492E-3</v>
      </c>
      <c r="BB66" s="11">
        <v>5.8762900152942166E-5</v>
      </c>
      <c r="BC66" s="14">
        <v>8.0626318231225014E-3</v>
      </c>
      <c r="BD66" s="12">
        <v>1.2518640607595444E-2</v>
      </c>
      <c r="BE66" s="11">
        <v>1.2585112926899455E-5</v>
      </c>
      <c r="BF66" s="12">
        <v>1.1729106307029724E-2</v>
      </c>
      <c r="BG66" s="14">
        <v>5.6982659734785557E-3</v>
      </c>
      <c r="BH66" s="11">
        <v>5.1481540140230209E-5</v>
      </c>
      <c r="BI66" s="14">
        <v>8.120490238070488E-3</v>
      </c>
      <c r="BJ66" s="11">
        <v>2.8540581115521491E-4</v>
      </c>
      <c r="BK66" s="11">
        <v>9.2543306527659297E-4</v>
      </c>
      <c r="BL66" s="14">
        <v>6.9370805285871029E-3</v>
      </c>
      <c r="BM66" s="11">
        <v>2.0826403051614761E-3</v>
      </c>
      <c r="BN66" s="11">
        <v>6.5094983438029885E-4</v>
      </c>
      <c r="BO66" s="14">
        <v>8.1766527146100998E-3</v>
      </c>
      <c r="BP66" s="15">
        <v>3.4305252134799957E-2</v>
      </c>
      <c r="BQ66" s="21">
        <v>6.6817879676818848E-2</v>
      </c>
      <c r="BR66" s="16">
        <v>5.4216001182794571E-2</v>
      </c>
      <c r="BS66" s="12">
        <v>1.1835652403533459E-2</v>
      </c>
      <c r="BT66" s="17">
        <v>4.6437699347734451E-2</v>
      </c>
      <c r="BU66" s="23">
        <v>2.2166373208165169E-2</v>
      </c>
      <c r="BV66" s="23">
        <v>1.8426733091473579E-2</v>
      </c>
      <c r="BW66" s="12">
        <v>1.6070391982793808E-2</v>
      </c>
      <c r="BX66" s="67">
        <v>0.20550262928009033</v>
      </c>
      <c r="BY66" s="291">
        <v>0.39148420095443726</v>
      </c>
      <c r="BZ66" s="23">
        <v>1.9915364682674408E-2</v>
      </c>
      <c r="CA66" s="348">
        <v>0.45738738775253296</v>
      </c>
      <c r="CB66" s="18">
        <v>4.3999157845973969E-2</v>
      </c>
      <c r="CC66" s="22">
        <v>2.9238073155283928E-2</v>
      </c>
      <c r="CD66" s="70">
        <v>0.1754368394613266</v>
      </c>
      <c r="CE66"/>
      <c r="CF66" s="148">
        <v>0.10608473420143127</v>
      </c>
      <c r="CG66" s="286">
        <v>7.9417280852794647E-2</v>
      </c>
      <c r="CH66" s="308">
        <v>0.20027351379394531</v>
      </c>
      <c r="CI66" s="282">
        <v>0.38747462630271912</v>
      </c>
      <c r="CJ66"/>
      <c r="CK66"/>
      <c r="CL66"/>
      <c r="CM66"/>
      <c r="CN66" s="72">
        <v>0.25028598308563232</v>
      </c>
      <c r="CO66"/>
      <c r="CP66" s="11">
        <v>3.3771120943129063E-3</v>
      </c>
      <c r="CQ66"/>
      <c r="CR66" s="113">
        <v>0.6765744686126709</v>
      </c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258</v>
      </c>
      <c r="B67">
        <v>3.7999999523162842</v>
      </c>
      <c r="C67">
        <v>0.33057558536529541</v>
      </c>
      <c r="D67"/>
      <c r="E67"/>
      <c r="F67"/>
      <c r="G67"/>
      <c r="H67"/>
      <c r="I67" s="11">
        <v>2.838241562130861E-5</v>
      </c>
      <c r="J67"/>
      <c r="K67"/>
      <c r="L67" s="11">
        <v>2.6881707526626997E-8</v>
      </c>
      <c r="M67" s="11">
        <v>5.3763333340839381E-8</v>
      </c>
      <c r="N67"/>
      <c r="O67" s="148">
        <v>0.11133652925491333</v>
      </c>
      <c r="P67"/>
      <c r="Q67" s="11">
        <v>8.0645413902402652E-8</v>
      </c>
      <c r="R67" s="11">
        <v>5.1881665967812296E-6</v>
      </c>
      <c r="S67"/>
      <c r="T67"/>
      <c r="U67" s="22">
        <v>3.1296182423830032E-2</v>
      </c>
      <c r="V67"/>
      <c r="W67"/>
      <c r="X67"/>
      <c r="Y67"/>
      <c r="Z67"/>
      <c r="AA67"/>
      <c r="AB67" s="14">
        <v>6.8663563579320908E-3</v>
      </c>
      <c r="AC67" s="14">
        <v>3.9574797265231609E-3</v>
      </c>
      <c r="AD67" s="11">
        <v>3.284185950178653E-4</v>
      </c>
      <c r="AE67" s="11">
        <v>2.2977133630774915E-4</v>
      </c>
      <c r="AF67" s="11">
        <v>1.0620604734867811E-4</v>
      </c>
      <c r="AG67" s="11">
        <v>2.7313592727296054E-4</v>
      </c>
      <c r="AH67" s="11">
        <v>1.9998950301669538E-4</v>
      </c>
      <c r="AI67" s="11">
        <v>2.7515608962858096E-5</v>
      </c>
      <c r="AJ67" s="11">
        <v>2.4897770490497351E-3</v>
      </c>
      <c r="AK67" s="11">
        <v>3.5073605831712484E-3</v>
      </c>
      <c r="AL67" s="11">
        <v>1.4930068573448807E-4</v>
      </c>
      <c r="AM67" s="11">
        <v>2.5141376681858674E-5</v>
      </c>
      <c r="AN67" s="11">
        <v>4.2556051630526781E-4</v>
      </c>
      <c r="AO67" s="11">
        <v>6.9140623963903636E-5</v>
      </c>
      <c r="AP67" s="11">
        <v>2.6955269277095795E-4</v>
      </c>
      <c r="AQ67" s="14">
        <v>4.6165264211595058E-3</v>
      </c>
      <c r="AR67" s="11">
        <v>1.9326006295159459E-3</v>
      </c>
      <c r="AS67" s="11">
        <v>3.4776309039443731E-3</v>
      </c>
      <c r="AT67" s="11">
        <v>2.4235493037849665E-4</v>
      </c>
      <c r="AU67" s="11">
        <v>1.0487533872947097E-3</v>
      </c>
      <c r="AV67" s="14">
        <v>8.012944832444191E-3</v>
      </c>
      <c r="AW67" s="14">
        <v>7.9685784876346588E-3</v>
      </c>
      <c r="AX67" s="23">
        <v>1.9031120464205742E-2</v>
      </c>
      <c r="AY67" s="11">
        <v>3.5813883878290653E-3</v>
      </c>
      <c r="AZ67" s="14">
        <v>6.3245999626815319E-3</v>
      </c>
      <c r="BA67" s="11">
        <v>2.5351697113364935E-3</v>
      </c>
      <c r="BB67" s="11">
        <v>2.262061694636941E-3</v>
      </c>
      <c r="BC67" s="14">
        <v>5.6391181424260139E-3</v>
      </c>
      <c r="BD67" s="14">
        <v>6.8953693844377995E-3</v>
      </c>
      <c r="BE67" s="11">
        <v>1.9671237096190453E-3</v>
      </c>
      <c r="BF67" s="11">
        <v>1.5520143788307905E-3</v>
      </c>
      <c r="BG67" s="11">
        <v>3.7990958662703633E-4</v>
      </c>
      <c r="BH67" s="14">
        <v>6.7130518145859241E-3</v>
      </c>
      <c r="BI67" s="14">
        <v>9.0355956926941872E-3</v>
      </c>
      <c r="BJ67" s="11">
        <v>2.9558916576206684E-3</v>
      </c>
      <c r="BK67" s="11">
        <v>1.3280792627483606E-3</v>
      </c>
      <c r="BL67" s="11">
        <v>9.7172037931159139E-4</v>
      </c>
      <c r="BM67" s="11">
        <v>1.3450396945700049E-3</v>
      </c>
      <c r="BN67" s="11">
        <v>4.3342149001546204E-4</v>
      </c>
      <c r="BO67" s="14">
        <v>4.022511187940836E-3</v>
      </c>
      <c r="BP67" s="17">
        <v>5.4117247462272644E-2</v>
      </c>
      <c r="BQ67" s="14">
        <v>1.0527629405260086E-2</v>
      </c>
      <c r="BR67" s="18">
        <v>4.3865721672773361E-2</v>
      </c>
      <c r="BS67" s="12">
        <v>1.3757484033703804E-2</v>
      </c>
      <c r="BT67" s="21">
        <v>7.4552446603775024E-2</v>
      </c>
      <c r="BU67" s="14">
        <v>6.1294534243643284E-3</v>
      </c>
      <c r="BV67" s="12">
        <v>1.275634765625E-2</v>
      </c>
      <c r="BW67" s="12">
        <v>1.6658678650856018E-2</v>
      </c>
      <c r="BX67" s="308">
        <v>0.21503870189189911</v>
      </c>
      <c r="BY67" s="145">
        <v>0.38291159272193909</v>
      </c>
      <c r="BZ67" s="15">
        <v>3.5073816776275635E-2</v>
      </c>
      <c r="CA67" s="108">
        <v>0.59845083951950073</v>
      </c>
      <c r="CB67" s="22">
        <v>3.2122101634740829E-2</v>
      </c>
      <c r="CC67" s="22">
        <v>3.2160967588424683E-2</v>
      </c>
      <c r="CD67" s="25">
        <v>0.11608320474624634</v>
      </c>
      <c r="CE67" s="13">
        <v>0.14220684766769409</v>
      </c>
      <c r="CF67" s="19">
        <v>6.4222343266010284E-2</v>
      </c>
      <c r="CG67"/>
      <c r="CH67" s="285">
        <v>0.12944406270980835</v>
      </c>
      <c r="CI67" s="287">
        <v>0.2588304877281189</v>
      </c>
      <c r="CJ67"/>
      <c r="CK67" s="323">
        <v>0.55330473184585571</v>
      </c>
      <c r="CL67"/>
      <c r="CM67" s="66">
        <v>0.15696550905704498</v>
      </c>
      <c r="CN67"/>
      <c r="CO67"/>
      <c r="CP67" s="109">
        <v>0.25438043475151062</v>
      </c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259</v>
      </c>
      <c r="B68">
        <v>3</v>
      </c>
      <c r="C68">
        <v>1.4974772930145264E-2</v>
      </c>
      <c r="D68"/>
      <c r="E68"/>
      <c r="F68"/>
      <c r="G68"/>
      <c r="H68" s="11">
        <v>5.8122523682868632E-8</v>
      </c>
      <c r="I68" s="11">
        <v>4.6025674237171188E-5</v>
      </c>
      <c r="J68"/>
      <c r="K68" s="11">
        <v>1.5605901353410445E-5</v>
      </c>
      <c r="L68" s="11">
        <v>4.9113514251075685E-6</v>
      </c>
      <c r="M68" s="17">
        <v>3.9169687777757645E-2</v>
      </c>
      <c r="N68" s="11">
        <v>1.4792206457059365E-5</v>
      </c>
      <c r="O68" s="11">
        <v>3.8041263906052336E-5</v>
      </c>
      <c r="P68"/>
      <c r="Q68"/>
      <c r="R68"/>
      <c r="S68" s="11">
        <v>3.1967476843419718E-7</v>
      </c>
      <c r="T68"/>
      <c r="U68" s="11">
        <v>1.8930837977677584E-3</v>
      </c>
      <c r="V68"/>
      <c r="W68"/>
      <c r="X68"/>
      <c r="Y68"/>
      <c r="Z68"/>
      <c r="AA68" s="11">
        <v>7.9540986916981637E-5</v>
      </c>
      <c r="AB68" s="14">
        <v>6.036560982465744E-3</v>
      </c>
      <c r="AC68" s="14">
        <v>3.9068707264959812E-3</v>
      </c>
      <c r="AD68" s="14">
        <v>4.2254216969013214E-3</v>
      </c>
      <c r="AE68" s="11">
        <v>2.4030264467000961E-4</v>
      </c>
      <c r="AF68" s="11">
        <v>1.0307210322935134E-4</v>
      </c>
      <c r="AG68" s="11">
        <v>7.4471422703936696E-4</v>
      </c>
      <c r="AH68" s="11">
        <v>1.7921312246471643E-4</v>
      </c>
      <c r="AI68" s="11">
        <v>2.9597296816064045E-5</v>
      </c>
      <c r="AJ68" s="11">
        <v>2.9174631927162409E-3</v>
      </c>
      <c r="AK68" s="18">
        <v>3.7744857370853424E-2</v>
      </c>
      <c r="AL68" s="11">
        <v>1.8404696311336011E-4</v>
      </c>
      <c r="AM68" s="11">
        <v>2.6745190552901477E-5</v>
      </c>
      <c r="AN68" s="11">
        <v>2.6368253747932613E-4</v>
      </c>
      <c r="AO68" s="11">
        <v>7.4385556217748672E-5</v>
      </c>
      <c r="AP68" s="11">
        <v>2.7830144972540438E-4</v>
      </c>
      <c r="AQ68" s="14">
        <v>3.9581605233252048E-3</v>
      </c>
      <c r="AR68" s="11">
        <v>1.7743529751896858E-3</v>
      </c>
      <c r="AS68" s="12">
        <v>1.4500487595796585E-2</v>
      </c>
      <c r="AT68"/>
      <c r="AU68" s="11">
        <v>8.6174090392887592E-4</v>
      </c>
      <c r="AV68" s="11">
        <v>9.2814042000100017E-4</v>
      </c>
      <c r="AW68" s="14">
        <v>4.0181293152272701E-3</v>
      </c>
      <c r="AX68" s="22">
        <v>2.157161757349968E-2</v>
      </c>
      <c r="AY68" s="11">
        <v>9.2523510102182627E-4</v>
      </c>
      <c r="AZ68" s="14">
        <v>3.4645840059965849E-3</v>
      </c>
      <c r="BA68" s="14">
        <v>3.5605959128588438E-3</v>
      </c>
      <c r="BB68" s="11">
        <v>2.9115066863596439E-3</v>
      </c>
      <c r="BC68" s="14">
        <v>5.8410703204572201E-3</v>
      </c>
      <c r="BD68" s="14">
        <v>7.3683448135852814E-3</v>
      </c>
      <c r="BE68" s="11">
        <v>1.376878353767097E-4</v>
      </c>
      <c r="BF68" s="11">
        <v>4.6026144991628826E-4</v>
      </c>
      <c r="BG68" s="11">
        <v>3.6125641781836748E-4</v>
      </c>
      <c r="BH68" s="11">
        <v>3.0579740996472538E-4</v>
      </c>
      <c r="BI68" s="14">
        <v>7.3598753660917282E-3</v>
      </c>
      <c r="BJ68" s="11">
        <v>1.3289466733112931E-4</v>
      </c>
      <c r="BK68" s="11">
        <v>2.1303547546267509E-3</v>
      </c>
      <c r="BL68" s="11">
        <v>1.3506083050742745E-3</v>
      </c>
      <c r="BM68" s="14">
        <v>5.192889366298914E-3</v>
      </c>
      <c r="BN68" s="11">
        <v>6.0644821496680379E-4</v>
      </c>
      <c r="BO68" s="14">
        <v>5.3084795363247395E-3</v>
      </c>
      <c r="BP68" s="23">
        <v>1.717599481344223E-2</v>
      </c>
      <c r="BQ68" s="18">
        <v>3.7357907742261887E-2</v>
      </c>
      <c r="BR68" s="286">
        <v>7.014872133731842E-2</v>
      </c>
      <c r="BS68" s="23">
        <v>1.9580688327550888E-2</v>
      </c>
      <c r="BT68" s="18">
        <v>3.2541617751121521E-2</v>
      </c>
      <c r="BU68" s="14">
        <v>5.0426037050783634E-3</v>
      </c>
      <c r="BV68" s="12">
        <v>1.1706900782883167E-2</v>
      </c>
      <c r="BW68" s="22">
        <v>2.1601725369691849E-2</v>
      </c>
      <c r="BX68" s="72">
        <v>0.21313419938087463</v>
      </c>
      <c r="BY68" s="282">
        <v>0.33084568381309509</v>
      </c>
      <c r="BZ68" s="19">
        <v>5.2361167967319489E-2</v>
      </c>
      <c r="CA68" s="293">
        <v>0.44112274050712585</v>
      </c>
      <c r="CB68" s="15">
        <v>3.085038997232914E-2</v>
      </c>
      <c r="CC68" s="19">
        <v>5.0433989614248276E-2</v>
      </c>
      <c r="CD68" s="20">
        <v>0.12925802171230316</v>
      </c>
      <c r="CE68" s="70">
        <v>0.15480385720729828</v>
      </c>
      <c r="CF68" s="286">
        <v>6.8467184901237488E-2</v>
      </c>
      <c r="CG68"/>
      <c r="CH68"/>
      <c r="CI68" s="145">
        <v>0.2988508939743042</v>
      </c>
      <c r="CJ68"/>
      <c r="CK68" s="332">
        <v>0.58606892824172974</v>
      </c>
      <c r="CL68"/>
      <c r="CM68"/>
      <c r="CN68"/>
      <c r="CO68"/>
      <c r="CP68" s="329">
        <v>0.22042448818683624</v>
      </c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260</v>
      </c>
      <c r="B69">
        <v>5</v>
      </c>
      <c r="C69">
        <v>2.2858476638793945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 s="11">
        <v>6.2322496887645684E-6</v>
      </c>
      <c r="T69" s="11">
        <v>9.9514517933130264E-4</v>
      </c>
      <c r="U69" s="11">
        <v>5.7375489268451929E-4</v>
      </c>
      <c r="V69"/>
      <c r="W69"/>
      <c r="X69"/>
      <c r="Y69"/>
      <c r="Z69"/>
      <c r="AA69"/>
      <c r="AB69"/>
      <c r="AC69" s="11">
        <v>7.3273410089313984E-4</v>
      </c>
      <c r="AD69" s="11">
        <v>5.724064540117979E-4</v>
      </c>
      <c r="AE69"/>
      <c r="AF69" s="11">
        <v>1.6660891560604796E-5</v>
      </c>
      <c r="AG69" s="11">
        <v>2.7120238883071579E-5</v>
      </c>
      <c r="AH69" s="11">
        <v>2.5887438823701814E-5</v>
      </c>
      <c r="AI69" s="11">
        <v>7.4610056799429003E-6</v>
      </c>
      <c r="AJ69" s="11">
        <v>3.3893424551934004E-4</v>
      </c>
      <c r="AK69" s="11">
        <v>4.4843475916422904E-4</v>
      </c>
      <c r="AL69" s="11">
        <v>1.8199392798123881E-5</v>
      </c>
      <c r="AM69" s="11">
        <v>4.9594927986618131E-6</v>
      </c>
      <c r="AN69" s="11">
        <v>3.5885557736037299E-5</v>
      </c>
      <c r="AO69" s="11">
        <v>1.0904238479270134E-5</v>
      </c>
      <c r="AP69"/>
      <c r="AQ69" s="11">
        <v>8.0869271187111735E-4</v>
      </c>
      <c r="AR69" s="11">
        <v>1.8866524624172598E-4</v>
      </c>
      <c r="AS69" s="11">
        <v>1.5985759091563523E-4</v>
      </c>
      <c r="AT69"/>
      <c r="AU69"/>
      <c r="AV69"/>
      <c r="AW69"/>
      <c r="AX69" s="11">
        <v>2.8759711422026157E-3</v>
      </c>
      <c r="AY69"/>
      <c r="AZ69" s="11">
        <v>3.1881214817985892E-4</v>
      </c>
      <c r="BA69" s="11">
        <v>2.8019963065162301E-4</v>
      </c>
      <c r="BB69" s="11">
        <v>6.4874242525547743E-5</v>
      </c>
      <c r="BC69" s="11">
        <v>2.7364093693904579E-4</v>
      </c>
      <c r="BD69" s="11">
        <v>1.6505848634551512E-6</v>
      </c>
      <c r="BE69"/>
      <c r="BF69"/>
      <c r="BG69" s="11">
        <v>3.8023619708837941E-5</v>
      </c>
      <c r="BH69"/>
      <c r="BI69" s="11">
        <v>2.1386017579061445E-6</v>
      </c>
      <c r="BJ69" s="11">
        <v>1.3791564851999283E-3</v>
      </c>
      <c r="BK69"/>
      <c r="BL69" s="11">
        <v>9.6752759418450296E-5</v>
      </c>
      <c r="BM69" s="11">
        <v>2.3950317699927837E-4</v>
      </c>
      <c r="BN69" s="11">
        <v>4.8477759264642373E-5</v>
      </c>
      <c r="BO69" s="11">
        <v>7.9257023753598332E-4</v>
      </c>
      <c r="BP69" s="11">
        <v>3.944918978959322E-3</v>
      </c>
      <c r="BQ69" s="11">
        <v>1.8170478288084269E-3</v>
      </c>
      <c r="BR69" s="11">
        <v>1.5405903104692698E-3</v>
      </c>
      <c r="BS69" s="11">
        <v>1.6146652633324265E-3</v>
      </c>
      <c r="BT69" s="14">
        <v>5.4631303064525127E-3</v>
      </c>
      <c r="BU69" s="11">
        <v>8.8812457397580147E-4</v>
      </c>
      <c r="BV69" s="11">
        <v>5.3275248501449823E-4</v>
      </c>
      <c r="BW69" s="11">
        <v>1.2554455315694213E-3</v>
      </c>
      <c r="BX69" s="15">
        <v>4.5539360493421555E-2</v>
      </c>
      <c r="BY69" s="16">
        <v>7.8459270298480988E-2</v>
      </c>
      <c r="BZ69" s="11">
        <v>2.1211388520896435E-3</v>
      </c>
      <c r="CA69" s="17">
        <v>7.332504540681839E-2</v>
      </c>
      <c r="CB69" s="14">
        <v>5.1194541156291962E-3</v>
      </c>
      <c r="CC69" s="14">
        <v>6.8767094053328037E-3</v>
      </c>
      <c r="CD69" s="22">
        <v>4.1774511337280273E-2</v>
      </c>
      <c r="CE69" s="19">
        <v>8.7059572339057922E-2</v>
      </c>
      <c r="CF69" s="14">
        <v>1.1233245953917503E-2</v>
      </c>
      <c r="CG69"/>
      <c r="CH69"/>
      <c r="CI69" s="16">
        <v>7.479974627494812E-2</v>
      </c>
      <c r="CJ69"/>
      <c r="CK69" s="65">
        <v>0.10383206605911255</v>
      </c>
      <c r="CL69"/>
      <c r="CM69" s="15">
        <v>5.3511727601289749E-2</v>
      </c>
      <c r="CN69"/>
      <c r="CO69" s="18">
        <v>5.8752007782459259E-2</v>
      </c>
      <c r="CP69"/>
      <c r="CQ69"/>
      <c r="CR69" s="352">
        <v>2.0433080196380615</v>
      </c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261</v>
      </c>
      <c r="B70">
        <v>6</v>
      </c>
      <c r="C70">
        <v>6.8083405494689941E-2</v>
      </c>
      <c r="D70"/>
      <c r="E70"/>
      <c r="F70"/>
      <c r="G70"/>
      <c r="H70"/>
      <c r="I70" s="11">
        <v>2.2705933133693179E-6</v>
      </c>
      <c r="J70"/>
      <c r="K70"/>
      <c r="L70" s="9">
        <v>4.301073275314593E-9</v>
      </c>
      <c r="M70" s="11">
        <v>7.9140005482258857E-7</v>
      </c>
      <c r="N70" s="11">
        <v>3.2804295187816024E-4</v>
      </c>
      <c r="O70" s="11">
        <v>6.5376332258892944E-7</v>
      </c>
      <c r="P70"/>
      <c r="Q70"/>
      <c r="R70"/>
      <c r="S70" s="11">
        <v>1.4838666174910031E-5</v>
      </c>
      <c r="T70"/>
      <c r="U70" s="11">
        <v>2.7655935355141992E-6</v>
      </c>
      <c r="V70"/>
      <c r="W70"/>
      <c r="X70"/>
      <c r="Y70"/>
      <c r="Z70"/>
      <c r="AA70"/>
      <c r="AB70" s="11">
        <v>1.1058506788685918E-3</v>
      </c>
      <c r="AC70" s="11">
        <v>9.6352642867714167E-4</v>
      </c>
      <c r="AD70" s="11">
        <v>1.8036029359791428E-4</v>
      </c>
      <c r="AE70" s="11">
        <v>4.3116982851643115E-5</v>
      </c>
      <c r="AF70" s="11">
        <v>3.6335728509584442E-5</v>
      </c>
      <c r="AG70" s="11">
        <v>1.5170873666647822E-4</v>
      </c>
      <c r="AH70" s="11">
        <v>5.978443005005829E-5</v>
      </c>
      <c r="AI70" s="11">
        <v>8.5461842900258489E-6</v>
      </c>
      <c r="AJ70" s="11">
        <v>6.8056979216635227E-4</v>
      </c>
      <c r="AK70" s="11">
        <v>1.5725656412541866E-3</v>
      </c>
      <c r="AL70" s="11">
        <v>5.8359877584734932E-5</v>
      </c>
      <c r="AM70" s="11">
        <v>5.7003221627383027E-6</v>
      </c>
      <c r="AN70" s="11">
        <v>8.732794231036678E-5</v>
      </c>
      <c r="AO70" s="11">
        <v>1.9877485101460479E-5</v>
      </c>
      <c r="AP70" s="11">
        <v>6.1103164625819772E-5</v>
      </c>
      <c r="AQ70" s="11">
        <v>1.4121569693088531E-3</v>
      </c>
      <c r="AR70" s="11">
        <v>3.2294288394041359E-4</v>
      </c>
      <c r="AS70" s="11">
        <v>6.9546827580779791E-4</v>
      </c>
      <c r="AT70" s="11">
        <v>2.8732091550409677E-7</v>
      </c>
      <c r="AU70" s="11">
        <v>1.806695363484323E-4</v>
      </c>
      <c r="AV70" s="11">
        <v>2.7472917736304225E-6</v>
      </c>
      <c r="AW70" s="11">
        <v>8.5861043771728873E-4</v>
      </c>
      <c r="AX70" s="14">
        <v>7.7307312749326229E-3</v>
      </c>
      <c r="AY70" s="11">
        <v>1.868929248303175E-4</v>
      </c>
      <c r="AZ70" s="11">
        <v>4.2605740600265563E-4</v>
      </c>
      <c r="BA70" s="11">
        <v>5.9970997972413898E-4</v>
      </c>
      <c r="BB70" s="11">
        <v>5.7818123605102301E-4</v>
      </c>
      <c r="BC70" s="11">
        <v>1.875906833447516E-3</v>
      </c>
      <c r="BD70" s="11">
        <v>1.3535285834223032E-3</v>
      </c>
      <c r="BE70" s="11">
        <v>9.2569837579503655E-4</v>
      </c>
      <c r="BF70" s="11">
        <v>2.1245290990918875E-3</v>
      </c>
      <c r="BG70" s="11">
        <v>3.2925498089753091E-4</v>
      </c>
      <c r="BH70" s="11">
        <v>1.4414151664823294E-3</v>
      </c>
      <c r="BI70" s="14">
        <v>7.499366533011198E-3</v>
      </c>
      <c r="BJ70" s="14">
        <v>8.0279968678951263E-3</v>
      </c>
      <c r="BK70" s="11">
        <v>2.6663497556000948E-4</v>
      </c>
      <c r="BL70" s="11">
        <v>1.7276821017730981E-4</v>
      </c>
      <c r="BM70" s="11">
        <v>4.9762590788304806E-4</v>
      </c>
      <c r="BN70" s="11">
        <v>1.6553072782699019E-4</v>
      </c>
      <c r="BO70" s="11">
        <v>1.0852697305381298E-3</v>
      </c>
      <c r="BP70" s="14">
        <v>9.3051642179489136E-3</v>
      </c>
      <c r="BQ70" s="11">
        <v>5.5336114019155502E-3</v>
      </c>
      <c r="BR70" s="14">
        <v>1.0390282608568668E-2</v>
      </c>
      <c r="BS70" s="11">
        <v>2.5281470734626055E-3</v>
      </c>
      <c r="BT70" s="14">
        <v>1.1075957678258419E-2</v>
      </c>
      <c r="BU70" s="11">
        <v>1.7980127595365047E-3</v>
      </c>
      <c r="BV70" s="11">
        <v>3.178085433319211E-3</v>
      </c>
      <c r="BW70" s="11">
        <v>3.9553586393594742E-3</v>
      </c>
      <c r="BX70" s="22">
        <v>5.256132036447525E-2</v>
      </c>
      <c r="BY70" s="26">
        <v>0.14791253209114075</v>
      </c>
      <c r="BZ70" s="14">
        <v>9.0494612231850624E-3</v>
      </c>
      <c r="CA70" s="25">
        <v>0.18252579867839813</v>
      </c>
      <c r="CB70" s="14">
        <v>9.1709662228822708E-3</v>
      </c>
      <c r="CC70" s="14">
        <v>7.361267227679491E-3</v>
      </c>
      <c r="CD70" s="22">
        <v>4.1456326842308044E-2</v>
      </c>
      <c r="CE70" s="23">
        <v>4.0701806545257568E-2</v>
      </c>
      <c r="CF70" s="14">
        <v>1.657424122095108E-2</v>
      </c>
      <c r="CG70" s="11">
        <v>5.479792132973671E-3</v>
      </c>
      <c r="CH70" s="22">
        <v>4.7395717352628708E-2</v>
      </c>
      <c r="CI70" s="19">
        <v>0.10189089924097061</v>
      </c>
      <c r="CJ70" s="17">
        <v>7.6942697167396545E-2</v>
      </c>
      <c r="CK70" s="25">
        <v>0.19243353605270386</v>
      </c>
      <c r="CL70" s="18">
        <v>7.4589751660823822E-2</v>
      </c>
      <c r="CM70" s="22">
        <v>4.1218381375074387E-2</v>
      </c>
      <c r="CN70" s="20">
        <v>0.2562815248966217</v>
      </c>
      <c r="CO70" s="349">
        <v>0.81469440460205078</v>
      </c>
      <c r="CP70" s="290">
        <v>0.44258308410644531</v>
      </c>
      <c r="CQ70" s="12">
        <v>2.0200012251734734E-2</v>
      </c>
      <c r="CR70" s="354">
        <v>3.1732509136199951</v>
      </c>
      <c r="CS70"/>
      <c r="CT70" s="17">
        <v>8.5733577609062195E-2</v>
      </c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262</v>
      </c>
      <c r="B71">
        <v>10</v>
      </c>
      <c r="C71">
        <v>5.0741434097290039E-3</v>
      </c>
      <c r="D71"/>
      <c r="E71"/>
      <c r="F71"/>
      <c r="G71"/>
      <c r="H71"/>
      <c r="I71"/>
      <c r="J71"/>
      <c r="K71"/>
      <c r="L71"/>
      <c r="M71"/>
      <c r="N71"/>
      <c r="O71" s="11">
        <v>1.0788476356538013E-4</v>
      </c>
      <c r="P71"/>
      <c r="Q71"/>
      <c r="R71"/>
      <c r="S71"/>
      <c r="T71"/>
      <c r="U71"/>
      <c r="V71"/>
      <c r="W71"/>
      <c r="X71"/>
      <c r="Y71"/>
      <c r="Z71"/>
      <c r="AA71"/>
      <c r="AB71" s="11">
        <v>1.2499343138188124E-3</v>
      </c>
      <c r="AC71" s="11">
        <v>1.0068081319332123E-3</v>
      </c>
      <c r="AD71" s="11">
        <v>8.5787061834707856E-5</v>
      </c>
      <c r="AE71" s="11">
        <v>1.0497622497496195E-5</v>
      </c>
      <c r="AF71" s="11">
        <v>2.2492495190817863E-5</v>
      </c>
      <c r="AG71" s="11">
        <v>5.1214614359196275E-5</v>
      </c>
      <c r="AH71" s="11">
        <v>1.0917437975876965E-5</v>
      </c>
      <c r="AI71" s="11">
        <v>9.1734391389763914E-6</v>
      </c>
      <c r="AJ71" s="11">
        <v>5.8156426530331373E-4</v>
      </c>
      <c r="AK71" s="11">
        <v>8.7277247803285718E-4</v>
      </c>
      <c r="AL71" s="11">
        <v>4.960287333233282E-5</v>
      </c>
      <c r="AM71" s="11">
        <v>6.059165571059566E-6</v>
      </c>
      <c r="AN71" s="11">
        <v>8.9056404249276966E-5</v>
      </c>
      <c r="AO71" s="11">
        <v>1.5519828593824059E-5</v>
      </c>
      <c r="AP71" s="11">
        <v>6.9363632064778358E-5</v>
      </c>
      <c r="AQ71" s="11">
        <v>1.1851894669234753E-3</v>
      </c>
      <c r="AR71" s="11">
        <v>5.5695191258564591E-4</v>
      </c>
      <c r="AS71" s="11">
        <v>6.0993512306595221E-5</v>
      </c>
      <c r="AT71" s="11">
        <v>8.9484899945091456E-5</v>
      </c>
      <c r="AU71" s="11">
        <v>2.196059504058212E-4</v>
      </c>
      <c r="AV71" s="11">
        <v>9.2140061315149069E-4</v>
      </c>
      <c r="AW71" s="11">
        <v>3.2578318496234715E-4</v>
      </c>
      <c r="AX71" s="11">
        <v>3.407306969165802E-3</v>
      </c>
      <c r="AY71" s="11">
        <v>2.0839228818658739E-4</v>
      </c>
      <c r="AZ71" s="11">
        <v>5.0602282863110304E-4</v>
      </c>
      <c r="BA71" s="11">
        <v>2.3408436391036958E-4</v>
      </c>
      <c r="BB71" s="11">
        <v>1.1696755973389372E-4</v>
      </c>
      <c r="BC71" s="11">
        <v>2.9203848680481315E-4</v>
      </c>
      <c r="BD71" s="11">
        <v>8.4206060273572803E-4</v>
      </c>
      <c r="BE71" s="11">
        <v>4.2750625652843155E-6</v>
      </c>
      <c r="BF71"/>
      <c r="BG71" s="11">
        <v>3.7990958662703633E-4</v>
      </c>
      <c r="BH71" s="11">
        <v>2.4288767690450186E-6</v>
      </c>
      <c r="BI71" s="11">
        <v>1.3160625712771434E-5</v>
      </c>
      <c r="BJ71"/>
      <c r="BK71" s="11">
        <v>1.0378050501458347E-4</v>
      </c>
      <c r="BL71" s="11">
        <v>1.4885039126966149E-4</v>
      </c>
      <c r="BM71" s="11">
        <v>3.2680307049304247E-4</v>
      </c>
      <c r="BN71" s="11">
        <v>9.17173529160209E-5</v>
      </c>
      <c r="BO71" s="11">
        <v>9.7491458291187882E-4</v>
      </c>
      <c r="BP71" s="14">
        <v>1.1771859601140022E-2</v>
      </c>
      <c r="BQ71" s="11">
        <v>4.4612567871809006E-3</v>
      </c>
      <c r="BR71" s="14">
        <v>1.1059307493269444E-2</v>
      </c>
      <c r="BS71" s="11">
        <v>2.3621378932148218E-3</v>
      </c>
      <c r="BT71" s="11">
        <v>9.1114714741706848E-3</v>
      </c>
      <c r="BU71" s="11">
        <v>1.8631333950906992E-3</v>
      </c>
      <c r="BV71" s="11">
        <v>2.4827404413372278E-3</v>
      </c>
      <c r="BW71" s="11">
        <v>2.3432127200067043E-3</v>
      </c>
      <c r="BX71" s="23">
        <v>6.6167227923870087E-2</v>
      </c>
      <c r="BY71" s="18">
        <v>0.11627904325723648</v>
      </c>
      <c r="BZ71" s="11">
        <v>3.7531708367168903E-3</v>
      </c>
      <c r="CA71" s="18">
        <v>0.12583924829959869</v>
      </c>
      <c r="CB71" s="11">
        <v>6.6515039652585983E-3</v>
      </c>
      <c r="CC71" s="11">
        <v>7.536585908383131E-3</v>
      </c>
      <c r="CD71" s="23">
        <v>5.6665319949388504E-2</v>
      </c>
      <c r="CE71" s="23">
        <v>5.6771781295537949E-2</v>
      </c>
      <c r="CF71" s="12">
        <v>3.3193446695804596E-2</v>
      </c>
      <c r="CG71" s="15">
        <v>9.8043009638786316E-2</v>
      </c>
      <c r="CH71" s="15">
        <v>9.2764846980571747E-2</v>
      </c>
      <c r="CI71" s="19">
        <v>0.17619961500167847</v>
      </c>
      <c r="CJ71" s="25">
        <v>0.30873855948448181</v>
      </c>
      <c r="CK71" s="25">
        <v>0.311553955078125</v>
      </c>
      <c r="CL71" s="15">
        <v>0.10438941419124603</v>
      </c>
      <c r="CM71" s="16">
        <v>0.15364232659339905</v>
      </c>
      <c r="CN71" s="69">
        <v>0.91865086555480957</v>
      </c>
      <c r="CO71"/>
      <c r="CP71"/>
      <c r="CQ71" s="21">
        <v>0.19423097372055054</v>
      </c>
      <c r="CR71"/>
      <c r="CS71" s="355">
        <v>7.1031489372253418</v>
      </c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263</v>
      </c>
      <c r="B72">
        <v>6</v>
      </c>
      <c r="C72">
        <v>0.14898920059204102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 s="11">
        <v>1.4615514373872429E-5</v>
      </c>
      <c r="V72"/>
      <c r="W72"/>
      <c r="X72"/>
      <c r="Y72"/>
      <c r="Z72"/>
      <c r="AA72"/>
      <c r="AB72" s="11">
        <v>9.6058001508936286E-4</v>
      </c>
      <c r="AC72" s="11">
        <v>9.7651226678863168E-4</v>
      </c>
      <c r="AD72" s="11">
        <v>7.2870578151196241E-5</v>
      </c>
      <c r="AE72" s="11">
        <v>1.0497624316485599E-5</v>
      </c>
      <c r="AF72" s="11">
        <v>2.1664287487510592E-5</v>
      </c>
      <c r="AG72" s="11">
        <v>3.8559952372452244E-5</v>
      </c>
      <c r="AH72" s="11">
        <v>3.4116481401724741E-5</v>
      </c>
      <c r="AI72" s="11">
        <v>7.1374101935361978E-6</v>
      </c>
      <c r="AJ72" s="11">
        <v>6.7016150569543242E-4</v>
      </c>
      <c r="AK72" s="11">
        <v>9.3225861201062799E-4</v>
      </c>
      <c r="AL72" s="11">
        <v>3.4192893508588895E-5</v>
      </c>
      <c r="AM72" s="11">
        <v>4.6169684537744615E-6</v>
      </c>
      <c r="AN72" s="11">
        <v>6.335179932648316E-5</v>
      </c>
      <c r="AO72" s="11">
        <v>6.2344106481759809E-6</v>
      </c>
      <c r="AP72" s="11">
        <v>2.583371133368928E-5</v>
      </c>
      <c r="AQ72" s="11">
        <v>1.3658478856086731E-3</v>
      </c>
      <c r="AR72" s="11">
        <v>4.9098336603492498E-4</v>
      </c>
      <c r="AS72" s="11">
        <v>1.963632385013625E-4</v>
      </c>
      <c r="AT72"/>
      <c r="AU72" s="11">
        <v>1.6674921789672226E-4</v>
      </c>
      <c r="AV72" s="11">
        <v>5.9400990721769631E-6</v>
      </c>
      <c r="AW72" s="11">
        <v>7.8482268145307899E-4</v>
      </c>
      <c r="AX72" s="14">
        <v>6.6489307209849358E-3</v>
      </c>
      <c r="AY72" s="11">
        <v>2.3910755407996476E-4</v>
      </c>
      <c r="AZ72" s="11">
        <v>5.9758150018751621E-4</v>
      </c>
      <c r="BA72" s="11">
        <v>5.3027208195999265E-4</v>
      </c>
      <c r="BB72" s="11">
        <v>3.0642835190519691E-4</v>
      </c>
      <c r="BC72" s="11">
        <v>1.2354452628642321E-3</v>
      </c>
      <c r="BD72" s="11">
        <v>8.4206060273572803E-4</v>
      </c>
      <c r="BE72" s="11">
        <v>3.7551171772065572E-7</v>
      </c>
      <c r="BF72"/>
      <c r="BG72" s="11">
        <v>3.7990955752320588E-4</v>
      </c>
      <c r="BH72" s="11">
        <v>3.8402445170504507E-6</v>
      </c>
      <c r="BI72" s="11">
        <v>2.3120028345147148E-5</v>
      </c>
      <c r="BJ72" s="11">
        <v>3.1749310437589884E-3</v>
      </c>
      <c r="BK72" s="11">
        <v>1.0378049773862585E-4</v>
      </c>
      <c r="BL72" s="11">
        <v>1.061837756424211E-4</v>
      </c>
      <c r="BM72" s="11">
        <v>3.1650584423914552E-4</v>
      </c>
      <c r="BN72" s="11">
        <v>9.8658703791443259E-5</v>
      </c>
      <c r="BO72" s="11">
        <v>9.8111736588180065E-4</v>
      </c>
      <c r="BP72" s="14">
        <v>8.0981049686670303E-3</v>
      </c>
      <c r="BQ72" s="11">
        <v>4.9902517348527908E-3</v>
      </c>
      <c r="BR72" s="14">
        <v>1.0812697000801563E-2</v>
      </c>
      <c r="BS72" s="11">
        <v>3.7120145279914141E-3</v>
      </c>
      <c r="BT72" s="14">
        <v>7.7124214731156826E-3</v>
      </c>
      <c r="BU72" s="11">
        <v>1.2151105329394341E-3</v>
      </c>
      <c r="BV72" s="11">
        <v>2.6265336200594902E-3</v>
      </c>
      <c r="BW72" s="11">
        <v>2.263140631839633E-3</v>
      </c>
      <c r="BX72" s="15">
        <v>6.0832764953374863E-2</v>
      </c>
      <c r="BY72" s="148">
        <v>0.17950466275215149</v>
      </c>
      <c r="BZ72" s="11">
        <v>4.0580905042588711E-3</v>
      </c>
      <c r="CA72" s="65">
        <v>0.12521965801715851</v>
      </c>
      <c r="CB72" s="14">
        <v>7.6182885095477104E-3</v>
      </c>
      <c r="CC72" s="14">
        <v>7.7731297351419926E-3</v>
      </c>
      <c r="CD72" s="22">
        <v>5.1046337932348251E-2</v>
      </c>
      <c r="CE72" s="22">
        <v>4.4195953756570816E-2</v>
      </c>
      <c r="CF72" s="14">
        <v>1.7361694946885109E-2</v>
      </c>
      <c r="CG72"/>
      <c r="CH72" s="23">
        <v>3.6240499466657639E-2</v>
      </c>
      <c r="CI72" s="21">
        <v>0.11926323920488358</v>
      </c>
      <c r="CJ72" s="18">
        <v>7.0259928703308105E-2</v>
      </c>
      <c r="CK72" s="26">
        <v>0.1560656875371933</v>
      </c>
      <c r="CL72" s="18">
        <v>7.2698608040809631E-2</v>
      </c>
      <c r="CM72" s="23">
        <v>3.4135155379772186E-2</v>
      </c>
      <c r="CN72" s="12">
        <v>2.6053592562675476E-2</v>
      </c>
      <c r="CO72" s="351">
        <v>0.90441346168518066</v>
      </c>
      <c r="CP72" s="279">
        <v>0.75876432657241821</v>
      </c>
      <c r="CQ72" s="23">
        <v>3.6396432667970657E-2</v>
      </c>
      <c r="CR72" s="353">
        <v>2.2160835266113281</v>
      </c>
      <c r="CS72"/>
      <c r="CT72" s="350">
        <v>0.85912352800369263</v>
      </c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 t="s">
        <v>264</v>
      </c>
      <c r="B73">
        <v>27.5</v>
      </c>
      <c r="C73">
        <v>25.20587158203125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 s="11">
        <v>4.3225113768130541E-4</v>
      </c>
      <c r="AC73"/>
      <c r="AD73" s="11">
        <v>2.8749072953360155E-5</v>
      </c>
      <c r="AE73" s="11">
        <v>1.7112131899921224E-5</v>
      </c>
      <c r="AF73"/>
      <c r="AG73" s="11">
        <v>1.437878017895855E-5</v>
      </c>
      <c r="AH73" s="11">
        <v>1.0673375072656199E-5</v>
      </c>
      <c r="AI73" s="11">
        <v>2.0150339423707919E-6</v>
      </c>
      <c r="AJ73" s="11">
        <v>1.1825521505670622E-4</v>
      </c>
      <c r="AK73" s="11">
        <v>1.9399018492549658E-4</v>
      </c>
      <c r="AL73" s="11">
        <v>1.0104306966240983E-5</v>
      </c>
      <c r="AM73" s="11">
        <v>1.7823564348873333E-6</v>
      </c>
      <c r="AN73" s="11">
        <v>1.7904025298776105E-5</v>
      </c>
      <c r="AO73" s="11">
        <v>5.3067687986185774E-6</v>
      </c>
      <c r="AP73"/>
      <c r="AQ73" s="11">
        <v>2.7068573399446905E-4</v>
      </c>
      <c r="AR73"/>
      <c r="AS73"/>
      <c r="AT73"/>
      <c r="AU73"/>
      <c r="AV73"/>
      <c r="AW73"/>
      <c r="AX73" s="11">
        <v>6.6352862631902099E-4</v>
      </c>
      <c r="AY73" s="11">
        <v>6.2878330936655402E-5</v>
      </c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1">
        <v>1.9984323444077745E-5</v>
      </c>
      <c r="BO73" s="11">
        <v>2.7620609034784138E-4</v>
      </c>
      <c r="BP73" s="11">
        <v>8.6550763808190823E-4</v>
      </c>
      <c r="BQ73" s="11">
        <v>5.0285761244595051E-4</v>
      </c>
      <c r="BR73" s="11">
        <v>2.2168499417603016E-3</v>
      </c>
      <c r="BS73" s="11">
        <v>5.1293446449562907E-4</v>
      </c>
      <c r="BT73" s="11">
        <v>2.4325756821781397E-3</v>
      </c>
      <c r="BU73" s="11">
        <v>3.2139199902303517E-4</v>
      </c>
      <c r="BV73" s="11">
        <v>6.6761666676029563E-4</v>
      </c>
      <c r="BW73"/>
      <c r="BX73" s="11">
        <v>7.6820510439574718E-3</v>
      </c>
      <c r="BY73" s="11">
        <v>2.0880281925201416E-2</v>
      </c>
      <c r="BZ73" s="11">
        <v>8.9565652888268232E-4</v>
      </c>
      <c r="CA73" s="11">
        <v>2.5228193029761314E-2</v>
      </c>
      <c r="CB73"/>
      <c r="CC73" s="11">
        <v>1.1985561577603221E-3</v>
      </c>
      <c r="CD73" s="11">
        <v>1.7565727233886719E-2</v>
      </c>
      <c r="CE73" s="14">
        <v>3.0475825071334839E-2</v>
      </c>
      <c r="CF73" s="11">
        <v>5.8879991993308067E-3</v>
      </c>
      <c r="CG73"/>
      <c r="CH73"/>
      <c r="CI73" s="11">
        <v>1.6575545072555542E-2</v>
      </c>
      <c r="CJ73" s="14">
        <v>3.0565708875656128E-2</v>
      </c>
      <c r="CK73" s="14">
        <v>3.9793353527784348E-2</v>
      </c>
      <c r="CL73" s="14">
        <v>4.2354699224233627E-2</v>
      </c>
      <c r="CM73" s="11">
        <v>1.0928617790341377E-2</v>
      </c>
      <c r="CN73"/>
      <c r="CO73" s="22">
        <v>0.23132780194282532</v>
      </c>
      <c r="CP73" s="11">
        <v>7.8221470175776631E-5</v>
      </c>
      <c r="CQ73"/>
      <c r="CR73" s="77">
        <v>1.8030247688293457</v>
      </c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 t="s">
        <v>265</v>
      </c>
      <c r="B74">
        <v>25</v>
      </c>
      <c r="C74">
        <v>24.739879608154297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1">
        <v>5.0866277888417244E-5</v>
      </c>
      <c r="AD74" s="11">
        <v>4.894747235084651E-6</v>
      </c>
      <c r="AE74" s="11">
        <v>3.3996657293755561E-6</v>
      </c>
      <c r="AF74" s="11">
        <v>1.3535554899135605E-6</v>
      </c>
      <c r="AG74" s="11">
        <v>2.8573610961757367E-6</v>
      </c>
      <c r="AH74" s="11">
        <v>2.1560201730608242E-6</v>
      </c>
      <c r="AI74" s="11">
        <v>3.953350926622079E-7</v>
      </c>
      <c r="AJ74" s="11">
        <v>2.356548975512851E-5</v>
      </c>
      <c r="AK74" s="11">
        <v>5.8547822845866904E-5</v>
      </c>
      <c r="AL74" s="11">
        <v>1.9499691461533075E-6</v>
      </c>
      <c r="AM74" s="11">
        <v>3.5766711903306714E-7</v>
      </c>
      <c r="AN74"/>
      <c r="AO74" s="11">
        <v>1.0542274822000763E-6</v>
      </c>
      <c r="AP74" s="11">
        <v>3.7529719065787503E-6</v>
      </c>
      <c r="AQ74" s="11">
        <v>4.6256776840891689E-5</v>
      </c>
      <c r="AR74" s="11">
        <v>2.830449739121832E-5</v>
      </c>
      <c r="AS74"/>
      <c r="AT74"/>
      <c r="AU74" s="11">
        <v>1.1748143151635304E-5</v>
      </c>
      <c r="AV74"/>
      <c r="AW74"/>
      <c r="AX74" s="11">
        <v>1.522406964795664E-4</v>
      </c>
      <c r="AY74" s="11">
        <v>1.5405506928800605E-5</v>
      </c>
      <c r="AZ74"/>
      <c r="BA74"/>
      <c r="BB74"/>
      <c r="BC74" s="11">
        <v>7.0157417212612927E-5</v>
      </c>
      <c r="BD74"/>
      <c r="BE74" s="11">
        <v>3.0504346796078607E-5</v>
      </c>
      <c r="BF74" s="11">
        <v>3.1024922009237343E-7</v>
      </c>
      <c r="BG74"/>
      <c r="BH74"/>
      <c r="BI74"/>
      <c r="BJ74"/>
      <c r="BK74"/>
      <c r="BL74"/>
      <c r="BM74"/>
      <c r="BN74"/>
      <c r="BO74"/>
      <c r="BP74"/>
      <c r="BQ74" s="11">
        <v>3.6591757088899612E-4</v>
      </c>
      <c r="BR74" s="11">
        <v>8.1069808220490813E-4</v>
      </c>
      <c r="BS74" s="11">
        <v>1.1004189582308754E-4</v>
      </c>
      <c r="BT74" s="11">
        <v>8.6463161278516054E-4</v>
      </c>
      <c r="BU74" s="11">
        <v>6.3855426560621709E-5</v>
      </c>
      <c r="BV74" s="11">
        <v>1.3464855146594346E-4</v>
      </c>
      <c r="BW74" s="11">
        <v>1.4128285693004727E-4</v>
      </c>
      <c r="BX74" s="11">
        <v>1.7021315870806575E-3</v>
      </c>
      <c r="BY74" s="11">
        <v>8.4852315485477448E-3</v>
      </c>
      <c r="BZ74" s="11">
        <v>1.766164496075362E-4</v>
      </c>
      <c r="CA74" s="11">
        <v>3.9931857027113438E-3</v>
      </c>
      <c r="CB74"/>
      <c r="CC74" s="11">
        <v>2.3773376597091556E-4</v>
      </c>
      <c r="CD74" s="11">
        <v>3.8353102281689644E-3</v>
      </c>
      <c r="CE74" s="11">
        <v>2.4154623970389366E-3</v>
      </c>
      <c r="CF74" s="11">
        <v>1.3015293516218662E-3</v>
      </c>
      <c r="CG74" s="11">
        <v>1.9844515190925449E-4</v>
      </c>
      <c r="CH74"/>
      <c r="CI74" s="11">
        <v>3.2937077339738607E-3</v>
      </c>
      <c r="CJ74"/>
      <c r="CK74" s="11">
        <v>8.4474319592118263E-3</v>
      </c>
      <c r="CL74" s="11">
        <v>9.8099373281002045E-3</v>
      </c>
      <c r="CM74" s="11">
        <v>2.1711520384997129E-3</v>
      </c>
      <c r="CN74"/>
      <c r="CO74"/>
      <c r="CP74"/>
      <c r="CQ74"/>
      <c r="CR74" s="22">
        <v>0.21105055510997772</v>
      </c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 t="s">
        <v>266</v>
      </c>
      <c r="B75">
        <v>160</v>
      </c>
      <c r="C75">
        <v>126.79311370849609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 s="11">
        <v>4.0656869532540441E-4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 s="11">
        <v>1.3889450929127634E-4</v>
      </c>
      <c r="BN75"/>
      <c r="BO75"/>
      <c r="BP75"/>
      <c r="BQ75" s="11">
        <v>8.0994999734684825E-4</v>
      </c>
      <c r="BR75" s="11">
        <v>2.6438087224960327E-3</v>
      </c>
      <c r="BS75" s="11">
        <v>7.7006086939945817E-4</v>
      </c>
      <c r="BT75" s="11">
        <v>5.3087105043232441E-3</v>
      </c>
      <c r="BU75"/>
      <c r="BV75"/>
      <c r="BW75" s="11">
        <v>1.0564560070633888E-3</v>
      </c>
      <c r="BX75" s="11">
        <v>2.0865030586719513E-2</v>
      </c>
      <c r="BY75" s="11">
        <v>3.2073825597763062E-2</v>
      </c>
      <c r="BZ75"/>
      <c r="CA75" s="11">
        <v>3.7580471485853195E-2</v>
      </c>
      <c r="CB75"/>
      <c r="CC75" s="11">
        <v>1.8229893175885081E-3</v>
      </c>
      <c r="CD75" s="11">
        <v>1.4862976968288422E-2</v>
      </c>
      <c r="CE75" s="11">
        <v>1.9251829013228416E-2</v>
      </c>
      <c r="CF75" s="11">
        <v>1.4682882465422153E-3</v>
      </c>
      <c r="CG75"/>
      <c r="CH75"/>
      <c r="CI75" s="11">
        <v>3.0329020693898201E-2</v>
      </c>
      <c r="CJ75" s="14">
        <v>0.25897574424743652</v>
      </c>
      <c r="CK75" s="11">
        <v>9.0648040175437927E-2</v>
      </c>
      <c r="CL75" s="11">
        <v>9.7174130380153656E-2</v>
      </c>
      <c r="CM75" s="11">
        <v>2.09059938788414E-2</v>
      </c>
      <c r="CN75"/>
      <c r="CO75" s="14">
        <v>0.2278195321559906</v>
      </c>
      <c r="CP75"/>
      <c r="CQ75" s="20">
        <v>7.0457673072814941</v>
      </c>
      <c r="CR75" s="21">
        <v>3.1588349342346191</v>
      </c>
      <c r="CS75" s="69">
        <v>14.901145935058594</v>
      </c>
      <c r="CT75" s="300">
        <v>7.2362275123596191</v>
      </c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 t="s">
        <v>267</v>
      </c>
      <c r="B76"/>
      <c r="C76">
        <v>6.8230085074901581E-2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 s="9">
        <v>1.5853783115744591E-2</v>
      </c>
      <c r="AC76" s="9">
        <v>2.9635617509484291E-2</v>
      </c>
      <c r="AD76"/>
      <c r="AE76" s="9">
        <v>7.1990129072219133E-4</v>
      </c>
      <c r="AF76" s="9">
        <v>3.1777782714925706E-4</v>
      </c>
      <c r="AG76" s="9">
        <v>1.0257126996293664E-3</v>
      </c>
      <c r="AH76" s="9">
        <v>8.2624657079577446E-4</v>
      </c>
      <c r="AI76" s="9">
        <v>1.1203923349967226E-4</v>
      </c>
      <c r="AJ76" s="9">
        <v>7.6421871781349182E-3</v>
      </c>
      <c r="AK76" s="9">
        <v>1.2052685022354126E-2</v>
      </c>
      <c r="AL76" s="9">
        <v>5.8431486831977963E-4</v>
      </c>
      <c r="AM76" s="9">
        <v>3.5801600461127236E-5</v>
      </c>
      <c r="AN76" s="9">
        <v>4.069027490913868E-4</v>
      </c>
      <c r="AO76" s="9">
        <v>2.5353286764584482E-4</v>
      </c>
      <c r="AP76" s="9">
        <v>3.3398985397070646E-4</v>
      </c>
      <c r="AQ76" s="9">
        <v>3.7593785673379898E-2</v>
      </c>
      <c r="AR76" s="9">
        <v>1.9256658852100372E-3</v>
      </c>
      <c r="AS76" s="9">
        <v>2.0395736210048199E-3</v>
      </c>
      <c r="AT76"/>
      <c r="AU76" s="9">
        <v>3.5442935768514872E-3</v>
      </c>
      <c r="AV76"/>
      <c r="AW76" s="9">
        <v>8.1819407641887665E-3</v>
      </c>
      <c r="AX76" s="9">
        <v>0.13638953864574432</v>
      </c>
      <c r="AY76" s="9">
        <v>1.8810253823176026E-3</v>
      </c>
      <c r="AZ76"/>
      <c r="BA76" s="9">
        <v>2.0276367664337158E-2</v>
      </c>
      <c r="BB76"/>
      <c r="BC76"/>
      <c r="BD76" s="9">
        <v>4.1199665516614914E-2</v>
      </c>
      <c r="BE76"/>
      <c r="BF76"/>
      <c r="BG76" s="9">
        <v>8.0951102077960968E-2</v>
      </c>
      <c r="BH76"/>
      <c r="BI76"/>
      <c r="BJ76" s="9">
        <v>4.7809062525629997E-3</v>
      </c>
      <c r="BK76" s="9">
        <v>6.666453555226326E-4</v>
      </c>
      <c r="BL76" s="9">
        <v>8.9476967696100473E-4</v>
      </c>
      <c r="BM76" s="9">
        <v>5.6763244792819023E-3</v>
      </c>
      <c r="BN76" s="9">
        <v>7.0533290272578597E-4</v>
      </c>
      <c r="BO76" s="9">
        <v>1.7869485542178154E-2</v>
      </c>
      <c r="BP76" s="9">
        <v>5.4654311388731003E-2</v>
      </c>
      <c r="BQ76" s="9">
        <v>4.808005690574646E-2</v>
      </c>
      <c r="BR76" s="9">
        <v>0.17904180288314819</v>
      </c>
      <c r="BS76" s="9">
        <v>3.1424786895513535E-2</v>
      </c>
      <c r="BT76" s="9">
        <v>0.18305537104606628</v>
      </c>
      <c r="BU76" s="9">
        <v>2.9953422024846077E-2</v>
      </c>
      <c r="BV76" s="9">
        <v>4.9486704170703888E-2</v>
      </c>
      <c r="BW76" s="9">
        <v>5.8491211384534836E-2</v>
      </c>
      <c r="BX76" s="9">
        <v>0.51399177312850952</v>
      </c>
      <c r="BY76" s="9">
        <v>1.1721876859664917</v>
      </c>
      <c r="BZ76" s="9">
        <v>6.9409497082233429E-2</v>
      </c>
      <c r="CA76" s="9">
        <v>1.7824234962463379</v>
      </c>
      <c r="CB76" s="9">
        <v>4.3375711888074875E-2</v>
      </c>
      <c r="CC76" s="9">
        <v>0.36052078008651733</v>
      </c>
      <c r="CD76" s="9">
        <v>0.47003951668739319</v>
      </c>
      <c r="CE76" s="9">
        <v>0.75245118141174316</v>
      </c>
      <c r="CF76" s="9">
        <v>0.28460219502449036</v>
      </c>
      <c r="CG76"/>
      <c r="CH76"/>
      <c r="CI76" s="9">
        <v>1.2756507396697998</v>
      </c>
      <c r="CJ76" s="9">
        <v>1.0201984643936157</v>
      </c>
      <c r="CK76" s="9">
        <v>1.4540597200393677</v>
      </c>
      <c r="CL76" s="9">
        <v>1.0536714792251587</v>
      </c>
      <c r="CM76" s="9">
        <v>0.31942641735076904</v>
      </c>
      <c r="CN76" s="9">
        <v>0.48784548044204712</v>
      </c>
      <c r="CO76" s="9">
        <v>3.3638401031494141</v>
      </c>
      <c r="CP76" s="9">
        <v>1.1394689083099365</v>
      </c>
      <c r="CQ76" s="9">
        <v>160.35447692871094</v>
      </c>
      <c r="CR76" s="9">
        <v>110.20438385009766</v>
      </c>
      <c r="CS76" s="9">
        <v>55.130405426025391</v>
      </c>
      <c r="CT76" s="9">
        <v>208.87367248535156</v>
      </c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 t="s">
        <v>268</v>
      </c>
      <c r="B77"/>
      <c r="C77">
        <v>0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60" workbookViewId="0">
      <selection activeCell="J74" sqref="J74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3.83203125" bestFit="1" customWidth="1"/>
    <col min="5" max="5" width="4.33203125" bestFit="1" customWidth="1"/>
    <col min="6" max="6" width="4.83203125" bestFit="1" customWidth="1"/>
    <col min="7" max="7" width="4.33203125" bestFit="1" customWidth="1"/>
    <col min="8" max="8" width="23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193</v>
      </c>
      <c r="E5">
        <v>4</v>
      </c>
      <c r="F5">
        <v>3</v>
      </c>
      <c r="G5">
        <v>4</v>
      </c>
      <c r="H5" s="200" t="s">
        <v>193</v>
      </c>
      <c r="J5" s="57"/>
      <c r="K5" s="58"/>
    </row>
    <row r="6" spans="1:12" ht="14" thickBot="1" x14ac:dyDescent="0.2">
      <c r="A6" s="41" t="s">
        <v>121</v>
      </c>
      <c r="D6" s="199" t="s">
        <v>194</v>
      </c>
      <c r="E6">
        <v>5</v>
      </c>
      <c r="F6">
        <v>3</v>
      </c>
      <c r="G6">
        <v>5</v>
      </c>
      <c r="H6" s="200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195</v>
      </c>
      <c r="E7">
        <v>6</v>
      </c>
      <c r="F7">
        <v>3</v>
      </c>
      <c r="G7">
        <v>6</v>
      </c>
      <c r="H7" s="200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196</v>
      </c>
      <c r="E8">
        <v>7</v>
      </c>
      <c r="F8">
        <v>3</v>
      </c>
      <c r="G8">
        <v>7</v>
      </c>
      <c r="H8" s="200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197</v>
      </c>
      <c r="E9">
        <v>8</v>
      </c>
      <c r="F9">
        <v>3</v>
      </c>
      <c r="G9">
        <v>8</v>
      </c>
      <c r="H9" s="200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198</v>
      </c>
      <c r="E10">
        <v>9</v>
      </c>
      <c r="F10">
        <v>3</v>
      </c>
      <c r="G10">
        <v>9</v>
      </c>
      <c r="H10" s="200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199</v>
      </c>
      <c r="E11">
        <v>10</v>
      </c>
      <c r="F11">
        <v>3</v>
      </c>
      <c r="G11">
        <v>10</v>
      </c>
      <c r="H11" s="200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200</v>
      </c>
      <c r="E12">
        <v>11</v>
      </c>
      <c r="F12">
        <v>3</v>
      </c>
      <c r="G12">
        <v>11</v>
      </c>
      <c r="H12" s="200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201</v>
      </c>
      <c r="E13">
        <v>12</v>
      </c>
      <c r="F13">
        <v>3</v>
      </c>
      <c r="G13">
        <v>12</v>
      </c>
      <c r="H13" s="200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202</v>
      </c>
      <c r="E14">
        <v>13</v>
      </c>
      <c r="F14">
        <v>3</v>
      </c>
      <c r="G14">
        <v>13</v>
      </c>
      <c r="H14" s="200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203</v>
      </c>
      <c r="E15">
        <v>14</v>
      </c>
      <c r="F15">
        <v>3</v>
      </c>
      <c r="G15">
        <v>14</v>
      </c>
      <c r="H15" s="200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204</v>
      </c>
      <c r="E16">
        <v>15</v>
      </c>
      <c r="F16">
        <v>3</v>
      </c>
      <c r="G16">
        <v>15</v>
      </c>
      <c r="H16" s="200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205</v>
      </c>
      <c r="E17">
        <v>16</v>
      </c>
      <c r="F17">
        <v>3</v>
      </c>
      <c r="G17">
        <v>16</v>
      </c>
      <c r="H17" s="200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206</v>
      </c>
      <c r="E18">
        <v>17</v>
      </c>
      <c r="F18">
        <v>3</v>
      </c>
      <c r="G18">
        <v>17</v>
      </c>
      <c r="H18" s="200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207</v>
      </c>
      <c r="E19">
        <v>18</v>
      </c>
      <c r="F19">
        <v>3</v>
      </c>
      <c r="G19">
        <v>18</v>
      </c>
      <c r="H19" s="200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208</v>
      </c>
      <c r="E20">
        <v>19</v>
      </c>
      <c r="F20">
        <v>3</v>
      </c>
      <c r="G20">
        <v>19</v>
      </c>
      <c r="H20" s="200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209</v>
      </c>
      <c r="E21">
        <v>20</v>
      </c>
      <c r="F21">
        <v>3</v>
      </c>
      <c r="G21">
        <v>20</v>
      </c>
      <c r="H21" s="200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210</v>
      </c>
      <c r="E22">
        <v>21</v>
      </c>
      <c r="F22">
        <v>3</v>
      </c>
      <c r="G22">
        <v>21</v>
      </c>
      <c r="H22" s="200" t="s">
        <v>210</v>
      </c>
    </row>
    <row r="23" spans="1:12" x14ac:dyDescent="0.15">
      <c r="A23" s="36" t="s">
        <v>129</v>
      </c>
      <c r="B23" s="44">
        <v>4</v>
      </c>
      <c r="C23" s="38"/>
      <c r="D23" s="199" t="s">
        <v>211</v>
      </c>
      <c r="E23">
        <v>22</v>
      </c>
      <c r="F23">
        <v>3</v>
      </c>
      <c r="G23">
        <v>22</v>
      </c>
      <c r="H23" s="200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212</v>
      </c>
      <c r="E24">
        <v>23</v>
      </c>
      <c r="F24">
        <v>3</v>
      </c>
      <c r="G24">
        <v>23</v>
      </c>
      <c r="H24" s="200" t="s">
        <v>212</v>
      </c>
    </row>
    <row r="25" spans="1:12" x14ac:dyDescent="0.15">
      <c r="A25" s="36" t="s">
        <v>70</v>
      </c>
      <c r="B25" s="44">
        <v>4.2</v>
      </c>
      <c r="C25" s="38"/>
      <c r="D25" s="199" t="s">
        <v>213</v>
      </c>
      <c r="E25">
        <v>24</v>
      </c>
      <c r="F25">
        <v>3</v>
      </c>
      <c r="G25">
        <v>24</v>
      </c>
      <c r="H25" s="200" t="s">
        <v>213</v>
      </c>
    </row>
    <row r="26" spans="1:12" x14ac:dyDescent="0.15">
      <c r="A26" s="36" t="s">
        <v>123</v>
      </c>
      <c r="B26" s="44">
        <v>4.3</v>
      </c>
      <c r="C26" s="38"/>
      <c r="D26" s="199" t="s">
        <v>214</v>
      </c>
      <c r="E26">
        <v>25</v>
      </c>
      <c r="F26">
        <v>3</v>
      </c>
      <c r="G26">
        <v>25</v>
      </c>
      <c r="H26" s="200" t="s">
        <v>214</v>
      </c>
    </row>
    <row r="27" spans="1:12" x14ac:dyDescent="0.15">
      <c r="A27" s="36" t="s">
        <v>125</v>
      </c>
      <c r="B27" s="44">
        <v>6.1</v>
      </c>
      <c r="D27" s="199" t="s">
        <v>215</v>
      </c>
      <c r="E27">
        <v>26</v>
      </c>
      <c r="F27">
        <v>3.24</v>
      </c>
      <c r="G27">
        <v>26</v>
      </c>
      <c r="H27" s="200" t="s">
        <v>215</v>
      </c>
    </row>
    <row r="28" spans="1:12" x14ac:dyDescent="0.15">
      <c r="A28" s="36" t="s">
        <v>124</v>
      </c>
      <c r="B28" s="44">
        <v>6.2</v>
      </c>
      <c r="D28" s="199" t="s">
        <v>216</v>
      </c>
      <c r="E28">
        <v>27</v>
      </c>
      <c r="F28">
        <v>3</v>
      </c>
      <c r="G28">
        <v>27</v>
      </c>
      <c r="H28" s="200" t="s">
        <v>216</v>
      </c>
    </row>
    <row r="29" spans="1:12" x14ac:dyDescent="0.15">
      <c r="A29" s="36" t="s">
        <v>44</v>
      </c>
      <c r="B29" s="44">
        <v>5</v>
      </c>
      <c r="D29" s="199" t="s">
        <v>217</v>
      </c>
      <c r="E29">
        <v>28</v>
      </c>
      <c r="F29">
        <v>3</v>
      </c>
      <c r="G29">
        <v>28</v>
      </c>
      <c r="H29" s="200" t="s">
        <v>217</v>
      </c>
    </row>
    <row r="30" spans="1:12" x14ac:dyDescent="0.15">
      <c r="A30" s="36" t="s">
        <v>73</v>
      </c>
      <c r="B30" s="44">
        <v>7</v>
      </c>
      <c r="D30" s="199" t="s">
        <v>218</v>
      </c>
      <c r="E30">
        <v>29</v>
      </c>
      <c r="F30">
        <v>3</v>
      </c>
      <c r="G30">
        <v>29</v>
      </c>
      <c r="H30" s="200" t="s">
        <v>218</v>
      </c>
    </row>
    <row r="31" spans="1:12" x14ac:dyDescent="0.15">
      <c r="A31" s="36" t="s">
        <v>169</v>
      </c>
      <c r="B31" s="44">
        <v>3.14</v>
      </c>
      <c r="D31" s="199" t="s">
        <v>219</v>
      </c>
      <c r="E31">
        <v>30</v>
      </c>
      <c r="F31">
        <v>3</v>
      </c>
      <c r="G31">
        <v>30</v>
      </c>
      <c r="H31" s="200" t="s">
        <v>219</v>
      </c>
    </row>
    <row r="32" spans="1:12" ht="12" customHeight="1" thickBot="1" x14ac:dyDescent="0.2">
      <c r="A32" s="42" t="s">
        <v>170</v>
      </c>
      <c r="B32" s="45">
        <v>9</v>
      </c>
      <c r="D32" s="199" t="s">
        <v>220</v>
      </c>
      <c r="E32">
        <v>31</v>
      </c>
      <c r="F32">
        <v>3</v>
      </c>
      <c r="G32">
        <v>31</v>
      </c>
      <c r="H32" s="200" t="s">
        <v>220</v>
      </c>
    </row>
    <row r="33" spans="4:8" customFormat="1" ht="12" customHeight="1" x14ac:dyDescent="0.15">
      <c r="D33" s="199" t="s">
        <v>221</v>
      </c>
      <c r="E33">
        <v>32</v>
      </c>
      <c r="F33">
        <v>3</v>
      </c>
      <c r="G33">
        <v>32</v>
      </c>
      <c r="H33" s="200" t="s">
        <v>221</v>
      </c>
    </row>
    <row r="34" spans="4:8" customFormat="1" ht="12" customHeight="1" x14ac:dyDescent="0.15">
      <c r="D34" s="199" t="s">
        <v>222</v>
      </c>
      <c r="E34">
        <v>33</v>
      </c>
      <c r="F34">
        <v>3</v>
      </c>
      <c r="G34">
        <v>33</v>
      </c>
      <c r="H34" s="200" t="s">
        <v>222</v>
      </c>
    </row>
    <row r="35" spans="4:8" customFormat="1" x14ac:dyDescent="0.15">
      <c r="D35" s="199" t="s">
        <v>223</v>
      </c>
      <c r="E35">
        <v>34</v>
      </c>
      <c r="F35">
        <v>3</v>
      </c>
      <c r="G35">
        <v>34</v>
      </c>
      <c r="H35" s="200" t="s">
        <v>223</v>
      </c>
    </row>
    <row r="36" spans="4:8" customFormat="1" x14ac:dyDescent="0.15">
      <c r="D36" s="199" t="s">
        <v>224</v>
      </c>
      <c r="E36">
        <v>35</v>
      </c>
      <c r="F36">
        <v>3.2</v>
      </c>
      <c r="G36">
        <v>35</v>
      </c>
      <c r="H36" s="200" t="s">
        <v>224</v>
      </c>
    </row>
    <row r="37" spans="4:8" customFormat="1" ht="12" customHeight="1" x14ac:dyDescent="0.15">
      <c r="D37" s="199" t="s">
        <v>225</v>
      </c>
      <c r="E37">
        <v>36</v>
      </c>
      <c r="F37">
        <v>3</v>
      </c>
      <c r="G37">
        <v>36</v>
      </c>
      <c r="H37" s="200" t="s">
        <v>225</v>
      </c>
    </row>
    <row r="38" spans="4:8" customFormat="1" x14ac:dyDescent="0.15">
      <c r="D38" s="199" t="s">
        <v>226</v>
      </c>
      <c r="E38">
        <v>37</v>
      </c>
      <c r="F38">
        <v>3</v>
      </c>
      <c r="G38">
        <v>37</v>
      </c>
      <c r="H38" s="200" t="s">
        <v>226</v>
      </c>
    </row>
    <row r="39" spans="4:8" customFormat="1" x14ac:dyDescent="0.15">
      <c r="D39" s="199" t="s">
        <v>227</v>
      </c>
      <c r="E39">
        <v>38</v>
      </c>
      <c r="F39">
        <v>3</v>
      </c>
      <c r="G39">
        <v>38</v>
      </c>
      <c r="H39" s="200" t="s">
        <v>227</v>
      </c>
    </row>
    <row r="40" spans="4:8" customFormat="1" x14ac:dyDescent="0.15">
      <c r="D40" s="199" t="s">
        <v>228</v>
      </c>
      <c r="E40">
        <v>39</v>
      </c>
      <c r="F40">
        <v>3</v>
      </c>
      <c r="G40">
        <v>39</v>
      </c>
      <c r="H40" s="200" t="s">
        <v>228</v>
      </c>
    </row>
    <row r="41" spans="4:8" customFormat="1" x14ac:dyDescent="0.15">
      <c r="D41" s="199" t="s">
        <v>229</v>
      </c>
      <c r="E41">
        <v>40</v>
      </c>
      <c r="F41">
        <v>3</v>
      </c>
      <c r="G41">
        <v>40</v>
      </c>
      <c r="H41" s="200" t="s">
        <v>229</v>
      </c>
    </row>
    <row r="42" spans="4:8" customFormat="1" x14ac:dyDescent="0.15">
      <c r="D42" s="199" t="s">
        <v>230</v>
      </c>
      <c r="E42">
        <v>41</v>
      </c>
      <c r="F42">
        <v>3</v>
      </c>
      <c r="G42">
        <v>41</v>
      </c>
      <c r="H42" s="200" t="s">
        <v>230</v>
      </c>
    </row>
    <row r="43" spans="4:8" customFormat="1" x14ac:dyDescent="0.15">
      <c r="D43" s="199" t="s">
        <v>231</v>
      </c>
      <c r="E43">
        <v>42</v>
      </c>
      <c r="F43">
        <v>3</v>
      </c>
      <c r="G43">
        <v>42</v>
      </c>
      <c r="H43" s="200" t="s">
        <v>231</v>
      </c>
    </row>
    <row r="44" spans="4:8" customFormat="1" x14ac:dyDescent="0.15">
      <c r="D44" s="199" t="s">
        <v>232</v>
      </c>
      <c r="E44">
        <v>43</v>
      </c>
      <c r="F44">
        <v>3</v>
      </c>
      <c r="G44">
        <v>43</v>
      </c>
      <c r="H44" s="200" t="s">
        <v>232</v>
      </c>
    </row>
    <row r="45" spans="4:8" customFormat="1" x14ac:dyDescent="0.15">
      <c r="D45" s="199" t="s">
        <v>233</v>
      </c>
      <c r="E45">
        <v>44</v>
      </c>
      <c r="F45">
        <v>3</v>
      </c>
      <c r="G45">
        <v>44</v>
      </c>
      <c r="H45" s="200" t="s">
        <v>233</v>
      </c>
    </row>
    <row r="46" spans="4:8" customFormat="1" x14ac:dyDescent="0.15">
      <c r="D46" s="199" t="s">
        <v>234</v>
      </c>
      <c r="E46">
        <v>45</v>
      </c>
      <c r="F46">
        <v>3</v>
      </c>
      <c r="G46">
        <v>45</v>
      </c>
      <c r="H46" s="200" t="s">
        <v>234</v>
      </c>
    </row>
    <row r="47" spans="4:8" customFormat="1" x14ac:dyDescent="0.15">
      <c r="D47" s="199" t="s">
        <v>235</v>
      </c>
      <c r="E47">
        <v>46</v>
      </c>
      <c r="F47">
        <v>3</v>
      </c>
      <c r="G47">
        <v>46</v>
      </c>
      <c r="H47" s="200" t="s">
        <v>235</v>
      </c>
    </row>
    <row r="48" spans="4:8" customFormat="1" x14ac:dyDescent="0.15">
      <c r="D48" s="199" t="s">
        <v>236</v>
      </c>
      <c r="E48">
        <v>47</v>
      </c>
      <c r="F48">
        <v>3</v>
      </c>
      <c r="G48">
        <v>47</v>
      </c>
      <c r="H48" s="200" t="s">
        <v>236</v>
      </c>
    </row>
    <row r="49" spans="4:8" customFormat="1" x14ac:dyDescent="0.15">
      <c r="D49" s="199" t="s">
        <v>237</v>
      </c>
      <c r="E49">
        <v>48</v>
      </c>
      <c r="F49">
        <v>3</v>
      </c>
      <c r="G49">
        <v>48</v>
      </c>
      <c r="H49" s="200" t="s">
        <v>237</v>
      </c>
    </row>
    <row r="50" spans="4:8" customFormat="1" ht="12" customHeight="1" x14ac:dyDescent="0.15">
      <c r="D50" s="199" t="s">
        <v>238</v>
      </c>
      <c r="E50">
        <v>49</v>
      </c>
      <c r="F50">
        <v>3</v>
      </c>
      <c r="G50">
        <v>49</v>
      </c>
      <c r="H50" s="200" t="s">
        <v>238</v>
      </c>
    </row>
    <row r="51" spans="4:8" customFormat="1" x14ac:dyDescent="0.15">
      <c r="D51" s="199" t="s">
        <v>239</v>
      </c>
      <c r="E51">
        <v>50</v>
      </c>
      <c r="F51">
        <v>3</v>
      </c>
      <c r="G51">
        <v>50</v>
      </c>
      <c r="H51" s="200" t="s">
        <v>239</v>
      </c>
    </row>
    <row r="52" spans="4:8" customFormat="1" ht="12" customHeight="1" x14ac:dyDescent="0.15">
      <c r="D52" s="199" t="s">
        <v>240</v>
      </c>
      <c r="E52">
        <v>51</v>
      </c>
      <c r="F52">
        <v>3</v>
      </c>
      <c r="G52">
        <v>51</v>
      </c>
      <c r="H52" s="200" t="s">
        <v>240</v>
      </c>
    </row>
    <row r="53" spans="4:8" customFormat="1" x14ac:dyDescent="0.15">
      <c r="D53" s="199" t="s">
        <v>241</v>
      </c>
      <c r="E53">
        <v>52</v>
      </c>
      <c r="F53">
        <v>3</v>
      </c>
      <c r="G53">
        <v>52</v>
      </c>
      <c r="H53" s="200" t="s">
        <v>241</v>
      </c>
    </row>
    <row r="54" spans="4:8" customFormat="1" ht="12" customHeight="1" x14ac:dyDescent="0.15">
      <c r="D54" s="199" t="s">
        <v>242</v>
      </c>
      <c r="E54">
        <v>53</v>
      </c>
      <c r="F54">
        <v>3</v>
      </c>
      <c r="G54">
        <v>53</v>
      </c>
      <c r="H54" s="200" t="s">
        <v>242</v>
      </c>
    </row>
    <row r="55" spans="4:8" customFormat="1" ht="12" customHeight="1" x14ac:dyDescent="0.15">
      <c r="D55" s="199" t="s">
        <v>243</v>
      </c>
      <c r="E55">
        <v>54</v>
      </c>
      <c r="F55">
        <v>3</v>
      </c>
      <c r="G55">
        <v>54</v>
      </c>
      <c r="H55" s="200" t="s">
        <v>243</v>
      </c>
    </row>
    <row r="56" spans="4:8" customFormat="1" x14ac:dyDescent="0.15">
      <c r="D56" s="199" t="s">
        <v>244</v>
      </c>
      <c r="E56">
        <v>55</v>
      </c>
      <c r="F56">
        <v>3</v>
      </c>
      <c r="G56">
        <v>55</v>
      </c>
      <c r="H56" s="200" t="s">
        <v>244</v>
      </c>
    </row>
    <row r="57" spans="4:8" customFormat="1" x14ac:dyDescent="0.15">
      <c r="D57" s="199" t="s">
        <v>245</v>
      </c>
      <c r="E57">
        <v>56</v>
      </c>
      <c r="F57">
        <v>3</v>
      </c>
      <c r="G57">
        <v>56</v>
      </c>
      <c r="H57" s="200" t="s">
        <v>245</v>
      </c>
    </row>
    <row r="58" spans="4:8" customFormat="1" x14ac:dyDescent="0.15">
      <c r="D58" s="199" t="s">
        <v>246</v>
      </c>
      <c r="E58">
        <v>57</v>
      </c>
      <c r="F58">
        <v>3.2</v>
      </c>
      <c r="G58">
        <v>57</v>
      </c>
      <c r="H58" s="200" t="s">
        <v>246</v>
      </c>
    </row>
    <row r="59" spans="4:8" customFormat="1" x14ac:dyDescent="0.15">
      <c r="D59" s="199" t="s">
        <v>247</v>
      </c>
      <c r="E59">
        <v>58</v>
      </c>
      <c r="F59">
        <v>3</v>
      </c>
      <c r="G59">
        <v>58</v>
      </c>
      <c r="H59" s="200" t="s">
        <v>247</v>
      </c>
    </row>
    <row r="60" spans="4:8" customFormat="1" x14ac:dyDescent="0.15">
      <c r="D60" s="199" t="s">
        <v>248</v>
      </c>
      <c r="E60">
        <v>59</v>
      </c>
      <c r="F60">
        <v>3</v>
      </c>
      <c r="G60">
        <v>59</v>
      </c>
      <c r="H60" s="200" t="s">
        <v>248</v>
      </c>
    </row>
    <row r="61" spans="4:8" customFormat="1" x14ac:dyDescent="0.15">
      <c r="D61" s="199" t="s">
        <v>249</v>
      </c>
      <c r="E61">
        <v>60</v>
      </c>
      <c r="F61">
        <v>3</v>
      </c>
      <c r="G61">
        <v>60</v>
      </c>
      <c r="H61" s="200" t="s">
        <v>249</v>
      </c>
    </row>
    <row r="62" spans="4:8" customFormat="1" x14ac:dyDescent="0.15">
      <c r="D62" s="199" t="s">
        <v>250</v>
      </c>
      <c r="E62">
        <v>61</v>
      </c>
      <c r="F62">
        <v>3.1</v>
      </c>
      <c r="G62">
        <v>61</v>
      </c>
      <c r="H62" s="200" t="s">
        <v>250</v>
      </c>
    </row>
    <row r="63" spans="4:8" customFormat="1" x14ac:dyDescent="0.15">
      <c r="D63" s="199" t="s">
        <v>251</v>
      </c>
      <c r="E63">
        <v>62</v>
      </c>
      <c r="F63">
        <v>3</v>
      </c>
      <c r="G63">
        <v>62</v>
      </c>
      <c r="H63" s="200" t="s">
        <v>251</v>
      </c>
    </row>
    <row r="64" spans="4:8" customFormat="1" x14ac:dyDescent="0.15">
      <c r="D64" s="199" t="s">
        <v>252</v>
      </c>
      <c r="E64">
        <v>63</v>
      </c>
      <c r="F64">
        <v>3</v>
      </c>
      <c r="G64">
        <v>63</v>
      </c>
      <c r="H64" s="200" t="s">
        <v>252</v>
      </c>
    </row>
    <row r="65" spans="4:8" customFormat="1" x14ac:dyDescent="0.15">
      <c r="D65" s="199" t="s">
        <v>253</v>
      </c>
      <c r="E65">
        <v>64</v>
      </c>
      <c r="F65">
        <v>3.1</v>
      </c>
      <c r="G65">
        <v>64</v>
      </c>
      <c r="H65" s="200" t="s">
        <v>253</v>
      </c>
    </row>
    <row r="66" spans="4:8" customFormat="1" x14ac:dyDescent="0.15">
      <c r="D66" s="199" t="s">
        <v>254</v>
      </c>
      <c r="E66">
        <v>65</v>
      </c>
      <c r="F66">
        <v>3</v>
      </c>
      <c r="G66">
        <v>65</v>
      </c>
      <c r="H66" s="200" t="s">
        <v>254</v>
      </c>
    </row>
    <row r="67" spans="4:8" customFormat="1" x14ac:dyDescent="0.15">
      <c r="D67" s="199" t="s">
        <v>255</v>
      </c>
      <c r="E67">
        <v>66</v>
      </c>
      <c r="F67">
        <v>3</v>
      </c>
      <c r="G67">
        <v>66</v>
      </c>
      <c r="H67" s="200" t="s">
        <v>255</v>
      </c>
    </row>
    <row r="68" spans="4:8" customFormat="1" x14ac:dyDescent="0.15">
      <c r="D68" s="199" t="s">
        <v>256</v>
      </c>
      <c r="E68">
        <v>67</v>
      </c>
      <c r="F68">
        <v>3</v>
      </c>
      <c r="G68">
        <v>67</v>
      </c>
      <c r="H68" s="200" t="s">
        <v>256</v>
      </c>
    </row>
    <row r="69" spans="4:8" customFormat="1" x14ac:dyDescent="0.15">
      <c r="D69" s="199" t="s">
        <v>257</v>
      </c>
      <c r="E69">
        <v>68</v>
      </c>
      <c r="F69">
        <v>3.1</v>
      </c>
      <c r="G69">
        <v>68</v>
      </c>
      <c r="H69" s="200" t="s">
        <v>257</v>
      </c>
    </row>
    <row r="70" spans="4:8" customFormat="1" x14ac:dyDescent="0.15">
      <c r="D70" s="199" t="s">
        <v>258</v>
      </c>
      <c r="E70">
        <v>69</v>
      </c>
      <c r="F70">
        <v>3</v>
      </c>
      <c r="G70">
        <v>69</v>
      </c>
      <c r="H70" s="200" t="s">
        <v>258</v>
      </c>
    </row>
    <row r="71" spans="4:8" customFormat="1" x14ac:dyDescent="0.15">
      <c r="D71" s="199" t="s">
        <v>259</v>
      </c>
      <c r="E71">
        <v>70</v>
      </c>
      <c r="F71">
        <v>3</v>
      </c>
      <c r="G71">
        <v>70</v>
      </c>
      <c r="H71" s="200" t="s">
        <v>259</v>
      </c>
    </row>
    <row r="72" spans="4:8" customFormat="1" x14ac:dyDescent="0.15">
      <c r="D72" s="199" t="s">
        <v>260</v>
      </c>
      <c r="E72">
        <v>71</v>
      </c>
      <c r="F72">
        <v>3.2</v>
      </c>
      <c r="G72">
        <v>71</v>
      </c>
      <c r="H72" s="200" t="s">
        <v>260</v>
      </c>
    </row>
    <row r="73" spans="4:8" customFormat="1" x14ac:dyDescent="0.15">
      <c r="D73" s="199" t="s">
        <v>261</v>
      </c>
      <c r="E73">
        <v>72</v>
      </c>
      <c r="F73">
        <v>3.2</v>
      </c>
      <c r="G73">
        <v>72</v>
      </c>
      <c r="H73" s="200" t="s">
        <v>261</v>
      </c>
    </row>
    <row r="74" spans="4:8" customFormat="1" x14ac:dyDescent="0.15">
      <c r="D74" s="199" t="s">
        <v>262</v>
      </c>
      <c r="E74">
        <v>73</v>
      </c>
      <c r="F74">
        <v>3.11</v>
      </c>
      <c r="G74">
        <v>73</v>
      </c>
      <c r="H74" s="200" t="s">
        <v>262</v>
      </c>
    </row>
    <row r="75" spans="4:8" customFormat="1" x14ac:dyDescent="0.15">
      <c r="D75" s="199" t="s">
        <v>263</v>
      </c>
      <c r="E75">
        <v>74</v>
      </c>
      <c r="F75">
        <v>3.21</v>
      </c>
      <c r="G75">
        <v>74</v>
      </c>
      <c r="H75" s="200" t="s">
        <v>263</v>
      </c>
    </row>
    <row r="76" spans="4:8" customFormat="1" x14ac:dyDescent="0.15">
      <c r="D76" s="199" t="s">
        <v>264</v>
      </c>
      <c r="E76">
        <v>75</v>
      </c>
      <c r="F76">
        <v>2</v>
      </c>
      <c r="G76">
        <v>75</v>
      </c>
      <c r="H76" s="200" t="s">
        <v>264</v>
      </c>
    </row>
    <row r="77" spans="4:8" customFormat="1" x14ac:dyDescent="0.15">
      <c r="D77" s="199" t="s">
        <v>265</v>
      </c>
      <c r="E77">
        <v>76</v>
      </c>
      <c r="F77">
        <v>2</v>
      </c>
      <c r="G77">
        <v>76</v>
      </c>
      <c r="H77" s="200" t="s">
        <v>265</v>
      </c>
    </row>
    <row r="78" spans="4:8" customFormat="1" x14ac:dyDescent="0.15">
      <c r="D78" s="199" t="s">
        <v>266</v>
      </c>
      <c r="E78">
        <v>77</v>
      </c>
      <c r="F78">
        <v>2.1</v>
      </c>
      <c r="G78">
        <v>77</v>
      </c>
      <c r="H78" s="200" t="s">
        <v>266</v>
      </c>
    </row>
    <row r="79" spans="4:8" customFormat="1" x14ac:dyDescent="0.15">
      <c r="D79" s="199" t="s">
        <v>267</v>
      </c>
      <c r="E79">
        <v>78</v>
      </c>
      <c r="F79">
        <v>4.0999999999999996</v>
      </c>
      <c r="G79">
        <v>78</v>
      </c>
      <c r="H79" s="200" t="s">
        <v>267</v>
      </c>
    </row>
    <row r="80" spans="4:8" customFormat="1" x14ac:dyDescent="0.15">
      <c r="D80" s="199" t="s">
        <v>268</v>
      </c>
      <c r="E80">
        <v>79</v>
      </c>
      <c r="F80">
        <v>4.3</v>
      </c>
      <c r="G80">
        <v>79</v>
      </c>
      <c r="H80" s="200" t="s">
        <v>268</v>
      </c>
    </row>
    <row r="81" spans="4:8" customFormat="1" x14ac:dyDescent="0.15">
      <c r="D81" s="199" t="s">
        <v>269</v>
      </c>
      <c r="E81">
        <v>80</v>
      </c>
      <c r="F81">
        <v>5</v>
      </c>
      <c r="G81">
        <v>80</v>
      </c>
      <c r="H81" s="200" t="s">
        <v>269</v>
      </c>
    </row>
    <row r="82" spans="4:8" customFormat="1" x14ac:dyDescent="0.15">
      <c r="D82" s="199" t="s">
        <v>270</v>
      </c>
      <c r="E82">
        <v>81</v>
      </c>
      <c r="F82">
        <v>5</v>
      </c>
      <c r="G82">
        <v>81</v>
      </c>
      <c r="H82" s="200" t="s">
        <v>270</v>
      </c>
    </row>
    <row r="83" spans="4:8" customFormat="1" x14ac:dyDescent="0.15">
      <c r="D83" s="199" t="s">
        <v>271</v>
      </c>
      <c r="E83">
        <v>82</v>
      </c>
      <c r="F83">
        <v>5</v>
      </c>
      <c r="G83">
        <v>82</v>
      </c>
      <c r="H83" s="200" t="s">
        <v>271</v>
      </c>
    </row>
    <row r="84" spans="4:8" customFormat="1" x14ac:dyDescent="0.15">
      <c r="D84" s="199" t="s">
        <v>272</v>
      </c>
      <c r="E84">
        <v>83</v>
      </c>
      <c r="F84">
        <v>5</v>
      </c>
      <c r="G84">
        <v>83</v>
      </c>
      <c r="H84" s="200" t="s">
        <v>272</v>
      </c>
    </row>
    <row r="85" spans="4:8" customFormat="1" x14ac:dyDescent="0.15">
      <c r="D85" s="199" t="s">
        <v>273</v>
      </c>
      <c r="E85">
        <v>84</v>
      </c>
      <c r="F85">
        <v>5</v>
      </c>
      <c r="G85">
        <v>84</v>
      </c>
      <c r="H85" s="200" t="s">
        <v>273</v>
      </c>
    </row>
    <row r="86" spans="4:8" customFormat="1" x14ac:dyDescent="0.15">
      <c r="D86" s="199" t="s">
        <v>274</v>
      </c>
      <c r="E86">
        <v>85</v>
      </c>
      <c r="F86">
        <v>5</v>
      </c>
      <c r="G86">
        <v>85</v>
      </c>
      <c r="H86" s="200" t="s">
        <v>274</v>
      </c>
    </row>
    <row r="87" spans="4:8" customFormat="1" x14ac:dyDescent="0.15">
      <c r="D87" s="199" t="s">
        <v>275</v>
      </c>
      <c r="E87">
        <v>86</v>
      </c>
      <c r="F87">
        <v>5</v>
      </c>
      <c r="G87">
        <v>86</v>
      </c>
      <c r="H87" s="200" t="s">
        <v>275</v>
      </c>
    </row>
    <row r="88" spans="4:8" customFormat="1" x14ac:dyDescent="0.15">
      <c r="D88" s="199" t="s">
        <v>276</v>
      </c>
      <c r="E88">
        <v>87</v>
      </c>
      <c r="F88">
        <v>5</v>
      </c>
      <c r="G88">
        <v>87</v>
      </c>
      <c r="H88" s="200" t="s">
        <v>276</v>
      </c>
    </row>
    <row r="89" spans="4:8" customFormat="1" x14ac:dyDescent="0.15">
      <c r="D89" s="199" t="s">
        <v>277</v>
      </c>
      <c r="E89">
        <v>88</v>
      </c>
      <c r="F89">
        <v>5</v>
      </c>
      <c r="G89">
        <v>88</v>
      </c>
      <c r="H89" s="200" t="s">
        <v>277</v>
      </c>
    </row>
    <row r="90" spans="4:8" customFormat="1" x14ac:dyDescent="0.15">
      <c r="D90" s="199" t="s">
        <v>278</v>
      </c>
      <c r="E90">
        <v>89</v>
      </c>
      <c r="F90">
        <v>5</v>
      </c>
      <c r="G90">
        <v>89</v>
      </c>
      <c r="H90" s="200" t="s">
        <v>278</v>
      </c>
    </row>
    <row r="91" spans="4:8" customFormat="1" x14ac:dyDescent="0.15">
      <c r="D91" s="199" t="s">
        <v>279</v>
      </c>
      <c r="E91">
        <v>90</v>
      </c>
      <c r="F91">
        <v>5</v>
      </c>
      <c r="G91">
        <v>90</v>
      </c>
      <c r="H91" s="200" t="s">
        <v>279</v>
      </c>
    </row>
    <row r="92" spans="4:8" customFormat="1" x14ac:dyDescent="0.15">
      <c r="D92" s="199" t="s">
        <v>280</v>
      </c>
      <c r="E92">
        <v>91</v>
      </c>
      <c r="F92">
        <v>5</v>
      </c>
      <c r="G92">
        <v>91</v>
      </c>
      <c r="H92" s="200" t="s">
        <v>280</v>
      </c>
    </row>
    <row r="93" spans="4:8" customFormat="1" x14ac:dyDescent="0.15">
      <c r="D93" s="199" t="s">
        <v>281</v>
      </c>
      <c r="E93">
        <v>92</v>
      </c>
      <c r="F93">
        <v>5</v>
      </c>
      <c r="G93">
        <v>92</v>
      </c>
      <c r="H93" s="200" t="s">
        <v>281</v>
      </c>
    </row>
    <row r="94" spans="4:8" customFormat="1" x14ac:dyDescent="0.15">
      <c r="D94" s="199" t="s">
        <v>282</v>
      </c>
      <c r="E94">
        <v>93</v>
      </c>
      <c r="F94">
        <v>5</v>
      </c>
      <c r="G94">
        <v>93</v>
      </c>
      <c r="H94" s="200" t="s">
        <v>282</v>
      </c>
    </row>
    <row r="95" spans="4:8" customFormat="1" x14ac:dyDescent="0.15">
      <c r="D95" s="199" t="s">
        <v>283</v>
      </c>
      <c r="E95">
        <v>94</v>
      </c>
      <c r="F95">
        <v>5</v>
      </c>
      <c r="G95">
        <v>94</v>
      </c>
      <c r="H95" s="200" t="s">
        <v>283</v>
      </c>
    </row>
    <row r="96" spans="4:8" customFormat="1" x14ac:dyDescent="0.15">
      <c r="D96" s="199" t="s">
        <v>284</v>
      </c>
      <c r="E96">
        <v>95</v>
      </c>
      <c r="F96">
        <v>5</v>
      </c>
      <c r="G96">
        <v>95</v>
      </c>
      <c r="H96" s="200" t="s">
        <v>284</v>
      </c>
    </row>
    <row r="97" spans="4:8" customFormat="1" x14ac:dyDescent="0.15">
      <c r="D97" s="199" t="s">
        <v>285</v>
      </c>
      <c r="E97">
        <v>96</v>
      </c>
      <c r="F97">
        <v>5</v>
      </c>
      <c r="G97">
        <v>96</v>
      </c>
      <c r="H97" s="200" t="s">
        <v>285</v>
      </c>
    </row>
    <row r="98" spans="4:8" customFormat="1" x14ac:dyDescent="0.15">
      <c r="D98" s="199" t="s">
        <v>286</v>
      </c>
      <c r="E98">
        <v>97</v>
      </c>
      <c r="F98">
        <v>5</v>
      </c>
      <c r="G98">
        <v>97</v>
      </c>
      <c r="H98" s="200" t="s">
        <v>286</v>
      </c>
    </row>
    <row r="99" spans="4:8" customFormat="1" x14ac:dyDescent="0.15">
      <c r="D99" s="199" t="s">
        <v>287</v>
      </c>
      <c r="E99">
        <v>98</v>
      </c>
      <c r="F99">
        <v>5</v>
      </c>
      <c r="G99">
        <v>98</v>
      </c>
      <c r="H99" s="200" t="s">
        <v>287</v>
      </c>
    </row>
    <row r="100" spans="4:8" customFormat="1" x14ac:dyDescent="0.15">
      <c r="D100" s="199" t="s">
        <v>288</v>
      </c>
      <c r="E100">
        <v>99</v>
      </c>
      <c r="F100">
        <v>5</v>
      </c>
      <c r="G100">
        <v>99</v>
      </c>
      <c r="H100" s="200" t="s">
        <v>288</v>
      </c>
    </row>
    <row r="101" spans="4:8" customFormat="1" x14ac:dyDescent="0.15">
      <c r="D101" s="199" t="s">
        <v>289</v>
      </c>
      <c r="E101">
        <v>100</v>
      </c>
      <c r="F101">
        <v>5</v>
      </c>
      <c r="G101">
        <v>100</v>
      </c>
      <c r="H101" s="200" t="s">
        <v>289</v>
      </c>
    </row>
    <row r="102" spans="4:8" customFormat="1" x14ac:dyDescent="0.15">
      <c r="D102" s="199" t="s">
        <v>290</v>
      </c>
      <c r="E102">
        <v>101</v>
      </c>
      <c r="F102">
        <v>5</v>
      </c>
      <c r="G102">
        <v>101</v>
      </c>
      <c r="H102" s="200" t="s">
        <v>290</v>
      </c>
    </row>
    <row r="103" spans="4:8" customFormat="1" x14ac:dyDescent="0.15">
      <c r="D103" s="199" t="s">
        <v>291</v>
      </c>
      <c r="E103">
        <v>102</v>
      </c>
      <c r="F103">
        <v>5</v>
      </c>
      <c r="G103">
        <v>102</v>
      </c>
      <c r="H103" s="200" t="s">
        <v>291</v>
      </c>
    </row>
    <row r="104" spans="4:8" customFormat="1" x14ac:dyDescent="0.15">
      <c r="D104" s="199" t="s">
        <v>292</v>
      </c>
      <c r="E104">
        <v>103</v>
      </c>
      <c r="F104">
        <v>5</v>
      </c>
      <c r="G104">
        <v>103</v>
      </c>
      <c r="H104" s="200" t="s">
        <v>292</v>
      </c>
    </row>
    <row r="105" spans="4:8" customFormat="1" x14ac:dyDescent="0.15">
      <c r="D105" s="199" t="s">
        <v>138</v>
      </c>
      <c r="E105">
        <v>104</v>
      </c>
      <c r="F105">
        <v>6.1</v>
      </c>
      <c r="G105">
        <v>104</v>
      </c>
      <c r="H105" s="200" t="s">
        <v>138</v>
      </c>
    </row>
    <row r="106" spans="4:8" customFormat="1" x14ac:dyDescent="0.15">
      <c r="D106" s="199" t="s">
        <v>45</v>
      </c>
      <c r="E106">
        <v>105</v>
      </c>
      <c r="F106">
        <v>6.2</v>
      </c>
      <c r="G106">
        <v>105</v>
      </c>
      <c r="H106" s="200" t="s">
        <v>45</v>
      </c>
    </row>
    <row r="107" spans="4:8" customFormat="1" x14ac:dyDescent="0.15"/>
    <row r="108" spans="4:8" customFormat="1" x14ac:dyDescent="0.15"/>
    <row r="109" spans="4:8" customFormat="1" x14ac:dyDescent="0.15"/>
    <row r="110" spans="4:8" customFormat="1" x14ac:dyDescent="0.15"/>
    <row r="111" spans="4:8" customFormat="1" x14ac:dyDescent="0.15"/>
    <row r="112" spans="4:8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U8" sqref="U8"/>
    </sheetView>
  </sheetViews>
  <sheetFormatPr baseColWidth="10" defaultColWidth="11.5" defaultRowHeight="15" customHeight="1" x14ac:dyDescent="0.15"/>
  <cols>
    <col min="1" max="1" width="5.33203125" style="84" bestFit="1" customWidth="1"/>
    <col min="2" max="2" width="13.83203125" style="83" customWidth="1"/>
    <col min="3" max="3" width="5.33203125" style="83" customWidth="1"/>
    <col min="4" max="4" width="5.83203125" style="83" customWidth="1"/>
    <col min="5" max="5" width="13.83203125" style="83" customWidth="1"/>
    <col min="6" max="6" width="23.8320312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3" customWidth="1"/>
    <col min="17" max="17" width="2.33203125" style="83" customWidth="1"/>
    <col min="18" max="18" width="2.33203125" style="74" customWidth="1"/>
    <col min="19" max="16384" width="11.5" style="83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5" t="s">
        <v>48</v>
      </c>
      <c r="L1" s="74"/>
      <c r="M1" s="85" t="s">
        <v>119</v>
      </c>
      <c r="N1" s="74"/>
      <c r="O1" s="85" t="s">
        <v>49</v>
      </c>
      <c r="P1" s="76"/>
      <c r="Q1" s="85" t="s">
        <v>50</v>
      </c>
      <c r="R1" s="71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5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5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201" t="s">
        <v>193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0</v>
      </c>
      <c r="M6" s="83">
        <v>1</v>
      </c>
      <c r="N6" s="83">
        <v>0</v>
      </c>
      <c r="O6" s="83">
        <v>1</v>
      </c>
      <c r="P6" s="73">
        <v>0</v>
      </c>
      <c r="Q6" s="83">
        <v>0</v>
      </c>
      <c r="R6" s="74">
        <v>1</v>
      </c>
      <c r="S6"/>
      <c r="T6"/>
    </row>
    <row r="7" spans="1:23" ht="15" customHeight="1" thickBot="1" x14ac:dyDescent="0.2">
      <c r="F7" s="201" t="s">
        <v>194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3">
        <v>0</v>
      </c>
      <c r="Q7" s="83">
        <v>0</v>
      </c>
      <c r="R7" s="74">
        <v>1</v>
      </c>
      <c r="S7"/>
      <c r="T7"/>
    </row>
    <row r="8" spans="1:23" ht="15" customHeight="1" x14ac:dyDescent="0.15">
      <c r="A8" s="85" t="s">
        <v>56</v>
      </c>
      <c r="B8" s="92">
        <v>9.5629850049594498E-2</v>
      </c>
      <c r="C8" s="202" t="s">
        <v>264</v>
      </c>
      <c r="D8" s="87" t="s">
        <v>160</v>
      </c>
      <c r="F8" s="201" t="s">
        <v>195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3">
        <v>0</v>
      </c>
      <c r="Q8" s="83">
        <v>0</v>
      </c>
      <c r="R8" s="74">
        <v>1</v>
      </c>
      <c r="S8"/>
      <c r="T8"/>
      <c r="W8"/>
    </row>
    <row r="9" spans="1:23" ht="15" customHeight="1" x14ac:dyDescent="0.15">
      <c r="A9" s="129" t="s">
        <v>168</v>
      </c>
      <c r="B9" s="94">
        <v>0.43759845965342203</v>
      </c>
      <c r="C9" s="202" t="s">
        <v>265</v>
      </c>
      <c r="D9" s="87" t="s">
        <v>160</v>
      </c>
      <c r="F9" s="201" t="s">
        <v>196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3">
        <v>0</v>
      </c>
      <c r="Q9" s="83">
        <v>0</v>
      </c>
      <c r="R9" s="74">
        <v>1</v>
      </c>
      <c r="S9"/>
      <c r="T9"/>
      <c r="W9"/>
    </row>
    <row r="10" spans="1:23" ht="15" customHeight="1" x14ac:dyDescent="0.15">
      <c r="B10" s="94">
        <v>0.46677169029698351</v>
      </c>
      <c r="C10" s="202" t="s">
        <v>266</v>
      </c>
      <c r="D10" s="87" t="s">
        <v>160</v>
      </c>
      <c r="F10" s="201" t="s">
        <v>197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3">
        <v>0</v>
      </c>
      <c r="Q10" s="83">
        <v>0</v>
      </c>
      <c r="R10" s="74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201" t="s">
        <v>198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3">
        <v>0</v>
      </c>
      <c r="Q11" s="83">
        <v>0</v>
      </c>
      <c r="R11" s="74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201" t="s">
        <v>199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3">
        <v>0</v>
      </c>
      <c r="Q12" s="83">
        <v>0</v>
      </c>
      <c r="R12" s="74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201" t="s">
        <v>200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3">
        <v>0</v>
      </c>
      <c r="Q13" s="83">
        <v>0</v>
      </c>
      <c r="R13" s="74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201" t="s">
        <v>201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3">
        <v>0</v>
      </c>
      <c r="Q14" s="83">
        <v>0</v>
      </c>
      <c r="R14" s="74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201" t="s">
        <v>202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3">
        <v>0</v>
      </c>
      <c r="Q15" s="83">
        <v>0</v>
      </c>
      <c r="R15" s="74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201" t="s">
        <v>203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3">
        <v>0</v>
      </c>
      <c r="Q16" s="83">
        <v>0</v>
      </c>
      <c r="R16" s="74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201" t="s">
        <v>204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3">
        <v>0</v>
      </c>
      <c r="Q17" s="83">
        <v>0</v>
      </c>
      <c r="R17" s="74">
        <v>1</v>
      </c>
      <c r="S17"/>
      <c r="T17"/>
    </row>
    <row r="18" spans="1:20" ht="15" customHeight="1" thickBot="1" x14ac:dyDescent="0.2">
      <c r="B18" s="95"/>
      <c r="F18" s="201" t="s">
        <v>205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3">
        <v>0</v>
      </c>
      <c r="Q18" s="83">
        <v>0</v>
      </c>
      <c r="R18" s="74">
        <v>1</v>
      </c>
      <c r="S18"/>
      <c r="T18"/>
    </row>
    <row r="19" spans="1:20" ht="15" customHeight="1" x14ac:dyDescent="0.15">
      <c r="A19" s="85" t="s">
        <v>57</v>
      </c>
      <c r="B19" s="92">
        <v>9.5629850049594498E-2</v>
      </c>
      <c r="C19" s="203" t="s">
        <v>264</v>
      </c>
      <c r="D19" s="87" t="s">
        <v>160</v>
      </c>
      <c r="F19" s="201" t="s">
        <v>206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3">
        <v>0</v>
      </c>
      <c r="Q19" s="83">
        <v>0</v>
      </c>
      <c r="R19" s="74">
        <v>1</v>
      </c>
      <c r="S19"/>
      <c r="T19"/>
    </row>
    <row r="20" spans="1:20" ht="15" customHeight="1" x14ac:dyDescent="0.15">
      <c r="A20" s="129" t="s">
        <v>168</v>
      </c>
      <c r="B20" s="94">
        <v>0.43759845965342203</v>
      </c>
      <c r="C20" s="203" t="s">
        <v>265</v>
      </c>
      <c r="D20" s="87" t="s">
        <v>160</v>
      </c>
      <c r="F20" s="201" t="s">
        <v>207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3">
        <v>0</v>
      </c>
      <c r="Q20" s="83">
        <v>0</v>
      </c>
      <c r="R20" s="74">
        <v>1</v>
      </c>
      <c r="S20"/>
      <c r="T20"/>
    </row>
    <row r="21" spans="1:20" ht="15" customHeight="1" x14ac:dyDescent="0.15">
      <c r="B21" s="94">
        <v>0.46677169029698351</v>
      </c>
      <c r="C21" s="203" t="s">
        <v>266</v>
      </c>
      <c r="D21" s="87" t="s">
        <v>160</v>
      </c>
      <c r="F21" s="201" t="s">
        <v>208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3">
        <v>0</v>
      </c>
      <c r="Q21" s="83">
        <v>0</v>
      </c>
      <c r="R21" s="74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201" t="s">
        <v>209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3">
        <v>0</v>
      </c>
      <c r="Q22" s="83">
        <v>0</v>
      </c>
      <c r="R22" s="74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201" t="s">
        <v>210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3">
        <v>0</v>
      </c>
      <c r="Q23" s="83">
        <v>0</v>
      </c>
      <c r="R23" s="74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201" t="s">
        <v>211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3">
        <v>0</v>
      </c>
      <c r="Q24" s="83">
        <v>0</v>
      </c>
      <c r="R24" s="74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201" t="s">
        <v>212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3">
        <v>0</v>
      </c>
      <c r="Q25" s="83">
        <v>0</v>
      </c>
      <c r="R25" s="74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201" t="s">
        <v>213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3">
        <v>0</v>
      </c>
      <c r="Q26" s="83">
        <v>0</v>
      </c>
      <c r="R26" s="74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201" t="s">
        <v>214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3">
        <v>0</v>
      </c>
      <c r="Q27" s="83">
        <v>0</v>
      </c>
      <c r="R27" s="74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201" t="s">
        <v>215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3">
        <v>0</v>
      </c>
      <c r="Q28" s="83">
        <v>0</v>
      </c>
      <c r="R28" s="74">
        <v>1</v>
      </c>
      <c r="S28"/>
      <c r="T28"/>
    </row>
    <row r="29" spans="1:20" ht="15" customHeight="1" x14ac:dyDescent="0.15">
      <c r="F29" s="201" t="s">
        <v>216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3">
        <v>0</v>
      </c>
      <c r="Q29" s="83">
        <v>0</v>
      </c>
      <c r="R29" s="74">
        <v>1</v>
      </c>
      <c r="S29"/>
      <c r="T29"/>
    </row>
    <row r="30" spans="1:20" ht="15" customHeight="1" x14ac:dyDescent="0.15">
      <c r="F30" s="201" t="s">
        <v>217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3">
        <v>0</v>
      </c>
      <c r="Q30" s="83">
        <v>0</v>
      </c>
      <c r="R30" s="74">
        <v>1</v>
      </c>
      <c r="S30"/>
      <c r="T30"/>
    </row>
    <row r="31" spans="1:20" ht="15" customHeight="1" x14ac:dyDescent="0.15">
      <c r="A31" s="130"/>
      <c r="B31" s="139" t="s">
        <v>17</v>
      </c>
      <c r="C31" s="139" t="s">
        <v>1</v>
      </c>
      <c r="D31" s="139" t="s">
        <v>161</v>
      </c>
      <c r="E31" s="140" t="s">
        <v>163</v>
      </c>
      <c r="F31" s="201" t="s">
        <v>218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3">
        <v>0</v>
      </c>
      <c r="Q31" s="83">
        <v>0</v>
      </c>
      <c r="R31" s="74">
        <v>1</v>
      </c>
      <c r="S31"/>
      <c r="T31"/>
    </row>
    <row r="32" spans="1:20" ht="15" customHeight="1" x14ac:dyDescent="0.15">
      <c r="A32" s="204" t="s">
        <v>264</v>
      </c>
      <c r="B32" s="95">
        <v>29.8</v>
      </c>
      <c r="C32" s="95">
        <v>27.5</v>
      </c>
      <c r="D32" s="95">
        <v>819.5</v>
      </c>
      <c r="E32" s="131">
        <v>9.5629850049594498E-2</v>
      </c>
      <c r="F32" s="201" t="s">
        <v>219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3">
        <v>0</v>
      </c>
      <c r="Q32" s="83">
        <v>0</v>
      </c>
      <c r="R32" s="74">
        <v>1</v>
      </c>
      <c r="S32"/>
      <c r="T32"/>
    </row>
    <row r="33" spans="1:20" ht="15" customHeight="1" x14ac:dyDescent="0.15">
      <c r="A33" s="204" t="s">
        <v>265</v>
      </c>
      <c r="B33" s="95">
        <v>150</v>
      </c>
      <c r="C33" s="95">
        <v>25</v>
      </c>
      <c r="D33" s="95">
        <v>3750</v>
      </c>
      <c r="E33" s="131">
        <v>0.43759845965342203</v>
      </c>
      <c r="F33" s="201" t="s">
        <v>220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3">
        <v>0</v>
      </c>
      <c r="Q33" s="83">
        <v>0</v>
      </c>
      <c r="R33" s="74">
        <v>1</v>
      </c>
      <c r="S33"/>
      <c r="T33"/>
    </row>
    <row r="34" spans="1:20" ht="15" customHeight="1" x14ac:dyDescent="0.15">
      <c r="A34" s="204" t="s">
        <v>266</v>
      </c>
      <c r="B34" s="95">
        <v>25</v>
      </c>
      <c r="C34" s="95">
        <v>160</v>
      </c>
      <c r="D34" s="95">
        <v>4000</v>
      </c>
      <c r="E34" s="131">
        <v>0.46677169029698351</v>
      </c>
      <c r="F34" s="201" t="s">
        <v>221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3">
        <v>0</v>
      </c>
      <c r="Q34" s="83">
        <v>0</v>
      </c>
      <c r="R34" s="74">
        <v>1</v>
      </c>
      <c r="S34"/>
      <c r="T34"/>
    </row>
    <row r="35" spans="1:20" ht="15" customHeight="1" x14ac:dyDescent="0.15">
      <c r="A35" s="132"/>
      <c r="B35" s="95"/>
      <c r="C35" s="95"/>
      <c r="D35" s="95"/>
      <c r="E35" s="131"/>
      <c r="F35" s="201" t="s">
        <v>222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3">
        <v>0</v>
      </c>
      <c r="Q35" s="83">
        <v>0</v>
      </c>
      <c r="R35" s="74">
        <v>1</v>
      </c>
      <c r="S35"/>
      <c r="T35"/>
    </row>
    <row r="36" spans="1:20" ht="15" customHeight="1" x14ac:dyDescent="0.15">
      <c r="A36" s="133"/>
      <c r="B36" s="95"/>
      <c r="C36" s="95"/>
      <c r="D36" s="95"/>
      <c r="E36" s="131"/>
      <c r="F36" s="201" t="s">
        <v>223</v>
      </c>
      <c r="G36" s="83">
        <v>0</v>
      </c>
      <c r="H36" s="83">
        <v>0</v>
      </c>
      <c r="I36" s="83">
        <v>0</v>
      </c>
      <c r="J36" s="83">
        <v>0</v>
      </c>
      <c r="K36" s="83">
        <v>1</v>
      </c>
      <c r="L36" s="83">
        <v>0</v>
      </c>
      <c r="M36" s="83">
        <v>1</v>
      </c>
      <c r="N36" s="83">
        <v>0</v>
      </c>
      <c r="O36" s="83">
        <v>1</v>
      </c>
      <c r="P36" s="73">
        <v>0</v>
      </c>
      <c r="Q36" s="83">
        <v>0</v>
      </c>
      <c r="R36" s="74">
        <v>1</v>
      </c>
      <c r="S36"/>
      <c r="T36"/>
    </row>
    <row r="37" spans="1:20" ht="15" customHeight="1" x14ac:dyDescent="0.15">
      <c r="A37" s="133"/>
      <c r="B37" s="95"/>
      <c r="C37" s="95"/>
      <c r="D37" s="95"/>
      <c r="E37" s="131"/>
      <c r="F37" s="201" t="s">
        <v>224</v>
      </c>
      <c r="G37" s="83">
        <v>0</v>
      </c>
      <c r="H37" s="83">
        <v>0</v>
      </c>
      <c r="I37" s="83">
        <v>0</v>
      </c>
      <c r="J37" s="83">
        <v>0</v>
      </c>
      <c r="K37" s="83">
        <v>1</v>
      </c>
      <c r="L37" s="83">
        <v>0</v>
      </c>
      <c r="M37" s="83">
        <v>1</v>
      </c>
      <c r="N37" s="83">
        <v>0</v>
      </c>
      <c r="O37" s="83">
        <v>1</v>
      </c>
      <c r="P37" s="73">
        <v>0</v>
      </c>
      <c r="Q37" s="83">
        <v>0</v>
      </c>
      <c r="R37" s="74">
        <v>1</v>
      </c>
      <c r="S37"/>
      <c r="T37"/>
    </row>
    <row r="38" spans="1:20" ht="15" customHeight="1" x14ac:dyDescent="0.15">
      <c r="A38" s="134"/>
      <c r="B38" s="95"/>
      <c r="C38" s="95"/>
      <c r="D38" s="95"/>
      <c r="E38" s="131"/>
      <c r="F38" s="201" t="s">
        <v>225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  <c r="M38" s="83">
        <v>1</v>
      </c>
      <c r="N38" s="83">
        <v>0</v>
      </c>
      <c r="O38" s="83">
        <v>1</v>
      </c>
      <c r="P38" s="73">
        <v>0</v>
      </c>
      <c r="Q38" s="83">
        <v>0</v>
      </c>
      <c r="R38" s="74">
        <v>1</v>
      </c>
      <c r="S38"/>
      <c r="T38"/>
    </row>
    <row r="39" spans="1:20" ht="15" customHeight="1" x14ac:dyDescent="0.15">
      <c r="A39" s="134"/>
      <c r="B39" s="95"/>
      <c r="C39" s="95"/>
      <c r="D39" s="95"/>
      <c r="E39" s="131"/>
      <c r="F39" s="201" t="s">
        <v>226</v>
      </c>
      <c r="G39" s="83">
        <v>0</v>
      </c>
      <c r="H39" s="83">
        <v>0</v>
      </c>
      <c r="I39" s="83">
        <v>0</v>
      </c>
      <c r="J39" s="83">
        <v>0</v>
      </c>
      <c r="K39" s="83">
        <v>1</v>
      </c>
      <c r="L39" s="83">
        <v>0</v>
      </c>
      <c r="M39" s="83">
        <v>1</v>
      </c>
      <c r="N39" s="83">
        <v>0</v>
      </c>
      <c r="O39" s="83">
        <v>1</v>
      </c>
      <c r="P39" s="73">
        <v>0</v>
      </c>
      <c r="Q39" s="83">
        <v>0</v>
      </c>
      <c r="R39" s="74">
        <v>1</v>
      </c>
      <c r="S39"/>
      <c r="T39"/>
    </row>
    <row r="40" spans="1:20" ht="15" customHeight="1" x14ac:dyDescent="0.15">
      <c r="A40" s="134"/>
      <c r="B40" s="95"/>
      <c r="C40" s="95"/>
      <c r="D40" s="95"/>
      <c r="E40" s="131"/>
      <c r="F40" s="201" t="s">
        <v>227</v>
      </c>
      <c r="G40" s="83">
        <v>0</v>
      </c>
      <c r="H40" s="83">
        <v>0</v>
      </c>
      <c r="I40" s="83">
        <v>0</v>
      </c>
      <c r="J40" s="83">
        <v>0</v>
      </c>
      <c r="K40" s="83">
        <v>1</v>
      </c>
      <c r="L40" s="83">
        <v>0</v>
      </c>
      <c r="M40" s="83">
        <v>1</v>
      </c>
      <c r="N40" s="83">
        <v>0</v>
      </c>
      <c r="O40" s="83">
        <v>1</v>
      </c>
      <c r="P40" s="73">
        <v>0</v>
      </c>
      <c r="Q40" s="83">
        <v>0</v>
      </c>
      <c r="R40" s="74">
        <v>1</v>
      </c>
      <c r="S40"/>
      <c r="T40"/>
    </row>
    <row r="41" spans="1:20" ht="15" customHeight="1" thickBot="1" x14ac:dyDescent="0.2">
      <c r="A41" s="134"/>
      <c r="B41" s="95"/>
      <c r="C41" s="95"/>
      <c r="D41" s="96"/>
      <c r="E41" s="135"/>
      <c r="F41" s="201" t="s">
        <v>228</v>
      </c>
      <c r="G41" s="83">
        <v>0</v>
      </c>
      <c r="H41" s="83">
        <v>0</v>
      </c>
      <c r="I41" s="83">
        <v>0</v>
      </c>
      <c r="J41" s="83">
        <v>0</v>
      </c>
      <c r="K41" s="83">
        <v>1</v>
      </c>
      <c r="L41" s="83">
        <v>0</v>
      </c>
      <c r="M41" s="83">
        <v>1</v>
      </c>
      <c r="N41" s="83">
        <v>0</v>
      </c>
      <c r="O41" s="83">
        <v>1</v>
      </c>
      <c r="P41" s="73">
        <v>0</v>
      </c>
      <c r="Q41" s="83">
        <v>0</v>
      </c>
      <c r="R41" s="74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8569.5</v>
      </c>
      <c r="E42" s="138">
        <f>SUM(E32:E41)</f>
        <v>1</v>
      </c>
      <c r="F42" s="201" t="s">
        <v>229</v>
      </c>
      <c r="G42" s="83">
        <v>0</v>
      </c>
      <c r="H42" s="83">
        <v>0</v>
      </c>
      <c r="I42" s="83">
        <v>0</v>
      </c>
      <c r="J42" s="83">
        <v>0</v>
      </c>
      <c r="K42" s="83">
        <v>1</v>
      </c>
      <c r="L42" s="83">
        <v>0</v>
      </c>
      <c r="M42" s="83">
        <v>1</v>
      </c>
      <c r="N42" s="83">
        <v>0</v>
      </c>
      <c r="O42" s="83">
        <v>1</v>
      </c>
      <c r="P42" s="73">
        <v>0</v>
      </c>
      <c r="Q42" s="83">
        <v>0</v>
      </c>
      <c r="R42" s="74">
        <v>1</v>
      </c>
      <c r="S42"/>
      <c r="T42"/>
    </row>
    <row r="43" spans="1:20" ht="15" customHeight="1" x14ac:dyDescent="0.15">
      <c r="A43" s="83"/>
      <c r="F43" s="201" t="s">
        <v>230</v>
      </c>
      <c r="G43" s="83">
        <v>0</v>
      </c>
      <c r="H43" s="83">
        <v>0</v>
      </c>
      <c r="I43" s="83">
        <v>0</v>
      </c>
      <c r="J43" s="83">
        <v>0</v>
      </c>
      <c r="K43" s="83">
        <v>1</v>
      </c>
      <c r="L43" s="83">
        <v>0</v>
      </c>
      <c r="M43" s="83">
        <v>1</v>
      </c>
      <c r="N43" s="83">
        <v>0</v>
      </c>
      <c r="O43" s="83">
        <v>1</v>
      </c>
      <c r="P43" s="73">
        <v>0</v>
      </c>
      <c r="Q43" s="83">
        <v>0</v>
      </c>
      <c r="R43" s="74">
        <v>1</v>
      </c>
      <c r="S43"/>
      <c r="T43"/>
    </row>
    <row r="44" spans="1:20" ht="15" customHeight="1" x14ac:dyDescent="0.15">
      <c r="A44" s="83"/>
      <c r="F44" s="201" t="s">
        <v>231</v>
      </c>
      <c r="G44" s="83">
        <v>0</v>
      </c>
      <c r="H44" s="83">
        <v>0</v>
      </c>
      <c r="I44" s="83">
        <v>0</v>
      </c>
      <c r="J44" s="83">
        <v>0</v>
      </c>
      <c r="K44" s="83">
        <v>1</v>
      </c>
      <c r="L44" s="83">
        <v>0</v>
      </c>
      <c r="M44" s="83">
        <v>1</v>
      </c>
      <c r="N44" s="83">
        <v>0</v>
      </c>
      <c r="O44" s="83">
        <v>1</v>
      </c>
      <c r="P44" s="73">
        <v>0</v>
      </c>
      <c r="Q44" s="83">
        <v>0</v>
      </c>
      <c r="R44" s="74">
        <v>1</v>
      </c>
    </row>
    <row r="45" spans="1:20" ht="15" customHeight="1" x14ac:dyDescent="0.15">
      <c r="A45" s="83"/>
      <c r="F45" s="201" t="s">
        <v>232</v>
      </c>
      <c r="G45" s="83">
        <v>0</v>
      </c>
      <c r="H45" s="83">
        <v>0</v>
      </c>
      <c r="I45" s="83">
        <v>0</v>
      </c>
      <c r="J45" s="83">
        <v>0</v>
      </c>
      <c r="K45" s="83">
        <v>1</v>
      </c>
      <c r="L45" s="83">
        <v>0</v>
      </c>
      <c r="M45" s="83">
        <v>1</v>
      </c>
      <c r="N45" s="83">
        <v>0</v>
      </c>
      <c r="O45" s="83">
        <v>1</v>
      </c>
      <c r="P45" s="73">
        <v>0</v>
      </c>
      <c r="Q45" s="83">
        <v>0</v>
      </c>
      <c r="R45" s="74">
        <v>1</v>
      </c>
    </row>
    <row r="46" spans="1:20" ht="15" customHeight="1" x14ac:dyDescent="0.15">
      <c r="A46" s="83"/>
      <c r="F46" s="201" t="s">
        <v>233</v>
      </c>
      <c r="G46" s="83">
        <v>0</v>
      </c>
      <c r="H46" s="83">
        <v>0</v>
      </c>
      <c r="I46" s="83">
        <v>0</v>
      </c>
      <c r="J46" s="83">
        <v>0</v>
      </c>
      <c r="K46" s="83">
        <v>1</v>
      </c>
      <c r="L46" s="83">
        <v>0</v>
      </c>
      <c r="M46" s="83">
        <v>1</v>
      </c>
      <c r="N46" s="83">
        <v>0</v>
      </c>
      <c r="O46" s="83">
        <v>1</v>
      </c>
      <c r="P46" s="73">
        <v>0</v>
      </c>
      <c r="Q46" s="83">
        <v>0</v>
      </c>
      <c r="R46" s="74">
        <v>1</v>
      </c>
    </row>
    <row r="47" spans="1:20" ht="15" customHeight="1" x14ac:dyDescent="0.15">
      <c r="A47" s="83"/>
      <c r="F47" s="201" t="s">
        <v>234</v>
      </c>
      <c r="G47" s="83">
        <v>0</v>
      </c>
      <c r="H47" s="83">
        <v>0</v>
      </c>
      <c r="I47" s="83">
        <v>0</v>
      </c>
      <c r="J47" s="83">
        <v>0</v>
      </c>
      <c r="K47" s="83">
        <v>1</v>
      </c>
      <c r="L47" s="83">
        <v>0</v>
      </c>
      <c r="M47" s="83">
        <v>1</v>
      </c>
      <c r="N47" s="83">
        <v>0</v>
      </c>
      <c r="O47" s="83">
        <v>1</v>
      </c>
      <c r="P47" s="73">
        <v>0</v>
      </c>
      <c r="Q47" s="83">
        <v>0</v>
      </c>
      <c r="R47" s="74">
        <v>1</v>
      </c>
    </row>
    <row r="48" spans="1:20" ht="15" customHeight="1" x14ac:dyDescent="0.15">
      <c r="A48" s="83"/>
      <c r="F48" s="201" t="s">
        <v>235</v>
      </c>
      <c r="G48" s="83">
        <v>0</v>
      </c>
      <c r="H48" s="83">
        <v>0</v>
      </c>
      <c r="I48" s="83">
        <v>0</v>
      </c>
      <c r="J48" s="83">
        <v>0</v>
      </c>
      <c r="K48" s="83">
        <v>1</v>
      </c>
      <c r="L48" s="83">
        <v>0</v>
      </c>
      <c r="M48" s="83">
        <v>1</v>
      </c>
      <c r="N48" s="83">
        <v>0</v>
      </c>
      <c r="O48" s="83">
        <v>1</v>
      </c>
      <c r="P48" s="73">
        <v>0</v>
      </c>
      <c r="Q48" s="83">
        <v>0</v>
      </c>
      <c r="R48" s="74">
        <v>1</v>
      </c>
    </row>
    <row r="49" spans="6:18" s="83" customFormat="1" ht="15" customHeight="1" x14ac:dyDescent="0.15">
      <c r="F49" s="201" t="s">
        <v>236</v>
      </c>
      <c r="G49" s="83">
        <v>0</v>
      </c>
      <c r="H49" s="83">
        <v>0</v>
      </c>
      <c r="I49" s="83">
        <v>0</v>
      </c>
      <c r="J49" s="83">
        <v>0</v>
      </c>
      <c r="K49" s="83">
        <v>1</v>
      </c>
      <c r="L49" s="83">
        <v>0</v>
      </c>
      <c r="M49" s="83">
        <v>1</v>
      </c>
      <c r="N49" s="83">
        <v>0</v>
      </c>
      <c r="O49" s="83">
        <v>1</v>
      </c>
      <c r="P49" s="73">
        <v>0</v>
      </c>
      <c r="Q49" s="83">
        <v>0</v>
      </c>
      <c r="R49" s="74">
        <v>1</v>
      </c>
    </row>
    <row r="50" spans="6:18" s="83" customFormat="1" ht="15" customHeight="1" x14ac:dyDescent="0.15">
      <c r="F50" s="201" t="s">
        <v>237</v>
      </c>
      <c r="G50" s="83">
        <v>0</v>
      </c>
      <c r="H50" s="83">
        <v>0</v>
      </c>
      <c r="I50" s="83">
        <v>0</v>
      </c>
      <c r="J50" s="83">
        <v>0</v>
      </c>
      <c r="K50" s="83">
        <v>1</v>
      </c>
      <c r="L50" s="83">
        <v>0</v>
      </c>
      <c r="M50" s="83">
        <v>1</v>
      </c>
      <c r="N50" s="83">
        <v>0</v>
      </c>
      <c r="O50" s="83">
        <v>1</v>
      </c>
      <c r="P50" s="73">
        <v>0</v>
      </c>
      <c r="Q50" s="83">
        <v>0</v>
      </c>
      <c r="R50" s="74">
        <v>1</v>
      </c>
    </row>
    <row r="51" spans="6:18" s="83" customFormat="1" ht="15" customHeight="1" x14ac:dyDescent="0.15">
      <c r="F51" s="201" t="s">
        <v>238</v>
      </c>
      <c r="G51" s="83">
        <v>0</v>
      </c>
      <c r="H51" s="83">
        <v>0</v>
      </c>
      <c r="I51" s="83">
        <v>0</v>
      </c>
      <c r="J51" s="83">
        <v>0</v>
      </c>
      <c r="K51" s="83">
        <v>1</v>
      </c>
      <c r="L51" s="83">
        <v>0</v>
      </c>
      <c r="M51" s="83">
        <v>1</v>
      </c>
      <c r="N51" s="83">
        <v>0</v>
      </c>
      <c r="O51" s="83">
        <v>1</v>
      </c>
      <c r="P51" s="73">
        <v>0</v>
      </c>
      <c r="Q51" s="83">
        <v>0</v>
      </c>
      <c r="R51" s="74">
        <v>1</v>
      </c>
    </row>
    <row r="52" spans="6:18" s="83" customFormat="1" ht="15" customHeight="1" x14ac:dyDescent="0.15">
      <c r="F52" s="201" t="s">
        <v>239</v>
      </c>
      <c r="G52" s="83">
        <v>0</v>
      </c>
      <c r="H52" s="83">
        <v>0</v>
      </c>
      <c r="I52" s="83">
        <v>0</v>
      </c>
      <c r="J52" s="83">
        <v>0</v>
      </c>
      <c r="K52" s="83">
        <v>1</v>
      </c>
      <c r="L52" s="83">
        <v>0</v>
      </c>
      <c r="M52" s="83">
        <v>1</v>
      </c>
      <c r="N52" s="83">
        <v>0</v>
      </c>
      <c r="O52" s="83">
        <v>1</v>
      </c>
      <c r="P52" s="73">
        <v>0</v>
      </c>
      <c r="Q52" s="83">
        <v>0</v>
      </c>
      <c r="R52" s="74">
        <v>1</v>
      </c>
    </row>
    <row r="53" spans="6:18" s="83" customFormat="1" ht="15" customHeight="1" x14ac:dyDescent="0.15">
      <c r="F53" s="201" t="s">
        <v>240</v>
      </c>
      <c r="G53" s="83">
        <v>0</v>
      </c>
      <c r="H53" s="83">
        <v>0</v>
      </c>
      <c r="I53" s="83">
        <v>0</v>
      </c>
      <c r="J53" s="83">
        <v>0</v>
      </c>
      <c r="K53" s="83">
        <v>1</v>
      </c>
      <c r="L53" s="83">
        <v>0</v>
      </c>
      <c r="M53" s="83">
        <v>1</v>
      </c>
      <c r="N53" s="83">
        <v>0</v>
      </c>
      <c r="O53" s="83">
        <v>1</v>
      </c>
      <c r="P53" s="73">
        <v>0</v>
      </c>
      <c r="Q53" s="83">
        <v>0</v>
      </c>
      <c r="R53" s="74">
        <v>1</v>
      </c>
    </row>
    <row r="54" spans="6:18" s="83" customFormat="1" ht="15" customHeight="1" x14ac:dyDescent="0.15">
      <c r="F54" s="201" t="s">
        <v>241</v>
      </c>
      <c r="G54" s="83">
        <v>0</v>
      </c>
      <c r="H54" s="83">
        <v>0</v>
      </c>
      <c r="I54" s="83">
        <v>0</v>
      </c>
      <c r="J54" s="83">
        <v>0</v>
      </c>
      <c r="K54" s="83">
        <v>1</v>
      </c>
      <c r="L54" s="83">
        <v>0</v>
      </c>
      <c r="M54" s="83">
        <v>1</v>
      </c>
      <c r="N54" s="83">
        <v>0</v>
      </c>
      <c r="O54" s="83">
        <v>1</v>
      </c>
      <c r="P54" s="73">
        <v>0</v>
      </c>
      <c r="Q54" s="83">
        <v>0</v>
      </c>
      <c r="R54" s="74">
        <v>1</v>
      </c>
    </row>
    <row r="55" spans="6:18" s="83" customFormat="1" ht="15" customHeight="1" x14ac:dyDescent="0.15">
      <c r="F55" s="201" t="s">
        <v>242</v>
      </c>
      <c r="G55" s="83">
        <v>0</v>
      </c>
      <c r="H55" s="83">
        <v>0</v>
      </c>
      <c r="I55" s="83">
        <v>0</v>
      </c>
      <c r="J55" s="83">
        <v>0</v>
      </c>
      <c r="K55" s="83">
        <v>1</v>
      </c>
      <c r="L55" s="83">
        <v>0</v>
      </c>
      <c r="M55" s="83">
        <v>1</v>
      </c>
      <c r="N55" s="83">
        <v>0</v>
      </c>
      <c r="O55" s="83">
        <v>1</v>
      </c>
      <c r="P55" s="73">
        <v>0</v>
      </c>
      <c r="Q55" s="83">
        <v>0</v>
      </c>
      <c r="R55" s="74">
        <v>1</v>
      </c>
    </row>
    <row r="56" spans="6:18" s="83" customFormat="1" ht="15" customHeight="1" x14ac:dyDescent="0.15">
      <c r="F56" s="201" t="s">
        <v>243</v>
      </c>
      <c r="G56" s="83">
        <v>0</v>
      </c>
      <c r="H56" s="83">
        <v>0</v>
      </c>
      <c r="I56" s="83">
        <v>0</v>
      </c>
      <c r="J56" s="83">
        <v>0</v>
      </c>
      <c r="K56" s="83">
        <v>1</v>
      </c>
      <c r="L56" s="83">
        <v>0</v>
      </c>
      <c r="M56" s="83">
        <v>1</v>
      </c>
      <c r="N56" s="83">
        <v>0</v>
      </c>
      <c r="O56" s="83">
        <v>1</v>
      </c>
      <c r="P56" s="73">
        <v>0</v>
      </c>
      <c r="Q56" s="83">
        <v>0</v>
      </c>
      <c r="R56" s="74">
        <v>1</v>
      </c>
    </row>
    <row r="57" spans="6:18" s="83" customFormat="1" ht="15" customHeight="1" x14ac:dyDescent="0.15">
      <c r="F57" s="201" t="s">
        <v>244</v>
      </c>
      <c r="G57" s="83">
        <v>0</v>
      </c>
      <c r="H57" s="83">
        <v>0</v>
      </c>
      <c r="I57" s="83">
        <v>0</v>
      </c>
      <c r="J57" s="83">
        <v>0</v>
      </c>
      <c r="K57" s="83">
        <v>1</v>
      </c>
      <c r="L57" s="83">
        <v>0</v>
      </c>
      <c r="M57" s="83">
        <v>1</v>
      </c>
      <c r="N57" s="83">
        <v>0</v>
      </c>
      <c r="O57" s="83">
        <v>1</v>
      </c>
      <c r="P57" s="73">
        <v>0</v>
      </c>
      <c r="Q57" s="83">
        <v>0</v>
      </c>
      <c r="R57" s="74">
        <v>1</v>
      </c>
    </row>
    <row r="58" spans="6:18" s="83" customFormat="1" ht="15" customHeight="1" x14ac:dyDescent="0.15">
      <c r="F58" s="201" t="s">
        <v>245</v>
      </c>
      <c r="G58" s="83">
        <v>0</v>
      </c>
      <c r="H58" s="83">
        <v>0</v>
      </c>
      <c r="I58" s="83">
        <v>0</v>
      </c>
      <c r="J58" s="83">
        <v>0</v>
      </c>
      <c r="K58" s="83">
        <v>1</v>
      </c>
      <c r="L58" s="83">
        <v>0</v>
      </c>
      <c r="M58" s="83">
        <v>1</v>
      </c>
      <c r="N58" s="83">
        <v>0</v>
      </c>
      <c r="O58" s="83">
        <v>1</v>
      </c>
      <c r="P58" s="73">
        <v>0</v>
      </c>
      <c r="Q58" s="83">
        <v>0</v>
      </c>
      <c r="R58" s="74">
        <v>1</v>
      </c>
    </row>
    <row r="59" spans="6:18" s="83" customFormat="1" ht="15" customHeight="1" x14ac:dyDescent="0.15">
      <c r="F59" s="201" t="s">
        <v>246</v>
      </c>
      <c r="G59" s="83">
        <v>0</v>
      </c>
      <c r="H59" s="83">
        <v>0</v>
      </c>
      <c r="I59" s="83">
        <v>0</v>
      </c>
      <c r="J59" s="83">
        <v>0</v>
      </c>
      <c r="K59" s="83">
        <v>1</v>
      </c>
      <c r="L59" s="83">
        <v>0</v>
      </c>
      <c r="M59" s="83">
        <v>1</v>
      </c>
      <c r="N59" s="83">
        <v>0</v>
      </c>
      <c r="O59" s="83">
        <v>1</v>
      </c>
      <c r="P59" s="73">
        <v>0</v>
      </c>
      <c r="Q59" s="83">
        <v>0</v>
      </c>
      <c r="R59" s="74">
        <v>1</v>
      </c>
    </row>
    <row r="60" spans="6:18" s="83" customFormat="1" ht="15" customHeight="1" x14ac:dyDescent="0.15">
      <c r="F60" s="201" t="s">
        <v>247</v>
      </c>
      <c r="G60" s="83">
        <v>0</v>
      </c>
      <c r="H60" s="83">
        <v>0</v>
      </c>
      <c r="I60" s="83">
        <v>0</v>
      </c>
      <c r="J60" s="83">
        <v>0</v>
      </c>
      <c r="K60" s="83">
        <v>1</v>
      </c>
      <c r="L60" s="83">
        <v>0</v>
      </c>
      <c r="M60" s="83">
        <v>1</v>
      </c>
      <c r="N60" s="83">
        <v>0</v>
      </c>
      <c r="O60" s="83">
        <v>1</v>
      </c>
      <c r="P60" s="73">
        <v>0</v>
      </c>
      <c r="Q60" s="83">
        <v>0</v>
      </c>
      <c r="R60" s="74">
        <v>1</v>
      </c>
    </row>
    <row r="61" spans="6:18" s="83" customFormat="1" ht="15" customHeight="1" x14ac:dyDescent="0.15">
      <c r="F61" s="201" t="s">
        <v>248</v>
      </c>
      <c r="G61" s="83">
        <v>0</v>
      </c>
      <c r="H61" s="83">
        <v>0</v>
      </c>
      <c r="I61" s="83">
        <v>0</v>
      </c>
      <c r="J61" s="83">
        <v>0</v>
      </c>
      <c r="K61" s="83">
        <v>1</v>
      </c>
      <c r="L61" s="83">
        <v>0</v>
      </c>
      <c r="M61" s="83">
        <v>1</v>
      </c>
      <c r="N61" s="83">
        <v>0</v>
      </c>
      <c r="O61" s="83">
        <v>1</v>
      </c>
      <c r="P61" s="73">
        <v>0</v>
      </c>
      <c r="Q61" s="83">
        <v>0</v>
      </c>
      <c r="R61" s="74">
        <v>1</v>
      </c>
    </row>
    <row r="62" spans="6:18" s="83" customFormat="1" ht="15" customHeight="1" x14ac:dyDescent="0.15">
      <c r="F62" s="201" t="s">
        <v>249</v>
      </c>
      <c r="G62" s="83">
        <v>0</v>
      </c>
      <c r="H62" s="83">
        <v>0</v>
      </c>
      <c r="I62" s="83">
        <v>0</v>
      </c>
      <c r="J62" s="83">
        <v>0</v>
      </c>
      <c r="K62" s="83">
        <v>1</v>
      </c>
      <c r="L62" s="83">
        <v>0</v>
      </c>
      <c r="M62" s="83">
        <v>1</v>
      </c>
      <c r="N62" s="83">
        <v>0</v>
      </c>
      <c r="O62" s="83">
        <v>1</v>
      </c>
      <c r="P62" s="73">
        <v>0</v>
      </c>
      <c r="Q62" s="83">
        <v>0</v>
      </c>
      <c r="R62" s="74">
        <v>1</v>
      </c>
    </row>
    <row r="63" spans="6:18" s="83" customFormat="1" ht="15" customHeight="1" x14ac:dyDescent="0.15">
      <c r="F63" s="201" t="s">
        <v>250</v>
      </c>
      <c r="G63" s="83">
        <v>0</v>
      </c>
      <c r="H63" s="83">
        <v>0</v>
      </c>
      <c r="I63" s="83">
        <v>0</v>
      </c>
      <c r="J63" s="83">
        <v>0</v>
      </c>
      <c r="K63" s="83">
        <v>1</v>
      </c>
      <c r="L63" s="83">
        <v>0</v>
      </c>
      <c r="M63" s="83">
        <v>1</v>
      </c>
      <c r="N63" s="83">
        <v>0</v>
      </c>
      <c r="O63" s="83">
        <v>1</v>
      </c>
      <c r="P63" s="73">
        <v>0</v>
      </c>
      <c r="Q63" s="83">
        <v>0</v>
      </c>
      <c r="R63" s="74">
        <v>1</v>
      </c>
    </row>
    <row r="64" spans="6:18" s="83" customFormat="1" ht="15" customHeight="1" x14ac:dyDescent="0.15">
      <c r="F64" s="201" t="s">
        <v>251</v>
      </c>
      <c r="G64" s="83">
        <v>0</v>
      </c>
      <c r="H64" s="83">
        <v>0</v>
      </c>
      <c r="I64" s="83">
        <v>0</v>
      </c>
      <c r="J64" s="83">
        <v>0</v>
      </c>
      <c r="K64" s="83">
        <v>1</v>
      </c>
      <c r="L64" s="83">
        <v>0</v>
      </c>
      <c r="M64" s="83">
        <v>1</v>
      </c>
      <c r="N64" s="83">
        <v>0</v>
      </c>
      <c r="O64" s="83">
        <v>1</v>
      </c>
      <c r="P64" s="73">
        <v>0</v>
      </c>
      <c r="Q64" s="83">
        <v>0</v>
      </c>
      <c r="R64" s="74">
        <v>1</v>
      </c>
    </row>
    <row r="65" spans="1:18" ht="15" customHeight="1" x14ac:dyDescent="0.15">
      <c r="F65" s="201" t="s">
        <v>252</v>
      </c>
      <c r="G65" s="83">
        <v>0</v>
      </c>
      <c r="H65" s="83">
        <v>0</v>
      </c>
      <c r="I65" s="83">
        <v>0</v>
      </c>
      <c r="J65" s="83">
        <v>0</v>
      </c>
      <c r="K65" s="83">
        <v>1</v>
      </c>
      <c r="L65" s="83">
        <v>0</v>
      </c>
      <c r="M65" s="83">
        <v>1</v>
      </c>
      <c r="N65" s="83">
        <v>0</v>
      </c>
      <c r="O65" s="83">
        <v>1</v>
      </c>
      <c r="P65" s="73">
        <v>0</v>
      </c>
      <c r="Q65" s="83">
        <v>0</v>
      </c>
      <c r="R65" s="74">
        <v>1</v>
      </c>
    </row>
    <row r="66" spans="1:18" ht="15" customHeight="1" x14ac:dyDescent="0.15">
      <c r="F66" s="201" t="s">
        <v>253</v>
      </c>
      <c r="G66" s="83">
        <v>0</v>
      </c>
      <c r="H66" s="83">
        <v>0</v>
      </c>
      <c r="I66" s="83">
        <v>0</v>
      </c>
      <c r="J66" s="83">
        <v>0</v>
      </c>
      <c r="K66" s="83">
        <v>1</v>
      </c>
      <c r="L66" s="83">
        <v>0</v>
      </c>
      <c r="M66" s="83">
        <v>1</v>
      </c>
      <c r="N66" s="83">
        <v>0</v>
      </c>
      <c r="O66" s="83">
        <v>1</v>
      </c>
      <c r="P66" s="73">
        <v>0</v>
      </c>
      <c r="Q66" s="83">
        <v>0</v>
      </c>
      <c r="R66" s="74">
        <v>1</v>
      </c>
    </row>
    <row r="67" spans="1:18" ht="15" customHeight="1" x14ac:dyDescent="0.15">
      <c r="F67" s="201" t="s">
        <v>254</v>
      </c>
      <c r="G67" s="83">
        <v>0</v>
      </c>
      <c r="H67" s="83">
        <v>0</v>
      </c>
      <c r="I67" s="83">
        <v>0</v>
      </c>
      <c r="J67" s="83">
        <v>0</v>
      </c>
      <c r="K67" s="83">
        <v>1</v>
      </c>
      <c r="L67" s="83">
        <v>0</v>
      </c>
      <c r="M67" s="83">
        <v>1</v>
      </c>
      <c r="N67" s="83">
        <v>0</v>
      </c>
      <c r="O67" s="83">
        <v>1</v>
      </c>
      <c r="P67" s="73">
        <v>0</v>
      </c>
      <c r="Q67" s="83">
        <v>0</v>
      </c>
      <c r="R67" s="74">
        <v>1</v>
      </c>
    </row>
    <row r="68" spans="1:18" ht="15" customHeight="1" x14ac:dyDescent="0.15">
      <c r="F68" s="201" t="s">
        <v>255</v>
      </c>
      <c r="G68" s="83">
        <v>0</v>
      </c>
      <c r="H68" s="83">
        <v>0</v>
      </c>
      <c r="I68" s="83">
        <v>0</v>
      </c>
      <c r="J68" s="83">
        <v>0</v>
      </c>
      <c r="K68" s="83">
        <v>1</v>
      </c>
      <c r="L68" s="83">
        <v>0</v>
      </c>
      <c r="M68" s="83">
        <v>1</v>
      </c>
      <c r="N68" s="83">
        <v>0</v>
      </c>
      <c r="O68" s="83">
        <v>1</v>
      </c>
      <c r="P68" s="73">
        <v>0</v>
      </c>
      <c r="Q68" s="83">
        <v>0</v>
      </c>
      <c r="R68" s="74">
        <v>1</v>
      </c>
    </row>
    <row r="69" spans="1:18" ht="15" customHeight="1" x14ac:dyDescent="0.15">
      <c r="F69" s="201" t="s">
        <v>256</v>
      </c>
      <c r="G69" s="83">
        <v>0</v>
      </c>
      <c r="H69" s="83">
        <v>0</v>
      </c>
      <c r="I69" s="83">
        <v>0</v>
      </c>
      <c r="J69" s="83">
        <v>0</v>
      </c>
      <c r="K69" s="83">
        <v>1</v>
      </c>
      <c r="L69" s="83">
        <v>0</v>
      </c>
      <c r="M69" s="83">
        <v>1</v>
      </c>
      <c r="N69" s="83">
        <v>0</v>
      </c>
      <c r="O69" s="83">
        <v>1</v>
      </c>
      <c r="P69" s="73">
        <v>0</v>
      </c>
      <c r="Q69" s="83">
        <v>0</v>
      </c>
      <c r="R69" s="74">
        <v>1</v>
      </c>
    </row>
    <row r="70" spans="1:18" ht="15" customHeight="1" x14ac:dyDescent="0.15">
      <c r="F70" s="201" t="s">
        <v>257</v>
      </c>
      <c r="G70" s="83">
        <v>0</v>
      </c>
      <c r="H70" s="83">
        <v>0</v>
      </c>
      <c r="I70" s="83">
        <v>0</v>
      </c>
      <c r="J70" s="83">
        <v>0</v>
      </c>
      <c r="K70" s="83">
        <v>1</v>
      </c>
      <c r="L70" s="83">
        <v>0</v>
      </c>
      <c r="M70" s="83">
        <v>1</v>
      </c>
      <c r="N70" s="83">
        <v>0</v>
      </c>
      <c r="O70" s="83">
        <v>1</v>
      </c>
      <c r="P70" s="73">
        <v>0</v>
      </c>
      <c r="Q70" s="83">
        <v>0</v>
      </c>
      <c r="R70" s="74">
        <v>1</v>
      </c>
    </row>
    <row r="71" spans="1:18" ht="15" customHeight="1" x14ac:dyDescent="0.15">
      <c r="F71" s="201" t="s">
        <v>258</v>
      </c>
      <c r="G71" s="83">
        <v>0</v>
      </c>
      <c r="H71" s="83">
        <v>0</v>
      </c>
      <c r="I71" s="83">
        <v>0</v>
      </c>
      <c r="J71" s="83">
        <v>0</v>
      </c>
      <c r="K71" s="83">
        <v>1</v>
      </c>
      <c r="L71" s="83">
        <v>0</v>
      </c>
      <c r="M71" s="83">
        <v>1</v>
      </c>
      <c r="N71" s="83">
        <v>0</v>
      </c>
      <c r="O71" s="83">
        <v>1</v>
      </c>
      <c r="P71" s="73">
        <v>0</v>
      </c>
      <c r="Q71" s="83">
        <v>0</v>
      </c>
      <c r="R71" s="74">
        <v>1</v>
      </c>
    </row>
    <row r="72" spans="1:18" ht="15" customHeight="1" x14ac:dyDescent="0.15">
      <c r="F72" s="201" t="s">
        <v>259</v>
      </c>
      <c r="G72" s="83">
        <v>0</v>
      </c>
      <c r="H72" s="83">
        <v>0</v>
      </c>
      <c r="I72" s="83">
        <v>0</v>
      </c>
      <c r="J72" s="83">
        <v>0</v>
      </c>
      <c r="K72" s="83">
        <v>1</v>
      </c>
      <c r="L72" s="83">
        <v>0</v>
      </c>
      <c r="M72" s="83">
        <v>1</v>
      </c>
      <c r="N72" s="83">
        <v>0</v>
      </c>
      <c r="O72" s="83">
        <v>1</v>
      </c>
      <c r="P72" s="73">
        <v>0</v>
      </c>
      <c r="Q72" s="83">
        <v>0</v>
      </c>
      <c r="R72" s="74">
        <v>1</v>
      </c>
    </row>
    <row r="73" spans="1:18" ht="15" customHeight="1" x14ac:dyDescent="0.15">
      <c r="F73" s="201" t="s">
        <v>260</v>
      </c>
      <c r="G73" s="83">
        <v>0</v>
      </c>
      <c r="H73" s="83">
        <v>0</v>
      </c>
      <c r="I73" s="83">
        <v>0</v>
      </c>
      <c r="J73" s="83">
        <v>0</v>
      </c>
      <c r="K73" s="83">
        <v>1</v>
      </c>
      <c r="L73" s="83">
        <v>0</v>
      </c>
      <c r="M73" s="83">
        <v>1</v>
      </c>
      <c r="N73" s="83">
        <v>0</v>
      </c>
      <c r="O73" s="83">
        <v>1</v>
      </c>
      <c r="P73" s="73">
        <v>0</v>
      </c>
      <c r="Q73" s="83">
        <v>0</v>
      </c>
      <c r="R73" s="74">
        <v>1</v>
      </c>
    </row>
    <row r="74" spans="1:18" ht="15" customHeight="1" x14ac:dyDescent="0.15">
      <c r="F74" s="201" t="s">
        <v>261</v>
      </c>
      <c r="G74" s="83">
        <v>0</v>
      </c>
      <c r="H74" s="83">
        <v>0</v>
      </c>
      <c r="I74" s="83">
        <v>0</v>
      </c>
      <c r="J74" s="83">
        <v>0</v>
      </c>
      <c r="K74" s="83">
        <v>1</v>
      </c>
      <c r="L74" s="83">
        <v>0</v>
      </c>
      <c r="M74" s="83">
        <v>1</v>
      </c>
      <c r="N74" s="83">
        <v>0</v>
      </c>
      <c r="O74" s="83">
        <v>1</v>
      </c>
      <c r="P74" s="73">
        <v>0</v>
      </c>
      <c r="Q74" s="83">
        <v>0</v>
      </c>
      <c r="R74" s="74">
        <v>1</v>
      </c>
    </row>
    <row r="75" spans="1:18" ht="15" customHeight="1" x14ac:dyDescent="0.15">
      <c r="F75" s="201" t="s">
        <v>262</v>
      </c>
      <c r="G75" s="83">
        <v>0</v>
      </c>
      <c r="H75" s="83">
        <v>0</v>
      </c>
      <c r="I75" s="83">
        <v>0</v>
      </c>
      <c r="J75" s="83">
        <v>0</v>
      </c>
      <c r="K75" s="83">
        <v>1</v>
      </c>
      <c r="L75" s="83">
        <v>0</v>
      </c>
      <c r="M75" s="83">
        <v>1</v>
      </c>
      <c r="N75" s="83">
        <v>0</v>
      </c>
      <c r="O75" s="83">
        <v>1</v>
      </c>
      <c r="P75" s="73">
        <v>0</v>
      </c>
      <c r="Q75" s="83">
        <v>0</v>
      </c>
      <c r="R75" s="74">
        <v>1</v>
      </c>
    </row>
    <row r="76" spans="1:18" ht="15" customHeight="1" x14ac:dyDescent="0.15">
      <c r="A76" s="83"/>
      <c r="F76" s="201" t="s">
        <v>263</v>
      </c>
      <c r="G76" s="83">
        <v>0</v>
      </c>
      <c r="H76" s="83">
        <v>0</v>
      </c>
      <c r="I76" s="83">
        <v>0</v>
      </c>
      <c r="J76" s="83">
        <v>0</v>
      </c>
      <c r="K76" s="83">
        <v>1</v>
      </c>
      <c r="L76" s="83">
        <v>0</v>
      </c>
      <c r="M76" s="83">
        <v>1</v>
      </c>
      <c r="N76" s="83">
        <v>0</v>
      </c>
      <c r="O76" s="83">
        <v>1</v>
      </c>
      <c r="P76" s="73">
        <v>0</v>
      </c>
      <c r="Q76" s="83">
        <v>0</v>
      </c>
      <c r="R76" s="74">
        <v>1</v>
      </c>
    </row>
    <row r="77" spans="1:18" ht="15" customHeight="1" x14ac:dyDescent="0.15">
      <c r="A77" s="83"/>
      <c r="F77" s="201" t="s">
        <v>264</v>
      </c>
      <c r="G77" s="83">
        <v>0</v>
      </c>
      <c r="H77" s="83">
        <v>0</v>
      </c>
      <c r="I77" s="83">
        <v>0</v>
      </c>
      <c r="J77" s="83">
        <v>0</v>
      </c>
      <c r="K77" s="83">
        <v>0</v>
      </c>
      <c r="L77" s="83">
        <v>0</v>
      </c>
      <c r="M77" s="83">
        <v>1</v>
      </c>
      <c r="N77" s="83">
        <v>0</v>
      </c>
      <c r="O77" s="83">
        <v>0</v>
      </c>
      <c r="P77" s="73">
        <v>0</v>
      </c>
      <c r="Q77" s="83">
        <v>0</v>
      </c>
      <c r="R77" s="74">
        <v>1</v>
      </c>
    </row>
    <row r="78" spans="1:18" ht="15" customHeight="1" x14ac:dyDescent="0.15">
      <c r="A78" s="83"/>
      <c r="F78" s="201" t="s">
        <v>265</v>
      </c>
      <c r="G78" s="83">
        <v>0</v>
      </c>
      <c r="H78" s="83">
        <v>0</v>
      </c>
      <c r="I78" s="83">
        <v>0</v>
      </c>
      <c r="J78" s="83">
        <v>0</v>
      </c>
      <c r="K78" s="83">
        <v>0</v>
      </c>
      <c r="L78" s="83">
        <v>0</v>
      </c>
      <c r="M78" s="83">
        <v>1</v>
      </c>
      <c r="N78" s="83">
        <v>0</v>
      </c>
      <c r="O78" s="83">
        <v>0</v>
      </c>
      <c r="P78" s="73">
        <v>0</v>
      </c>
      <c r="Q78" s="83">
        <v>0</v>
      </c>
      <c r="R78" s="74">
        <v>1</v>
      </c>
    </row>
    <row r="79" spans="1:18" ht="15" customHeight="1" x14ac:dyDescent="0.15">
      <c r="A79" s="83"/>
      <c r="F79" s="201" t="s">
        <v>266</v>
      </c>
      <c r="G79" s="83">
        <v>0</v>
      </c>
      <c r="H79" s="83">
        <v>0</v>
      </c>
      <c r="I79" s="83">
        <v>0</v>
      </c>
      <c r="J79" s="83">
        <v>0</v>
      </c>
      <c r="K79" s="83">
        <v>0</v>
      </c>
      <c r="L79" s="83">
        <v>0</v>
      </c>
      <c r="M79" s="83">
        <v>1</v>
      </c>
      <c r="N79" s="83">
        <v>0</v>
      </c>
      <c r="O79" s="83">
        <v>0</v>
      </c>
      <c r="P79" s="73">
        <v>0</v>
      </c>
      <c r="Q79" s="83">
        <v>0</v>
      </c>
      <c r="R79" s="74">
        <v>1</v>
      </c>
    </row>
    <row r="80" spans="1:18" ht="15" customHeight="1" x14ac:dyDescent="0.15">
      <c r="A80" s="83"/>
      <c r="F80" s="201" t="s">
        <v>267</v>
      </c>
      <c r="G80" s="83">
        <v>0</v>
      </c>
      <c r="H80" s="83">
        <v>0</v>
      </c>
      <c r="I80" s="83">
        <v>0</v>
      </c>
      <c r="J80" s="83">
        <v>0</v>
      </c>
      <c r="K80" s="83">
        <v>0</v>
      </c>
      <c r="L80" s="83">
        <v>1</v>
      </c>
      <c r="M80" s="83">
        <v>0</v>
      </c>
      <c r="N80" s="83">
        <v>1</v>
      </c>
      <c r="O80" s="83">
        <v>0</v>
      </c>
      <c r="P80" s="73">
        <v>1</v>
      </c>
      <c r="Q80" s="83">
        <v>0</v>
      </c>
      <c r="R80" s="74">
        <v>1</v>
      </c>
    </row>
    <row r="81" spans="1:18" ht="15" customHeight="1" x14ac:dyDescent="0.15">
      <c r="A81" s="83"/>
      <c r="F81" s="201" t="s">
        <v>268</v>
      </c>
      <c r="G81" s="83">
        <v>0</v>
      </c>
      <c r="H81" s="83">
        <v>0</v>
      </c>
      <c r="I81" s="83">
        <v>0</v>
      </c>
      <c r="J81" s="83">
        <v>0</v>
      </c>
      <c r="K81" s="83">
        <v>0</v>
      </c>
      <c r="L81" s="83">
        <v>1</v>
      </c>
      <c r="M81" s="83">
        <v>0</v>
      </c>
      <c r="N81" s="83">
        <v>1</v>
      </c>
      <c r="O81" s="83">
        <v>0</v>
      </c>
      <c r="P81" s="73">
        <v>1</v>
      </c>
      <c r="Q81" s="83">
        <v>0</v>
      </c>
      <c r="R81" s="74">
        <v>1</v>
      </c>
    </row>
    <row r="82" spans="1:18" ht="15" customHeight="1" x14ac:dyDescent="0.15">
      <c r="A82" s="83"/>
      <c r="F82" s="201" t="s">
        <v>269</v>
      </c>
      <c r="G82" s="83">
        <v>0</v>
      </c>
      <c r="H82" s="83">
        <v>0</v>
      </c>
      <c r="I82" s="83">
        <v>0</v>
      </c>
      <c r="J82" s="83">
        <v>0</v>
      </c>
      <c r="K82" s="83">
        <v>0</v>
      </c>
      <c r="L82" s="83">
        <v>1</v>
      </c>
      <c r="M82" s="83">
        <v>0</v>
      </c>
      <c r="N82" s="83">
        <v>0</v>
      </c>
      <c r="O82" s="83">
        <v>0</v>
      </c>
      <c r="P82" s="73">
        <v>0</v>
      </c>
      <c r="Q82" s="83">
        <v>0</v>
      </c>
      <c r="R82" s="74">
        <v>1</v>
      </c>
    </row>
    <row r="83" spans="1:18" ht="15" customHeight="1" x14ac:dyDescent="0.15">
      <c r="A83" s="83"/>
      <c r="F83" s="201" t="s">
        <v>270</v>
      </c>
      <c r="G83" s="83">
        <v>0</v>
      </c>
      <c r="H83" s="83">
        <v>0</v>
      </c>
      <c r="I83" s="83">
        <v>0</v>
      </c>
      <c r="J83" s="83">
        <v>0</v>
      </c>
      <c r="K83" s="83">
        <v>0</v>
      </c>
      <c r="L83" s="83">
        <v>1</v>
      </c>
      <c r="M83" s="83">
        <v>0</v>
      </c>
      <c r="N83" s="83">
        <v>0</v>
      </c>
      <c r="O83" s="83">
        <v>0</v>
      </c>
      <c r="P83" s="73">
        <v>0</v>
      </c>
      <c r="Q83" s="83">
        <v>0</v>
      </c>
      <c r="R83" s="74">
        <v>1</v>
      </c>
    </row>
    <row r="84" spans="1:18" ht="15" customHeight="1" x14ac:dyDescent="0.15">
      <c r="A84" s="83"/>
      <c r="F84" s="201" t="s">
        <v>271</v>
      </c>
      <c r="G84" s="83">
        <v>0</v>
      </c>
      <c r="H84" s="83">
        <v>0</v>
      </c>
      <c r="I84" s="83">
        <v>0</v>
      </c>
      <c r="J84" s="83">
        <v>0</v>
      </c>
      <c r="K84" s="83">
        <v>0</v>
      </c>
      <c r="L84" s="83">
        <v>1</v>
      </c>
      <c r="M84" s="83">
        <v>0</v>
      </c>
      <c r="N84" s="83">
        <v>0</v>
      </c>
      <c r="O84" s="83">
        <v>0</v>
      </c>
      <c r="P84" s="73">
        <v>0</v>
      </c>
      <c r="Q84" s="83">
        <v>0</v>
      </c>
      <c r="R84" s="74">
        <v>1</v>
      </c>
    </row>
    <row r="85" spans="1:18" ht="15" customHeight="1" x14ac:dyDescent="0.15">
      <c r="A85" s="83"/>
      <c r="F85" s="201" t="s">
        <v>272</v>
      </c>
      <c r="G85" s="83">
        <v>0</v>
      </c>
      <c r="H85" s="83">
        <v>0</v>
      </c>
      <c r="I85" s="83">
        <v>0</v>
      </c>
      <c r="J85" s="83">
        <v>0</v>
      </c>
      <c r="K85" s="83">
        <v>0</v>
      </c>
      <c r="L85" s="83">
        <v>1</v>
      </c>
      <c r="M85" s="83">
        <v>0</v>
      </c>
      <c r="N85" s="83">
        <v>0</v>
      </c>
      <c r="O85" s="83">
        <v>0</v>
      </c>
      <c r="P85" s="73">
        <v>0</v>
      </c>
      <c r="Q85" s="83">
        <v>0</v>
      </c>
      <c r="R85" s="74">
        <v>1</v>
      </c>
    </row>
    <row r="86" spans="1:18" ht="15" customHeight="1" x14ac:dyDescent="0.15">
      <c r="A86" s="83"/>
      <c r="F86" s="201" t="s">
        <v>273</v>
      </c>
      <c r="G86" s="83">
        <v>0</v>
      </c>
      <c r="H86" s="83">
        <v>0</v>
      </c>
      <c r="I86" s="83">
        <v>0</v>
      </c>
      <c r="J86" s="83">
        <v>0</v>
      </c>
      <c r="K86" s="83">
        <v>0</v>
      </c>
      <c r="L86" s="83">
        <v>1</v>
      </c>
      <c r="M86" s="83">
        <v>0</v>
      </c>
      <c r="N86" s="83">
        <v>0</v>
      </c>
      <c r="O86" s="83">
        <v>0</v>
      </c>
      <c r="P86" s="73">
        <v>0</v>
      </c>
      <c r="Q86" s="83">
        <v>0</v>
      </c>
      <c r="R86" s="74">
        <v>1</v>
      </c>
    </row>
    <row r="87" spans="1:18" ht="15" customHeight="1" x14ac:dyDescent="0.15">
      <c r="A87" s="83"/>
      <c r="F87" s="201" t="s">
        <v>274</v>
      </c>
      <c r="G87" s="83">
        <v>0</v>
      </c>
      <c r="H87" s="83">
        <v>0</v>
      </c>
      <c r="I87" s="83">
        <v>0</v>
      </c>
      <c r="J87" s="83">
        <v>0</v>
      </c>
      <c r="K87" s="83">
        <v>0</v>
      </c>
      <c r="L87" s="83">
        <v>1</v>
      </c>
      <c r="M87" s="83">
        <v>0</v>
      </c>
      <c r="N87" s="83">
        <v>0</v>
      </c>
      <c r="O87" s="83">
        <v>0</v>
      </c>
      <c r="P87" s="73">
        <v>0</v>
      </c>
      <c r="Q87" s="83">
        <v>0</v>
      </c>
      <c r="R87" s="74">
        <v>1</v>
      </c>
    </row>
    <row r="88" spans="1:18" ht="15" customHeight="1" x14ac:dyDescent="0.15">
      <c r="A88" s="83"/>
      <c r="F88" s="201" t="s">
        <v>275</v>
      </c>
      <c r="G88" s="83">
        <v>0</v>
      </c>
      <c r="H88" s="83">
        <v>0</v>
      </c>
      <c r="I88" s="83">
        <v>0</v>
      </c>
      <c r="J88" s="83">
        <v>0</v>
      </c>
      <c r="K88" s="83">
        <v>0</v>
      </c>
      <c r="L88" s="83">
        <v>1</v>
      </c>
      <c r="M88" s="83">
        <v>0</v>
      </c>
      <c r="N88" s="83">
        <v>0</v>
      </c>
      <c r="O88" s="83">
        <v>0</v>
      </c>
      <c r="P88" s="73">
        <v>0</v>
      </c>
      <c r="Q88" s="83">
        <v>0</v>
      </c>
      <c r="R88" s="74">
        <v>1</v>
      </c>
    </row>
    <row r="89" spans="1:18" ht="15" customHeight="1" x14ac:dyDescent="0.15">
      <c r="A89" s="83"/>
      <c r="F89" s="201" t="s">
        <v>276</v>
      </c>
      <c r="G89" s="83">
        <v>0</v>
      </c>
      <c r="H89" s="83">
        <v>0</v>
      </c>
      <c r="I89" s="83">
        <v>0</v>
      </c>
      <c r="J89" s="83">
        <v>0</v>
      </c>
      <c r="K89" s="83">
        <v>0</v>
      </c>
      <c r="L89" s="83">
        <v>1</v>
      </c>
      <c r="M89" s="83">
        <v>0</v>
      </c>
      <c r="N89" s="83">
        <v>0</v>
      </c>
      <c r="O89" s="83">
        <v>0</v>
      </c>
      <c r="P89" s="73">
        <v>0</v>
      </c>
      <c r="Q89" s="83">
        <v>0</v>
      </c>
      <c r="R89" s="74">
        <v>1</v>
      </c>
    </row>
    <row r="90" spans="1:18" ht="15" customHeight="1" x14ac:dyDescent="0.15">
      <c r="A90" s="83"/>
      <c r="F90" s="201" t="s">
        <v>277</v>
      </c>
      <c r="G90" s="83">
        <v>0</v>
      </c>
      <c r="H90" s="83">
        <v>0</v>
      </c>
      <c r="I90" s="83">
        <v>0</v>
      </c>
      <c r="J90" s="83">
        <v>0</v>
      </c>
      <c r="K90" s="83">
        <v>0</v>
      </c>
      <c r="L90" s="83">
        <v>1</v>
      </c>
      <c r="M90" s="83">
        <v>0</v>
      </c>
      <c r="N90" s="83">
        <v>0</v>
      </c>
      <c r="O90" s="83">
        <v>0</v>
      </c>
      <c r="P90" s="73">
        <v>0</v>
      </c>
      <c r="Q90" s="83">
        <v>0</v>
      </c>
      <c r="R90" s="74">
        <v>1</v>
      </c>
    </row>
    <row r="91" spans="1:18" ht="15" customHeight="1" x14ac:dyDescent="0.15">
      <c r="A91" s="83"/>
      <c r="F91" s="201" t="s">
        <v>278</v>
      </c>
      <c r="G91" s="83">
        <v>0</v>
      </c>
      <c r="H91" s="83">
        <v>0</v>
      </c>
      <c r="I91" s="83">
        <v>0</v>
      </c>
      <c r="J91" s="83">
        <v>0</v>
      </c>
      <c r="K91" s="83">
        <v>0</v>
      </c>
      <c r="L91" s="83">
        <v>1</v>
      </c>
      <c r="M91" s="83">
        <v>0</v>
      </c>
      <c r="N91" s="83">
        <v>0</v>
      </c>
      <c r="O91" s="83">
        <v>0</v>
      </c>
      <c r="P91" s="73">
        <v>0</v>
      </c>
      <c r="Q91" s="83">
        <v>0</v>
      </c>
      <c r="R91" s="74">
        <v>1</v>
      </c>
    </row>
    <row r="92" spans="1:18" ht="15" customHeight="1" x14ac:dyDescent="0.15">
      <c r="A92" s="83"/>
      <c r="F92" s="201" t="s">
        <v>279</v>
      </c>
      <c r="G92" s="83">
        <v>0</v>
      </c>
      <c r="H92" s="83">
        <v>0</v>
      </c>
      <c r="I92" s="83">
        <v>0</v>
      </c>
      <c r="J92" s="83">
        <v>0</v>
      </c>
      <c r="K92" s="83">
        <v>0</v>
      </c>
      <c r="L92" s="83">
        <v>1</v>
      </c>
      <c r="M92" s="83">
        <v>0</v>
      </c>
      <c r="N92" s="83">
        <v>0</v>
      </c>
      <c r="O92" s="83">
        <v>0</v>
      </c>
      <c r="P92" s="73">
        <v>0</v>
      </c>
      <c r="Q92" s="83">
        <v>0</v>
      </c>
      <c r="R92" s="74">
        <v>1</v>
      </c>
    </row>
    <row r="93" spans="1:18" ht="15" customHeight="1" x14ac:dyDescent="0.15">
      <c r="A93" s="83"/>
      <c r="F93" s="201" t="s">
        <v>280</v>
      </c>
      <c r="G93" s="83">
        <v>0</v>
      </c>
      <c r="H93" s="83">
        <v>0</v>
      </c>
      <c r="I93" s="83">
        <v>0</v>
      </c>
      <c r="J93" s="83">
        <v>0</v>
      </c>
      <c r="K93" s="83">
        <v>0</v>
      </c>
      <c r="L93" s="83">
        <v>1</v>
      </c>
      <c r="M93" s="83">
        <v>0</v>
      </c>
      <c r="N93" s="83">
        <v>0</v>
      </c>
      <c r="O93" s="83">
        <v>0</v>
      </c>
      <c r="P93" s="73">
        <v>0</v>
      </c>
      <c r="Q93" s="83">
        <v>0</v>
      </c>
      <c r="R93" s="74">
        <v>1</v>
      </c>
    </row>
    <row r="94" spans="1:18" ht="15" customHeight="1" x14ac:dyDescent="0.15">
      <c r="A94" s="83"/>
      <c r="F94" s="201" t="s">
        <v>281</v>
      </c>
      <c r="G94" s="83">
        <v>0</v>
      </c>
      <c r="H94" s="83">
        <v>0</v>
      </c>
      <c r="I94" s="83">
        <v>0</v>
      </c>
      <c r="J94" s="83">
        <v>0</v>
      </c>
      <c r="K94" s="83">
        <v>0</v>
      </c>
      <c r="L94" s="83">
        <v>1</v>
      </c>
      <c r="M94" s="83">
        <v>0</v>
      </c>
      <c r="N94" s="83">
        <v>0</v>
      </c>
      <c r="O94" s="83">
        <v>0</v>
      </c>
      <c r="P94" s="73">
        <v>0</v>
      </c>
      <c r="Q94" s="83">
        <v>0</v>
      </c>
      <c r="R94" s="74">
        <v>1</v>
      </c>
    </row>
    <row r="95" spans="1:18" ht="15" customHeight="1" x14ac:dyDescent="0.15">
      <c r="A95" s="83"/>
      <c r="F95" s="201" t="s">
        <v>282</v>
      </c>
      <c r="G95" s="83">
        <v>0</v>
      </c>
      <c r="H95" s="83">
        <v>0</v>
      </c>
      <c r="I95" s="83">
        <v>0</v>
      </c>
      <c r="J95" s="83">
        <v>0</v>
      </c>
      <c r="K95" s="83">
        <v>0</v>
      </c>
      <c r="L95" s="83">
        <v>1</v>
      </c>
      <c r="M95" s="83">
        <v>0</v>
      </c>
      <c r="N95" s="83">
        <v>0</v>
      </c>
      <c r="O95" s="83">
        <v>0</v>
      </c>
      <c r="P95" s="73">
        <v>0</v>
      </c>
      <c r="Q95" s="83">
        <v>0</v>
      </c>
      <c r="R95" s="74">
        <v>1</v>
      </c>
    </row>
    <row r="96" spans="1:18" ht="15" customHeight="1" x14ac:dyDescent="0.15">
      <c r="A96" s="83"/>
      <c r="F96" s="201" t="s">
        <v>283</v>
      </c>
      <c r="G96" s="83">
        <v>0</v>
      </c>
      <c r="H96" s="83">
        <v>0</v>
      </c>
      <c r="I96" s="83">
        <v>0</v>
      </c>
      <c r="J96" s="83">
        <v>0</v>
      </c>
      <c r="K96" s="83">
        <v>0</v>
      </c>
      <c r="L96" s="83">
        <v>1</v>
      </c>
      <c r="M96" s="83">
        <v>0</v>
      </c>
      <c r="N96" s="83">
        <v>0</v>
      </c>
      <c r="O96" s="83">
        <v>0</v>
      </c>
      <c r="P96" s="73">
        <v>0</v>
      </c>
      <c r="Q96" s="83">
        <v>0</v>
      </c>
      <c r="R96" s="74">
        <v>1</v>
      </c>
    </row>
    <row r="97" spans="1:18" ht="15" customHeight="1" x14ac:dyDescent="0.15">
      <c r="A97" s="83"/>
      <c r="F97" s="201" t="s">
        <v>284</v>
      </c>
      <c r="G97" s="83">
        <v>0</v>
      </c>
      <c r="H97" s="83">
        <v>0</v>
      </c>
      <c r="I97" s="83">
        <v>0</v>
      </c>
      <c r="J97" s="83">
        <v>0</v>
      </c>
      <c r="K97" s="83">
        <v>0</v>
      </c>
      <c r="L97" s="83">
        <v>1</v>
      </c>
      <c r="M97" s="83">
        <v>0</v>
      </c>
      <c r="N97" s="83">
        <v>0</v>
      </c>
      <c r="O97" s="83">
        <v>0</v>
      </c>
      <c r="P97" s="73">
        <v>0</v>
      </c>
      <c r="Q97" s="83">
        <v>0</v>
      </c>
      <c r="R97" s="74">
        <v>1</v>
      </c>
    </row>
    <row r="98" spans="1:18" ht="15" customHeight="1" x14ac:dyDescent="0.15">
      <c r="A98" s="83"/>
      <c r="F98" s="201" t="s">
        <v>285</v>
      </c>
      <c r="G98" s="83">
        <v>0</v>
      </c>
      <c r="H98" s="83">
        <v>0</v>
      </c>
      <c r="I98" s="83">
        <v>0</v>
      </c>
      <c r="J98" s="83">
        <v>0</v>
      </c>
      <c r="K98" s="83">
        <v>0</v>
      </c>
      <c r="L98" s="83">
        <v>1</v>
      </c>
      <c r="M98" s="83">
        <v>0</v>
      </c>
      <c r="N98" s="83">
        <v>0</v>
      </c>
      <c r="O98" s="83">
        <v>0</v>
      </c>
      <c r="P98" s="73">
        <v>0</v>
      </c>
      <c r="Q98" s="83">
        <v>0</v>
      </c>
      <c r="R98" s="74">
        <v>1</v>
      </c>
    </row>
    <row r="99" spans="1:18" ht="15" customHeight="1" x14ac:dyDescent="0.15">
      <c r="A99" s="83"/>
      <c r="F99" s="201" t="s">
        <v>286</v>
      </c>
      <c r="G99" s="83">
        <v>0</v>
      </c>
      <c r="H99" s="83">
        <v>0</v>
      </c>
      <c r="I99" s="83">
        <v>0</v>
      </c>
      <c r="J99" s="83">
        <v>0</v>
      </c>
      <c r="K99" s="83">
        <v>0</v>
      </c>
      <c r="L99" s="83">
        <v>1</v>
      </c>
      <c r="M99" s="83">
        <v>0</v>
      </c>
      <c r="N99" s="83">
        <v>0</v>
      </c>
      <c r="O99" s="83">
        <v>0</v>
      </c>
      <c r="P99" s="73">
        <v>0</v>
      </c>
      <c r="Q99" s="83">
        <v>0</v>
      </c>
      <c r="R99" s="74">
        <v>1</v>
      </c>
    </row>
    <row r="100" spans="1:18" ht="15" customHeight="1" x14ac:dyDescent="0.15">
      <c r="A100" s="83"/>
      <c r="F100" s="201" t="s">
        <v>287</v>
      </c>
      <c r="G100" s="83">
        <v>0</v>
      </c>
      <c r="H100" s="83">
        <v>0</v>
      </c>
      <c r="I100" s="83">
        <v>0</v>
      </c>
      <c r="J100" s="83">
        <v>0</v>
      </c>
      <c r="K100" s="83">
        <v>0</v>
      </c>
      <c r="L100" s="83">
        <v>1</v>
      </c>
      <c r="M100" s="83">
        <v>0</v>
      </c>
      <c r="N100" s="83">
        <v>0</v>
      </c>
      <c r="O100" s="83">
        <v>0</v>
      </c>
      <c r="P100" s="73">
        <v>0</v>
      </c>
      <c r="Q100" s="83">
        <v>0</v>
      </c>
      <c r="R100" s="74">
        <v>1</v>
      </c>
    </row>
    <row r="101" spans="1:18" ht="15" customHeight="1" x14ac:dyDescent="0.15">
      <c r="A101" s="83"/>
      <c r="F101" s="201" t="s">
        <v>288</v>
      </c>
      <c r="G101" s="83">
        <v>0</v>
      </c>
      <c r="H101" s="83">
        <v>0</v>
      </c>
      <c r="I101" s="83">
        <v>0</v>
      </c>
      <c r="J101" s="83">
        <v>0</v>
      </c>
      <c r="K101" s="83">
        <v>0</v>
      </c>
      <c r="L101" s="83">
        <v>1</v>
      </c>
      <c r="M101" s="83">
        <v>0</v>
      </c>
      <c r="N101" s="83">
        <v>0</v>
      </c>
      <c r="O101" s="83">
        <v>0</v>
      </c>
      <c r="P101" s="73">
        <v>0</v>
      </c>
      <c r="Q101" s="83">
        <v>0</v>
      </c>
      <c r="R101" s="74">
        <v>1</v>
      </c>
    </row>
    <row r="102" spans="1:18" ht="15" customHeight="1" x14ac:dyDescent="0.15">
      <c r="A102" s="83"/>
      <c r="F102" s="201" t="s">
        <v>289</v>
      </c>
      <c r="G102" s="83">
        <v>0</v>
      </c>
      <c r="H102" s="83">
        <v>0</v>
      </c>
      <c r="I102" s="83">
        <v>0</v>
      </c>
      <c r="J102" s="83">
        <v>0</v>
      </c>
      <c r="K102" s="83">
        <v>0</v>
      </c>
      <c r="L102" s="83">
        <v>1</v>
      </c>
      <c r="M102" s="83">
        <v>0</v>
      </c>
      <c r="N102" s="83">
        <v>0</v>
      </c>
      <c r="O102" s="83">
        <v>0</v>
      </c>
      <c r="P102" s="73">
        <v>0</v>
      </c>
      <c r="Q102" s="83">
        <v>0</v>
      </c>
      <c r="R102" s="74">
        <v>1</v>
      </c>
    </row>
    <row r="103" spans="1:18" ht="15" customHeight="1" x14ac:dyDescent="0.15">
      <c r="A103" s="83"/>
      <c r="F103" s="201" t="s">
        <v>290</v>
      </c>
      <c r="G103" s="83">
        <v>0</v>
      </c>
      <c r="H103" s="83">
        <v>0</v>
      </c>
      <c r="I103" s="83">
        <v>0</v>
      </c>
      <c r="J103" s="83">
        <v>0</v>
      </c>
      <c r="K103" s="83">
        <v>0</v>
      </c>
      <c r="L103" s="83">
        <v>1</v>
      </c>
      <c r="M103" s="83">
        <v>0</v>
      </c>
      <c r="N103" s="83">
        <v>0</v>
      </c>
      <c r="O103" s="83">
        <v>0</v>
      </c>
      <c r="P103" s="73">
        <v>0</v>
      </c>
      <c r="Q103" s="83">
        <v>0</v>
      </c>
      <c r="R103" s="74">
        <v>1</v>
      </c>
    </row>
    <row r="104" spans="1:18" ht="15" customHeight="1" x14ac:dyDescent="0.15">
      <c r="A104" s="83"/>
      <c r="F104" s="201" t="s">
        <v>291</v>
      </c>
      <c r="G104" s="83">
        <v>0</v>
      </c>
      <c r="H104" s="83">
        <v>0</v>
      </c>
      <c r="I104" s="83">
        <v>0</v>
      </c>
      <c r="J104" s="83">
        <v>0</v>
      </c>
      <c r="K104" s="83">
        <v>0</v>
      </c>
      <c r="L104" s="83">
        <v>1</v>
      </c>
      <c r="M104" s="83">
        <v>0</v>
      </c>
      <c r="N104" s="83">
        <v>0</v>
      </c>
      <c r="O104" s="83">
        <v>0</v>
      </c>
      <c r="P104" s="73">
        <v>0</v>
      </c>
      <c r="Q104" s="83">
        <v>0</v>
      </c>
      <c r="R104" s="74">
        <v>1</v>
      </c>
    </row>
    <row r="105" spans="1:18" ht="15" customHeight="1" x14ac:dyDescent="0.15">
      <c r="A105" s="83"/>
      <c r="F105" s="201" t="s">
        <v>292</v>
      </c>
      <c r="G105" s="83">
        <v>0</v>
      </c>
      <c r="H105" s="83">
        <v>0</v>
      </c>
      <c r="I105" s="83">
        <v>0</v>
      </c>
      <c r="J105" s="83">
        <v>0</v>
      </c>
      <c r="K105" s="83">
        <v>0</v>
      </c>
      <c r="L105" s="83">
        <v>1</v>
      </c>
      <c r="M105" s="83">
        <v>0</v>
      </c>
      <c r="N105" s="83">
        <v>0</v>
      </c>
      <c r="O105" s="83">
        <v>0</v>
      </c>
      <c r="P105" s="73">
        <v>0</v>
      </c>
      <c r="Q105" s="83">
        <v>0</v>
      </c>
      <c r="R105" s="74">
        <v>1</v>
      </c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DD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3.83203125" bestFit="1" customWidth="1"/>
    <col min="2" max="2" width="2.33203125" style="115" customWidth="1"/>
    <col min="3" max="5" width="7.83203125" style="115" customWidth="1"/>
    <col min="6" max="8" width="8.83203125" style="6"/>
    <col min="9" max="9" width="5" style="6" customWidth="1"/>
    <col min="10" max="10" width="5.1640625" style="6" customWidth="1"/>
    <col min="11" max="12" width="4.83203125" style="6" customWidth="1"/>
    <col min="13" max="14" width="5.1640625" style="6" customWidth="1"/>
    <col min="15" max="15" width="4.83203125" style="6" customWidth="1"/>
    <col min="16" max="16" width="5" style="6" customWidth="1"/>
    <col min="17" max="18" width="5.1640625" style="6" customWidth="1"/>
    <col min="19" max="20" width="4.6640625" style="6" customWidth="1"/>
    <col min="21" max="21" width="4.83203125" style="6" customWidth="1"/>
    <col min="22" max="22" width="4" style="6" customWidth="1"/>
    <col min="23" max="23" width="5.83203125" style="6" customWidth="1"/>
    <col min="24" max="24" width="5.1640625" style="6" customWidth="1"/>
    <col min="25" max="25" width="5.5" style="6" customWidth="1"/>
    <col min="26" max="26" width="5.33203125" style="6" customWidth="1"/>
    <col min="27" max="31" width="5.1640625" style="6" customWidth="1"/>
    <col min="32" max="34" width="6.5" style="6" customWidth="1"/>
    <col min="35" max="38" width="6.33203125" style="6" customWidth="1"/>
    <col min="39" max="43" width="6.33203125" customWidth="1"/>
    <col min="44" max="44" width="5.1640625" customWidth="1"/>
    <col min="45" max="46" width="5.83203125" customWidth="1"/>
    <col min="47" max="48" width="6.1640625" customWidth="1"/>
    <col min="49" max="49" width="5.1640625" customWidth="1"/>
    <col min="50" max="50" width="5.5" customWidth="1"/>
    <col min="51" max="51" width="5.33203125" customWidth="1"/>
    <col min="52" max="52" width="4.83203125" customWidth="1"/>
    <col min="53" max="53" width="3.5" customWidth="1"/>
    <col min="54" max="54" width="5" customWidth="1"/>
    <col min="55" max="56" width="4.83203125" customWidth="1"/>
    <col min="57" max="57" width="5.1640625" customWidth="1"/>
    <col min="58" max="58" width="5.5" customWidth="1"/>
    <col min="59" max="59" width="3.83203125" customWidth="1"/>
    <col min="60" max="60" width="5.5" customWidth="1"/>
    <col min="61" max="61" width="4.5" customWidth="1"/>
    <col min="62" max="67" width="5" customWidth="1"/>
    <col min="68" max="68" width="5.1640625" customWidth="1"/>
    <col min="69" max="69" width="5.5" customWidth="1"/>
    <col min="70" max="71" width="5.1640625" customWidth="1"/>
    <col min="72" max="72" width="4.83203125" customWidth="1"/>
    <col min="73" max="76" width="5.1640625" customWidth="1"/>
    <col min="77" max="77" width="5.5" customWidth="1"/>
    <col min="78" max="78" width="5.1640625" customWidth="1"/>
    <col min="79" max="79" width="4.1640625" customWidth="1"/>
    <col min="80" max="80" width="5" customWidth="1"/>
    <col min="81" max="81" width="5.33203125" bestFit="1" customWidth="1"/>
    <col min="82" max="82" width="5.1640625" customWidth="1"/>
    <col min="83" max="83" width="7.6640625" customWidth="1"/>
    <col min="84" max="84" width="21.6640625" customWidth="1"/>
    <col min="85" max="87" width="20.5" customWidth="1"/>
    <col min="88" max="88" width="23.83203125" customWidth="1"/>
    <col min="89" max="89" width="7.1640625" customWidth="1"/>
    <col min="90" max="90" width="11.1640625" customWidth="1"/>
    <col min="91" max="91" width="12.6640625" customWidth="1"/>
    <col min="92" max="92" width="8.5" customWidth="1"/>
    <col min="93" max="93" width="13.6640625" customWidth="1"/>
    <col min="94" max="94" width="14" customWidth="1"/>
    <col min="95" max="95" width="16.33203125" customWidth="1"/>
    <col min="96" max="96" width="11.5" customWidth="1"/>
    <col min="97" max="97" width="9.33203125" customWidth="1"/>
    <col min="98" max="98" width="10" customWidth="1"/>
    <col min="99" max="99" width="8.33203125" customWidth="1"/>
    <col min="100" max="100" width="6.1640625" customWidth="1"/>
    <col min="101" max="101" width="7.1640625" customWidth="1"/>
    <col min="102" max="102" width="5.83203125" customWidth="1"/>
    <col min="103" max="103" width="13.33203125" customWidth="1"/>
    <col min="104" max="104" width="15" customWidth="1"/>
    <col min="105" max="105" width="11" customWidth="1"/>
    <col min="106" max="106" width="10.33203125" customWidth="1"/>
    <col min="107" max="107" width="13.6640625" customWidth="1"/>
    <col min="108" max="108" width="9.1640625" customWidth="1"/>
  </cols>
  <sheetData>
    <row r="1" spans="1:108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193</v>
      </c>
      <c r="J1" s="206" t="s">
        <v>194</v>
      </c>
      <c r="K1" s="206" t="s">
        <v>195</v>
      </c>
      <c r="L1" s="206" t="s">
        <v>196</v>
      </c>
      <c r="M1" s="206" t="s">
        <v>197</v>
      </c>
      <c r="N1" s="206" t="s">
        <v>198</v>
      </c>
      <c r="O1" s="206" t="s">
        <v>199</v>
      </c>
      <c r="P1" s="206" t="s">
        <v>200</v>
      </c>
      <c r="Q1" s="206" t="s">
        <v>201</v>
      </c>
      <c r="R1" s="206" t="s">
        <v>202</v>
      </c>
      <c r="S1" s="206" t="s">
        <v>203</v>
      </c>
      <c r="T1" s="206" t="s">
        <v>204</v>
      </c>
      <c r="U1" s="206" t="s">
        <v>205</v>
      </c>
      <c r="V1" s="206" t="s">
        <v>206</v>
      </c>
      <c r="W1" s="206" t="s">
        <v>207</v>
      </c>
      <c r="X1" s="206" t="s">
        <v>208</v>
      </c>
      <c r="Y1" s="206" t="s">
        <v>209</v>
      </c>
      <c r="Z1" s="206" t="s">
        <v>210</v>
      </c>
      <c r="AA1" s="206" t="s">
        <v>211</v>
      </c>
      <c r="AB1" s="206" t="s">
        <v>212</v>
      </c>
      <c r="AC1" s="206" t="s">
        <v>213</v>
      </c>
      <c r="AD1" s="206" t="s">
        <v>214</v>
      </c>
      <c r="AE1" s="206" t="s">
        <v>215</v>
      </c>
      <c r="AF1" s="206" t="s">
        <v>216</v>
      </c>
      <c r="AG1" s="206" t="s">
        <v>217</v>
      </c>
      <c r="AH1" s="206" t="s">
        <v>218</v>
      </c>
      <c r="AI1" s="206" t="s">
        <v>219</v>
      </c>
      <c r="AJ1" s="206" t="s">
        <v>220</v>
      </c>
      <c r="AK1" s="206" t="s">
        <v>221</v>
      </c>
      <c r="AL1" s="206" t="s">
        <v>222</v>
      </c>
      <c r="AM1" s="206" t="s">
        <v>223</v>
      </c>
      <c r="AN1" s="206" t="s">
        <v>224</v>
      </c>
      <c r="AO1" s="206" t="s">
        <v>225</v>
      </c>
      <c r="AP1" s="206" t="s">
        <v>226</v>
      </c>
      <c r="AQ1" s="206" t="s">
        <v>227</v>
      </c>
      <c r="AR1" s="206" t="s">
        <v>228</v>
      </c>
      <c r="AS1" s="206" t="s">
        <v>229</v>
      </c>
      <c r="AT1" s="206" t="s">
        <v>230</v>
      </c>
      <c r="AU1" s="206" t="s">
        <v>231</v>
      </c>
      <c r="AV1" s="206" t="s">
        <v>232</v>
      </c>
      <c r="AW1" s="206" t="s">
        <v>233</v>
      </c>
      <c r="AX1" s="206" t="s">
        <v>234</v>
      </c>
      <c r="AY1" s="206" t="s">
        <v>235</v>
      </c>
      <c r="AZ1" s="206" t="s">
        <v>236</v>
      </c>
      <c r="BA1" s="206" t="s">
        <v>237</v>
      </c>
      <c r="BB1" s="206" t="s">
        <v>238</v>
      </c>
      <c r="BC1" s="206" t="s">
        <v>239</v>
      </c>
      <c r="BD1" s="206" t="s">
        <v>240</v>
      </c>
      <c r="BE1" s="206" t="s">
        <v>241</v>
      </c>
      <c r="BF1" s="206" t="s">
        <v>242</v>
      </c>
      <c r="BG1" s="206" t="s">
        <v>243</v>
      </c>
      <c r="BH1" s="206" t="s">
        <v>244</v>
      </c>
      <c r="BI1" s="206" t="s">
        <v>245</v>
      </c>
      <c r="BJ1" s="206" t="s">
        <v>246</v>
      </c>
      <c r="BK1" s="206" t="s">
        <v>247</v>
      </c>
      <c r="BL1" s="206" t="s">
        <v>248</v>
      </c>
      <c r="BM1" s="206" t="s">
        <v>249</v>
      </c>
      <c r="BN1" s="206" t="s">
        <v>250</v>
      </c>
      <c r="BO1" s="206" t="s">
        <v>251</v>
      </c>
      <c r="BP1" s="206" t="s">
        <v>252</v>
      </c>
      <c r="BQ1" s="206" t="s">
        <v>253</v>
      </c>
      <c r="BR1" s="206" t="s">
        <v>254</v>
      </c>
      <c r="BS1" s="206" t="s">
        <v>255</v>
      </c>
      <c r="BT1" s="206" t="s">
        <v>256</v>
      </c>
      <c r="BU1" s="206" t="s">
        <v>257</v>
      </c>
      <c r="BV1" s="206" t="s">
        <v>258</v>
      </c>
      <c r="BW1" s="206" t="s">
        <v>259</v>
      </c>
      <c r="BX1" s="206" t="s">
        <v>260</v>
      </c>
      <c r="BY1" s="206" t="s">
        <v>261</v>
      </c>
      <c r="BZ1" s="206" t="s">
        <v>262</v>
      </c>
      <c r="CA1" s="206" t="s">
        <v>263</v>
      </c>
      <c r="CB1" s="206" t="s">
        <v>264</v>
      </c>
      <c r="CC1" s="206" t="s">
        <v>265</v>
      </c>
      <c r="CD1" s="206" t="s">
        <v>266</v>
      </c>
      <c r="CE1" s="206" t="s">
        <v>267</v>
      </c>
      <c r="CF1" s="206" t="s">
        <v>268</v>
      </c>
      <c r="CG1" s="206" t="s">
        <v>269</v>
      </c>
      <c r="CH1" s="206" t="s">
        <v>270</v>
      </c>
      <c r="CI1" s="206" t="s">
        <v>271</v>
      </c>
      <c r="CJ1" s="206" t="s">
        <v>272</v>
      </c>
      <c r="CK1" s="206" t="s">
        <v>273</v>
      </c>
      <c r="CL1" s="206" t="s">
        <v>274</v>
      </c>
      <c r="CM1" s="206" t="s">
        <v>275</v>
      </c>
      <c r="CN1" s="206" t="s">
        <v>276</v>
      </c>
      <c r="CO1" s="206" t="s">
        <v>277</v>
      </c>
      <c r="CP1" s="206" t="s">
        <v>278</v>
      </c>
      <c r="CQ1" s="206" t="s">
        <v>279</v>
      </c>
      <c r="CR1" s="206" t="s">
        <v>280</v>
      </c>
      <c r="CS1" s="206" t="s">
        <v>281</v>
      </c>
      <c r="CT1" s="206" t="s">
        <v>282</v>
      </c>
      <c r="CU1" s="206" t="s">
        <v>283</v>
      </c>
      <c r="CV1" s="206" t="s">
        <v>284</v>
      </c>
      <c r="CW1" s="206" t="s">
        <v>285</v>
      </c>
      <c r="CX1" s="206" t="s">
        <v>286</v>
      </c>
      <c r="CY1" s="206" t="s">
        <v>287</v>
      </c>
      <c r="CZ1" s="206" t="s">
        <v>288</v>
      </c>
      <c r="DA1" s="206" t="s">
        <v>289</v>
      </c>
      <c r="DB1" s="206" t="s">
        <v>290</v>
      </c>
      <c r="DC1" s="206" t="s">
        <v>291</v>
      </c>
      <c r="DD1" s="206" t="s">
        <v>292</v>
      </c>
    </row>
    <row r="2" spans="1:108" x14ac:dyDescent="0.15">
      <c r="A2" t="s">
        <v>38</v>
      </c>
      <c r="B2" s="11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108" x14ac:dyDescent="0.15">
      <c r="A3" t="s">
        <v>40</v>
      </c>
      <c r="B3" s="11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108" x14ac:dyDescent="0.15">
      <c r="A4" t="s">
        <v>41</v>
      </c>
      <c r="B4" s="11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108" x14ac:dyDescent="0.15">
      <c r="A5" s="205" t="s">
        <v>193</v>
      </c>
      <c r="B5" s="11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108" x14ac:dyDescent="0.15">
      <c r="A6" s="205" t="s">
        <v>194</v>
      </c>
      <c r="B6" s="11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108" x14ac:dyDescent="0.15">
      <c r="A7" s="205" t="s">
        <v>195</v>
      </c>
      <c r="B7" s="11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108" x14ac:dyDescent="0.15">
      <c r="A8" s="205" t="s">
        <v>196</v>
      </c>
      <c r="B8" s="11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108" x14ac:dyDescent="0.15">
      <c r="A9" s="205" t="s">
        <v>197</v>
      </c>
      <c r="B9" s="11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108" x14ac:dyDescent="0.15">
      <c r="A10" s="205" t="s">
        <v>198</v>
      </c>
      <c r="B10" s="11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108" x14ac:dyDescent="0.15">
      <c r="A11" s="205" t="s">
        <v>199</v>
      </c>
      <c r="B11" s="11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108" x14ac:dyDescent="0.15">
      <c r="A12" s="205" t="s">
        <v>200</v>
      </c>
      <c r="B12" s="11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108" x14ac:dyDescent="0.15">
      <c r="A13" s="205" t="s">
        <v>201</v>
      </c>
      <c r="B13" s="11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108" x14ac:dyDescent="0.15">
      <c r="A14" s="205" t="s">
        <v>202</v>
      </c>
      <c r="B14" s="11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108" x14ac:dyDescent="0.15">
      <c r="A15" s="205" t="s">
        <v>203</v>
      </c>
      <c r="B15" s="11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108" x14ac:dyDescent="0.15">
      <c r="A16" s="205" t="s">
        <v>204</v>
      </c>
      <c r="B16" s="11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205</v>
      </c>
      <c r="B17" s="11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206</v>
      </c>
      <c r="B18" s="11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207</v>
      </c>
      <c r="B19" s="11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208</v>
      </c>
      <c r="B20" s="11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209</v>
      </c>
      <c r="B21" s="11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210</v>
      </c>
      <c r="B22" s="11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211</v>
      </c>
      <c r="B23" s="11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212</v>
      </c>
      <c r="B24" s="11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213</v>
      </c>
      <c r="B25" s="11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214</v>
      </c>
      <c r="B26" s="11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215</v>
      </c>
      <c r="B27" s="11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216</v>
      </c>
      <c r="B28" s="115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217</v>
      </c>
      <c r="B29" s="115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218</v>
      </c>
      <c r="B30" s="115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219</v>
      </c>
      <c r="B31" s="115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220</v>
      </c>
      <c r="B32" s="115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221</v>
      </c>
      <c r="B33" s="115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222</v>
      </c>
      <c r="B34" s="115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223</v>
      </c>
      <c r="B35" s="115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224</v>
      </c>
      <c r="B36" s="115">
        <v>0</v>
      </c>
      <c r="C36"/>
      <c r="D36"/>
    </row>
    <row r="37" spans="1:38" ht="15" customHeight="1" x14ac:dyDescent="0.15">
      <c r="A37" s="205" t="s">
        <v>225</v>
      </c>
      <c r="B37" s="115">
        <v>0</v>
      </c>
      <c r="C37"/>
      <c r="D37"/>
    </row>
    <row r="38" spans="1:38" ht="15" customHeight="1" x14ac:dyDescent="0.15">
      <c r="A38" s="205" t="s">
        <v>226</v>
      </c>
      <c r="B38" s="115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227</v>
      </c>
      <c r="B39" s="115">
        <v>0</v>
      </c>
      <c r="C39"/>
      <c r="D39"/>
    </row>
    <row r="40" spans="1:38" ht="15" customHeight="1" x14ac:dyDescent="0.15">
      <c r="A40" s="205" t="s">
        <v>228</v>
      </c>
      <c r="B40" s="115">
        <v>0</v>
      </c>
      <c r="C40"/>
      <c r="D40"/>
    </row>
    <row r="41" spans="1:38" ht="15" customHeight="1" x14ac:dyDescent="0.15">
      <c r="A41" s="205" t="s">
        <v>229</v>
      </c>
      <c r="B41" s="115">
        <v>0</v>
      </c>
      <c r="C41"/>
      <c r="D41"/>
    </row>
    <row r="42" spans="1:38" ht="15" customHeight="1" x14ac:dyDescent="0.15">
      <c r="A42" s="205" t="s">
        <v>230</v>
      </c>
      <c r="B42" s="115">
        <v>0</v>
      </c>
    </row>
    <row r="43" spans="1:38" ht="15" customHeight="1" x14ac:dyDescent="0.15">
      <c r="A43" s="205" t="s">
        <v>231</v>
      </c>
      <c r="B43" s="115">
        <v>0</v>
      </c>
    </row>
    <row r="44" spans="1:38" ht="15" customHeight="1" x14ac:dyDescent="0.15">
      <c r="A44" s="205" t="s">
        <v>232</v>
      </c>
      <c r="B44" s="115">
        <v>0</v>
      </c>
    </row>
    <row r="45" spans="1:38" ht="15" customHeight="1" x14ac:dyDescent="0.15">
      <c r="A45" s="205" t="s">
        <v>233</v>
      </c>
      <c r="B45" s="115">
        <v>0</v>
      </c>
    </row>
    <row r="46" spans="1:38" ht="15" customHeight="1" x14ac:dyDescent="0.15">
      <c r="A46" s="205" t="s">
        <v>234</v>
      </c>
      <c r="B46" s="115">
        <v>0</v>
      </c>
    </row>
    <row r="47" spans="1:38" ht="15" customHeight="1" x14ac:dyDescent="0.15">
      <c r="A47" s="205" t="s">
        <v>235</v>
      </c>
      <c r="B47" s="115">
        <v>0</v>
      </c>
    </row>
    <row r="48" spans="1:38" ht="15" customHeight="1" x14ac:dyDescent="0.15">
      <c r="A48" s="205" t="s">
        <v>236</v>
      </c>
      <c r="B48" s="115">
        <v>0</v>
      </c>
    </row>
    <row r="49" spans="1:38" ht="15" customHeight="1" x14ac:dyDescent="0.15">
      <c r="A49" s="205" t="s">
        <v>237</v>
      </c>
      <c r="B49" s="115">
        <v>0</v>
      </c>
    </row>
    <row r="50" spans="1:38" ht="15" customHeight="1" x14ac:dyDescent="0.15">
      <c r="A50" s="205" t="s">
        <v>238</v>
      </c>
      <c r="B50" s="115">
        <v>0</v>
      </c>
    </row>
    <row r="51" spans="1:38" ht="15" customHeight="1" x14ac:dyDescent="0.15">
      <c r="A51" s="205" t="s">
        <v>239</v>
      </c>
      <c r="B51" s="115">
        <v>0</v>
      </c>
    </row>
    <row r="52" spans="1:38" ht="15" customHeight="1" x14ac:dyDescent="0.15">
      <c r="A52" s="205" t="s">
        <v>240</v>
      </c>
      <c r="B52" s="115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5" t="s">
        <v>241</v>
      </c>
      <c r="B53" s="115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5" t="s">
        <v>242</v>
      </c>
      <c r="B54" s="115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5" t="s">
        <v>243</v>
      </c>
      <c r="B55" s="115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5" t="s">
        <v>244</v>
      </c>
      <c r="B56" s="115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5" t="s">
        <v>245</v>
      </c>
      <c r="B57" s="115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5" t="s">
        <v>246</v>
      </c>
      <c r="B58" s="115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5" t="s">
        <v>247</v>
      </c>
      <c r="B59" s="115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5" t="s">
        <v>248</v>
      </c>
      <c r="B60" s="115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5" t="s">
        <v>249</v>
      </c>
      <c r="B61" s="115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5" t="s">
        <v>250</v>
      </c>
      <c r="B62" s="115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5" t="s">
        <v>251</v>
      </c>
      <c r="B63" s="115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5" t="s">
        <v>252</v>
      </c>
      <c r="B64" s="115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5" t="s">
        <v>253</v>
      </c>
      <c r="B65" s="115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5" t="s">
        <v>254</v>
      </c>
      <c r="B66" s="115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5" t="s">
        <v>255</v>
      </c>
      <c r="B67" s="115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5" t="s">
        <v>256</v>
      </c>
      <c r="B68" s="115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5" t="s">
        <v>257</v>
      </c>
      <c r="B69" s="115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5" t="s">
        <v>258</v>
      </c>
      <c r="B70" s="115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5" t="s">
        <v>259</v>
      </c>
      <c r="B71" s="115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5" t="s">
        <v>260</v>
      </c>
      <c r="B72" s="115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5" t="s">
        <v>261</v>
      </c>
      <c r="B73" s="115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5" t="s">
        <v>262</v>
      </c>
      <c r="B74" s="115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5" t="s">
        <v>263</v>
      </c>
      <c r="B75" s="115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5" t="s">
        <v>264</v>
      </c>
      <c r="B76" s="115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5" t="s">
        <v>265</v>
      </c>
      <c r="B77" s="115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05" t="s">
        <v>266</v>
      </c>
      <c r="B78" s="115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05" t="s">
        <v>267</v>
      </c>
      <c r="B79" s="115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A80" s="205" t="s">
        <v>268</v>
      </c>
      <c r="B80" s="115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15">
      <c r="A81" s="205" t="s">
        <v>269</v>
      </c>
      <c r="B81" s="115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15">
      <c r="A82" s="205" t="s">
        <v>270</v>
      </c>
      <c r="B82" s="115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15">
      <c r="A83" s="205" t="s">
        <v>271</v>
      </c>
      <c r="B83" s="115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15">
      <c r="A84" s="205" t="s">
        <v>272</v>
      </c>
      <c r="B84" s="115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15">
      <c r="A85" s="205" t="s">
        <v>273</v>
      </c>
      <c r="B85" s="115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15">
      <c r="A86" s="205" t="s">
        <v>274</v>
      </c>
      <c r="B86" s="115">
        <v>0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15">
      <c r="A87" s="205" t="s">
        <v>275</v>
      </c>
      <c r="B87" s="115">
        <v>0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15">
      <c r="A88" s="205" t="s">
        <v>276</v>
      </c>
      <c r="B88" s="115">
        <v>0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15">
      <c r="A89" s="205" t="s">
        <v>277</v>
      </c>
      <c r="B89" s="115">
        <v>0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15">
      <c r="A90" s="205" t="s">
        <v>278</v>
      </c>
      <c r="B90" s="115">
        <v>0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15">
      <c r="A91" s="205" t="s">
        <v>279</v>
      </c>
      <c r="B91" s="115"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15">
      <c r="A92" s="205" t="s">
        <v>280</v>
      </c>
      <c r="B92" s="115"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15">
      <c r="A93" s="205" t="s">
        <v>281</v>
      </c>
      <c r="B93" s="115"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15">
      <c r="A94" s="205" t="s">
        <v>282</v>
      </c>
      <c r="B94" s="115">
        <v>0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15">
      <c r="A95" s="205" t="s">
        <v>283</v>
      </c>
      <c r="B95" s="115">
        <v>0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15">
      <c r="A96" s="205" t="s">
        <v>284</v>
      </c>
      <c r="B96" s="115">
        <v>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ht="15" customHeight="1" x14ac:dyDescent="0.15">
      <c r="A97" s="205" t="s">
        <v>285</v>
      </c>
      <c r="B97" s="115">
        <v>0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ht="15" customHeight="1" x14ac:dyDescent="0.15">
      <c r="A98" s="205" t="s">
        <v>286</v>
      </c>
      <c r="B98" s="115">
        <v>0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ht="15" customHeight="1" x14ac:dyDescent="0.15">
      <c r="A99" s="205" t="s">
        <v>287</v>
      </c>
      <c r="B99" s="115">
        <v>0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ht="15" customHeight="1" x14ac:dyDescent="0.15">
      <c r="A100" s="205" t="s">
        <v>288</v>
      </c>
      <c r="B100" s="115">
        <v>0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ht="15" customHeight="1" x14ac:dyDescent="0.15">
      <c r="A101" s="205" t="s">
        <v>289</v>
      </c>
      <c r="B101" s="115">
        <v>0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ht="15" customHeight="1" x14ac:dyDescent="0.15">
      <c r="A102" s="205" t="s">
        <v>290</v>
      </c>
      <c r="B102" s="115">
        <v>0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ht="15" customHeight="1" x14ac:dyDescent="0.15">
      <c r="A103" s="205" t="s">
        <v>291</v>
      </c>
      <c r="B103" s="115">
        <v>0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ht="15" customHeight="1" x14ac:dyDescent="0.15">
      <c r="A104" s="205" t="s">
        <v>292</v>
      </c>
      <c r="B104" s="115">
        <v>0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2023-08-14T23:38:34Z</dcterms:modified>
</cp:coreProperties>
</file>