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108" codeName="{6BE1CDB9-6C1C-A5B6-3FC1-E231EC3C600E}"/>
  <workbookPr showInkAnnotation="0" codeName="ThisWorkbook" checkCompatibility="1" autoCompressPictures="0"/>
  <mc:AlternateContent xmlns:mc="http://schemas.openxmlformats.org/markup-compatibility/2006">
    <mc:Choice Requires="x15">
      <x15ac:absPath xmlns:x15ac="http://schemas.microsoft.com/office/spreadsheetml/2010/11/ac" url="/Users/jimsebi/Documents/14_Manuscripts/2022_PICES_SmallPelagicFish/EwEmodel_database/2_ECOTRAN_versions/ECOTRAN_OtherRegions/OtherRegions_ECOTRAN_K-path_versions/"/>
    </mc:Choice>
  </mc:AlternateContent>
  <xr:revisionPtr revIDLastSave="0" documentId="13_ncr:1_{35E6F3BE-6437-A448-9F82-E202214397A1}" xr6:coauthVersionLast="45" xr6:coauthVersionMax="45" xr10:uidLastSave="{00000000-0000-0000-0000-000000000000}"/>
  <bookViews>
    <workbookView xWindow="0" yWindow="460" windowWidth="25600" windowHeight="14240" tabRatio="728" activeTab="1" xr2:uid="{00000000-000D-0000-FFFF-FFFF00000000}"/>
  </bookViews>
  <sheets>
    <sheet name="READ ME" sheetId="80" r:id="rId1"/>
    <sheet name="Main" sheetId="75" r:id="rId2"/>
    <sheet name="Diets" sheetId="78" r:id="rId3"/>
    <sheet name="Detritus" sheetId="1" r:id="rId4"/>
    <sheet name="Fishing" sheetId="2" r:id="rId5"/>
    <sheet name="Discards" sheetId="3" r:id="rId6"/>
    <sheet name="pedigree_Parameters" sheetId="87" r:id="rId7"/>
    <sheet name="pedigree_Diet" sheetId="88" r:id="rId8"/>
    <sheet name="pedigree_DietPrefRules" sheetId="89" r:id="rId9"/>
    <sheet name="pedigree_Landings" sheetId="93" r:id="rId10"/>
    <sheet name="pedigree_Discards" sheetId="91" r:id="rId11"/>
    <sheet name="MainOutputs" sheetId="83" r:id="rId12"/>
    <sheet name="Mortalities" sheetId="84" r:id="rId13"/>
    <sheet name="EcotranType" sheetId="85" r:id="rId14"/>
    <sheet name="EcotranRecycling" sheetId="86" r:id="rId15"/>
    <sheet name="FunctionalResponse" sheetId="94" r:id="rId16"/>
  </sheets>
  <functionGroups builtInGroupCount="19"/>
  <definedNames>
    <definedName name="cornerBasic">Main!$C$1</definedName>
    <definedName name="cornerBasicOut">MainOutputs!$A$1</definedName>
    <definedName name="cornerDetritus">Detritus!$A$1</definedName>
    <definedName name="cornerDiets">Diets!$A$1</definedName>
    <definedName name="cornerDiscards">Discards!$A$1</definedName>
    <definedName name="cornerFishing">Fishing!$A$1</definedName>
    <definedName name="cornerMort">Mortalities!$A$1</definedName>
    <definedName name="cornerPedcat">#REF!</definedName>
    <definedName name="cornerPedigree">#REF!</definedName>
    <definedName name="FishingLinks">Main!$B$8</definedName>
    <definedName name="matBasic">Main!$C$2:$N$47</definedName>
    <definedName name="matDetritus">Detritus!$C$2:$F$47</definedName>
    <definedName name="matDiet">Diets!$B$2:$AM$43</definedName>
    <definedName name="matDiscards">Discards!$C$2:$G$42</definedName>
    <definedName name="matFishery">Fishing!$C$2:$G$42</definedName>
    <definedName name="matFishing">Fishing!#REF!</definedName>
    <definedName name="matMort">Mortalities!$A$1:$AW$42</definedName>
    <definedName name="matOut">MainOutputs!$A$2:$I$47</definedName>
    <definedName name="matPedcat">#REF!</definedName>
    <definedName name="matPedigree">#REF!</definedName>
    <definedName name="NumDead">Main!$B$4</definedName>
    <definedName name="NumGears">Main!$B$5</definedName>
    <definedName name="NumLiving">Main!$B$3</definedName>
    <definedName name="PredPreyLinks">Main!$B$7</definedName>
    <definedName name="vecBB">MainOutputs!$E$2:$E$150</definedName>
  </definedNames>
  <calcPr calcId="191029"/>
  <extLst>
    <ext xmlns:mx="http://schemas.microsoft.com/office/mac/excel/2008/main" uri="{7523E5D3-25F3-A5E0-1632-64F254C22452}">
      <mx:ArchID Flags="2"/>
    </ext>
  </extLst>
</workbook>
</file>

<file path=xl/calcChain.xml><?xml version="1.0" encoding="utf-8"?>
<calcChain xmlns="http://schemas.openxmlformats.org/spreadsheetml/2006/main">
  <c r="AK41" i="78" l="1"/>
  <c r="AK40" i="78"/>
  <c r="AE40" i="78"/>
  <c r="AE41" i="78"/>
  <c r="N41" i="78"/>
  <c r="N40" i="78"/>
  <c r="K40" i="78"/>
  <c r="K41" i="78"/>
  <c r="G40" i="78"/>
  <c r="G41" i="78"/>
  <c r="I41" i="78"/>
  <c r="I40" i="78"/>
  <c r="L41" i="78"/>
  <c r="L40" i="78"/>
  <c r="V41" i="78"/>
  <c r="V40" i="78"/>
  <c r="H41" i="78"/>
  <c r="H40" i="78"/>
  <c r="AJ40" i="78"/>
  <c r="AJ41" i="78"/>
  <c r="H3" i="3" l="1"/>
  <c r="H4" i="3"/>
  <c r="H5" i="3"/>
  <c r="H6" i="3"/>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2" i="3"/>
  <c r="H47" i="78" l="1"/>
  <c r="G47" i="78"/>
  <c r="I47" i="78"/>
  <c r="C47" i="78"/>
  <c r="D47" i="78"/>
  <c r="E47" i="78"/>
  <c r="F47" i="78"/>
  <c r="J47" i="78"/>
  <c r="K47" i="78"/>
  <c r="L47" i="78"/>
  <c r="M47" i="78"/>
  <c r="N47" i="78"/>
  <c r="O47" i="78"/>
  <c r="P47" i="78"/>
  <c r="Q47" i="78"/>
  <c r="R47" i="78"/>
  <c r="S47" i="78"/>
  <c r="T47" i="78"/>
  <c r="U47" i="78"/>
  <c r="V47" i="78"/>
  <c r="W47" i="78"/>
  <c r="X47" i="78"/>
  <c r="Y47" i="78"/>
  <c r="Z47" i="78"/>
  <c r="AA47" i="78"/>
  <c r="AB47" i="78"/>
  <c r="AC47" i="78"/>
  <c r="AD47" i="78"/>
  <c r="AE47" i="78"/>
  <c r="AF47" i="78"/>
  <c r="AG47" i="78"/>
  <c r="AH47" i="78"/>
  <c r="AI47" i="78"/>
  <c r="AJ47" i="78"/>
  <c r="AK47" i="78"/>
  <c r="AL47" i="78"/>
  <c r="AM47" i="78"/>
  <c r="AN47" i="78"/>
  <c r="AO47" i="78"/>
  <c r="AP47" i="78"/>
  <c r="B47" i="78"/>
  <c r="G44" i="1" l="1"/>
  <c r="G3" i="1"/>
  <c r="G4" i="1"/>
  <c r="G5" i="1"/>
  <c r="G6" i="1"/>
  <c r="G7" i="1"/>
  <c r="G8" i="1"/>
  <c r="G9" i="1"/>
  <c r="G10" i="1"/>
  <c r="G11" i="1"/>
  <c r="G12" i="1"/>
  <c r="G13" i="1"/>
  <c r="G14" i="1"/>
  <c r="G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5" i="1"/>
  <c r="G46" i="1"/>
  <c r="G47" i="1"/>
  <c r="G2" i="1"/>
  <c r="E42" i="86"/>
  <c r="D42" i="86"/>
  <c r="B10" i="87"/>
  <c r="B8" i="75"/>
  <c r="B7" i="75"/>
  <c r="X6" i="75"/>
</calcChain>
</file>

<file path=xl/sharedStrings.xml><?xml version="1.0" encoding="utf-8"?>
<sst xmlns="http://schemas.openxmlformats.org/spreadsheetml/2006/main" count="1233" uniqueCount="251">
  <si>
    <t>Group</t>
  </si>
  <si>
    <t>PB</t>
  </si>
  <si>
    <t>QB</t>
  </si>
  <si>
    <t>ProdCons</t>
  </si>
  <si>
    <t>BioAcc</t>
  </si>
  <si>
    <t>Unassim</t>
  </si>
  <si>
    <t>DetInput</t>
  </si>
  <si>
    <t>Type</t>
  </si>
  <si>
    <t>Num</t>
  </si>
  <si>
    <t>Number of living</t>
  </si>
  <si>
    <t>Number of detritus</t>
  </si>
  <si>
    <t>Number of gear</t>
  </si>
  <si>
    <t>TL</t>
  </si>
  <si>
    <t>Biomass</t>
  </si>
  <si>
    <t>EE</t>
  </si>
  <si>
    <t>Mortalities</t>
  </si>
  <si>
    <t>M0</t>
  </si>
  <si>
    <t>B</t>
  </si>
  <si>
    <t>MAIN INPUTS</t>
  </si>
  <si>
    <t>DIETS</t>
  </si>
  <si>
    <t>Detritus Fate</t>
  </si>
  <si>
    <t>Retained Fisheries</t>
  </si>
  <si>
    <t>Fisheries Discards</t>
  </si>
  <si>
    <t>Guild</t>
  </si>
  <si>
    <t>Removals</t>
  </si>
  <si>
    <t>NUM</t>
  </si>
  <si>
    <t>GE</t>
  </si>
  <si>
    <t>PredPreyLinks</t>
  </si>
  <si>
    <t>FishingLinks</t>
  </si>
  <si>
    <t>BALANCE</t>
  </si>
  <si>
    <t>EXPORT TO .CSV</t>
  </si>
  <si>
    <t>max EE--&gt;&gt;</t>
  </si>
  <si>
    <t>Resolved Names</t>
  </si>
  <si>
    <t>EcotranNumber</t>
  </si>
  <si>
    <t>GroupType</t>
  </si>
  <si>
    <t>AggregationCode</t>
  </si>
  <si>
    <t>Aggregation Names</t>
  </si>
  <si>
    <t>Number of Nitrogen Nutrients</t>
  </si>
  <si>
    <t>NO3</t>
  </si>
  <si>
    <t>Number of NonNitrogen Nutrients</t>
  </si>
  <si>
    <t>pelagic NH4</t>
  </si>
  <si>
    <t>benthic NH4</t>
  </si>
  <si>
    <t>large phytoplankton</t>
  </si>
  <si>
    <t>small phytoplankton</t>
  </si>
  <si>
    <t>fishery</t>
  </si>
  <si>
    <t>emigration</t>
  </si>
  <si>
    <t>BA</t>
  </si>
  <si>
    <t>EM</t>
  </si>
  <si>
    <t>DetritusFate_feces</t>
  </si>
  <si>
    <t>ExcretionFate</t>
  </si>
  <si>
    <t>ProductionLossScaler</t>
  </si>
  <si>
    <t>PelagicBacterialReduction</t>
  </si>
  <si>
    <t>surface</t>
  </si>
  <si>
    <t>sub-surface</t>
  </si>
  <si>
    <t>BenthicBacterialReduction</t>
  </si>
  <si>
    <t>Oxidation_NH4</t>
  </si>
  <si>
    <t>PhytoUptake_NH4</t>
  </si>
  <si>
    <t>PhytoUptake_NO3</t>
  </si>
  <si>
    <t>consumer</t>
  </si>
  <si>
    <t>autotroph</t>
  </si>
  <si>
    <t>detritus</t>
  </si>
  <si>
    <t>consumer - pelagic - nekton</t>
  </si>
  <si>
    <t>consumer - pelagic - plankton</t>
  </si>
  <si>
    <t>consumer - benthic - vertebrate</t>
  </si>
  <si>
    <t>eggs</t>
  </si>
  <si>
    <t>ECOTRAN types</t>
  </si>
  <si>
    <t>consumer - benthic - invertebrate</t>
  </si>
  <si>
    <t>macrophytes</t>
  </si>
  <si>
    <t>consumer - pelagic - warm-blooded</t>
  </si>
  <si>
    <t>consumer - benthic - warm-blooded</t>
  </si>
  <si>
    <t>offal</t>
  </si>
  <si>
    <t>pelagic detritus</t>
  </si>
  <si>
    <t>benthic detritus</t>
  </si>
  <si>
    <t>assigned in matlab code later (import??)</t>
  </si>
  <si>
    <t>PhysiologyScaler</t>
  </si>
  <si>
    <t>BiomassScaler</t>
  </si>
  <si>
    <t>FisheriesScaler</t>
  </si>
  <si>
    <t>DietScaler</t>
  </si>
  <si>
    <t>BAScaler</t>
  </si>
  <si>
    <t>EMScaler</t>
  </si>
  <si>
    <t>DiscardScaler</t>
  </si>
  <si>
    <t>minBiomass</t>
  </si>
  <si>
    <t>Pedigree Discards</t>
  </si>
  <si>
    <t>Pedigree Landings</t>
  </si>
  <si>
    <t>B (CV)</t>
  </si>
  <si>
    <t>PB (CV)</t>
  </si>
  <si>
    <t>QB (CV)</t>
  </si>
  <si>
    <t>PQ (CV)</t>
  </si>
  <si>
    <t>AE (CV)</t>
  </si>
  <si>
    <t>B (abs min)</t>
  </si>
  <si>
    <t>PQ (abs min)</t>
  </si>
  <si>
    <t>AE (abs min)</t>
  </si>
  <si>
    <t>QB (abs min)</t>
  </si>
  <si>
    <t>PB (abs min)</t>
  </si>
  <si>
    <t>B (abs max)</t>
  </si>
  <si>
    <t>PB (abs max)</t>
  </si>
  <si>
    <t>QB (abs max)</t>
  </si>
  <si>
    <t>PQ (abs max)</t>
  </si>
  <si>
    <t>AE (abs max)</t>
  </si>
  <si>
    <t>max EE</t>
  </si>
  <si>
    <t>BA (CV)</t>
  </si>
  <si>
    <t>EM (CV)</t>
  </si>
  <si>
    <t>Egg rate (CV)</t>
  </si>
  <si>
    <t>BA (abs min)</t>
  </si>
  <si>
    <t>EM (abs min)</t>
  </si>
  <si>
    <t>Egg rate (abs min)</t>
  </si>
  <si>
    <t>BA (abs max)</t>
  </si>
  <si>
    <t>EM (abs max)</t>
  </si>
  <si>
    <t>Egg rate (abs max)</t>
  </si>
  <si>
    <t>DetritusFate_feces (CV)</t>
  </si>
  <si>
    <t>ExcretionFate (CV)</t>
  </si>
  <si>
    <t>DetritusFate_senescence (CV)</t>
  </si>
  <si>
    <t>DetritusFate_feces (max)</t>
  </si>
  <si>
    <t>DetritusFate_senescence (max)</t>
  </si>
  <si>
    <t>ExcretionFate (max)</t>
  </si>
  <si>
    <t>DetritusFate_feces (min)</t>
  </si>
  <si>
    <t>DetritusFate_senescence (min)</t>
  </si>
  <si>
    <t>ExcretionFate (min)</t>
  </si>
  <si>
    <t>DIET PEDIGREE</t>
  </si>
  <si>
    <t>DetritusFate_senescence</t>
  </si>
  <si>
    <t>Eggs</t>
  </si>
  <si>
    <t>ECOTRAN GroupType definitions</t>
  </si>
  <si>
    <t>terminal pelagic detritus</t>
  </si>
  <si>
    <t>terminal benthic detritus</t>
  </si>
  <si>
    <t>emigration (EM)</t>
  </si>
  <si>
    <t>accumulation (BA)</t>
  </si>
  <si>
    <t>any Nitrogen Nutrient</t>
  </si>
  <si>
    <t>any Primary Producer</t>
  </si>
  <si>
    <t>any consumer</t>
  </si>
  <si>
    <t>any detritus (not egg)</t>
  </si>
  <si>
    <t>PreyGuild_Name</t>
  </si>
  <si>
    <t>PreyGuild_code</t>
  </si>
  <si>
    <t>Metabolism</t>
  </si>
  <si>
    <t>(future)</t>
  </si>
  <si>
    <t>Metabolism rate (CV)</t>
  </si>
  <si>
    <t>Metabolism rate (abs min)</t>
  </si>
  <si>
    <t>Metabolism rate (abs max)</t>
  </si>
  <si>
    <t>EwE type codes</t>
  </si>
  <si>
    <t>biomass accumulation</t>
  </si>
  <si>
    <t>DIET PEDIGREE preference rules</t>
  </si>
  <si>
    <t>(NOTE: these are different from ECOTRAN type codes)</t>
  </si>
  <si>
    <t>NOTES:</t>
  </si>
  <si>
    <t>2) Be sure to enter number of functional groups in cells B3 - B5 on "Main" worksheet</t>
  </si>
  <si>
    <t>1) Every model must have a terminal pelagic and terminal benthic detritus group defined</t>
  </si>
  <si>
    <t>3) AggregationCode on "ECOTRANtype" worksheet will both define groups to aggregate (those with same number get lumped) and the order in the ECOTRAN model</t>
  </si>
  <si>
    <t>This Visual Basic version of EwE was provided courtesy of K. Aydin (AFSC NOAA)</t>
  </si>
  <si>
    <t>(ECOTRAN export mods and messing up by J. Ruzicka)</t>
  </si>
  <si>
    <t>4) note that diet matrix includes the columns for producer groups and detritus groups</t>
  </si>
  <si>
    <t xml:space="preserve"> (now assigned dynamically in "EcotranType" worksheet) 8/19/2013</t>
  </si>
  <si>
    <t>minPhysiology</t>
  </si>
  <si>
    <t>&lt;--(minimum fraction of base value)</t>
  </si>
  <si>
    <t>5) PreyGuild_code numbers refer to AggregationCode numbers as given in "EcotranType" worksheet</t>
  </si>
  <si>
    <t>&lt;-- don't make more prey guilds than this</t>
  </si>
  <si>
    <t>6) on EcotranRecycling page, fishery discards are assigned as "DetritusFate_feces"</t>
  </si>
  <si>
    <t>RetentionScaler</t>
  </si>
  <si>
    <t>( 0 = more advection &lt;--&gt; less advection =1)</t>
  </si>
  <si>
    <t>Functional Response</t>
  </si>
  <si>
    <t>A</t>
  </si>
  <si>
    <t>C</t>
  </si>
  <si>
    <t>D</t>
  </si>
  <si>
    <t>&lt;--based on fraction of total primary production</t>
  </si>
  <si>
    <t>P</t>
  </si>
  <si>
    <t>total--&gt;</t>
  </si>
  <si>
    <t>fraction</t>
  </si>
  <si>
    <t>revision date: 5-1-2016</t>
  </si>
  <si>
    <t>7) allows up to 10 primary producers</t>
  </si>
  <si>
    <t>&lt;-NOTE: PreyGuilds are NOT necessary</t>
  </si>
  <si>
    <t>&lt;-- use AggregationCode numbers and brackets "[ ]"</t>
  </si>
  <si>
    <t>NOTE: Maximum of 10 primary producers-&gt;</t>
  </si>
  <si>
    <t>micrograzers</t>
  </si>
  <si>
    <t>bacteria</t>
  </si>
  <si>
    <t>model number</t>
  </si>
  <si>
    <t>model name</t>
  </si>
  <si>
    <t>country</t>
  </si>
  <si>
    <t>area</t>
  </si>
  <si>
    <t>geographic extent</t>
  </si>
  <si>
    <t>ecosystem type</t>
  </si>
  <si>
    <t>currency units</t>
  </si>
  <si>
    <t>description</t>
  </si>
  <si>
    <t>number of groups</t>
  </si>
  <si>
    <t>number of fleets</t>
  </si>
  <si>
    <t>model year</t>
  </si>
  <si>
    <t>model period</t>
  </si>
  <si>
    <t>reference</t>
  </si>
  <si>
    <t>doi</t>
  </si>
  <si>
    <t>Cyprus insular shelf trophic model</t>
  </si>
  <si>
    <t>Cyprus</t>
  </si>
  <si>
    <t>BOX(32.2 34.5,34.2 35.2)</t>
  </si>
  <si>
    <t>marine-coastal</t>
  </si>
  <si>
    <t>WetWeight</t>
  </si>
  <si>
    <t>Trophic model of the Cyprus insular shelf</t>
  </si>
  <si>
    <t>Michailidis N, Corrales X, Karachle PK, Chartosia N, Katsanevakis S, Sfenthourakis S, 2019. Modelling the role of alien species and fisheries in an Eastern Mediterranean insular shelf ecosystem. Ocean and Coastal Management 175:152-171.</t>
  </si>
  <si>
    <t>https://doi.org/10.1016/j.ocecoaman.2019.04.006</t>
  </si>
  <si>
    <t>Phytoplankton</t>
  </si>
  <si>
    <t>Phytobenthos</t>
  </si>
  <si>
    <t>Micro &amp;amp; mesozooplankton</t>
  </si>
  <si>
    <t>Macrozooplankton</t>
  </si>
  <si>
    <t>Gelatinous plankton</t>
  </si>
  <si>
    <t>Polychaetes</t>
  </si>
  <si>
    <t>Benthic small crustaceans</t>
  </si>
  <si>
    <t>Benthic invertebrates</t>
  </si>
  <si>
    <t>Shrimps</t>
  </si>
  <si>
    <t>Crabs &amp;amp; lobsters</t>
  </si>
  <si>
    <t>Octopuses &amp;amp; cuttlefish</t>
  </si>
  <si>
    <t>Squids</t>
  </si>
  <si>
    <t>Demersal fishes (soft bottom)</t>
  </si>
  <si>
    <t>Native mullids</t>
  </si>
  <si>
    <t>Alien mullids</t>
  </si>
  <si>
    <t>Flatfishes</t>
  </si>
  <si>
    <t>Demersal fishes (mixed bottom)</t>
  </si>
  <si>
    <t>Alien lionfish</t>
  </si>
  <si>
    <t>Alien redcoat</t>
  </si>
  <si>
    <t>Other alien demersal fishes</t>
  </si>
  <si>
    <t>Eels &amp;amp; morays</t>
  </si>
  <si>
    <t>Large demersal fishes</t>
  </si>
  <si>
    <t>Rays &amp;amp; skates</t>
  </si>
  <si>
    <t>Small sharks</t>
  </si>
  <si>
    <t>Small benthopelagic fishes</t>
  </si>
  <si>
    <t>Medium benthopelagic fishes</t>
  </si>
  <si>
    <t>Alien siganids</t>
  </si>
  <si>
    <t>Alien cornetfish</t>
  </si>
  <si>
    <t>Alien barracudas</t>
  </si>
  <si>
    <t>Alien pufferfishes</t>
  </si>
  <si>
    <t>Small pelagic fishes</t>
  </si>
  <si>
    <t>Alien small pelagic fishes</t>
  </si>
  <si>
    <t>Medium pelagic fishes</t>
  </si>
  <si>
    <t>Large pelagic fishes</t>
  </si>
  <si>
    <t>Turtles</t>
  </si>
  <si>
    <t>Bottlenose dolphin</t>
  </si>
  <si>
    <t>Monk seal</t>
  </si>
  <si>
    <t>Sea birds</t>
  </si>
  <si>
    <t>Detritus</t>
  </si>
  <si>
    <t>Discards</t>
  </si>
  <si>
    <t>detritus_TerminalBenthic</t>
  </si>
  <si>
    <t>Small scale</t>
  </si>
  <si>
    <t>Trawlers</t>
  </si>
  <si>
    <t>Purse seiners</t>
  </si>
  <si>
    <t>Recreational</t>
  </si>
  <si>
    <t>Scuba</t>
  </si>
  <si>
    <t>Import</t>
  </si>
  <si>
    <t>export</t>
  </si>
  <si>
    <t>sum</t>
  </si>
  <si>
    <t>TOTAL</t>
  </si>
  <si>
    <t>F Small scale</t>
  </si>
  <si>
    <t>F Trawlers</t>
  </si>
  <si>
    <t>F Purse seiners</t>
  </si>
  <si>
    <t>F Recreational</t>
  </si>
  <si>
    <t>F Scuba</t>
  </si>
  <si>
    <t>sum---&gt;&gt;&gt;</t>
  </si>
  <si>
    <t>original values</t>
  </si>
  <si>
    <t>moved discards to detritus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</si>
</sst>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0"/>
      <name val="Arial"/>
    </font>
    <font>
      <b/>
      <sz val="10"/>
      <name val="Arial"/>
      <family val="2"/>
    </font>
    <font>
      <sz val="8"/>
      <name val="Arial"/>
      <family val="2"/>
    </font>
    <font>
      <i/>
      <sz val="10"/>
      <name val="Arial"/>
      <family val="2"/>
    </font>
    <font>
      <sz val="10"/>
      <name val="Verdana"/>
      <family val="2"/>
    </font>
    <font>
      <u/>
      <sz val="10"/>
      <color theme="10"/>
      <name val="Arial"/>
      <family val="2"/>
    </font>
    <font>
      <u/>
      <sz val="10"/>
      <color theme="11"/>
      <name val="Arial"/>
      <family val="2"/>
    </font>
    <font>
      <b/>
      <u/>
      <sz val="10"/>
      <name val="Arial"/>
      <family val="2"/>
    </font>
    <font>
      <sz val="10"/>
      <color rgb="FFFF0000"/>
      <name val="Arial"/>
      <family val="2"/>
    </font>
    <font>
      <b/>
      <sz val="10"/>
      <color rgb="FFFF0000"/>
      <name val="Arial"/>
      <family val="2"/>
    </font>
    <font>
      <sz val="10"/>
      <color rgb="FF000000"/>
      <name val="Arial"/>
      <family val="2"/>
    </font>
    <font>
      <sz val="10"/>
      <color indexed="10"/>
      <name val="Arial"/>
      <family val="2"/>
    </font>
    <font>
      <b/>
      <sz val="10"/>
      <name val="Verdana"/>
      <family val="2"/>
    </font>
    <font>
      <sz val="10"/>
      <name val="Arial"/>
      <family val="2"/>
    </font>
  </fonts>
  <fills count="159">
    <fill>
      <patternFill patternType="none"/>
    </fill>
    <fill>
      <patternFill patternType="gray125"/>
    </fill>
    <fill>
      <patternFill patternType="solid">
        <fgColor indexed="53"/>
        <bgColor indexed="64"/>
      </patternFill>
    </fill>
    <fill>
      <patternFill patternType="solid">
        <fgColor rgb="FF00FFFF"/>
        <bgColor indexed="64"/>
      </patternFill>
    </fill>
    <fill>
      <patternFill patternType="solid">
        <fgColor rgb="FFFFFFFF"/>
        <bgColor indexed="64"/>
      </patternFill>
    </fill>
    <fill>
      <patternFill patternType="solid">
        <fgColor rgb="FF808080"/>
        <bgColor indexed="64"/>
      </patternFill>
    </fill>
    <fill>
      <patternFill patternType="solid">
        <fgColor rgb="FF00FF00"/>
        <bgColor indexed="64"/>
      </patternFill>
    </fill>
    <fill>
      <patternFill patternType="solid">
        <fgColor rgb="FF02FF00"/>
        <bgColor indexed="64"/>
      </patternFill>
    </fill>
    <fill>
      <patternFill patternType="solid">
        <fgColor rgb="FF13FF00"/>
        <bgColor indexed="64"/>
      </patternFill>
    </fill>
    <fill>
      <patternFill patternType="solid">
        <fgColor rgb="FF01FF00"/>
        <bgColor indexed="64"/>
      </patternFill>
    </fill>
    <fill>
      <patternFill patternType="solid">
        <fgColor rgb="FF05FF00"/>
        <bgColor indexed="64"/>
      </patternFill>
    </fill>
    <fill>
      <patternFill patternType="solid">
        <fgColor rgb="FF08FF00"/>
        <bgColor indexed="64"/>
      </patternFill>
    </fill>
    <fill>
      <patternFill patternType="solid">
        <fgColor rgb="FF07FF00"/>
        <bgColor indexed="64"/>
      </patternFill>
    </fill>
    <fill>
      <patternFill patternType="solid">
        <fgColor rgb="FF06FF00"/>
        <bgColor indexed="64"/>
      </patternFill>
    </fill>
    <fill>
      <patternFill patternType="solid">
        <fgColor rgb="FF09FF00"/>
        <bgColor indexed="64"/>
      </patternFill>
    </fill>
    <fill>
      <patternFill patternType="solid">
        <fgColor rgb="FF16FF00"/>
        <bgColor indexed="64"/>
      </patternFill>
    </fill>
    <fill>
      <patternFill patternType="solid">
        <fgColor rgb="FF0AFF00"/>
        <bgColor indexed="64"/>
      </patternFill>
    </fill>
    <fill>
      <patternFill patternType="solid">
        <fgColor rgb="FF04FF00"/>
        <bgColor indexed="64"/>
      </patternFill>
    </fill>
    <fill>
      <patternFill patternType="solid">
        <fgColor rgb="FF03FF00"/>
        <bgColor indexed="64"/>
      </patternFill>
    </fill>
    <fill>
      <patternFill patternType="solid">
        <fgColor rgb="FF0EFF00"/>
        <bgColor indexed="64"/>
      </patternFill>
    </fill>
    <fill>
      <patternFill patternType="solid">
        <fgColor rgb="FF10FF00"/>
        <bgColor indexed="64"/>
      </patternFill>
    </fill>
    <fill>
      <patternFill patternType="solid">
        <fgColor rgb="FF0DFF00"/>
        <bgColor indexed="64"/>
      </patternFill>
    </fill>
    <fill>
      <patternFill patternType="solid">
        <fgColor rgb="FF27FF00"/>
        <bgColor indexed="64"/>
      </patternFill>
    </fill>
    <fill>
      <patternFill patternType="solid">
        <fgColor rgb="FF12FF00"/>
        <bgColor indexed="64"/>
      </patternFill>
    </fill>
    <fill>
      <patternFill patternType="solid">
        <fgColor rgb="FF18FF00"/>
        <bgColor indexed="64"/>
      </patternFill>
    </fill>
    <fill>
      <patternFill patternType="solid">
        <fgColor rgb="FFFF6600"/>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theme="3" tint="0.39997558519241921"/>
        <bgColor indexed="64"/>
      </patternFill>
    </fill>
    <fill>
      <patternFill patternType="solid">
        <fgColor theme="2" tint="-0.24994659260841701"/>
        <bgColor indexed="64"/>
      </patternFill>
    </fill>
    <fill>
      <patternFill patternType="solid">
        <fgColor theme="7" tint="0.39997558519241921"/>
        <bgColor indexed="64"/>
      </patternFill>
    </fill>
    <fill>
      <patternFill patternType="solid">
        <fgColor rgb="FF1CFF00"/>
        <bgColor indexed="64"/>
      </patternFill>
    </fill>
    <fill>
      <patternFill patternType="solid">
        <fgColor rgb="FF0BFF00"/>
        <bgColor indexed="64"/>
      </patternFill>
    </fill>
    <fill>
      <patternFill patternType="solid">
        <fgColor rgb="FF15FF00"/>
        <bgColor indexed="64"/>
      </patternFill>
    </fill>
    <fill>
      <patternFill patternType="solid">
        <fgColor rgb="FF1EFF00"/>
        <bgColor indexed="64"/>
      </patternFill>
    </fill>
    <fill>
      <patternFill patternType="solid">
        <fgColor rgb="FF20FF00"/>
        <bgColor indexed="64"/>
      </patternFill>
    </fill>
    <fill>
      <patternFill patternType="solid">
        <fgColor rgb="FF2FFF00"/>
        <bgColor indexed="64"/>
      </patternFill>
    </fill>
    <fill>
      <patternFill patternType="solid">
        <fgColor rgb="FF1AFF00"/>
        <bgColor indexed="64"/>
      </patternFill>
    </fill>
    <fill>
      <patternFill patternType="solid">
        <fgColor rgb="FF24FF00"/>
        <bgColor indexed="64"/>
      </patternFill>
    </fill>
    <fill>
      <patternFill patternType="solid">
        <fgColor theme="9"/>
        <bgColor indexed="64"/>
      </patternFill>
    </fill>
    <fill>
      <patternFill patternType="solid">
        <fgColor rgb="FF30FF00"/>
        <bgColor indexed="64"/>
      </patternFill>
    </fill>
    <fill>
      <patternFill patternType="solid">
        <fgColor rgb="FF28FF00"/>
        <bgColor indexed="64"/>
      </patternFill>
    </fill>
    <fill>
      <patternFill patternType="solid">
        <fgColor rgb="FF21FF00"/>
        <bgColor indexed="64"/>
      </patternFill>
    </fill>
    <fill>
      <patternFill patternType="solid">
        <fgColor rgb="FF3FFF00"/>
        <bgColor indexed="64"/>
      </patternFill>
    </fill>
    <fill>
      <patternFill patternType="solid">
        <fgColor rgb="FF94FF00"/>
        <bgColor indexed="64"/>
      </patternFill>
    </fill>
    <fill>
      <patternFill patternType="solid">
        <fgColor rgb="FF22FF00"/>
        <bgColor indexed="64"/>
      </patternFill>
    </fill>
    <fill>
      <patternFill patternType="solid">
        <fgColor rgb="FF5DFF00"/>
        <bgColor indexed="64"/>
      </patternFill>
    </fill>
    <fill>
      <patternFill patternType="solid">
        <fgColor rgb="FF3DFF00"/>
        <bgColor indexed="64"/>
      </patternFill>
    </fill>
    <fill>
      <patternFill patternType="solid">
        <fgColor rgb="FF33FF00"/>
        <bgColor indexed="64"/>
      </patternFill>
    </fill>
    <fill>
      <patternFill patternType="solid">
        <fgColor rgb="FF0FFF00"/>
        <bgColor indexed="64"/>
      </patternFill>
    </fill>
    <fill>
      <patternFill patternType="solid">
        <fgColor rgb="FFFFFF00"/>
        <bgColor indexed="64"/>
      </patternFill>
    </fill>
    <fill>
      <patternFill patternType="solid">
        <fgColor rgb="FF6DFF00"/>
        <bgColor indexed="64"/>
      </patternFill>
    </fill>
    <fill>
      <patternFill patternType="solid">
        <fgColor rgb="FF38FF00"/>
        <bgColor indexed="64"/>
      </patternFill>
    </fill>
    <fill>
      <patternFill patternType="solid">
        <fgColor rgb="FF51FF00"/>
        <bgColor indexed="64"/>
      </patternFill>
    </fill>
    <fill>
      <patternFill patternType="solid">
        <fgColor rgb="FF1DFF00"/>
        <bgColor indexed="64"/>
      </patternFill>
    </fill>
    <fill>
      <patternFill patternType="solid">
        <fgColor rgb="FF31FF00"/>
        <bgColor indexed="64"/>
      </patternFill>
    </fill>
    <fill>
      <patternFill patternType="solid">
        <fgColor rgb="FF3EFF00"/>
        <bgColor indexed="64"/>
      </patternFill>
    </fill>
    <fill>
      <patternFill patternType="solid">
        <fgColor rgb="FF25FF00"/>
        <bgColor indexed="64"/>
      </patternFill>
    </fill>
    <fill>
      <patternFill patternType="solid">
        <fgColor rgb="FF3CFF00"/>
        <bgColor indexed="64"/>
      </patternFill>
    </fill>
    <fill>
      <patternFill patternType="solid">
        <fgColor rgb="FF17FF00"/>
        <bgColor indexed="64"/>
      </patternFill>
    </fill>
    <fill>
      <patternFill patternType="solid">
        <fgColor rgb="FF9CFF00"/>
        <bgColor indexed="64"/>
      </patternFill>
    </fill>
    <fill>
      <patternFill patternType="solid">
        <fgColor rgb="FF19FF00"/>
        <bgColor indexed="64"/>
      </patternFill>
    </fill>
    <fill>
      <patternFill patternType="solid">
        <fgColor rgb="FF62FF00"/>
        <bgColor indexed="64"/>
      </patternFill>
    </fill>
    <fill>
      <patternFill patternType="solid">
        <fgColor rgb="FFCBFF00"/>
        <bgColor indexed="64"/>
      </patternFill>
    </fill>
    <fill>
      <patternFill patternType="solid">
        <fgColor rgb="FF36FF00"/>
        <bgColor indexed="64"/>
      </patternFill>
    </fill>
    <fill>
      <patternFill patternType="solid">
        <fgColor rgb="FF0CFF00"/>
        <bgColor indexed="64"/>
      </patternFill>
    </fill>
    <fill>
      <patternFill patternType="solid">
        <fgColor rgb="FF1BFF00"/>
        <bgColor indexed="64"/>
      </patternFill>
    </fill>
    <fill>
      <patternFill patternType="solid">
        <fgColor rgb="FF23FF00"/>
        <bgColor indexed="64"/>
      </patternFill>
    </fill>
    <fill>
      <patternFill patternType="solid">
        <fgColor rgb="FF14FF00"/>
        <bgColor indexed="64"/>
      </patternFill>
    </fill>
    <fill>
      <patternFill patternType="solid">
        <fgColor rgb="FF4FFF00"/>
        <bgColor indexed="64"/>
      </patternFill>
    </fill>
    <fill>
      <patternFill patternType="solid">
        <fgColor rgb="FF45FF00"/>
        <bgColor indexed="64"/>
      </patternFill>
    </fill>
    <fill>
      <patternFill patternType="solid">
        <fgColor rgb="FF69FF00"/>
        <bgColor indexed="64"/>
      </patternFill>
    </fill>
    <fill>
      <patternFill patternType="solid">
        <fgColor rgb="FF29FF00"/>
        <bgColor indexed="64"/>
      </patternFill>
    </fill>
    <fill>
      <patternFill patternType="solid">
        <fgColor rgb="FF41FF00"/>
        <bgColor indexed="64"/>
      </patternFill>
    </fill>
    <fill>
      <patternFill patternType="solid">
        <fgColor rgb="FF11FF00"/>
        <bgColor indexed="64"/>
      </patternFill>
    </fill>
    <fill>
      <patternFill patternType="solid">
        <fgColor rgb="FF2BFF00"/>
        <bgColor indexed="64"/>
      </patternFill>
    </fill>
    <fill>
      <patternFill patternType="solid">
        <fgColor rgb="FF5CFF00"/>
        <bgColor indexed="64"/>
      </patternFill>
    </fill>
    <fill>
      <patternFill patternType="solid">
        <fgColor rgb="FF40FF00"/>
        <bgColor indexed="64"/>
      </patternFill>
    </fill>
    <fill>
      <patternFill patternType="solid">
        <fgColor rgb="FF35FF00"/>
        <bgColor indexed="64"/>
      </patternFill>
    </fill>
    <fill>
      <patternFill patternType="solid">
        <fgColor rgb="FF3AFF00"/>
        <bgColor indexed="64"/>
      </patternFill>
    </fill>
    <fill>
      <patternFill patternType="solid">
        <fgColor rgb="FF4CFF00"/>
        <bgColor indexed="64"/>
      </patternFill>
    </fill>
    <fill>
      <patternFill patternType="solid">
        <fgColor rgb="FF2AFF00"/>
        <bgColor indexed="64"/>
      </patternFill>
    </fill>
    <fill>
      <patternFill patternType="solid">
        <fgColor rgb="FF68FF00"/>
        <bgColor indexed="64"/>
      </patternFill>
    </fill>
    <fill>
      <patternFill patternType="solid">
        <fgColor rgb="FF32FF00"/>
        <bgColor indexed="64"/>
      </patternFill>
    </fill>
    <fill>
      <patternFill patternType="solid">
        <fgColor rgb="FF37FF00"/>
        <bgColor indexed="64"/>
      </patternFill>
    </fill>
    <fill>
      <patternFill patternType="solid">
        <fgColor rgb="FF77FF00"/>
        <bgColor indexed="64"/>
      </patternFill>
    </fill>
    <fill>
      <patternFill patternType="solid">
        <fgColor rgb="FF64FF00"/>
        <bgColor indexed="64"/>
      </patternFill>
    </fill>
    <fill>
      <patternFill patternType="solid">
        <fgColor rgb="FF2DFF00"/>
        <bgColor indexed="64"/>
      </patternFill>
    </fill>
    <fill>
      <patternFill patternType="solid">
        <fgColor rgb="FFE1FF00"/>
        <bgColor indexed="64"/>
      </patternFill>
    </fill>
    <fill>
      <patternFill patternType="solid">
        <fgColor rgb="FF6FFF00"/>
        <bgColor indexed="64"/>
      </patternFill>
    </fill>
    <fill>
      <patternFill patternType="solid">
        <fgColor rgb="FF9DFF00"/>
        <bgColor indexed="64"/>
      </patternFill>
    </fill>
    <fill>
      <patternFill patternType="solid">
        <fgColor rgb="FFA6FF00"/>
        <bgColor indexed="64"/>
      </patternFill>
    </fill>
    <fill>
      <patternFill patternType="solid">
        <fgColor rgb="FF4DFF00"/>
        <bgColor indexed="64"/>
      </patternFill>
    </fill>
    <fill>
      <patternFill patternType="solid">
        <fgColor rgb="FFB3FF00"/>
        <bgColor indexed="64"/>
      </patternFill>
    </fill>
    <fill>
      <patternFill patternType="solid">
        <fgColor rgb="FF7AFF00"/>
        <bgColor indexed="64"/>
      </patternFill>
    </fill>
    <fill>
      <patternFill patternType="solid">
        <fgColor rgb="FF26FF00"/>
        <bgColor indexed="64"/>
      </patternFill>
    </fill>
    <fill>
      <patternFill patternType="solid">
        <fgColor rgb="FFFFE000"/>
        <bgColor indexed="64"/>
      </patternFill>
    </fill>
    <fill>
      <patternFill patternType="solid">
        <fgColor rgb="FFFFF400"/>
        <bgColor indexed="64"/>
      </patternFill>
    </fill>
    <fill>
      <patternFill patternType="solid">
        <fgColor rgb="FF54FF00"/>
        <bgColor indexed="64"/>
      </patternFill>
    </fill>
    <fill>
      <patternFill patternType="solid">
        <fgColor rgb="FF57FF00"/>
        <bgColor indexed="64"/>
      </patternFill>
    </fill>
    <fill>
      <patternFill patternType="solid">
        <fgColor rgb="FF39FF00"/>
        <bgColor indexed="64"/>
      </patternFill>
    </fill>
    <fill>
      <patternFill patternType="solid">
        <fgColor rgb="FF3BFF00"/>
        <bgColor indexed="64"/>
      </patternFill>
    </fill>
    <fill>
      <patternFill patternType="solid">
        <fgColor rgb="FFFFCD00"/>
        <bgColor indexed="64"/>
      </patternFill>
    </fill>
    <fill>
      <patternFill patternType="solid">
        <fgColor rgb="FF4EFF00"/>
        <bgColor indexed="64"/>
      </patternFill>
    </fill>
    <fill>
      <patternFill patternType="solid">
        <fgColor rgb="FFFFD700"/>
        <bgColor indexed="64"/>
      </patternFill>
    </fill>
    <fill>
      <patternFill patternType="solid">
        <fgColor rgb="FF47FF00"/>
        <bgColor indexed="64"/>
      </patternFill>
    </fill>
    <fill>
      <patternFill patternType="solid">
        <fgColor rgb="FF67FF00"/>
        <bgColor indexed="64"/>
      </patternFill>
    </fill>
    <fill>
      <patternFill patternType="solid">
        <fgColor rgb="FF2CFF00"/>
        <bgColor indexed="64"/>
      </patternFill>
    </fill>
    <fill>
      <patternFill patternType="solid">
        <fgColor rgb="FF53FF00"/>
        <bgColor indexed="64"/>
      </patternFill>
    </fill>
    <fill>
      <patternFill patternType="solid">
        <fgColor rgb="FF8CFF00"/>
        <bgColor indexed="64"/>
      </patternFill>
    </fill>
    <fill>
      <patternFill patternType="solid">
        <fgColor rgb="FF46FF00"/>
        <bgColor indexed="64"/>
      </patternFill>
    </fill>
    <fill>
      <patternFill patternType="solid">
        <fgColor rgb="FFD8FF00"/>
        <bgColor indexed="64"/>
      </patternFill>
    </fill>
    <fill>
      <patternFill patternType="solid">
        <fgColor rgb="FFFBFF00"/>
        <bgColor indexed="64"/>
      </patternFill>
    </fill>
    <fill>
      <patternFill patternType="solid">
        <fgColor rgb="FF781C19"/>
        <bgColor indexed="64"/>
      </patternFill>
    </fill>
    <fill>
      <patternFill patternType="solid">
        <fgColor rgb="FF5D0EF6"/>
        <bgColor indexed="64"/>
      </patternFill>
    </fill>
    <fill>
      <patternFill patternType="solid">
        <fgColor rgb="FFFD9201"/>
        <bgColor indexed="64"/>
      </patternFill>
    </fill>
    <fill>
      <patternFill patternType="solid">
        <fgColor rgb="FF9EBF63"/>
        <bgColor indexed="64"/>
      </patternFill>
    </fill>
    <fill>
      <patternFill patternType="solid">
        <fgColor rgb="FF912AAA"/>
        <bgColor indexed="64"/>
      </patternFill>
    </fill>
    <fill>
      <patternFill patternType="solid">
        <fgColor rgb="FF3697D9"/>
        <bgColor indexed="64"/>
      </patternFill>
    </fill>
    <fill>
      <patternFill patternType="solid">
        <fgColor rgb="FF8CF65F"/>
        <bgColor indexed="64"/>
      </patternFill>
    </fill>
    <fill>
      <patternFill patternType="solid">
        <fgColor rgb="FFA023BC"/>
        <bgColor indexed="64"/>
      </patternFill>
    </fill>
    <fill>
      <patternFill patternType="solid">
        <fgColor rgb="FFB7DFD1"/>
        <bgColor indexed="64"/>
      </patternFill>
    </fill>
    <fill>
      <patternFill patternType="solid">
        <fgColor rgb="FFA94573"/>
        <bgColor indexed="64"/>
      </patternFill>
    </fill>
    <fill>
      <patternFill patternType="solid">
        <fgColor rgb="FF97131E"/>
        <bgColor indexed="64"/>
      </patternFill>
    </fill>
    <fill>
      <patternFill patternType="solid">
        <fgColor rgb="FFF241E0"/>
        <bgColor indexed="64"/>
      </patternFill>
    </fill>
    <fill>
      <patternFill patternType="solid">
        <fgColor rgb="FF9333DD"/>
        <bgColor indexed="64"/>
      </patternFill>
    </fill>
    <fill>
      <patternFill patternType="solid">
        <fgColor rgb="FF364F0C"/>
        <bgColor indexed="64"/>
      </patternFill>
    </fill>
    <fill>
      <patternFill patternType="solid">
        <fgColor rgb="FF72549E"/>
        <bgColor indexed="64"/>
      </patternFill>
    </fill>
    <fill>
      <patternFill patternType="solid">
        <fgColor rgb="FF5FEFBB"/>
        <bgColor indexed="64"/>
      </patternFill>
    </fill>
    <fill>
      <patternFill patternType="solid">
        <fgColor rgb="FF105762"/>
        <bgColor indexed="64"/>
      </patternFill>
    </fill>
    <fill>
      <patternFill patternType="solid">
        <fgColor rgb="FF923FEE"/>
        <bgColor indexed="64"/>
      </patternFill>
    </fill>
    <fill>
      <patternFill patternType="solid">
        <fgColor rgb="FF6A48EC"/>
        <bgColor indexed="64"/>
      </patternFill>
    </fill>
    <fill>
      <patternFill patternType="solid">
        <fgColor rgb="FFB4EE7B"/>
        <bgColor indexed="64"/>
      </patternFill>
    </fill>
    <fill>
      <patternFill patternType="solid">
        <fgColor rgb="FF52CC11"/>
        <bgColor indexed="64"/>
      </patternFill>
    </fill>
    <fill>
      <patternFill patternType="solid">
        <fgColor rgb="FF19B338"/>
        <bgColor indexed="64"/>
      </patternFill>
    </fill>
    <fill>
      <patternFill patternType="solid">
        <fgColor rgb="FF5DC437"/>
        <bgColor indexed="64"/>
      </patternFill>
    </fill>
    <fill>
      <patternFill patternType="solid">
        <fgColor rgb="FF56477C"/>
        <bgColor indexed="64"/>
      </patternFill>
    </fill>
    <fill>
      <patternFill patternType="solid">
        <fgColor rgb="FFF6AAD4"/>
        <bgColor indexed="64"/>
      </patternFill>
    </fill>
    <fill>
      <patternFill patternType="solid">
        <fgColor rgb="FF7854DD"/>
        <bgColor indexed="64"/>
      </patternFill>
    </fill>
    <fill>
      <patternFill patternType="solid">
        <fgColor rgb="FF97548D"/>
        <bgColor indexed="64"/>
      </patternFill>
    </fill>
    <fill>
      <patternFill patternType="solid">
        <fgColor rgb="FF07E072"/>
        <bgColor indexed="64"/>
      </patternFill>
    </fill>
    <fill>
      <patternFill patternType="solid">
        <fgColor rgb="FF902930"/>
        <bgColor indexed="64"/>
      </patternFill>
    </fill>
    <fill>
      <patternFill patternType="solid">
        <fgColor rgb="FF9911FD"/>
        <bgColor indexed="64"/>
      </patternFill>
    </fill>
    <fill>
      <patternFill patternType="solid">
        <fgColor rgb="FFEFE3D9"/>
        <bgColor indexed="64"/>
      </patternFill>
    </fill>
    <fill>
      <patternFill patternType="solid">
        <fgColor rgb="FFF262D6"/>
        <bgColor indexed="64"/>
      </patternFill>
    </fill>
    <fill>
      <patternFill patternType="solid">
        <fgColor rgb="FF6273D7"/>
        <bgColor indexed="64"/>
      </patternFill>
    </fill>
    <fill>
      <patternFill patternType="solid">
        <fgColor rgb="FFD1A069"/>
        <bgColor indexed="64"/>
      </patternFill>
    </fill>
    <fill>
      <patternFill patternType="solid">
        <fgColor rgb="FF23AB22"/>
        <bgColor indexed="64"/>
      </patternFill>
    </fill>
    <fill>
      <patternFill patternType="solid">
        <fgColor rgb="FF014E96"/>
        <bgColor indexed="64"/>
      </patternFill>
    </fill>
    <fill>
      <patternFill patternType="solid">
        <fgColor rgb="FF59AD8C"/>
        <bgColor indexed="64"/>
      </patternFill>
    </fill>
    <fill>
      <patternFill patternType="solid">
        <fgColor rgb="FF493770"/>
        <bgColor indexed="64"/>
      </patternFill>
    </fill>
    <fill>
      <patternFill patternType="solid">
        <fgColor rgb="FF6F5EFB"/>
        <bgColor indexed="64"/>
      </patternFill>
    </fill>
    <fill>
      <patternFill patternType="solid">
        <fgColor rgb="FF575CF8"/>
        <bgColor indexed="64"/>
      </patternFill>
    </fill>
    <fill>
      <patternFill patternType="solid">
        <fgColor rgb="FF4C433C"/>
        <bgColor indexed="64"/>
      </patternFill>
    </fill>
    <fill>
      <patternFill patternType="solid">
        <fgColor rgb="FFAA85EE"/>
        <bgColor indexed="64"/>
      </patternFill>
    </fill>
    <fill>
      <patternFill patternType="solid">
        <fgColor rgb="FF739451"/>
        <bgColor indexed="64"/>
      </patternFill>
    </fill>
    <fill>
      <patternFill patternType="solid">
        <fgColor rgb="FF2D16CF"/>
        <bgColor indexed="64"/>
      </patternFill>
    </fill>
    <fill>
      <patternFill patternType="solid">
        <fgColor rgb="FF777358"/>
        <bgColor indexed="64"/>
      </patternFill>
    </fill>
    <fill>
      <patternFill patternType="solid">
        <fgColor rgb="FF0CF697"/>
        <bgColor indexed="64"/>
      </patternFill>
    </fill>
  </fills>
  <borders count="54">
    <border>
      <left/>
      <right/>
      <top/>
      <bottom/>
      <diagonal/>
    </border>
    <border>
      <left/>
      <right/>
      <top/>
      <bottom style="thin">
        <color auto="1"/>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thin">
        <color rgb="FFC0C0C0"/>
      </left>
      <right/>
      <top style="thin">
        <color rgb="FFC0C0C0"/>
      </top>
      <bottom style="thin">
        <color rgb="FFC0C0C0"/>
      </bottom>
      <diagonal/>
    </border>
    <border>
      <left style="thin">
        <color rgb="FFC0C0C0"/>
      </left>
      <right/>
      <top/>
      <bottom style="thin">
        <color rgb="FFC0C0C0"/>
      </bottom>
      <diagonal/>
    </border>
    <border>
      <left style="thin">
        <color auto="1"/>
      </left>
      <right/>
      <top style="thin">
        <color auto="1"/>
      </top>
      <bottom/>
      <diagonal/>
    </border>
    <border>
      <left style="thin">
        <color auto="1"/>
      </left>
      <right/>
      <top/>
      <bottom/>
      <diagonal/>
    </border>
    <border>
      <left/>
      <right style="thin">
        <color auto="1"/>
      </right>
      <top/>
      <bottom/>
      <diagonal/>
    </border>
    <border>
      <left style="thin">
        <color auto="1"/>
      </left>
      <right/>
      <top style="thin">
        <color rgb="FFC0C0C0"/>
      </top>
      <bottom style="thin">
        <color rgb="FFC0C0C0"/>
      </bottom>
      <diagonal/>
    </border>
    <border>
      <left style="thin">
        <color auto="1"/>
      </left>
      <right/>
      <top/>
      <bottom style="thin">
        <color rgb="FFC0C0C0"/>
      </bottom>
      <diagonal/>
    </border>
    <border>
      <left/>
      <right style="thin">
        <color auto="1"/>
      </right>
      <top/>
      <bottom style="medium">
        <color auto="1"/>
      </bottom>
      <diagonal/>
    </border>
    <border>
      <left style="thin">
        <color auto="1"/>
      </left>
      <right/>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s>
  <cellStyleXfs count="3654">
    <xf numFmtId="0" fontId="0" fillId="0" borderId="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4" fillId="0" borderId="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cellStyleXfs>
  <cellXfs count="285">
    <xf numFmtId="0" fontId="0" fillId="0" borderId="0" xfId="0"/>
    <xf numFmtId="0" fontId="1" fillId="0" borderId="0" xfId="0" applyFont="1"/>
    <xf numFmtId="0" fontId="3" fillId="0" borderId="0" xfId="0" applyFont="1"/>
    <xf numFmtId="0" fontId="1" fillId="0" borderId="0" xfId="0" applyFont="1" applyAlignment="1">
      <alignment wrapText="1"/>
    </xf>
    <xf numFmtId="0" fontId="1" fillId="2" borderId="0" xfId="0" applyFont="1" applyFill="1"/>
    <xf numFmtId="0" fontId="1" fillId="2" borderId="0" xfId="0" applyFont="1" applyFill="1" applyAlignment="1">
      <alignment wrapText="1"/>
    </xf>
    <xf numFmtId="0" fontId="0" fillId="0" borderId="0" xfId="0" applyFill="1"/>
    <xf numFmtId="0" fontId="0" fillId="3" borderId="0" xfId="0" applyFill="1"/>
    <xf numFmtId="2" fontId="0" fillId="3" borderId="0" xfId="0" applyNumberFormat="1" applyFill="1"/>
    <xf numFmtId="0" fontId="0" fillId="4" borderId="0" xfId="0" applyFill="1"/>
    <xf numFmtId="0" fontId="0" fillId="5" borderId="0" xfId="0" applyFill="1"/>
    <xf numFmtId="0" fontId="0" fillId="6" borderId="0" xfId="0" applyFill="1"/>
    <xf numFmtId="0" fontId="0" fillId="7" borderId="0" xfId="0" applyFill="1"/>
    <xf numFmtId="0" fontId="0" fillId="8" borderId="0" xfId="0" applyFill="1"/>
    <xf numFmtId="0" fontId="0" fillId="9" borderId="0" xfId="0" applyFill="1"/>
    <xf numFmtId="0" fontId="0" fillId="10" borderId="0" xfId="0" applyFill="1"/>
    <xf numFmtId="0" fontId="0" fillId="11" borderId="0" xfId="0" applyFill="1"/>
    <xf numFmtId="0" fontId="0" fillId="12" borderId="0" xfId="0" applyFill="1"/>
    <xf numFmtId="0" fontId="0" fillId="13" borderId="0" xfId="0" applyFill="1"/>
    <xf numFmtId="0" fontId="0" fillId="14" borderId="0" xfId="0" applyFill="1"/>
    <xf numFmtId="0" fontId="0" fillId="15" borderId="0" xfId="0" applyFill="1"/>
    <xf numFmtId="0" fontId="0" fillId="16" borderId="0" xfId="0" applyFill="1"/>
    <xf numFmtId="0" fontId="0" fillId="17" borderId="0" xfId="0" applyFill="1"/>
    <xf numFmtId="0" fontId="0" fillId="18" borderId="0" xfId="0" applyFill="1"/>
    <xf numFmtId="0" fontId="0" fillId="19" borderId="0" xfId="0" applyFill="1"/>
    <xf numFmtId="0" fontId="0" fillId="20" borderId="0" xfId="0" applyFill="1"/>
    <xf numFmtId="0" fontId="0" fillId="21" borderId="0" xfId="0" applyFill="1"/>
    <xf numFmtId="0" fontId="0" fillId="22" borderId="0" xfId="0" applyFill="1"/>
    <xf numFmtId="0" fontId="0" fillId="23" borderId="0" xfId="0" applyFill="1"/>
    <xf numFmtId="0" fontId="0" fillId="24" borderId="0" xfId="0" applyFill="1"/>
    <xf numFmtId="14" fontId="0" fillId="0" borderId="0" xfId="0" applyNumberFormat="1"/>
    <xf numFmtId="0" fontId="0" fillId="0" borderId="6" xfId="0" applyBorder="1"/>
    <xf numFmtId="0" fontId="0" fillId="0" borderId="7" xfId="0" applyBorder="1"/>
    <xf numFmtId="0" fontId="0" fillId="0" borderId="8" xfId="0" applyBorder="1"/>
    <xf numFmtId="0" fontId="0" fillId="0" borderId="11" xfId="0" applyBorder="1"/>
    <xf numFmtId="2" fontId="1" fillId="0" borderId="0" xfId="0" applyNumberFormat="1" applyFont="1"/>
    <xf numFmtId="0" fontId="1" fillId="0" borderId="0" xfId="0" applyFont="1" applyAlignment="1">
      <alignment horizontal="right"/>
    </xf>
    <xf numFmtId="0" fontId="1" fillId="0" borderId="0" xfId="0" applyFont="1" applyFill="1" applyAlignment="1">
      <alignment horizontal="center"/>
    </xf>
    <xf numFmtId="0" fontId="0" fillId="0" borderId="0" xfId="0" applyFill="1" applyBorder="1" applyAlignment="1">
      <alignment horizontal="center"/>
    </xf>
    <xf numFmtId="0" fontId="1" fillId="2" borderId="2" xfId="0" applyFont="1" applyFill="1" applyBorder="1" applyAlignment="1">
      <alignment horizontal="center"/>
    </xf>
    <xf numFmtId="0" fontId="1" fillId="2" borderId="3" xfId="0" applyFont="1" applyFill="1" applyBorder="1" applyAlignment="1">
      <alignment horizontal="center"/>
    </xf>
    <xf numFmtId="0" fontId="7" fillId="0" borderId="0" xfId="0" applyFont="1" applyAlignment="1">
      <alignment horizontal="right"/>
    </xf>
    <xf numFmtId="0" fontId="1" fillId="0" borderId="0" xfId="0" applyFont="1" applyFill="1" applyBorder="1" applyAlignment="1">
      <alignment horizontal="right"/>
    </xf>
    <xf numFmtId="0" fontId="1" fillId="25" borderId="2" xfId="0" applyFont="1" applyFill="1" applyBorder="1" applyAlignment="1">
      <alignment horizontal="center"/>
    </xf>
    <xf numFmtId="0" fontId="1" fillId="25" borderId="4" xfId="0" applyFont="1" applyFill="1" applyBorder="1" applyAlignment="1">
      <alignment horizontal="center"/>
    </xf>
    <xf numFmtId="0" fontId="1" fillId="25" borderId="3" xfId="0" applyFont="1" applyFill="1" applyBorder="1" applyAlignment="1">
      <alignment horizontal="center"/>
    </xf>
    <xf numFmtId="0" fontId="1" fillId="0" borderId="10" xfId="0" applyFont="1" applyBorder="1" applyAlignment="1">
      <alignment horizontal="center"/>
    </xf>
    <xf numFmtId="0" fontId="1" fillId="0" borderId="13" xfId="0" applyFont="1" applyBorder="1" applyAlignment="1">
      <alignment horizontal="center"/>
    </xf>
    <xf numFmtId="0" fontId="0" fillId="0" borderId="14" xfId="0" applyBorder="1"/>
    <xf numFmtId="0" fontId="0" fillId="0" borderId="7" xfId="0" applyBorder="1" applyAlignment="1">
      <alignment horizontal="right"/>
    </xf>
    <xf numFmtId="0" fontId="0" fillId="0" borderId="9" xfId="0" applyBorder="1" applyAlignment="1">
      <alignment horizontal="right"/>
    </xf>
    <xf numFmtId="0" fontId="0" fillId="0" borderId="7" xfId="0" applyFill="1" applyBorder="1" applyAlignment="1">
      <alignment horizontal="left"/>
    </xf>
    <xf numFmtId="2" fontId="1" fillId="0" borderId="12" xfId="0" applyNumberFormat="1" applyFont="1" applyBorder="1" applyAlignment="1">
      <alignment horizontal="center"/>
    </xf>
    <xf numFmtId="0" fontId="0" fillId="0" borderId="5" xfId="0" applyBorder="1" applyAlignment="1">
      <alignment horizontal="right"/>
    </xf>
    <xf numFmtId="0" fontId="1" fillId="0" borderId="0" xfId="0" applyFont="1" applyFill="1"/>
    <xf numFmtId="0" fontId="0" fillId="25" borderId="5" xfId="0" applyFill="1" applyBorder="1"/>
    <xf numFmtId="0" fontId="0" fillId="25" borderId="6" xfId="0" applyFill="1" applyBorder="1"/>
    <xf numFmtId="0" fontId="0" fillId="25" borderId="7" xfId="0" applyFill="1" applyBorder="1"/>
    <xf numFmtId="0" fontId="0" fillId="25" borderId="8" xfId="0" applyFill="1" applyBorder="1"/>
    <xf numFmtId="0" fontId="0" fillId="25" borderId="9" xfId="0" applyFill="1" applyBorder="1"/>
    <xf numFmtId="0" fontId="0" fillId="25" borderId="11" xfId="0" applyFill="1" applyBorder="1"/>
    <xf numFmtId="0" fontId="8" fillId="0" borderId="0" xfId="0" applyFont="1"/>
    <xf numFmtId="0" fontId="9" fillId="0" borderId="0" xfId="0" applyFont="1"/>
    <xf numFmtId="0" fontId="1" fillId="2" borderId="0" xfId="0" applyFont="1" applyFill="1" applyBorder="1"/>
    <xf numFmtId="0" fontId="0" fillId="31" borderId="0" xfId="0" applyFill="1"/>
    <xf numFmtId="0" fontId="0" fillId="32" borderId="0" xfId="0" applyFill="1"/>
    <xf numFmtId="0" fontId="0" fillId="33" borderId="0" xfId="0" applyFill="1"/>
    <xf numFmtId="0" fontId="0" fillId="34" borderId="0" xfId="0" applyFill="1"/>
    <xf numFmtId="0" fontId="0" fillId="35" borderId="0" xfId="0" applyFill="1"/>
    <xf numFmtId="0" fontId="0" fillId="36" borderId="0" xfId="0" applyFill="1"/>
    <xf numFmtId="0" fontId="0" fillId="37" borderId="0" xfId="0" applyFill="1"/>
    <xf numFmtId="0" fontId="1" fillId="0" borderId="0" xfId="0" applyFont="1" applyAlignment="1">
      <alignment horizontal="center"/>
    </xf>
    <xf numFmtId="0" fontId="0" fillId="38" borderId="0" xfId="0" applyFill="1"/>
    <xf numFmtId="0" fontId="0" fillId="0" borderId="0" xfId="0" applyFont="1" applyFill="1"/>
    <xf numFmtId="0" fontId="0" fillId="0" borderId="0" xfId="0" applyFont="1" applyAlignment="1">
      <alignment horizontal="center"/>
    </xf>
    <xf numFmtId="0" fontId="0" fillId="40" borderId="0" xfId="0" applyFill="1"/>
    <xf numFmtId="0" fontId="0" fillId="41" borderId="0" xfId="0" applyFill="1"/>
    <xf numFmtId="0" fontId="0" fillId="0" borderId="0" xfId="0" applyFont="1" applyFill="1" applyAlignment="1">
      <alignment horizontal="center"/>
    </xf>
    <xf numFmtId="0" fontId="0" fillId="42" borderId="0" xfId="0" applyFill="1"/>
    <xf numFmtId="0" fontId="1" fillId="0" borderId="0" xfId="0" applyFont="1" applyAlignment="1"/>
    <xf numFmtId="0" fontId="1" fillId="2" borderId="0" xfId="0" applyFont="1" applyFill="1" applyAlignment="1"/>
    <xf numFmtId="0" fontId="1" fillId="0" borderId="0" xfId="0" applyFont="1" applyFill="1" applyAlignment="1"/>
    <xf numFmtId="0" fontId="0" fillId="0" borderId="0" xfId="0" applyFont="1" applyFill="1" applyAlignment="1">
      <alignment horizontal="left"/>
    </xf>
    <xf numFmtId="0" fontId="0" fillId="0" borderId="0" xfId="0" applyFont="1"/>
    <xf numFmtId="0" fontId="0" fillId="0" borderId="0" xfId="0" applyFont="1" applyAlignment="1">
      <alignment horizontal="left"/>
    </xf>
    <xf numFmtId="0" fontId="1" fillId="0" borderId="0" xfId="0" applyFont="1" applyAlignment="1">
      <alignment horizontal="left"/>
    </xf>
    <xf numFmtId="0" fontId="0" fillId="39" borderId="2" xfId="0" applyNumberFormat="1" applyFont="1" applyFill="1" applyBorder="1"/>
    <xf numFmtId="0" fontId="11" fillId="0" borderId="0" xfId="0" applyFont="1"/>
    <xf numFmtId="0" fontId="0" fillId="0" borderId="1" xfId="0" applyFont="1" applyBorder="1" applyAlignment="1">
      <alignment horizontal="center"/>
    </xf>
    <xf numFmtId="0" fontId="0" fillId="0" borderId="1" xfId="0" applyFont="1" applyFill="1" applyBorder="1" applyAlignment="1">
      <alignment horizontal="center"/>
    </xf>
    <xf numFmtId="0" fontId="0" fillId="0" borderId="0" xfId="0" applyFont="1" applyFill="1" applyBorder="1" applyAlignment="1">
      <alignment horizontal="center"/>
    </xf>
    <xf numFmtId="0" fontId="0" fillId="39" borderId="3" xfId="0" applyNumberFormat="1" applyFont="1" applyFill="1" applyBorder="1"/>
    <xf numFmtId="0" fontId="0" fillId="39" borderId="2" xfId="0" applyFont="1" applyFill="1" applyBorder="1"/>
    <xf numFmtId="0" fontId="0" fillId="39" borderId="3" xfId="0" applyFont="1" applyFill="1" applyBorder="1"/>
    <xf numFmtId="0" fontId="0" fillId="39" borderId="4" xfId="0" applyFont="1" applyFill="1" applyBorder="1"/>
    <xf numFmtId="0" fontId="0" fillId="0" borderId="0" xfId="0" applyFont="1" applyBorder="1"/>
    <xf numFmtId="0" fontId="0" fillId="0" borderId="10" xfId="0" applyFont="1" applyBorder="1"/>
    <xf numFmtId="0" fontId="10" fillId="0" borderId="15" xfId="0" applyFont="1" applyFill="1" applyBorder="1" applyAlignment="1">
      <alignment horizontal="left" wrapText="1"/>
    </xf>
    <xf numFmtId="0" fontId="10" fillId="0" borderId="16" xfId="0" applyFont="1" applyFill="1" applyBorder="1" applyAlignment="1">
      <alignment horizontal="left" wrapText="1"/>
    </xf>
    <xf numFmtId="2" fontId="0" fillId="0" borderId="0" xfId="0" applyNumberFormat="1" applyFont="1"/>
    <xf numFmtId="0" fontId="0" fillId="0" borderId="0" xfId="0" applyFont="1" applyAlignment="1"/>
    <xf numFmtId="0" fontId="0" fillId="0" borderId="14" xfId="0" applyFont="1" applyBorder="1"/>
    <xf numFmtId="0" fontId="0" fillId="0" borderId="7" xfId="0" applyFont="1" applyBorder="1" applyAlignment="1">
      <alignment horizontal="right"/>
    </xf>
    <xf numFmtId="0" fontId="0" fillId="0" borderId="8" xfId="0" applyFont="1" applyBorder="1"/>
    <xf numFmtId="0" fontId="0" fillId="0" borderId="9" xfId="0" applyFont="1" applyBorder="1" applyAlignment="1">
      <alignment horizontal="right"/>
    </xf>
    <xf numFmtId="0" fontId="0" fillId="0" borderId="11" xfId="0" applyFont="1" applyBorder="1"/>
    <xf numFmtId="0" fontId="0" fillId="0" borderId="7" xfId="0" applyFont="1" applyFill="1" applyBorder="1" applyAlignment="1">
      <alignment horizontal="left"/>
    </xf>
    <xf numFmtId="0" fontId="0" fillId="43" borderId="0" xfId="0" applyFill="1"/>
    <xf numFmtId="0" fontId="0" fillId="44" borderId="0" xfId="0" applyFill="1"/>
    <xf numFmtId="0" fontId="0" fillId="45" borderId="0" xfId="0" applyFill="1"/>
    <xf numFmtId="0" fontId="0" fillId="46" borderId="0" xfId="0" applyFill="1"/>
    <xf numFmtId="0" fontId="0" fillId="0" borderId="0" xfId="0" applyBorder="1"/>
    <xf numFmtId="0" fontId="0" fillId="0" borderId="0" xfId="0" applyFill="1" applyAlignment="1">
      <alignment horizontal="center"/>
    </xf>
    <xf numFmtId="0" fontId="0" fillId="0" borderId="0" xfId="0" applyAlignment="1">
      <alignment horizontal="center"/>
    </xf>
    <xf numFmtId="0" fontId="0" fillId="0" borderId="0" xfId="0" applyAlignment="1">
      <alignment wrapText="1"/>
    </xf>
    <xf numFmtId="0" fontId="12" fillId="0" borderId="0" xfId="0" applyFont="1" applyAlignment="1">
      <alignment horizontal="center"/>
    </xf>
    <xf numFmtId="0" fontId="12" fillId="0" borderId="0" xfId="0" applyFont="1" applyFill="1" applyAlignment="1">
      <alignment horizontal="center"/>
    </xf>
    <xf numFmtId="0" fontId="12" fillId="30" borderId="0" xfId="0" applyFont="1" applyFill="1" applyAlignment="1">
      <alignment horizontal="center"/>
    </xf>
    <xf numFmtId="0" fontId="12" fillId="28" borderId="0" xfId="0" applyFont="1" applyFill="1" applyAlignment="1">
      <alignment horizontal="center"/>
    </xf>
    <xf numFmtId="0" fontId="12" fillId="29" borderId="0" xfId="0" applyFont="1" applyFill="1" applyAlignment="1">
      <alignment horizontal="center"/>
    </xf>
    <xf numFmtId="0" fontId="12" fillId="26" borderId="0" xfId="0" applyFont="1" applyFill="1" applyAlignment="1">
      <alignment horizontal="center"/>
    </xf>
    <xf numFmtId="0" fontId="12" fillId="27" borderId="0" xfId="0" applyFont="1" applyFill="1" applyAlignment="1">
      <alignment horizontal="center"/>
    </xf>
    <xf numFmtId="0" fontId="12" fillId="0" borderId="0" xfId="0" applyFont="1" applyFill="1" applyAlignment="1">
      <alignment horizontal="right"/>
    </xf>
    <xf numFmtId="0" fontId="0" fillId="25" borderId="2" xfId="0" applyFill="1" applyBorder="1" applyAlignment="1">
      <alignment horizontal="center"/>
    </xf>
    <xf numFmtId="0" fontId="0" fillId="25" borderId="4" xfId="0" applyFill="1" applyBorder="1" applyAlignment="1">
      <alignment horizontal="center"/>
    </xf>
    <xf numFmtId="0" fontId="0" fillId="25" borderId="3" xfId="0" applyFill="1" applyBorder="1"/>
    <xf numFmtId="0" fontId="9" fillId="0" borderId="0" xfId="0" applyFont="1" applyAlignment="1">
      <alignment horizontal="left"/>
    </xf>
    <xf numFmtId="0" fontId="0" fillId="0" borderId="17" xfId="0" applyFont="1" applyBorder="1"/>
    <xf numFmtId="0" fontId="0" fillId="0" borderId="19" xfId="0" applyFont="1" applyBorder="1"/>
    <xf numFmtId="0" fontId="0" fillId="0" borderId="18" xfId="0" applyBorder="1"/>
    <xf numFmtId="0" fontId="10" fillId="0" borderId="20" xfId="0" applyFont="1" applyFill="1" applyBorder="1" applyAlignment="1">
      <alignment horizontal="right" wrapText="1"/>
    </xf>
    <xf numFmtId="0" fontId="10" fillId="0" borderId="21" xfId="0" applyFont="1" applyFill="1" applyBorder="1" applyAlignment="1">
      <alignment horizontal="right" wrapText="1"/>
    </xf>
    <xf numFmtId="0" fontId="0" fillId="0" borderId="18" xfId="0" applyFont="1" applyFill="1" applyBorder="1" applyAlignment="1">
      <alignment horizontal="right"/>
    </xf>
    <xf numFmtId="0" fontId="0" fillId="0" borderId="22" xfId="0" applyFont="1" applyBorder="1"/>
    <xf numFmtId="0" fontId="0" fillId="0" borderId="23" xfId="0" applyFont="1" applyBorder="1"/>
    <xf numFmtId="0" fontId="0" fillId="0" borderId="1" xfId="0" applyFont="1" applyBorder="1"/>
    <xf numFmtId="0" fontId="0" fillId="0" borderId="24" xfId="0" applyFont="1" applyBorder="1"/>
    <xf numFmtId="0" fontId="1" fillId="0" borderId="26" xfId="0" applyFont="1" applyBorder="1" applyAlignment="1">
      <alignment horizontal="center"/>
    </xf>
    <xf numFmtId="0" fontId="1" fillId="0" borderId="25" xfId="0" applyFont="1" applyBorder="1" applyAlignment="1">
      <alignment horizontal="center"/>
    </xf>
    <xf numFmtId="0" fontId="0" fillId="0" borderId="0" xfId="0" applyBorder="1" applyAlignment="1"/>
    <xf numFmtId="0" fontId="0" fillId="47" borderId="0" xfId="0" applyFill="1"/>
    <xf numFmtId="0" fontId="0" fillId="48" borderId="0" xfId="0" applyFill="1"/>
    <xf numFmtId="0" fontId="1" fillId="2" borderId="0" xfId="0" applyNumberFormat="1" applyFont="1" applyFill="1"/>
    <xf numFmtId="0" fontId="0" fillId="0" borderId="0" xfId="0" applyNumberFormat="1"/>
    <xf numFmtId="0" fontId="0" fillId="49" borderId="0" xfId="0" applyFill="1"/>
    <xf numFmtId="49" fontId="0" fillId="0" borderId="27" xfId="0" applyNumberFormat="1" applyBorder="1"/>
    <xf numFmtId="49" fontId="0" fillId="0" borderId="28" xfId="0" applyNumberFormat="1" applyBorder="1"/>
    <xf numFmtId="49" fontId="0" fillId="0" borderId="29" xfId="0" applyNumberFormat="1" applyBorder="1"/>
    <xf numFmtId="49" fontId="0" fillId="0" borderId="30" xfId="0" applyNumberFormat="1" applyBorder="1"/>
    <xf numFmtId="49" fontId="0" fillId="0" borderId="31" xfId="0" applyNumberFormat="1" applyBorder="1"/>
    <xf numFmtId="49" fontId="0" fillId="0" borderId="33" xfId="0" applyNumberFormat="1" applyBorder="1"/>
    <xf numFmtId="49" fontId="0" fillId="0" borderId="34" xfId="0" applyNumberFormat="1" applyBorder="1"/>
    <xf numFmtId="49" fontId="0" fillId="0" borderId="35" xfId="0" applyNumberFormat="1" applyBorder="1"/>
    <xf numFmtId="49" fontId="0" fillId="0" borderId="36" xfId="0" applyNumberFormat="1" applyBorder="1"/>
    <xf numFmtId="49" fontId="0" fillId="0" borderId="37" xfId="0" applyNumberFormat="1" applyBorder="1"/>
    <xf numFmtId="49" fontId="0" fillId="0" borderId="38" xfId="0" applyNumberFormat="1" applyBorder="1"/>
    <xf numFmtId="49" fontId="0" fillId="0" borderId="39" xfId="0" applyNumberFormat="1" applyBorder="1"/>
    <xf numFmtId="49" fontId="0" fillId="0" borderId="40" xfId="0" applyNumberFormat="1" applyBorder="1"/>
    <xf numFmtId="49" fontId="0" fillId="0" borderId="41" xfId="0" applyNumberFormat="1" applyBorder="1"/>
    <xf numFmtId="49" fontId="0" fillId="0" borderId="42" xfId="0" applyNumberFormat="1" applyBorder="1"/>
    <xf numFmtId="49" fontId="0" fillId="0" borderId="43" xfId="0" applyNumberFormat="1" applyBorder="1"/>
    <xf numFmtId="49" fontId="0" fillId="0" borderId="44" xfId="0" applyNumberFormat="1" applyBorder="1"/>
    <xf numFmtId="49" fontId="0" fillId="0" borderId="45" xfId="0" applyNumberFormat="1" applyBorder="1"/>
    <xf numFmtId="49" fontId="0" fillId="0" borderId="46" xfId="0" applyNumberFormat="1" applyBorder="1"/>
    <xf numFmtId="49" fontId="0" fillId="0" borderId="47" xfId="0" applyNumberFormat="1" applyBorder="1"/>
    <xf numFmtId="49" fontId="0" fillId="0" borderId="48" xfId="0" applyNumberFormat="1" applyBorder="1"/>
    <xf numFmtId="49" fontId="0" fillId="0" borderId="49" xfId="0" applyNumberFormat="1" applyBorder="1"/>
    <xf numFmtId="49" fontId="0" fillId="0" borderId="50" xfId="0" applyNumberFormat="1" applyBorder="1"/>
    <xf numFmtId="49" fontId="0" fillId="0" borderId="51" xfId="0" applyNumberFormat="1" applyBorder="1"/>
    <xf numFmtId="49" fontId="0" fillId="0" borderId="52" xfId="0" applyNumberFormat="1" applyBorder="1"/>
    <xf numFmtId="49" fontId="0" fillId="0" borderId="53" xfId="0" applyNumberFormat="1" applyBorder="1"/>
    <xf numFmtId="49" fontId="0" fillId="0" borderId="32" xfId="0" applyNumberFormat="1" applyBorder="1" applyAlignment="1">
      <alignment horizontal="center"/>
    </xf>
    <xf numFmtId="0" fontId="8" fillId="50" borderId="0" xfId="0" applyFont="1" applyFill="1" applyAlignment="1">
      <alignment horizontal="center"/>
    </xf>
    <xf numFmtId="0" fontId="0" fillId="51" borderId="0" xfId="0" applyFill="1"/>
    <xf numFmtId="0" fontId="0" fillId="52" borderId="0" xfId="0" applyFill="1"/>
    <xf numFmtId="0" fontId="0" fillId="53" borderId="0" xfId="0" applyFill="1"/>
    <xf numFmtId="0" fontId="0" fillId="54" borderId="0" xfId="0" applyFill="1"/>
    <xf numFmtId="0" fontId="0" fillId="55" borderId="0" xfId="0" applyFill="1"/>
    <xf numFmtId="0" fontId="0" fillId="56" borderId="0" xfId="0" applyFill="1"/>
    <xf numFmtId="0" fontId="0" fillId="57" borderId="0" xfId="0" applyFill="1"/>
    <xf numFmtId="0" fontId="0" fillId="58" borderId="0" xfId="0" applyFill="1"/>
    <xf numFmtId="0" fontId="0" fillId="59" borderId="0" xfId="0" applyFill="1"/>
    <xf numFmtId="0" fontId="0" fillId="60" borderId="0" xfId="0" applyFill="1"/>
    <xf numFmtId="0" fontId="0" fillId="61" borderId="0" xfId="0" applyFill="1"/>
    <xf numFmtId="0" fontId="0" fillId="62" borderId="0" xfId="0" applyFill="1"/>
    <xf numFmtId="0" fontId="0" fillId="63" borderId="0" xfId="0" applyFill="1"/>
    <xf numFmtId="0" fontId="0" fillId="64" borderId="0" xfId="0" applyFill="1"/>
    <xf numFmtId="0" fontId="0" fillId="65" borderId="0" xfId="0" applyFill="1"/>
    <xf numFmtId="0" fontId="0" fillId="66" borderId="0" xfId="0" applyFill="1"/>
    <xf numFmtId="0" fontId="0" fillId="67" borderId="0" xfId="0" applyFill="1"/>
    <xf numFmtId="0" fontId="0" fillId="68" borderId="0" xfId="0" applyFill="1"/>
    <xf numFmtId="0" fontId="0" fillId="69" borderId="0" xfId="0" applyFill="1"/>
    <xf numFmtId="0" fontId="0" fillId="70" borderId="0" xfId="0" applyFill="1"/>
    <xf numFmtId="0" fontId="0" fillId="71" borderId="0" xfId="0" applyFill="1"/>
    <xf numFmtId="0" fontId="0" fillId="72" borderId="0" xfId="0" applyFill="1"/>
    <xf numFmtId="0" fontId="0" fillId="73" borderId="0" xfId="0" applyFill="1"/>
    <xf numFmtId="0" fontId="0" fillId="74" borderId="0" xfId="0" applyFill="1"/>
    <xf numFmtId="0" fontId="0" fillId="75" borderId="0" xfId="0" applyFill="1"/>
    <xf numFmtId="0" fontId="0" fillId="76" borderId="0" xfId="0" applyFill="1"/>
    <xf numFmtId="0" fontId="0" fillId="77" borderId="0" xfId="0" applyFill="1"/>
    <xf numFmtId="0" fontId="0" fillId="78" borderId="0" xfId="0" applyFill="1"/>
    <xf numFmtId="0" fontId="0" fillId="79" borderId="0" xfId="0" applyFill="1"/>
    <xf numFmtId="0" fontId="0" fillId="80" borderId="0" xfId="0" applyFill="1"/>
    <xf numFmtId="0" fontId="0" fillId="81" borderId="0" xfId="0" applyFill="1"/>
    <xf numFmtId="0" fontId="0" fillId="82" borderId="0" xfId="0" applyFill="1"/>
    <xf numFmtId="0" fontId="0" fillId="83" borderId="0" xfId="0" applyFill="1"/>
    <xf numFmtId="0" fontId="0" fillId="84" borderId="0" xfId="0" applyFill="1"/>
    <xf numFmtId="0" fontId="0" fillId="85" borderId="0" xfId="0" applyFill="1"/>
    <xf numFmtId="0" fontId="0" fillId="86" borderId="0" xfId="0" applyFill="1"/>
    <xf numFmtId="0" fontId="0" fillId="87" borderId="0" xfId="0" applyFill="1"/>
    <xf numFmtId="0" fontId="0" fillId="88" borderId="0" xfId="0" applyFill="1"/>
    <xf numFmtId="0" fontId="0" fillId="89" borderId="0" xfId="0" applyFill="1"/>
    <xf numFmtId="0" fontId="0" fillId="90" borderId="0" xfId="0" applyFill="1"/>
    <xf numFmtId="0" fontId="0" fillId="91" borderId="0" xfId="0" applyFill="1"/>
    <xf numFmtId="0" fontId="0" fillId="92" borderId="0" xfId="0" applyFill="1"/>
    <xf numFmtId="0" fontId="0" fillId="93" borderId="0" xfId="0" applyFill="1"/>
    <xf numFmtId="0" fontId="0" fillId="94" borderId="0" xfId="0" applyFill="1"/>
    <xf numFmtId="0" fontId="0" fillId="95" borderId="0" xfId="0" applyFill="1"/>
    <xf numFmtId="0" fontId="0" fillId="96" borderId="0" xfId="0" applyFill="1"/>
    <xf numFmtId="0" fontId="0" fillId="97" borderId="0" xfId="0" applyFill="1"/>
    <xf numFmtId="0" fontId="0" fillId="98" borderId="0" xfId="0" applyFill="1"/>
    <xf numFmtId="0" fontId="0" fillId="99" borderId="0" xfId="0" applyFill="1"/>
    <xf numFmtId="0" fontId="0" fillId="100" borderId="0" xfId="0" applyFill="1"/>
    <xf numFmtId="0" fontId="0" fillId="101" borderId="0" xfId="0" applyFill="1"/>
    <xf numFmtId="0" fontId="0" fillId="102" borderId="0" xfId="0" applyFill="1"/>
    <xf numFmtId="0" fontId="0" fillId="103" borderId="0" xfId="0" applyFill="1"/>
    <xf numFmtId="0" fontId="0" fillId="104" borderId="0" xfId="0" applyFill="1"/>
    <xf numFmtId="0" fontId="0" fillId="105" borderId="0" xfId="0" applyFill="1"/>
    <xf numFmtId="0" fontId="0" fillId="106" borderId="0" xfId="0" applyFill="1"/>
    <xf numFmtId="0" fontId="0" fillId="107" borderId="0" xfId="0" applyFill="1"/>
    <xf numFmtId="0" fontId="0" fillId="108" borderId="0" xfId="0" applyFill="1"/>
    <xf numFmtId="0" fontId="0" fillId="109" borderId="0" xfId="0" applyFill="1"/>
    <xf numFmtId="0" fontId="0" fillId="110" borderId="0" xfId="0" applyFill="1"/>
    <xf numFmtId="0" fontId="0" fillId="111" borderId="0" xfId="0" applyFill="1"/>
    <xf numFmtId="0" fontId="0" fillId="112" borderId="0" xfId="0" applyFill="1"/>
    <xf numFmtId="0" fontId="13" fillId="0" borderId="0" xfId="0" applyNumberFormat="1" applyFont="1"/>
    <xf numFmtId="0" fontId="8" fillId="0" borderId="0" xfId="0" applyNumberFormat="1" applyFont="1"/>
    <xf numFmtId="49" fontId="13" fillId="0" borderId="27" xfId="0" applyNumberFormat="1" applyFont="1" applyBorder="1"/>
    <xf numFmtId="0" fontId="8" fillId="50" borderId="0" xfId="0" applyNumberFormat="1" applyFont="1" applyFill="1"/>
    <xf numFmtId="0" fontId="0" fillId="113" borderId="0" xfId="0" applyFill="1"/>
    <xf numFmtId="0" fontId="0" fillId="114" borderId="0" xfId="0" applyFill="1"/>
    <xf numFmtId="0" fontId="0" fillId="115" borderId="0" xfId="0" applyFill="1"/>
    <xf numFmtId="0" fontId="0" fillId="116" borderId="0" xfId="0" applyFill="1"/>
    <xf numFmtId="0" fontId="0" fillId="117" borderId="0" xfId="0" applyFill="1"/>
    <xf numFmtId="0" fontId="0" fillId="118" borderId="0" xfId="0" applyFill="1"/>
    <xf numFmtId="0" fontId="0" fillId="119" borderId="0" xfId="0" applyFill="1"/>
    <xf numFmtId="0" fontId="0" fillId="120" borderId="0" xfId="0" applyFill="1"/>
    <xf numFmtId="0" fontId="0" fillId="121" borderId="0" xfId="0" applyFill="1"/>
    <xf numFmtId="0" fontId="0" fillId="122" borderId="0" xfId="0" applyFill="1"/>
    <xf numFmtId="0" fontId="0" fillId="123" borderId="0" xfId="0" applyFill="1"/>
    <xf numFmtId="0" fontId="0" fillId="124" borderId="0" xfId="0" applyFill="1"/>
    <xf numFmtId="0" fontId="0" fillId="125" borderId="0" xfId="0" applyFill="1"/>
    <xf numFmtId="0" fontId="0" fillId="126" borderId="0" xfId="0" applyFill="1"/>
    <xf numFmtId="0" fontId="0" fillId="127" borderId="0" xfId="0" applyFill="1"/>
    <xf numFmtId="0" fontId="0" fillId="128" borderId="0" xfId="0" applyFill="1"/>
    <xf numFmtId="0" fontId="0" fillId="129" borderId="0" xfId="0" applyFill="1"/>
    <xf numFmtId="0" fontId="0" fillId="130" borderId="0" xfId="0" applyFill="1"/>
    <xf numFmtId="0" fontId="0" fillId="131" borderId="0" xfId="0" applyFill="1"/>
    <xf numFmtId="0" fontId="0" fillId="132" borderId="0" xfId="0" applyFill="1"/>
    <xf numFmtId="0" fontId="0" fillId="133" borderId="0" xfId="0" applyFill="1"/>
    <xf numFmtId="0" fontId="0" fillId="134" borderId="0" xfId="0" applyFill="1"/>
    <xf numFmtId="0" fontId="0" fillId="135" borderId="0" xfId="0" applyFill="1"/>
    <xf numFmtId="0" fontId="0" fillId="136" borderId="0" xfId="0" applyFill="1"/>
    <xf numFmtId="0" fontId="0" fillId="137" borderId="0" xfId="0" applyFill="1"/>
    <xf numFmtId="0" fontId="0" fillId="138" borderId="0" xfId="0" applyFill="1"/>
    <xf numFmtId="0" fontId="0" fillId="139" borderId="0" xfId="0" applyFill="1"/>
    <xf numFmtId="0" fontId="0" fillId="140" borderId="0" xfId="0" applyFill="1"/>
    <xf numFmtId="0" fontId="0" fillId="141" borderId="0" xfId="0" applyFill="1"/>
    <xf numFmtId="0" fontId="0" fillId="142" borderId="0" xfId="0" applyFill="1"/>
    <xf numFmtId="0" fontId="0" fillId="143" borderId="0" xfId="0" applyFill="1"/>
    <xf numFmtId="0" fontId="0" fillId="144" borderId="0" xfId="0" applyFill="1"/>
    <xf numFmtId="0" fontId="0" fillId="145" borderId="0" xfId="0" applyFill="1"/>
    <xf numFmtId="0" fontId="0" fillId="146" borderId="0" xfId="0" applyFill="1"/>
    <xf numFmtId="0" fontId="0" fillId="147" borderId="0" xfId="0" applyFill="1"/>
    <xf numFmtId="0" fontId="0" fillId="148" borderId="0" xfId="0" applyFill="1"/>
    <xf numFmtId="0" fontId="0" fillId="149" borderId="0" xfId="0" applyFill="1"/>
    <xf numFmtId="0" fontId="0" fillId="150" borderId="0" xfId="0" applyFill="1"/>
    <xf numFmtId="0" fontId="0" fillId="151" borderId="0" xfId="0" applyFill="1"/>
    <xf numFmtId="0" fontId="0" fillId="152" borderId="0" xfId="0" applyFill="1"/>
    <xf numFmtId="0" fontId="0" fillId="153" borderId="0" xfId="0" applyFill="1"/>
    <xf numFmtId="0" fontId="0" fillId="154" borderId="0" xfId="0" applyFill="1"/>
    <xf numFmtId="0" fontId="0" fillId="155" borderId="0" xfId="0" applyFill="1"/>
    <xf numFmtId="0" fontId="0" fillId="156" borderId="0" xfId="0" applyFill="1"/>
    <xf numFmtId="0" fontId="0" fillId="157" borderId="0" xfId="0" applyFill="1"/>
    <xf numFmtId="0" fontId="0" fillId="158" borderId="0" xfId="0" applyFill="1"/>
  </cellXfs>
  <cellStyles count="3654">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Followed Hyperlink" xfId="720" builtinId="9" hidden="1"/>
    <cellStyle name="Followed Hyperlink" xfId="722" builtinId="9" hidden="1"/>
    <cellStyle name="Followed Hyperlink" xfId="724" builtinId="9" hidden="1"/>
    <cellStyle name="Followed Hyperlink" xfId="726" builtinId="9" hidden="1"/>
    <cellStyle name="Followed Hyperlink" xfId="728" builtinId="9" hidden="1"/>
    <cellStyle name="Followed Hyperlink" xfId="730" builtinId="9" hidden="1"/>
    <cellStyle name="Followed Hyperlink" xfId="732" builtinId="9" hidden="1"/>
    <cellStyle name="Followed Hyperlink" xfId="734" builtinId="9" hidden="1"/>
    <cellStyle name="Followed Hyperlink" xfId="736" builtinId="9" hidden="1"/>
    <cellStyle name="Followed Hyperlink" xfId="738" builtinId="9" hidden="1"/>
    <cellStyle name="Followed Hyperlink" xfId="740" builtinId="9" hidden="1"/>
    <cellStyle name="Followed Hyperlink" xfId="742" builtinId="9" hidden="1"/>
    <cellStyle name="Followed Hyperlink" xfId="744" builtinId="9" hidden="1"/>
    <cellStyle name="Followed Hyperlink" xfId="746" builtinId="9" hidden="1"/>
    <cellStyle name="Followed Hyperlink" xfId="748" builtinId="9" hidden="1"/>
    <cellStyle name="Followed Hyperlink" xfId="750" builtinId="9" hidden="1"/>
    <cellStyle name="Followed Hyperlink" xfId="752" builtinId="9" hidden="1"/>
    <cellStyle name="Followed Hyperlink" xfId="754" builtinId="9" hidden="1"/>
    <cellStyle name="Followed Hyperlink" xfId="756" builtinId="9" hidden="1"/>
    <cellStyle name="Followed Hyperlink" xfId="758" builtinId="9" hidden="1"/>
    <cellStyle name="Followed Hyperlink" xfId="760" builtinId="9" hidden="1"/>
    <cellStyle name="Followed Hyperlink" xfId="762" builtinId="9" hidden="1"/>
    <cellStyle name="Followed Hyperlink" xfId="764" builtinId="9" hidden="1"/>
    <cellStyle name="Followed Hyperlink" xfId="766" builtinId="9" hidden="1"/>
    <cellStyle name="Followed Hyperlink" xfId="768" builtinId="9" hidden="1"/>
    <cellStyle name="Followed Hyperlink" xfId="770" builtinId="9" hidden="1"/>
    <cellStyle name="Followed Hyperlink" xfId="772" builtinId="9" hidden="1"/>
    <cellStyle name="Followed Hyperlink" xfId="774" builtinId="9" hidden="1"/>
    <cellStyle name="Followed Hyperlink" xfId="776" builtinId="9" hidden="1"/>
    <cellStyle name="Followed Hyperlink" xfId="778" builtinId="9" hidden="1"/>
    <cellStyle name="Followed Hyperlink" xfId="780" builtinId="9" hidden="1"/>
    <cellStyle name="Followed Hyperlink" xfId="782" builtinId="9" hidden="1"/>
    <cellStyle name="Followed Hyperlink" xfId="784" builtinId="9" hidden="1"/>
    <cellStyle name="Followed Hyperlink" xfId="786" builtinId="9" hidden="1"/>
    <cellStyle name="Followed Hyperlink" xfId="788" builtinId="9" hidden="1"/>
    <cellStyle name="Followed Hyperlink" xfId="790" builtinId="9" hidden="1"/>
    <cellStyle name="Followed Hyperlink" xfId="792" builtinId="9" hidden="1"/>
    <cellStyle name="Followed Hyperlink" xfId="794" builtinId="9" hidden="1"/>
    <cellStyle name="Followed Hyperlink" xfId="796" builtinId="9" hidden="1"/>
    <cellStyle name="Followed Hyperlink" xfId="798" builtinId="9" hidden="1"/>
    <cellStyle name="Followed Hyperlink" xfId="800" builtinId="9" hidden="1"/>
    <cellStyle name="Followed Hyperlink" xfId="802" builtinId="9" hidden="1"/>
    <cellStyle name="Followed Hyperlink" xfId="804" builtinId="9" hidden="1"/>
    <cellStyle name="Followed Hyperlink" xfId="806" builtinId="9" hidden="1"/>
    <cellStyle name="Followed Hyperlink" xfId="808" builtinId="9" hidden="1"/>
    <cellStyle name="Followed Hyperlink" xfId="810" builtinId="9" hidden="1"/>
    <cellStyle name="Followed Hyperlink" xfId="812" builtinId="9" hidden="1"/>
    <cellStyle name="Followed Hyperlink" xfId="814" builtinId="9" hidden="1"/>
    <cellStyle name="Followed Hyperlink" xfId="816" builtinId="9" hidden="1"/>
    <cellStyle name="Followed Hyperlink" xfId="818" builtinId="9" hidden="1"/>
    <cellStyle name="Followed Hyperlink" xfId="820" builtinId="9" hidden="1"/>
    <cellStyle name="Followed Hyperlink" xfId="822" builtinId="9" hidden="1"/>
    <cellStyle name="Followed Hyperlink" xfId="824" builtinId="9" hidden="1"/>
    <cellStyle name="Followed Hyperlink" xfId="826" builtinId="9" hidden="1"/>
    <cellStyle name="Followed Hyperlink" xfId="828" builtinId="9" hidden="1"/>
    <cellStyle name="Followed Hyperlink" xfId="830" builtinId="9" hidden="1"/>
    <cellStyle name="Followed Hyperlink" xfId="832" builtinId="9" hidden="1"/>
    <cellStyle name="Followed Hyperlink" xfId="834" builtinId="9" hidden="1"/>
    <cellStyle name="Followed Hyperlink" xfId="836" builtinId="9" hidden="1"/>
    <cellStyle name="Followed Hyperlink" xfId="838" builtinId="9" hidden="1"/>
    <cellStyle name="Followed Hyperlink" xfId="840" builtinId="9" hidden="1"/>
    <cellStyle name="Followed Hyperlink" xfId="842" builtinId="9" hidden="1"/>
    <cellStyle name="Followed Hyperlink" xfId="844" builtinId="9" hidden="1"/>
    <cellStyle name="Followed Hyperlink" xfId="846" builtinId="9" hidden="1"/>
    <cellStyle name="Followed Hyperlink" xfId="848" builtinId="9" hidden="1"/>
    <cellStyle name="Followed Hyperlink" xfId="850" builtinId="9" hidden="1"/>
    <cellStyle name="Followed Hyperlink" xfId="852" builtinId="9" hidden="1"/>
    <cellStyle name="Followed Hyperlink" xfId="854" builtinId="9" hidden="1"/>
    <cellStyle name="Followed Hyperlink" xfId="856" builtinId="9" hidden="1"/>
    <cellStyle name="Followed Hyperlink" xfId="858" builtinId="9" hidden="1"/>
    <cellStyle name="Followed Hyperlink" xfId="860" builtinId="9" hidden="1"/>
    <cellStyle name="Followed Hyperlink" xfId="862" builtinId="9" hidden="1"/>
    <cellStyle name="Followed Hyperlink" xfId="864" builtinId="9" hidden="1"/>
    <cellStyle name="Followed Hyperlink" xfId="866" builtinId="9" hidden="1"/>
    <cellStyle name="Followed Hyperlink" xfId="868" builtinId="9" hidden="1"/>
    <cellStyle name="Followed Hyperlink" xfId="870" builtinId="9" hidden="1"/>
    <cellStyle name="Followed Hyperlink" xfId="872" builtinId="9" hidden="1"/>
    <cellStyle name="Followed Hyperlink" xfId="874" builtinId="9" hidden="1"/>
    <cellStyle name="Followed Hyperlink" xfId="876" builtinId="9" hidden="1"/>
    <cellStyle name="Followed Hyperlink" xfId="878" builtinId="9" hidden="1"/>
    <cellStyle name="Followed Hyperlink" xfId="880" builtinId="9" hidden="1"/>
    <cellStyle name="Followed Hyperlink" xfId="882" builtinId="9" hidden="1"/>
    <cellStyle name="Followed Hyperlink" xfId="884" builtinId="9" hidden="1"/>
    <cellStyle name="Followed Hyperlink" xfId="886" builtinId="9" hidden="1"/>
    <cellStyle name="Followed Hyperlink" xfId="888" builtinId="9" hidden="1"/>
    <cellStyle name="Followed Hyperlink" xfId="890" builtinId="9" hidden="1"/>
    <cellStyle name="Followed Hyperlink" xfId="892" builtinId="9" hidden="1"/>
    <cellStyle name="Followed Hyperlink" xfId="894" builtinId="9" hidden="1"/>
    <cellStyle name="Followed Hyperlink" xfId="896" builtinId="9" hidden="1"/>
    <cellStyle name="Followed Hyperlink" xfId="898" builtinId="9" hidden="1"/>
    <cellStyle name="Followed Hyperlink" xfId="900" builtinId="9" hidden="1"/>
    <cellStyle name="Followed Hyperlink" xfId="902" builtinId="9" hidden="1"/>
    <cellStyle name="Followed Hyperlink" xfId="904" builtinId="9" hidden="1"/>
    <cellStyle name="Followed Hyperlink" xfId="906" builtinId="9" hidden="1"/>
    <cellStyle name="Followed Hyperlink" xfId="908" builtinId="9" hidden="1"/>
    <cellStyle name="Followed Hyperlink" xfId="910" builtinId="9" hidden="1"/>
    <cellStyle name="Followed Hyperlink" xfId="912" builtinId="9" hidden="1"/>
    <cellStyle name="Followed Hyperlink" xfId="914" builtinId="9" hidden="1"/>
    <cellStyle name="Followed Hyperlink" xfId="916" builtinId="9" hidden="1"/>
    <cellStyle name="Followed Hyperlink" xfId="918" builtinId="9" hidden="1"/>
    <cellStyle name="Followed Hyperlink" xfId="920" builtinId="9" hidden="1"/>
    <cellStyle name="Followed Hyperlink" xfId="922" builtinId="9" hidden="1"/>
    <cellStyle name="Followed Hyperlink" xfId="924" builtinId="9" hidden="1"/>
    <cellStyle name="Followed Hyperlink" xfId="926" builtinId="9" hidden="1"/>
    <cellStyle name="Followed Hyperlink" xfId="928" builtinId="9" hidden="1"/>
    <cellStyle name="Followed Hyperlink" xfId="930" builtinId="9" hidden="1"/>
    <cellStyle name="Followed Hyperlink" xfId="932" builtinId="9" hidden="1"/>
    <cellStyle name="Followed Hyperlink" xfId="934" builtinId="9" hidden="1"/>
    <cellStyle name="Followed Hyperlink" xfId="936" builtinId="9" hidden="1"/>
    <cellStyle name="Followed Hyperlink" xfId="938" builtinId="9" hidden="1"/>
    <cellStyle name="Followed Hyperlink" xfId="940" builtinId="9" hidden="1"/>
    <cellStyle name="Followed Hyperlink" xfId="942" builtinId="9" hidden="1"/>
    <cellStyle name="Followed Hyperlink" xfId="944" builtinId="9" hidden="1"/>
    <cellStyle name="Followed Hyperlink" xfId="946" builtinId="9" hidden="1"/>
    <cellStyle name="Followed Hyperlink" xfId="948" builtinId="9" hidden="1"/>
    <cellStyle name="Followed Hyperlink" xfId="950" builtinId="9" hidden="1"/>
    <cellStyle name="Followed Hyperlink" xfId="952" builtinId="9" hidden="1"/>
    <cellStyle name="Followed Hyperlink" xfId="954" builtinId="9" hidden="1"/>
    <cellStyle name="Followed Hyperlink" xfId="956" builtinId="9" hidden="1"/>
    <cellStyle name="Followed Hyperlink" xfId="958" builtinId="9" hidden="1"/>
    <cellStyle name="Followed Hyperlink" xfId="960" builtinId="9" hidden="1"/>
    <cellStyle name="Followed Hyperlink" xfId="962" builtinId="9" hidden="1"/>
    <cellStyle name="Followed Hyperlink" xfId="964" builtinId="9" hidden="1"/>
    <cellStyle name="Followed Hyperlink" xfId="966" builtinId="9" hidden="1"/>
    <cellStyle name="Followed Hyperlink" xfId="968" builtinId="9" hidden="1"/>
    <cellStyle name="Followed Hyperlink" xfId="970" builtinId="9" hidden="1"/>
    <cellStyle name="Followed Hyperlink" xfId="973" builtinId="9" hidden="1"/>
    <cellStyle name="Followed Hyperlink" xfId="975" builtinId="9" hidden="1"/>
    <cellStyle name="Followed Hyperlink" xfId="977" builtinId="9" hidden="1"/>
    <cellStyle name="Followed Hyperlink" xfId="979" builtinId="9" hidden="1"/>
    <cellStyle name="Followed Hyperlink" xfId="981" builtinId="9" hidden="1"/>
    <cellStyle name="Followed Hyperlink" xfId="983" builtinId="9" hidden="1"/>
    <cellStyle name="Followed Hyperlink" xfId="985" builtinId="9" hidden="1"/>
    <cellStyle name="Followed Hyperlink" xfId="987" builtinId="9" hidden="1"/>
    <cellStyle name="Followed Hyperlink" xfId="989" builtinId="9" hidden="1"/>
    <cellStyle name="Followed Hyperlink" xfId="991" builtinId="9" hidden="1"/>
    <cellStyle name="Followed Hyperlink" xfId="993" builtinId="9" hidden="1"/>
    <cellStyle name="Followed Hyperlink" xfId="995" builtinId="9" hidden="1"/>
    <cellStyle name="Followed Hyperlink" xfId="997" builtinId="9" hidden="1"/>
    <cellStyle name="Followed Hyperlink" xfId="999" builtinId="9" hidden="1"/>
    <cellStyle name="Followed Hyperlink" xfId="1001" builtinId="9" hidden="1"/>
    <cellStyle name="Followed Hyperlink" xfId="1003" builtinId="9" hidden="1"/>
    <cellStyle name="Followed Hyperlink" xfId="1005" builtinId="9" hidden="1"/>
    <cellStyle name="Followed Hyperlink" xfId="1007" builtinId="9" hidden="1"/>
    <cellStyle name="Followed Hyperlink" xfId="1009" builtinId="9" hidden="1"/>
    <cellStyle name="Followed Hyperlink" xfId="1011" builtinId="9" hidden="1"/>
    <cellStyle name="Followed Hyperlink" xfId="1013" builtinId="9" hidden="1"/>
    <cellStyle name="Followed Hyperlink" xfId="1015" builtinId="9" hidden="1"/>
    <cellStyle name="Followed Hyperlink" xfId="1017" builtinId="9" hidden="1"/>
    <cellStyle name="Followed Hyperlink" xfId="1019" builtinId="9" hidden="1"/>
    <cellStyle name="Followed Hyperlink" xfId="1021" builtinId="9" hidden="1"/>
    <cellStyle name="Followed Hyperlink" xfId="1023" builtinId="9" hidden="1"/>
    <cellStyle name="Followed Hyperlink" xfId="1025" builtinId="9" hidden="1"/>
    <cellStyle name="Followed Hyperlink" xfId="1027" builtinId="9" hidden="1"/>
    <cellStyle name="Followed Hyperlink" xfId="1029" builtinId="9" hidden="1"/>
    <cellStyle name="Followed Hyperlink" xfId="1031" builtinId="9" hidden="1"/>
    <cellStyle name="Followed Hyperlink" xfId="1033" builtinId="9" hidden="1"/>
    <cellStyle name="Followed Hyperlink" xfId="1035" builtinId="9" hidden="1"/>
    <cellStyle name="Followed Hyperlink" xfId="1037" builtinId="9" hidden="1"/>
    <cellStyle name="Followed Hyperlink" xfId="1039" builtinId="9" hidden="1"/>
    <cellStyle name="Followed Hyperlink" xfId="1041" builtinId="9" hidden="1"/>
    <cellStyle name="Followed Hyperlink" xfId="1043" builtinId="9" hidden="1"/>
    <cellStyle name="Followed Hyperlink" xfId="1045" builtinId="9" hidden="1"/>
    <cellStyle name="Followed Hyperlink" xfId="1047" builtinId="9" hidden="1"/>
    <cellStyle name="Followed Hyperlink" xfId="1049" builtinId="9" hidden="1"/>
    <cellStyle name="Followed Hyperlink" xfId="1051" builtinId="9" hidden="1"/>
    <cellStyle name="Followed Hyperlink" xfId="1053" builtinId="9" hidden="1"/>
    <cellStyle name="Followed Hyperlink" xfId="1055" builtinId="9" hidden="1"/>
    <cellStyle name="Followed Hyperlink" xfId="1057" builtinId="9" hidden="1"/>
    <cellStyle name="Followed Hyperlink" xfId="1059" builtinId="9" hidden="1"/>
    <cellStyle name="Followed Hyperlink" xfId="1061" builtinId="9" hidden="1"/>
    <cellStyle name="Followed Hyperlink" xfId="1063" builtinId="9" hidden="1"/>
    <cellStyle name="Followed Hyperlink" xfId="1065" builtinId="9" hidden="1"/>
    <cellStyle name="Followed Hyperlink" xfId="1067" builtinId="9" hidden="1"/>
    <cellStyle name="Followed Hyperlink" xfId="1069" builtinId="9" hidden="1"/>
    <cellStyle name="Followed Hyperlink" xfId="1071" builtinId="9" hidden="1"/>
    <cellStyle name="Followed Hyperlink" xfId="1073" builtinId="9" hidden="1"/>
    <cellStyle name="Followed Hyperlink" xfId="1075" builtinId="9" hidden="1"/>
    <cellStyle name="Followed Hyperlink" xfId="1077" builtinId="9" hidden="1"/>
    <cellStyle name="Followed Hyperlink" xfId="1079" builtinId="9" hidden="1"/>
    <cellStyle name="Followed Hyperlink" xfId="1081" builtinId="9" hidden="1"/>
    <cellStyle name="Followed Hyperlink" xfId="1083" builtinId="9" hidden="1"/>
    <cellStyle name="Followed Hyperlink" xfId="1085" builtinId="9" hidden="1"/>
    <cellStyle name="Followed Hyperlink" xfId="1087" builtinId="9" hidden="1"/>
    <cellStyle name="Followed Hyperlink" xfId="1089" builtinId="9" hidden="1"/>
    <cellStyle name="Followed Hyperlink" xfId="1091" builtinId="9" hidden="1"/>
    <cellStyle name="Followed Hyperlink" xfId="1093" builtinId="9" hidden="1"/>
    <cellStyle name="Followed Hyperlink" xfId="1095" builtinId="9" hidden="1"/>
    <cellStyle name="Followed Hyperlink" xfId="1097" builtinId="9" hidden="1"/>
    <cellStyle name="Followed Hyperlink" xfId="1099" builtinId="9" hidden="1"/>
    <cellStyle name="Followed Hyperlink" xfId="1101" builtinId="9" hidden="1"/>
    <cellStyle name="Followed Hyperlink" xfId="1103" builtinId="9" hidden="1"/>
    <cellStyle name="Followed Hyperlink" xfId="1105" builtinId="9" hidden="1"/>
    <cellStyle name="Followed Hyperlink" xfId="1107" builtinId="9" hidden="1"/>
    <cellStyle name="Followed Hyperlink" xfId="1109" builtinId="9" hidden="1"/>
    <cellStyle name="Followed Hyperlink" xfId="1111" builtinId="9" hidden="1"/>
    <cellStyle name="Followed Hyperlink" xfId="1113" builtinId="9" hidden="1"/>
    <cellStyle name="Followed Hyperlink" xfId="1115" builtinId="9" hidden="1"/>
    <cellStyle name="Followed Hyperlink" xfId="1117" builtinId="9" hidden="1"/>
    <cellStyle name="Followed Hyperlink" xfId="1119" builtinId="9" hidden="1"/>
    <cellStyle name="Followed Hyperlink" xfId="1121" builtinId="9" hidden="1"/>
    <cellStyle name="Followed Hyperlink" xfId="1123" builtinId="9" hidden="1"/>
    <cellStyle name="Followed Hyperlink" xfId="1125" builtinId="9" hidden="1"/>
    <cellStyle name="Followed Hyperlink" xfId="1127" builtinId="9" hidden="1"/>
    <cellStyle name="Followed Hyperlink" xfId="1129" builtinId="9" hidden="1"/>
    <cellStyle name="Followed Hyperlink" xfId="1131" builtinId="9" hidden="1"/>
    <cellStyle name="Followed Hyperlink" xfId="1133" builtinId="9" hidden="1"/>
    <cellStyle name="Followed Hyperlink" xfId="1135" builtinId="9" hidden="1"/>
    <cellStyle name="Followed Hyperlink" xfId="1137" builtinId="9" hidden="1"/>
    <cellStyle name="Followed Hyperlink" xfId="1139" builtinId="9" hidden="1"/>
    <cellStyle name="Followed Hyperlink" xfId="1141" builtinId="9" hidden="1"/>
    <cellStyle name="Followed Hyperlink" xfId="1143" builtinId="9" hidden="1"/>
    <cellStyle name="Followed Hyperlink" xfId="1145" builtinId="9" hidden="1"/>
    <cellStyle name="Followed Hyperlink" xfId="1147" builtinId="9" hidden="1"/>
    <cellStyle name="Followed Hyperlink" xfId="1149" builtinId="9" hidden="1"/>
    <cellStyle name="Followed Hyperlink" xfId="1151" builtinId="9" hidden="1"/>
    <cellStyle name="Followed Hyperlink" xfId="1153" builtinId="9" hidden="1"/>
    <cellStyle name="Followed Hyperlink" xfId="1155" builtinId="9" hidden="1"/>
    <cellStyle name="Followed Hyperlink" xfId="1157" builtinId="9" hidden="1"/>
    <cellStyle name="Followed Hyperlink" xfId="1159" builtinId="9" hidden="1"/>
    <cellStyle name="Followed Hyperlink" xfId="1161" builtinId="9" hidden="1"/>
    <cellStyle name="Followed Hyperlink" xfId="1163" builtinId="9" hidden="1"/>
    <cellStyle name="Followed Hyperlink" xfId="1165" builtinId="9" hidden="1"/>
    <cellStyle name="Followed Hyperlink" xfId="1167" builtinId="9" hidden="1"/>
    <cellStyle name="Followed Hyperlink" xfId="1169" builtinId="9" hidden="1"/>
    <cellStyle name="Followed Hyperlink" xfId="1171" builtinId="9" hidden="1"/>
    <cellStyle name="Followed Hyperlink" xfId="1173" builtinId="9" hidden="1"/>
    <cellStyle name="Followed Hyperlink" xfId="1175" builtinId="9" hidden="1"/>
    <cellStyle name="Followed Hyperlink" xfId="1177" builtinId="9" hidden="1"/>
    <cellStyle name="Followed Hyperlink" xfId="1179" builtinId="9" hidden="1"/>
    <cellStyle name="Followed Hyperlink" xfId="1181" builtinId="9" hidden="1"/>
    <cellStyle name="Followed Hyperlink" xfId="1183" builtinId="9" hidden="1"/>
    <cellStyle name="Followed Hyperlink" xfId="1185" builtinId="9" hidden="1"/>
    <cellStyle name="Followed Hyperlink" xfId="1187" builtinId="9" hidden="1"/>
    <cellStyle name="Followed Hyperlink" xfId="1189" builtinId="9" hidden="1"/>
    <cellStyle name="Followed Hyperlink" xfId="1191" builtinId="9" hidden="1"/>
    <cellStyle name="Followed Hyperlink" xfId="1193" builtinId="9" hidden="1"/>
    <cellStyle name="Followed Hyperlink" xfId="1195" builtinId="9" hidden="1"/>
    <cellStyle name="Followed Hyperlink" xfId="1197" builtinId="9" hidden="1"/>
    <cellStyle name="Followed Hyperlink" xfId="1199" builtinId="9" hidden="1"/>
    <cellStyle name="Followed Hyperlink" xfId="1201" builtinId="9" hidden="1"/>
    <cellStyle name="Followed Hyperlink" xfId="1203" builtinId="9" hidden="1"/>
    <cellStyle name="Followed Hyperlink" xfId="1205" builtinId="9" hidden="1"/>
    <cellStyle name="Followed Hyperlink" xfId="1207" builtinId="9" hidden="1"/>
    <cellStyle name="Followed Hyperlink" xfId="1209" builtinId="9" hidden="1"/>
    <cellStyle name="Followed Hyperlink" xfId="1211" builtinId="9" hidden="1"/>
    <cellStyle name="Followed Hyperlink" xfId="1213" builtinId="9" hidden="1"/>
    <cellStyle name="Followed Hyperlink" xfId="1215" builtinId="9" hidden="1"/>
    <cellStyle name="Followed Hyperlink" xfId="1217" builtinId="9" hidden="1"/>
    <cellStyle name="Followed Hyperlink" xfId="1219" builtinId="9" hidden="1"/>
    <cellStyle name="Followed Hyperlink" xfId="1221" builtinId="9" hidden="1"/>
    <cellStyle name="Followed Hyperlink" xfId="1223" builtinId="9" hidden="1"/>
    <cellStyle name="Followed Hyperlink" xfId="1225" builtinId="9" hidden="1"/>
    <cellStyle name="Followed Hyperlink" xfId="1227" builtinId="9" hidden="1"/>
    <cellStyle name="Followed Hyperlink" xfId="1229" builtinId="9" hidden="1"/>
    <cellStyle name="Followed Hyperlink" xfId="1231" builtinId="9" hidden="1"/>
    <cellStyle name="Followed Hyperlink" xfId="1233" builtinId="9" hidden="1"/>
    <cellStyle name="Followed Hyperlink" xfId="1235" builtinId="9" hidden="1"/>
    <cellStyle name="Followed Hyperlink" xfId="1237" builtinId="9" hidden="1"/>
    <cellStyle name="Followed Hyperlink" xfId="1239" builtinId="9" hidden="1"/>
    <cellStyle name="Followed Hyperlink" xfId="1241" builtinId="9" hidden="1"/>
    <cellStyle name="Followed Hyperlink" xfId="1243" builtinId="9" hidden="1"/>
    <cellStyle name="Followed Hyperlink" xfId="1245" builtinId="9" hidden="1"/>
    <cellStyle name="Followed Hyperlink" xfId="1247" builtinId="9" hidden="1"/>
    <cellStyle name="Followed Hyperlink" xfId="1249" builtinId="9" hidden="1"/>
    <cellStyle name="Followed Hyperlink" xfId="1251" builtinId="9" hidden="1"/>
    <cellStyle name="Followed Hyperlink" xfId="1253" builtinId="9" hidden="1"/>
    <cellStyle name="Followed Hyperlink" xfId="1255" builtinId="9" hidden="1"/>
    <cellStyle name="Followed Hyperlink" xfId="1257" builtinId="9" hidden="1"/>
    <cellStyle name="Followed Hyperlink" xfId="1259" builtinId="9" hidden="1"/>
    <cellStyle name="Followed Hyperlink" xfId="1261" builtinId="9" hidden="1"/>
    <cellStyle name="Followed Hyperlink" xfId="1263" builtinId="9" hidden="1"/>
    <cellStyle name="Followed Hyperlink" xfId="1265" builtinId="9" hidden="1"/>
    <cellStyle name="Followed Hyperlink" xfId="1267" builtinId="9" hidden="1"/>
    <cellStyle name="Followed Hyperlink" xfId="1269" builtinId="9" hidden="1"/>
    <cellStyle name="Followed Hyperlink" xfId="1271" builtinId="9" hidden="1"/>
    <cellStyle name="Followed Hyperlink" xfId="1273" builtinId="9" hidden="1"/>
    <cellStyle name="Followed Hyperlink" xfId="1275" builtinId="9" hidden="1"/>
    <cellStyle name="Followed Hyperlink" xfId="1277" builtinId="9" hidden="1"/>
    <cellStyle name="Followed Hyperlink" xfId="1279" builtinId="9" hidden="1"/>
    <cellStyle name="Followed Hyperlink" xfId="1281" builtinId="9" hidden="1"/>
    <cellStyle name="Followed Hyperlink" xfId="1283" builtinId="9" hidden="1"/>
    <cellStyle name="Followed Hyperlink" xfId="1285" builtinId="9" hidden="1"/>
    <cellStyle name="Followed Hyperlink" xfId="1287" builtinId="9" hidden="1"/>
    <cellStyle name="Followed Hyperlink" xfId="1289" builtinId="9" hidden="1"/>
    <cellStyle name="Followed Hyperlink" xfId="1291" builtinId="9" hidden="1"/>
    <cellStyle name="Followed Hyperlink" xfId="1293" builtinId="9" hidden="1"/>
    <cellStyle name="Followed Hyperlink" xfId="1295" builtinId="9" hidden="1"/>
    <cellStyle name="Followed Hyperlink" xfId="1297" builtinId="9" hidden="1"/>
    <cellStyle name="Followed Hyperlink" xfId="1299" builtinId="9" hidden="1"/>
    <cellStyle name="Followed Hyperlink" xfId="1301" builtinId="9" hidden="1"/>
    <cellStyle name="Followed Hyperlink" xfId="1303" builtinId="9" hidden="1"/>
    <cellStyle name="Followed Hyperlink" xfId="1305" builtinId="9" hidden="1"/>
    <cellStyle name="Followed Hyperlink" xfId="1307" builtinId="9" hidden="1"/>
    <cellStyle name="Followed Hyperlink" xfId="1309" builtinId="9" hidden="1"/>
    <cellStyle name="Followed Hyperlink" xfId="1311" builtinId="9" hidden="1"/>
    <cellStyle name="Followed Hyperlink" xfId="1313" builtinId="9" hidden="1"/>
    <cellStyle name="Followed Hyperlink" xfId="1315" builtinId="9" hidden="1"/>
    <cellStyle name="Followed Hyperlink" xfId="1317" builtinId="9" hidden="1"/>
    <cellStyle name="Followed Hyperlink" xfId="1319" builtinId="9" hidden="1"/>
    <cellStyle name="Followed Hyperlink" xfId="1321" builtinId="9" hidden="1"/>
    <cellStyle name="Followed Hyperlink" xfId="1323" builtinId="9" hidden="1"/>
    <cellStyle name="Followed Hyperlink" xfId="1325" builtinId="9" hidden="1"/>
    <cellStyle name="Followed Hyperlink" xfId="1327" builtinId="9" hidden="1"/>
    <cellStyle name="Followed Hyperlink" xfId="1329" builtinId="9" hidden="1"/>
    <cellStyle name="Followed Hyperlink" xfId="1331" builtinId="9" hidden="1"/>
    <cellStyle name="Followed Hyperlink" xfId="1333" builtinId="9" hidden="1"/>
    <cellStyle name="Followed Hyperlink" xfId="1335" builtinId="9" hidden="1"/>
    <cellStyle name="Followed Hyperlink" xfId="1337" builtinId="9" hidden="1"/>
    <cellStyle name="Followed Hyperlink" xfId="1339" builtinId="9" hidden="1"/>
    <cellStyle name="Followed Hyperlink" xfId="1341" builtinId="9" hidden="1"/>
    <cellStyle name="Followed Hyperlink" xfId="1343" builtinId="9" hidden="1"/>
    <cellStyle name="Followed Hyperlink" xfId="1345" builtinId="9" hidden="1"/>
    <cellStyle name="Followed Hyperlink" xfId="1347" builtinId="9" hidden="1"/>
    <cellStyle name="Followed Hyperlink" xfId="1349" builtinId="9" hidden="1"/>
    <cellStyle name="Followed Hyperlink" xfId="1351" builtinId="9" hidden="1"/>
    <cellStyle name="Followed Hyperlink" xfId="1353" builtinId="9" hidden="1"/>
    <cellStyle name="Followed Hyperlink" xfId="1355" builtinId="9" hidden="1"/>
    <cellStyle name="Followed Hyperlink" xfId="1357" builtinId="9" hidden="1"/>
    <cellStyle name="Followed Hyperlink" xfId="1359" builtinId="9" hidden="1"/>
    <cellStyle name="Followed Hyperlink" xfId="1361" builtinId="9" hidden="1"/>
    <cellStyle name="Followed Hyperlink" xfId="1363" builtinId="9" hidden="1"/>
    <cellStyle name="Followed Hyperlink" xfId="1365" builtinId="9" hidden="1"/>
    <cellStyle name="Followed Hyperlink" xfId="1367" builtinId="9" hidden="1"/>
    <cellStyle name="Followed Hyperlink" xfId="1369" builtinId="9" hidden="1"/>
    <cellStyle name="Followed Hyperlink" xfId="1371" builtinId="9" hidden="1"/>
    <cellStyle name="Followed Hyperlink" xfId="1373" builtinId="9" hidden="1"/>
    <cellStyle name="Followed Hyperlink" xfId="1375" builtinId="9" hidden="1"/>
    <cellStyle name="Followed Hyperlink" xfId="1377" builtinId="9" hidden="1"/>
    <cellStyle name="Followed Hyperlink" xfId="1379" builtinId="9" hidden="1"/>
    <cellStyle name="Followed Hyperlink" xfId="1381" builtinId="9" hidden="1"/>
    <cellStyle name="Followed Hyperlink" xfId="1383" builtinId="9" hidden="1"/>
    <cellStyle name="Followed Hyperlink" xfId="1385" builtinId="9" hidden="1"/>
    <cellStyle name="Followed Hyperlink" xfId="1387" builtinId="9" hidden="1"/>
    <cellStyle name="Followed Hyperlink" xfId="1389" builtinId="9" hidden="1"/>
    <cellStyle name="Followed Hyperlink" xfId="1391" builtinId="9" hidden="1"/>
    <cellStyle name="Followed Hyperlink" xfId="1393" builtinId="9" hidden="1"/>
    <cellStyle name="Followed Hyperlink" xfId="1395" builtinId="9" hidden="1"/>
    <cellStyle name="Followed Hyperlink" xfId="1397" builtinId="9" hidden="1"/>
    <cellStyle name="Followed Hyperlink" xfId="1399" builtinId="9" hidden="1"/>
    <cellStyle name="Followed Hyperlink" xfId="1401" builtinId="9" hidden="1"/>
    <cellStyle name="Followed Hyperlink" xfId="1403" builtinId="9" hidden="1"/>
    <cellStyle name="Followed Hyperlink" xfId="1405" builtinId="9" hidden="1"/>
    <cellStyle name="Followed Hyperlink" xfId="1407" builtinId="9" hidden="1"/>
    <cellStyle name="Followed Hyperlink" xfId="1409" builtinId="9" hidden="1"/>
    <cellStyle name="Followed Hyperlink" xfId="1411" builtinId="9" hidden="1"/>
    <cellStyle name="Followed Hyperlink" xfId="1413" builtinId="9" hidden="1"/>
    <cellStyle name="Followed Hyperlink" xfId="1415" builtinId="9" hidden="1"/>
    <cellStyle name="Followed Hyperlink" xfId="1417" builtinId="9" hidden="1"/>
    <cellStyle name="Followed Hyperlink" xfId="1419" builtinId="9" hidden="1"/>
    <cellStyle name="Followed Hyperlink" xfId="1421" builtinId="9" hidden="1"/>
    <cellStyle name="Followed Hyperlink" xfId="1423" builtinId="9" hidden="1"/>
    <cellStyle name="Followed Hyperlink" xfId="1425" builtinId="9" hidden="1"/>
    <cellStyle name="Followed Hyperlink" xfId="1427" builtinId="9" hidden="1"/>
    <cellStyle name="Followed Hyperlink" xfId="1429" builtinId="9" hidden="1"/>
    <cellStyle name="Followed Hyperlink" xfId="1431" builtinId="9" hidden="1"/>
    <cellStyle name="Followed Hyperlink" xfId="1433" builtinId="9" hidden="1"/>
    <cellStyle name="Followed Hyperlink" xfId="1435" builtinId="9" hidden="1"/>
    <cellStyle name="Followed Hyperlink" xfId="1437" builtinId="9" hidden="1"/>
    <cellStyle name="Followed Hyperlink" xfId="1439" builtinId="9" hidden="1"/>
    <cellStyle name="Followed Hyperlink" xfId="1441" builtinId="9" hidden="1"/>
    <cellStyle name="Followed Hyperlink" xfId="1443" builtinId="9" hidden="1"/>
    <cellStyle name="Followed Hyperlink" xfId="1445" builtinId="9" hidden="1"/>
    <cellStyle name="Followed Hyperlink" xfId="1447" builtinId="9" hidden="1"/>
    <cellStyle name="Followed Hyperlink" xfId="1449" builtinId="9" hidden="1"/>
    <cellStyle name="Followed Hyperlink" xfId="1451" builtinId="9" hidden="1"/>
    <cellStyle name="Followed Hyperlink" xfId="1453" builtinId="9" hidden="1"/>
    <cellStyle name="Followed Hyperlink" xfId="1455" builtinId="9" hidden="1"/>
    <cellStyle name="Followed Hyperlink" xfId="1457" builtinId="9" hidden="1"/>
    <cellStyle name="Followed Hyperlink" xfId="1459" builtinId="9" hidden="1"/>
    <cellStyle name="Followed Hyperlink" xfId="1461" builtinId="9" hidden="1"/>
    <cellStyle name="Followed Hyperlink" xfId="1463" builtinId="9" hidden="1"/>
    <cellStyle name="Followed Hyperlink" xfId="1465" builtinId="9" hidden="1"/>
    <cellStyle name="Followed Hyperlink" xfId="1467" builtinId="9" hidden="1"/>
    <cellStyle name="Followed Hyperlink" xfId="1469" builtinId="9" hidden="1"/>
    <cellStyle name="Followed Hyperlink" xfId="1471" builtinId="9" hidden="1"/>
    <cellStyle name="Followed Hyperlink" xfId="1473" builtinId="9" hidden="1"/>
    <cellStyle name="Followed Hyperlink" xfId="1475" builtinId="9" hidden="1"/>
    <cellStyle name="Followed Hyperlink" xfId="1477" builtinId="9" hidden="1"/>
    <cellStyle name="Followed Hyperlink" xfId="1479" builtinId="9" hidden="1"/>
    <cellStyle name="Followed Hyperlink" xfId="1481" builtinId="9" hidden="1"/>
    <cellStyle name="Followed Hyperlink" xfId="1483" builtinId="9" hidden="1"/>
    <cellStyle name="Followed Hyperlink" xfId="1485" builtinId="9" hidden="1"/>
    <cellStyle name="Followed Hyperlink" xfId="1487" builtinId="9" hidden="1"/>
    <cellStyle name="Followed Hyperlink" xfId="1489" builtinId="9" hidden="1"/>
    <cellStyle name="Followed Hyperlink" xfId="1491" builtinId="9" hidden="1"/>
    <cellStyle name="Followed Hyperlink" xfId="1493" builtinId="9" hidden="1"/>
    <cellStyle name="Followed Hyperlink" xfId="1495" builtinId="9" hidden="1"/>
    <cellStyle name="Followed Hyperlink" xfId="1497" builtinId="9" hidden="1"/>
    <cellStyle name="Followed Hyperlink" xfId="1499" builtinId="9" hidden="1"/>
    <cellStyle name="Followed Hyperlink" xfId="1501" builtinId="9" hidden="1"/>
    <cellStyle name="Followed Hyperlink" xfId="1503" builtinId="9" hidden="1"/>
    <cellStyle name="Followed Hyperlink" xfId="1505" builtinId="9" hidden="1"/>
    <cellStyle name="Followed Hyperlink" xfId="1507" builtinId="9" hidden="1"/>
    <cellStyle name="Followed Hyperlink" xfId="1509" builtinId="9" hidden="1"/>
    <cellStyle name="Followed Hyperlink" xfId="1511" builtinId="9" hidden="1"/>
    <cellStyle name="Followed Hyperlink" xfId="1513" builtinId="9" hidden="1"/>
    <cellStyle name="Followed Hyperlink" xfId="1515" builtinId="9" hidden="1"/>
    <cellStyle name="Followed Hyperlink" xfId="1517" builtinId="9" hidden="1"/>
    <cellStyle name="Followed Hyperlink" xfId="1519" builtinId="9" hidden="1"/>
    <cellStyle name="Followed Hyperlink" xfId="1521" builtinId="9" hidden="1"/>
    <cellStyle name="Followed Hyperlink" xfId="1523" builtinId="9" hidden="1"/>
    <cellStyle name="Followed Hyperlink" xfId="1525" builtinId="9" hidden="1"/>
    <cellStyle name="Followed Hyperlink" xfId="1527" builtinId="9" hidden="1"/>
    <cellStyle name="Followed Hyperlink" xfId="1529" builtinId="9" hidden="1"/>
    <cellStyle name="Followed Hyperlink" xfId="1531" builtinId="9" hidden="1"/>
    <cellStyle name="Followed Hyperlink" xfId="1533" builtinId="9" hidden="1"/>
    <cellStyle name="Followed Hyperlink" xfId="1535" builtinId="9" hidden="1"/>
    <cellStyle name="Followed Hyperlink" xfId="1537" builtinId="9" hidden="1"/>
    <cellStyle name="Followed Hyperlink" xfId="1539" builtinId="9" hidden="1"/>
    <cellStyle name="Followed Hyperlink" xfId="1541" builtinId="9" hidden="1"/>
    <cellStyle name="Followed Hyperlink" xfId="1543" builtinId="9" hidden="1"/>
    <cellStyle name="Followed Hyperlink" xfId="1545" builtinId="9" hidden="1"/>
    <cellStyle name="Followed Hyperlink" xfId="1547" builtinId="9" hidden="1"/>
    <cellStyle name="Followed Hyperlink" xfId="1549" builtinId="9" hidden="1"/>
    <cellStyle name="Followed Hyperlink" xfId="1551" builtinId="9" hidden="1"/>
    <cellStyle name="Followed Hyperlink" xfId="1553" builtinId="9" hidden="1"/>
    <cellStyle name="Followed Hyperlink" xfId="1555" builtinId="9" hidden="1"/>
    <cellStyle name="Followed Hyperlink" xfId="1557" builtinId="9" hidden="1"/>
    <cellStyle name="Followed Hyperlink" xfId="1559" builtinId="9" hidden="1"/>
    <cellStyle name="Followed Hyperlink" xfId="1561" builtinId="9" hidden="1"/>
    <cellStyle name="Followed Hyperlink" xfId="1563" builtinId="9" hidden="1"/>
    <cellStyle name="Followed Hyperlink" xfId="1565" builtinId="9" hidden="1"/>
    <cellStyle name="Followed Hyperlink" xfId="1567" builtinId="9" hidden="1"/>
    <cellStyle name="Followed Hyperlink" xfId="1569" builtinId="9" hidden="1"/>
    <cellStyle name="Followed Hyperlink" xfId="1571" builtinId="9" hidden="1"/>
    <cellStyle name="Followed Hyperlink" xfId="1573" builtinId="9" hidden="1"/>
    <cellStyle name="Followed Hyperlink" xfId="1575" builtinId="9" hidden="1"/>
    <cellStyle name="Followed Hyperlink" xfId="1577" builtinId="9" hidden="1"/>
    <cellStyle name="Followed Hyperlink" xfId="1579" builtinId="9" hidden="1"/>
    <cellStyle name="Followed Hyperlink" xfId="1581" builtinId="9" hidden="1"/>
    <cellStyle name="Followed Hyperlink" xfId="1583" builtinId="9" hidden="1"/>
    <cellStyle name="Followed Hyperlink" xfId="1585" builtinId="9" hidden="1"/>
    <cellStyle name="Followed Hyperlink" xfId="1587" builtinId="9" hidden="1"/>
    <cellStyle name="Followed Hyperlink" xfId="1589" builtinId="9" hidden="1"/>
    <cellStyle name="Followed Hyperlink" xfId="1591" builtinId="9" hidden="1"/>
    <cellStyle name="Followed Hyperlink" xfId="1593" builtinId="9" hidden="1"/>
    <cellStyle name="Followed Hyperlink" xfId="1595" builtinId="9" hidden="1"/>
    <cellStyle name="Followed Hyperlink" xfId="1597" builtinId="9" hidden="1"/>
    <cellStyle name="Followed Hyperlink" xfId="1599" builtinId="9" hidden="1"/>
    <cellStyle name="Followed Hyperlink" xfId="1601" builtinId="9" hidden="1"/>
    <cellStyle name="Followed Hyperlink" xfId="1603" builtinId="9" hidden="1"/>
    <cellStyle name="Followed Hyperlink" xfId="1605" builtinId="9" hidden="1"/>
    <cellStyle name="Followed Hyperlink" xfId="1607" builtinId="9" hidden="1"/>
    <cellStyle name="Followed Hyperlink" xfId="1609" builtinId="9" hidden="1"/>
    <cellStyle name="Followed Hyperlink" xfId="1611" builtinId="9" hidden="1"/>
    <cellStyle name="Followed Hyperlink" xfId="1613" builtinId="9" hidden="1"/>
    <cellStyle name="Followed Hyperlink" xfId="1615" builtinId="9" hidden="1"/>
    <cellStyle name="Followed Hyperlink" xfId="1617" builtinId="9" hidden="1"/>
    <cellStyle name="Followed Hyperlink" xfId="1619" builtinId="9" hidden="1"/>
    <cellStyle name="Followed Hyperlink" xfId="1621" builtinId="9" hidden="1"/>
    <cellStyle name="Followed Hyperlink" xfId="1623" builtinId="9" hidden="1"/>
    <cellStyle name="Followed Hyperlink" xfId="1625" builtinId="9" hidden="1"/>
    <cellStyle name="Followed Hyperlink" xfId="1627" builtinId="9" hidden="1"/>
    <cellStyle name="Followed Hyperlink" xfId="1629" builtinId="9" hidden="1"/>
    <cellStyle name="Followed Hyperlink" xfId="1631" builtinId="9" hidden="1"/>
    <cellStyle name="Followed Hyperlink" xfId="1633" builtinId="9" hidden="1"/>
    <cellStyle name="Followed Hyperlink" xfId="1635" builtinId="9" hidden="1"/>
    <cellStyle name="Followed Hyperlink" xfId="1637" builtinId="9" hidden="1"/>
    <cellStyle name="Followed Hyperlink" xfId="1639" builtinId="9" hidden="1"/>
    <cellStyle name="Followed Hyperlink" xfId="1641" builtinId="9" hidden="1"/>
    <cellStyle name="Followed Hyperlink" xfId="1643" builtinId="9" hidden="1"/>
    <cellStyle name="Followed Hyperlink" xfId="1645" builtinId="9" hidden="1"/>
    <cellStyle name="Followed Hyperlink" xfId="1647" builtinId="9" hidden="1"/>
    <cellStyle name="Followed Hyperlink" xfId="1649" builtinId="9" hidden="1"/>
    <cellStyle name="Followed Hyperlink" xfId="1651" builtinId="9" hidden="1"/>
    <cellStyle name="Followed Hyperlink" xfId="1653" builtinId="9" hidden="1"/>
    <cellStyle name="Followed Hyperlink" xfId="1655" builtinId="9" hidden="1"/>
    <cellStyle name="Followed Hyperlink" xfId="1657" builtinId="9" hidden="1"/>
    <cellStyle name="Followed Hyperlink" xfId="1659" builtinId="9" hidden="1"/>
    <cellStyle name="Followed Hyperlink" xfId="1661" builtinId="9" hidden="1"/>
    <cellStyle name="Followed Hyperlink" xfId="1663" builtinId="9" hidden="1"/>
    <cellStyle name="Followed Hyperlink" xfId="1665" builtinId="9" hidden="1"/>
    <cellStyle name="Followed Hyperlink" xfId="1667" builtinId="9" hidden="1"/>
    <cellStyle name="Followed Hyperlink" xfId="1669" builtinId="9" hidden="1"/>
    <cellStyle name="Followed Hyperlink" xfId="1671" builtinId="9" hidden="1"/>
    <cellStyle name="Followed Hyperlink" xfId="1673" builtinId="9" hidden="1"/>
    <cellStyle name="Followed Hyperlink" xfId="1675" builtinId="9" hidden="1"/>
    <cellStyle name="Followed Hyperlink" xfId="1677" builtinId="9" hidden="1"/>
    <cellStyle name="Followed Hyperlink" xfId="1679" builtinId="9" hidden="1"/>
    <cellStyle name="Followed Hyperlink" xfId="1681" builtinId="9" hidden="1"/>
    <cellStyle name="Followed Hyperlink" xfId="1683" builtinId="9" hidden="1"/>
    <cellStyle name="Followed Hyperlink" xfId="1685" builtinId="9" hidden="1"/>
    <cellStyle name="Followed Hyperlink" xfId="1687" builtinId="9" hidden="1"/>
    <cellStyle name="Followed Hyperlink" xfId="1689" builtinId="9" hidden="1"/>
    <cellStyle name="Followed Hyperlink" xfId="1691" builtinId="9" hidden="1"/>
    <cellStyle name="Followed Hyperlink" xfId="1693" builtinId="9" hidden="1"/>
    <cellStyle name="Followed Hyperlink" xfId="1695" builtinId="9" hidden="1"/>
    <cellStyle name="Followed Hyperlink" xfId="1697" builtinId="9" hidden="1"/>
    <cellStyle name="Followed Hyperlink" xfId="1699" builtinId="9" hidden="1"/>
    <cellStyle name="Followed Hyperlink" xfId="1701" builtinId="9" hidden="1"/>
    <cellStyle name="Followed Hyperlink" xfId="1703" builtinId="9" hidden="1"/>
    <cellStyle name="Followed Hyperlink" xfId="1705" builtinId="9" hidden="1"/>
    <cellStyle name="Followed Hyperlink" xfId="1707" builtinId="9" hidden="1"/>
    <cellStyle name="Followed Hyperlink" xfId="1709" builtinId="9" hidden="1"/>
    <cellStyle name="Followed Hyperlink" xfId="1711" builtinId="9" hidden="1"/>
    <cellStyle name="Followed Hyperlink" xfId="1713" builtinId="9" hidden="1"/>
    <cellStyle name="Followed Hyperlink" xfId="1715" builtinId="9" hidden="1"/>
    <cellStyle name="Followed Hyperlink" xfId="1717" builtinId="9" hidden="1"/>
    <cellStyle name="Followed Hyperlink" xfId="1719" builtinId="9" hidden="1"/>
    <cellStyle name="Followed Hyperlink" xfId="1721" builtinId="9" hidden="1"/>
    <cellStyle name="Followed Hyperlink" xfId="1723" builtinId="9" hidden="1"/>
    <cellStyle name="Followed Hyperlink" xfId="1725" builtinId="9" hidden="1"/>
    <cellStyle name="Followed Hyperlink" xfId="1727" builtinId="9" hidden="1"/>
    <cellStyle name="Followed Hyperlink" xfId="1729" builtinId="9" hidden="1"/>
    <cellStyle name="Followed Hyperlink" xfId="1731" builtinId="9" hidden="1"/>
    <cellStyle name="Followed Hyperlink" xfId="1733" builtinId="9" hidden="1"/>
    <cellStyle name="Followed Hyperlink" xfId="1735" builtinId="9" hidden="1"/>
    <cellStyle name="Followed Hyperlink" xfId="1737" builtinId="9" hidden="1"/>
    <cellStyle name="Followed Hyperlink" xfId="1739" builtinId="9" hidden="1"/>
    <cellStyle name="Followed Hyperlink" xfId="1741" builtinId="9" hidden="1"/>
    <cellStyle name="Followed Hyperlink" xfId="1743" builtinId="9" hidden="1"/>
    <cellStyle name="Followed Hyperlink" xfId="1745" builtinId="9" hidden="1"/>
    <cellStyle name="Followed Hyperlink" xfId="1747" builtinId="9" hidden="1"/>
    <cellStyle name="Followed Hyperlink" xfId="1749" builtinId="9" hidden="1"/>
    <cellStyle name="Followed Hyperlink" xfId="1751" builtinId="9" hidden="1"/>
    <cellStyle name="Followed Hyperlink" xfId="1753" builtinId="9" hidden="1"/>
    <cellStyle name="Followed Hyperlink" xfId="1755" builtinId="9" hidden="1"/>
    <cellStyle name="Followed Hyperlink" xfId="1757" builtinId="9" hidden="1"/>
    <cellStyle name="Followed Hyperlink" xfId="1759" builtinId="9" hidden="1"/>
    <cellStyle name="Followed Hyperlink" xfId="1761" builtinId="9" hidden="1"/>
    <cellStyle name="Followed Hyperlink" xfId="1763" builtinId="9" hidden="1"/>
    <cellStyle name="Followed Hyperlink" xfId="1765" builtinId="9" hidden="1"/>
    <cellStyle name="Followed Hyperlink" xfId="1767" builtinId="9" hidden="1"/>
    <cellStyle name="Followed Hyperlink" xfId="1769" builtinId="9" hidden="1"/>
    <cellStyle name="Followed Hyperlink" xfId="1771" builtinId="9" hidden="1"/>
    <cellStyle name="Followed Hyperlink" xfId="1773" builtinId="9" hidden="1"/>
    <cellStyle name="Followed Hyperlink" xfId="1775" builtinId="9" hidden="1"/>
    <cellStyle name="Followed Hyperlink" xfId="1777" builtinId="9" hidden="1"/>
    <cellStyle name="Followed Hyperlink" xfId="1779" builtinId="9" hidden="1"/>
    <cellStyle name="Followed Hyperlink" xfId="1781" builtinId="9" hidden="1"/>
    <cellStyle name="Followed Hyperlink" xfId="1783" builtinId="9" hidden="1"/>
    <cellStyle name="Followed Hyperlink" xfId="1785" builtinId="9" hidden="1"/>
    <cellStyle name="Followed Hyperlink" xfId="1787" builtinId="9" hidden="1"/>
    <cellStyle name="Followed Hyperlink" xfId="1789" builtinId="9" hidden="1"/>
    <cellStyle name="Followed Hyperlink" xfId="1791" builtinId="9" hidden="1"/>
    <cellStyle name="Followed Hyperlink" xfId="1793" builtinId="9" hidden="1"/>
    <cellStyle name="Followed Hyperlink" xfId="1795" builtinId="9" hidden="1"/>
    <cellStyle name="Followed Hyperlink" xfId="1797" builtinId="9" hidden="1"/>
    <cellStyle name="Followed Hyperlink" xfId="1799" builtinId="9" hidden="1"/>
    <cellStyle name="Followed Hyperlink" xfId="1801" builtinId="9" hidden="1"/>
    <cellStyle name="Followed Hyperlink" xfId="1803" builtinId="9" hidden="1"/>
    <cellStyle name="Followed Hyperlink" xfId="1805" builtinId="9" hidden="1"/>
    <cellStyle name="Followed Hyperlink" xfId="1807" builtinId="9" hidden="1"/>
    <cellStyle name="Followed Hyperlink" xfId="1809" builtinId="9" hidden="1"/>
    <cellStyle name="Followed Hyperlink" xfId="1811" builtinId="9" hidden="1"/>
    <cellStyle name="Followed Hyperlink" xfId="1813" builtinId="9" hidden="1"/>
    <cellStyle name="Followed Hyperlink" xfId="1815" builtinId="9" hidden="1"/>
    <cellStyle name="Followed Hyperlink" xfId="1817" builtinId="9" hidden="1"/>
    <cellStyle name="Followed Hyperlink" xfId="1819" builtinId="9" hidden="1"/>
    <cellStyle name="Followed Hyperlink" xfId="1821" builtinId="9" hidden="1"/>
    <cellStyle name="Followed Hyperlink" xfId="1823" builtinId="9" hidden="1"/>
    <cellStyle name="Followed Hyperlink" xfId="1825" builtinId="9" hidden="1"/>
    <cellStyle name="Followed Hyperlink" xfId="1827" builtinId="9" hidden="1"/>
    <cellStyle name="Followed Hyperlink" xfId="1829" builtinId="9" hidden="1"/>
    <cellStyle name="Followed Hyperlink" xfId="1831" builtinId="9" hidden="1"/>
    <cellStyle name="Followed Hyperlink" xfId="1833" builtinId="9" hidden="1"/>
    <cellStyle name="Followed Hyperlink" xfId="1835" builtinId="9" hidden="1"/>
    <cellStyle name="Followed Hyperlink" xfId="1837" builtinId="9" hidden="1"/>
    <cellStyle name="Followed Hyperlink" xfId="1839" builtinId="9" hidden="1"/>
    <cellStyle name="Followed Hyperlink" xfId="1841" builtinId="9" hidden="1"/>
    <cellStyle name="Followed Hyperlink" xfId="1843" builtinId="9" hidden="1"/>
    <cellStyle name="Followed Hyperlink" xfId="1845" builtinId="9" hidden="1"/>
    <cellStyle name="Followed Hyperlink" xfId="1847" builtinId="9" hidden="1"/>
    <cellStyle name="Followed Hyperlink" xfId="1849" builtinId="9" hidden="1"/>
    <cellStyle name="Followed Hyperlink" xfId="1851" builtinId="9" hidden="1"/>
    <cellStyle name="Followed Hyperlink" xfId="1853" builtinId="9" hidden="1"/>
    <cellStyle name="Followed Hyperlink" xfId="1855" builtinId="9" hidden="1"/>
    <cellStyle name="Followed Hyperlink" xfId="1857" builtinId="9" hidden="1"/>
    <cellStyle name="Followed Hyperlink" xfId="1859" builtinId="9" hidden="1"/>
    <cellStyle name="Followed Hyperlink" xfId="1861" builtinId="9" hidden="1"/>
    <cellStyle name="Followed Hyperlink" xfId="1863" builtinId="9" hidden="1"/>
    <cellStyle name="Followed Hyperlink" xfId="1865" builtinId="9" hidden="1"/>
    <cellStyle name="Followed Hyperlink" xfId="1867" builtinId="9" hidden="1"/>
    <cellStyle name="Followed Hyperlink" xfId="1869" builtinId="9" hidden="1"/>
    <cellStyle name="Followed Hyperlink" xfId="1871" builtinId="9" hidden="1"/>
    <cellStyle name="Followed Hyperlink" xfId="1873" builtinId="9" hidden="1"/>
    <cellStyle name="Followed Hyperlink" xfId="1875" builtinId="9" hidden="1"/>
    <cellStyle name="Followed Hyperlink" xfId="1877" builtinId="9" hidden="1"/>
    <cellStyle name="Followed Hyperlink" xfId="1879" builtinId="9" hidden="1"/>
    <cellStyle name="Followed Hyperlink" xfId="1881" builtinId="9" hidden="1"/>
    <cellStyle name="Followed Hyperlink" xfId="1883" builtinId="9" hidden="1"/>
    <cellStyle name="Followed Hyperlink" xfId="1885" builtinId="9" hidden="1"/>
    <cellStyle name="Followed Hyperlink" xfId="1887" builtinId="9" hidden="1"/>
    <cellStyle name="Followed Hyperlink" xfId="1889" builtinId="9" hidden="1"/>
    <cellStyle name="Followed Hyperlink" xfId="1891" builtinId="9" hidden="1"/>
    <cellStyle name="Followed Hyperlink" xfId="1893" builtinId="9" hidden="1"/>
    <cellStyle name="Followed Hyperlink" xfId="1895" builtinId="9" hidden="1"/>
    <cellStyle name="Followed Hyperlink" xfId="1897" builtinId="9" hidden="1"/>
    <cellStyle name="Followed Hyperlink" xfId="1899" builtinId="9" hidden="1"/>
    <cellStyle name="Followed Hyperlink" xfId="1901" builtinId="9" hidden="1"/>
    <cellStyle name="Followed Hyperlink" xfId="1903" builtinId="9" hidden="1"/>
    <cellStyle name="Followed Hyperlink" xfId="1905" builtinId="9" hidden="1"/>
    <cellStyle name="Followed Hyperlink" xfId="1907" builtinId="9" hidden="1"/>
    <cellStyle name="Followed Hyperlink" xfId="1909" builtinId="9" hidden="1"/>
    <cellStyle name="Followed Hyperlink" xfId="1911" builtinId="9" hidden="1"/>
    <cellStyle name="Followed Hyperlink" xfId="1913" builtinId="9" hidden="1"/>
    <cellStyle name="Followed Hyperlink" xfId="1915" builtinId="9" hidden="1"/>
    <cellStyle name="Followed Hyperlink" xfId="1917" builtinId="9" hidden="1"/>
    <cellStyle name="Followed Hyperlink" xfId="1919" builtinId="9" hidden="1"/>
    <cellStyle name="Followed Hyperlink" xfId="1921" builtinId="9" hidden="1"/>
    <cellStyle name="Followed Hyperlink" xfId="1923" builtinId="9" hidden="1"/>
    <cellStyle name="Followed Hyperlink" xfId="1925" builtinId="9" hidden="1"/>
    <cellStyle name="Followed Hyperlink" xfId="1927" builtinId="9" hidden="1"/>
    <cellStyle name="Followed Hyperlink" xfId="1929" builtinId="9" hidden="1"/>
    <cellStyle name="Followed Hyperlink" xfId="1931" builtinId="9" hidden="1"/>
    <cellStyle name="Followed Hyperlink" xfId="1933" builtinId="9" hidden="1"/>
    <cellStyle name="Followed Hyperlink" xfId="1935" builtinId="9" hidden="1"/>
    <cellStyle name="Followed Hyperlink" xfId="1937" builtinId="9" hidden="1"/>
    <cellStyle name="Followed Hyperlink" xfId="1939" builtinId="9" hidden="1"/>
    <cellStyle name="Followed Hyperlink" xfId="1941" builtinId="9" hidden="1"/>
    <cellStyle name="Followed Hyperlink" xfId="1943" builtinId="9" hidden="1"/>
    <cellStyle name="Followed Hyperlink" xfId="1945" builtinId="9" hidden="1"/>
    <cellStyle name="Followed Hyperlink" xfId="1947" builtinId="9" hidden="1"/>
    <cellStyle name="Followed Hyperlink" xfId="1949" builtinId="9" hidden="1"/>
    <cellStyle name="Followed Hyperlink" xfId="1951" builtinId="9" hidden="1"/>
    <cellStyle name="Followed Hyperlink" xfId="1953" builtinId="9" hidden="1"/>
    <cellStyle name="Followed Hyperlink" xfId="1955" builtinId="9" hidden="1"/>
    <cellStyle name="Followed Hyperlink" xfId="1957" builtinId="9" hidden="1"/>
    <cellStyle name="Followed Hyperlink" xfId="1959" builtinId="9" hidden="1"/>
    <cellStyle name="Followed Hyperlink" xfId="1961" builtinId="9" hidden="1"/>
    <cellStyle name="Followed Hyperlink" xfId="1963" builtinId="9" hidden="1"/>
    <cellStyle name="Followed Hyperlink" xfId="1965" builtinId="9" hidden="1"/>
    <cellStyle name="Followed Hyperlink" xfId="1967" builtinId="9" hidden="1"/>
    <cellStyle name="Followed Hyperlink" xfId="1969" builtinId="9" hidden="1"/>
    <cellStyle name="Followed Hyperlink" xfId="1971" builtinId="9" hidden="1"/>
    <cellStyle name="Followed Hyperlink" xfId="1973" builtinId="9" hidden="1"/>
    <cellStyle name="Followed Hyperlink" xfId="1975" builtinId="9" hidden="1"/>
    <cellStyle name="Followed Hyperlink" xfId="1977" builtinId="9" hidden="1"/>
    <cellStyle name="Followed Hyperlink" xfId="1979" builtinId="9" hidden="1"/>
    <cellStyle name="Followed Hyperlink" xfId="1981" builtinId="9" hidden="1"/>
    <cellStyle name="Followed Hyperlink" xfId="1983" builtinId="9" hidden="1"/>
    <cellStyle name="Followed Hyperlink" xfId="1985" builtinId="9" hidden="1"/>
    <cellStyle name="Followed Hyperlink" xfId="1987" builtinId="9" hidden="1"/>
    <cellStyle name="Followed Hyperlink" xfId="1989" builtinId="9" hidden="1"/>
    <cellStyle name="Followed Hyperlink" xfId="1991" builtinId="9" hidden="1"/>
    <cellStyle name="Followed Hyperlink" xfId="1993" builtinId="9" hidden="1"/>
    <cellStyle name="Followed Hyperlink" xfId="1995" builtinId="9" hidden="1"/>
    <cellStyle name="Followed Hyperlink" xfId="1997" builtinId="9" hidden="1"/>
    <cellStyle name="Followed Hyperlink" xfId="1999" builtinId="9" hidden="1"/>
    <cellStyle name="Followed Hyperlink" xfId="2001" builtinId="9" hidden="1"/>
    <cellStyle name="Followed Hyperlink" xfId="2003" builtinId="9" hidden="1"/>
    <cellStyle name="Followed Hyperlink" xfId="2005" builtinId="9" hidden="1"/>
    <cellStyle name="Followed Hyperlink" xfId="2007" builtinId="9" hidden="1"/>
    <cellStyle name="Followed Hyperlink" xfId="2009" builtinId="9" hidden="1"/>
    <cellStyle name="Followed Hyperlink" xfId="2011" builtinId="9" hidden="1"/>
    <cellStyle name="Followed Hyperlink" xfId="2013" builtinId="9" hidden="1"/>
    <cellStyle name="Followed Hyperlink" xfId="2015" builtinId="9" hidden="1"/>
    <cellStyle name="Followed Hyperlink" xfId="2017" builtinId="9" hidden="1"/>
    <cellStyle name="Followed Hyperlink" xfId="2019" builtinId="9" hidden="1"/>
    <cellStyle name="Followed Hyperlink" xfId="2021" builtinId="9" hidden="1"/>
    <cellStyle name="Followed Hyperlink" xfId="2023" builtinId="9" hidden="1"/>
    <cellStyle name="Followed Hyperlink" xfId="2025" builtinId="9" hidden="1"/>
    <cellStyle name="Followed Hyperlink" xfId="2027" builtinId="9" hidden="1"/>
    <cellStyle name="Followed Hyperlink" xfId="2029" builtinId="9" hidden="1"/>
    <cellStyle name="Followed Hyperlink" xfId="2031" builtinId="9" hidden="1"/>
    <cellStyle name="Followed Hyperlink" xfId="2033" builtinId="9" hidden="1"/>
    <cellStyle name="Followed Hyperlink" xfId="2035" builtinId="9" hidden="1"/>
    <cellStyle name="Followed Hyperlink" xfId="2037" builtinId="9" hidden="1"/>
    <cellStyle name="Followed Hyperlink" xfId="2039" builtinId="9" hidden="1"/>
    <cellStyle name="Followed Hyperlink" xfId="2041" builtinId="9" hidden="1"/>
    <cellStyle name="Followed Hyperlink" xfId="2043" builtinId="9" hidden="1"/>
    <cellStyle name="Followed Hyperlink" xfId="2045" builtinId="9" hidden="1"/>
    <cellStyle name="Followed Hyperlink" xfId="2047" builtinId="9" hidden="1"/>
    <cellStyle name="Followed Hyperlink" xfId="2049" builtinId="9" hidden="1"/>
    <cellStyle name="Followed Hyperlink" xfId="2051" builtinId="9" hidden="1"/>
    <cellStyle name="Followed Hyperlink" xfId="2053" builtinId="9" hidden="1"/>
    <cellStyle name="Followed Hyperlink" xfId="2055" builtinId="9" hidden="1"/>
    <cellStyle name="Followed Hyperlink" xfId="2057" builtinId="9" hidden="1"/>
    <cellStyle name="Followed Hyperlink" xfId="2059" builtinId="9" hidden="1"/>
    <cellStyle name="Followed Hyperlink" xfId="2061" builtinId="9" hidden="1"/>
    <cellStyle name="Followed Hyperlink" xfId="2063" builtinId="9" hidden="1"/>
    <cellStyle name="Followed Hyperlink" xfId="2065" builtinId="9" hidden="1"/>
    <cellStyle name="Followed Hyperlink" xfId="2067" builtinId="9" hidden="1"/>
    <cellStyle name="Followed Hyperlink" xfId="2069" builtinId="9" hidden="1"/>
    <cellStyle name="Followed Hyperlink" xfId="2071" builtinId="9" hidden="1"/>
    <cellStyle name="Followed Hyperlink" xfId="2073" builtinId="9" hidden="1"/>
    <cellStyle name="Followed Hyperlink" xfId="2075" builtinId="9" hidden="1"/>
    <cellStyle name="Followed Hyperlink" xfId="2077" builtinId="9" hidden="1"/>
    <cellStyle name="Followed Hyperlink" xfId="2079" builtinId="9" hidden="1"/>
    <cellStyle name="Followed Hyperlink" xfId="2081" builtinId="9" hidden="1"/>
    <cellStyle name="Followed Hyperlink" xfId="2083" builtinId="9" hidden="1"/>
    <cellStyle name="Followed Hyperlink" xfId="2085" builtinId="9" hidden="1"/>
    <cellStyle name="Followed Hyperlink" xfId="2087" builtinId="9" hidden="1"/>
    <cellStyle name="Followed Hyperlink" xfId="2089" builtinId="9" hidden="1"/>
    <cellStyle name="Followed Hyperlink" xfId="2091" builtinId="9" hidden="1"/>
    <cellStyle name="Followed Hyperlink" xfId="2093" builtinId="9" hidden="1"/>
    <cellStyle name="Followed Hyperlink" xfId="2095" builtinId="9" hidden="1"/>
    <cellStyle name="Followed Hyperlink" xfId="2097" builtinId="9" hidden="1"/>
    <cellStyle name="Followed Hyperlink" xfId="2099" builtinId="9" hidden="1"/>
    <cellStyle name="Followed Hyperlink" xfId="2101" builtinId="9" hidden="1"/>
    <cellStyle name="Followed Hyperlink" xfId="2103" builtinId="9" hidden="1"/>
    <cellStyle name="Followed Hyperlink" xfId="2105" builtinId="9" hidden="1"/>
    <cellStyle name="Followed Hyperlink" xfId="2107" builtinId="9" hidden="1"/>
    <cellStyle name="Followed Hyperlink" xfId="2109" builtinId="9" hidden="1"/>
    <cellStyle name="Followed Hyperlink" xfId="2111" builtinId="9" hidden="1"/>
    <cellStyle name="Followed Hyperlink" xfId="2113" builtinId="9" hidden="1"/>
    <cellStyle name="Followed Hyperlink" xfId="2115" builtinId="9" hidden="1"/>
    <cellStyle name="Followed Hyperlink" xfId="2117" builtinId="9" hidden="1"/>
    <cellStyle name="Followed Hyperlink" xfId="2119" builtinId="9" hidden="1"/>
    <cellStyle name="Followed Hyperlink" xfId="2121" builtinId="9" hidden="1"/>
    <cellStyle name="Followed Hyperlink" xfId="2123" builtinId="9" hidden="1"/>
    <cellStyle name="Followed Hyperlink" xfId="2125" builtinId="9" hidden="1"/>
    <cellStyle name="Followed Hyperlink" xfId="2127" builtinId="9" hidden="1"/>
    <cellStyle name="Followed Hyperlink" xfId="2129" builtinId="9" hidden="1"/>
    <cellStyle name="Followed Hyperlink" xfId="2131" builtinId="9" hidden="1"/>
    <cellStyle name="Followed Hyperlink" xfId="2133" builtinId="9" hidden="1"/>
    <cellStyle name="Followed Hyperlink" xfId="2135" builtinId="9" hidden="1"/>
    <cellStyle name="Followed Hyperlink" xfId="2137" builtinId="9" hidden="1"/>
    <cellStyle name="Followed Hyperlink" xfId="2139" builtinId="9" hidden="1"/>
    <cellStyle name="Followed Hyperlink" xfId="2141" builtinId="9" hidden="1"/>
    <cellStyle name="Followed Hyperlink" xfId="2143" builtinId="9" hidden="1"/>
    <cellStyle name="Followed Hyperlink" xfId="2145" builtinId="9" hidden="1"/>
    <cellStyle name="Followed Hyperlink" xfId="2147" builtinId="9" hidden="1"/>
    <cellStyle name="Followed Hyperlink" xfId="2149" builtinId="9" hidden="1"/>
    <cellStyle name="Followed Hyperlink" xfId="2151" builtinId="9" hidden="1"/>
    <cellStyle name="Followed Hyperlink" xfId="2153" builtinId="9" hidden="1"/>
    <cellStyle name="Followed Hyperlink" xfId="2155" builtinId="9" hidden="1"/>
    <cellStyle name="Followed Hyperlink" xfId="2157" builtinId="9" hidden="1"/>
    <cellStyle name="Followed Hyperlink" xfId="2159" builtinId="9" hidden="1"/>
    <cellStyle name="Followed Hyperlink" xfId="2161" builtinId="9" hidden="1"/>
    <cellStyle name="Followed Hyperlink" xfId="2163" builtinId="9" hidden="1"/>
    <cellStyle name="Followed Hyperlink" xfId="2165" builtinId="9" hidden="1"/>
    <cellStyle name="Followed Hyperlink" xfId="2167" builtinId="9" hidden="1"/>
    <cellStyle name="Followed Hyperlink" xfId="2169" builtinId="9" hidden="1"/>
    <cellStyle name="Followed Hyperlink" xfId="2171" builtinId="9" hidden="1"/>
    <cellStyle name="Followed Hyperlink" xfId="2173" builtinId="9" hidden="1"/>
    <cellStyle name="Followed Hyperlink" xfId="2175" builtinId="9" hidden="1"/>
    <cellStyle name="Followed Hyperlink" xfId="2177" builtinId="9" hidden="1"/>
    <cellStyle name="Followed Hyperlink" xfId="2179" builtinId="9" hidden="1"/>
    <cellStyle name="Followed Hyperlink" xfId="2181" builtinId="9" hidden="1"/>
    <cellStyle name="Followed Hyperlink" xfId="2183" builtinId="9" hidden="1"/>
    <cellStyle name="Followed Hyperlink" xfId="2185" builtinId="9" hidden="1"/>
    <cellStyle name="Followed Hyperlink" xfId="2187" builtinId="9" hidden="1"/>
    <cellStyle name="Followed Hyperlink" xfId="2189" builtinId="9" hidden="1"/>
    <cellStyle name="Followed Hyperlink" xfId="2191" builtinId="9" hidden="1"/>
    <cellStyle name="Followed Hyperlink" xfId="2193" builtinId="9" hidden="1"/>
    <cellStyle name="Followed Hyperlink" xfId="2195" builtinId="9" hidden="1"/>
    <cellStyle name="Followed Hyperlink" xfId="2197" builtinId="9" hidden="1"/>
    <cellStyle name="Followed Hyperlink" xfId="2199" builtinId="9" hidden="1"/>
    <cellStyle name="Followed Hyperlink" xfId="2201" builtinId="9" hidden="1"/>
    <cellStyle name="Followed Hyperlink" xfId="2203" builtinId="9" hidden="1"/>
    <cellStyle name="Followed Hyperlink" xfId="2205" builtinId="9" hidden="1"/>
    <cellStyle name="Followed Hyperlink" xfId="2207" builtinId="9" hidden="1"/>
    <cellStyle name="Followed Hyperlink" xfId="2209" builtinId="9" hidden="1"/>
    <cellStyle name="Followed Hyperlink" xfId="2211" builtinId="9" hidden="1"/>
    <cellStyle name="Followed Hyperlink" xfId="2213" builtinId="9" hidden="1"/>
    <cellStyle name="Followed Hyperlink" xfId="2215" builtinId="9" hidden="1"/>
    <cellStyle name="Followed Hyperlink" xfId="2217" builtinId="9" hidden="1"/>
    <cellStyle name="Followed Hyperlink" xfId="2219" builtinId="9" hidden="1"/>
    <cellStyle name="Followed Hyperlink" xfId="2221" builtinId="9" hidden="1"/>
    <cellStyle name="Followed Hyperlink" xfId="2223" builtinId="9" hidden="1"/>
    <cellStyle name="Followed Hyperlink" xfId="2225" builtinId="9" hidden="1"/>
    <cellStyle name="Followed Hyperlink" xfId="2227" builtinId="9" hidden="1"/>
    <cellStyle name="Followed Hyperlink" xfId="2229" builtinId="9" hidden="1"/>
    <cellStyle name="Followed Hyperlink" xfId="2231" builtinId="9" hidden="1"/>
    <cellStyle name="Followed Hyperlink" xfId="2233" builtinId="9" hidden="1"/>
    <cellStyle name="Followed Hyperlink" xfId="2235" builtinId="9" hidden="1"/>
    <cellStyle name="Followed Hyperlink" xfId="2237" builtinId="9" hidden="1"/>
    <cellStyle name="Followed Hyperlink" xfId="2239" builtinId="9" hidden="1"/>
    <cellStyle name="Followed Hyperlink" xfId="2241" builtinId="9" hidden="1"/>
    <cellStyle name="Followed Hyperlink" xfId="2243" builtinId="9" hidden="1"/>
    <cellStyle name="Followed Hyperlink" xfId="2245" builtinId="9" hidden="1"/>
    <cellStyle name="Followed Hyperlink" xfId="2247" builtinId="9" hidden="1"/>
    <cellStyle name="Followed Hyperlink" xfId="2249" builtinId="9" hidden="1"/>
    <cellStyle name="Followed Hyperlink" xfId="2251" builtinId="9" hidden="1"/>
    <cellStyle name="Followed Hyperlink" xfId="2253" builtinId="9" hidden="1"/>
    <cellStyle name="Followed Hyperlink" xfId="2255" builtinId="9" hidden="1"/>
    <cellStyle name="Followed Hyperlink" xfId="2257" builtinId="9" hidden="1"/>
    <cellStyle name="Followed Hyperlink" xfId="2259" builtinId="9" hidden="1"/>
    <cellStyle name="Followed Hyperlink" xfId="2261" builtinId="9" hidden="1"/>
    <cellStyle name="Followed Hyperlink" xfId="2263" builtinId="9" hidden="1"/>
    <cellStyle name="Followed Hyperlink" xfId="2265" builtinId="9" hidden="1"/>
    <cellStyle name="Followed Hyperlink" xfId="2267" builtinId="9" hidden="1"/>
    <cellStyle name="Followed Hyperlink" xfId="2269" builtinId="9" hidden="1"/>
    <cellStyle name="Followed Hyperlink" xfId="2271" builtinId="9" hidden="1"/>
    <cellStyle name="Followed Hyperlink" xfId="2273" builtinId="9" hidden="1"/>
    <cellStyle name="Followed Hyperlink" xfId="2275" builtinId="9" hidden="1"/>
    <cellStyle name="Followed Hyperlink" xfId="2277" builtinId="9" hidden="1"/>
    <cellStyle name="Followed Hyperlink" xfId="2279" builtinId="9" hidden="1"/>
    <cellStyle name="Followed Hyperlink" xfId="2281" builtinId="9" hidden="1"/>
    <cellStyle name="Followed Hyperlink" xfId="2283" builtinId="9" hidden="1"/>
    <cellStyle name="Followed Hyperlink" xfId="2285" builtinId="9" hidden="1"/>
    <cellStyle name="Followed Hyperlink" xfId="2287" builtinId="9" hidden="1"/>
    <cellStyle name="Followed Hyperlink" xfId="2289" builtinId="9" hidden="1"/>
    <cellStyle name="Followed Hyperlink" xfId="2291" builtinId="9" hidden="1"/>
    <cellStyle name="Followed Hyperlink" xfId="2293" builtinId="9" hidden="1"/>
    <cellStyle name="Followed Hyperlink" xfId="2295" builtinId="9" hidden="1"/>
    <cellStyle name="Followed Hyperlink" xfId="2297" builtinId="9" hidden="1"/>
    <cellStyle name="Followed Hyperlink" xfId="2299" builtinId="9" hidden="1"/>
    <cellStyle name="Followed Hyperlink" xfId="2301" builtinId="9" hidden="1"/>
    <cellStyle name="Followed Hyperlink" xfId="2303" builtinId="9" hidden="1"/>
    <cellStyle name="Followed Hyperlink" xfId="2305" builtinId="9" hidden="1"/>
    <cellStyle name="Followed Hyperlink" xfId="2307" builtinId="9" hidden="1"/>
    <cellStyle name="Followed Hyperlink" xfId="2309" builtinId="9" hidden="1"/>
    <cellStyle name="Followed Hyperlink" xfId="2311" builtinId="9" hidden="1"/>
    <cellStyle name="Followed Hyperlink" xfId="2313" builtinId="9" hidden="1"/>
    <cellStyle name="Followed Hyperlink" xfId="2315" builtinId="9" hidden="1"/>
    <cellStyle name="Followed Hyperlink" xfId="2317" builtinId="9" hidden="1"/>
    <cellStyle name="Followed Hyperlink" xfId="2319" builtinId="9" hidden="1"/>
    <cellStyle name="Followed Hyperlink" xfId="2321" builtinId="9" hidden="1"/>
    <cellStyle name="Followed Hyperlink" xfId="2323" builtinId="9" hidden="1"/>
    <cellStyle name="Followed Hyperlink" xfId="2325" builtinId="9" hidden="1"/>
    <cellStyle name="Followed Hyperlink" xfId="2327" builtinId="9" hidden="1"/>
    <cellStyle name="Followed Hyperlink" xfId="2329" builtinId="9" hidden="1"/>
    <cellStyle name="Followed Hyperlink" xfId="2331" builtinId="9" hidden="1"/>
    <cellStyle name="Followed Hyperlink" xfId="2333" builtinId="9" hidden="1"/>
    <cellStyle name="Followed Hyperlink" xfId="2335" builtinId="9" hidden="1"/>
    <cellStyle name="Followed Hyperlink" xfId="2337" builtinId="9" hidden="1"/>
    <cellStyle name="Followed Hyperlink" xfId="2339" builtinId="9" hidden="1"/>
    <cellStyle name="Followed Hyperlink" xfId="2341" builtinId="9" hidden="1"/>
    <cellStyle name="Followed Hyperlink" xfId="2343" builtinId="9" hidden="1"/>
    <cellStyle name="Followed Hyperlink" xfId="2345" builtinId="9" hidden="1"/>
    <cellStyle name="Followed Hyperlink" xfId="2347" builtinId="9" hidden="1"/>
    <cellStyle name="Followed Hyperlink" xfId="2349" builtinId="9" hidden="1"/>
    <cellStyle name="Followed Hyperlink" xfId="2351" builtinId="9" hidden="1"/>
    <cellStyle name="Followed Hyperlink" xfId="2353" builtinId="9" hidden="1"/>
    <cellStyle name="Followed Hyperlink" xfId="2355" builtinId="9" hidden="1"/>
    <cellStyle name="Followed Hyperlink" xfId="2357" builtinId="9" hidden="1"/>
    <cellStyle name="Followed Hyperlink" xfId="2359" builtinId="9" hidden="1"/>
    <cellStyle name="Followed Hyperlink" xfId="2361" builtinId="9" hidden="1"/>
    <cellStyle name="Followed Hyperlink" xfId="2363" builtinId="9" hidden="1"/>
    <cellStyle name="Followed Hyperlink" xfId="2365" builtinId="9" hidden="1"/>
    <cellStyle name="Followed Hyperlink" xfId="2367" builtinId="9" hidden="1"/>
    <cellStyle name="Followed Hyperlink" xfId="2369" builtinId="9" hidden="1"/>
    <cellStyle name="Followed Hyperlink" xfId="2371" builtinId="9" hidden="1"/>
    <cellStyle name="Followed Hyperlink" xfId="2373" builtinId="9" hidden="1"/>
    <cellStyle name="Followed Hyperlink" xfId="2375" builtinId="9" hidden="1"/>
    <cellStyle name="Followed Hyperlink" xfId="2377" builtinId="9" hidden="1"/>
    <cellStyle name="Followed Hyperlink" xfId="2379" builtinId="9" hidden="1"/>
    <cellStyle name="Followed Hyperlink" xfId="2381" builtinId="9" hidden="1"/>
    <cellStyle name="Followed Hyperlink" xfId="2383" builtinId="9" hidden="1"/>
    <cellStyle name="Followed Hyperlink" xfId="2385" builtinId="9" hidden="1"/>
    <cellStyle name="Followed Hyperlink" xfId="2387" builtinId="9" hidden="1"/>
    <cellStyle name="Followed Hyperlink" xfId="2389" builtinId="9" hidden="1"/>
    <cellStyle name="Followed Hyperlink" xfId="2391" builtinId="9" hidden="1"/>
    <cellStyle name="Followed Hyperlink" xfId="2393" builtinId="9" hidden="1"/>
    <cellStyle name="Followed Hyperlink" xfId="2395" builtinId="9" hidden="1"/>
    <cellStyle name="Followed Hyperlink" xfId="2397" builtinId="9" hidden="1"/>
    <cellStyle name="Followed Hyperlink" xfId="2399" builtinId="9" hidden="1"/>
    <cellStyle name="Followed Hyperlink" xfId="2401" builtinId="9" hidden="1"/>
    <cellStyle name="Followed Hyperlink" xfId="2403" builtinId="9" hidden="1"/>
    <cellStyle name="Followed Hyperlink" xfId="2405" builtinId="9" hidden="1"/>
    <cellStyle name="Followed Hyperlink" xfId="2407" builtinId="9" hidden="1"/>
    <cellStyle name="Followed Hyperlink" xfId="2409" builtinId="9" hidden="1"/>
    <cellStyle name="Followed Hyperlink" xfId="2411" builtinId="9" hidden="1"/>
    <cellStyle name="Followed Hyperlink" xfId="2413" builtinId="9" hidden="1"/>
    <cellStyle name="Followed Hyperlink" xfId="2415" builtinId="9" hidden="1"/>
    <cellStyle name="Followed Hyperlink" xfId="2417" builtinId="9" hidden="1"/>
    <cellStyle name="Followed Hyperlink" xfId="2419" builtinId="9" hidden="1"/>
    <cellStyle name="Followed Hyperlink" xfId="2421" builtinId="9" hidden="1"/>
    <cellStyle name="Followed Hyperlink" xfId="2423" builtinId="9" hidden="1"/>
    <cellStyle name="Followed Hyperlink" xfId="2425" builtinId="9" hidden="1"/>
    <cellStyle name="Followed Hyperlink" xfId="2427" builtinId="9" hidden="1"/>
    <cellStyle name="Followed Hyperlink" xfId="2429" builtinId="9" hidden="1"/>
    <cellStyle name="Followed Hyperlink" xfId="2431" builtinId="9" hidden="1"/>
    <cellStyle name="Followed Hyperlink" xfId="2433" builtinId="9" hidden="1"/>
    <cellStyle name="Followed Hyperlink" xfId="2435" builtinId="9" hidden="1"/>
    <cellStyle name="Followed Hyperlink" xfId="2437" builtinId="9" hidden="1"/>
    <cellStyle name="Followed Hyperlink" xfId="2439" builtinId="9" hidden="1"/>
    <cellStyle name="Followed Hyperlink" xfId="2441" builtinId="9" hidden="1"/>
    <cellStyle name="Followed Hyperlink" xfId="2443" builtinId="9" hidden="1"/>
    <cellStyle name="Followed Hyperlink" xfId="2445" builtinId="9" hidden="1"/>
    <cellStyle name="Followed Hyperlink" xfId="2447" builtinId="9" hidden="1"/>
    <cellStyle name="Followed Hyperlink" xfId="2449" builtinId="9" hidden="1"/>
    <cellStyle name="Followed Hyperlink" xfId="2451" builtinId="9" hidden="1"/>
    <cellStyle name="Followed Hyperlink" xfId="2453" builtinId="9" hidden="1"/>
    <cellStyle name="Followed Hyperlink" xfId="2455" builtinId="9" hidden="1"/>
    <cellStyle name="Followed Hyperlink" xfId="2457" builtinId="9" hidden="1"/>
    <cellStyle name="Followed Hyperlink" xfId="2459" builtinId="9" hidden="1"/>
    <cellStyle name="Followed Hyperlink" xfId="2461" builtinId="9" hidden="1"/>
    <cellStyle name="Followed Hyperlink" xfId="2463" builtinId="9" hidden="1"/>
    <cellStyle name="Followed Hyperlink" xfId="2465" builtinId="9" hidden="1"/>
    <cellStyle name="Followed Hyperlink" xfId="2467" builtinId="9" hidden="1"/>
    <cellStyle name="Followed Hyperlink" xfId="2469" builtinId="9" hidden="1"/>
    <cellStyle name="Followed Hyperlink" xfId="2471" builtinId="9" hidden="1"/>
    <cellStyle name="Followed Hyperlink" xfId="2473" builtinId="9" hidden="1"/>
    <cellStyle name="Followed Hyperlink" xfId="2475" builtinId="9" hidden="1"/>
    <cellStyle name="Followed Hyperlink" xfId="2477" builtinId="9" hidden="1"/>
    <cellStyle name="Followed Hyperlink" xfId="2479" builtinId="9" hidden="1"/>
    <cellStyle name="Followed Hyperlink" xfId="2481" builtinId="9" hidden="1"/>
    <cellStyle name="Followed Hyperlink" xfId="2483" builtinId="9" hidden="1"/>
    <cellStyle name="Followed Hyperlink" xfId="2485" builtinId="9" hidden="1"/>
    <cellStyle name="Followed Hyperlink" xfId="2487" builtinId="9" hidden="1"/>
    <cellStyle name="Followed Hyperlink" xfId="2489" builtinId="9" hidden="1"/>
    <cellStyle name="Followed Hyperlink" xfId="2491" builtinId="9" hidden="1"/>
    <cellStyle name="Followed Hyperlink" xfId="2493" builtinId="9" hidden="1"/>
    <cellStyle name="Followed Hyperlink" xfId="2495" builtinId="9" hidden="1"/>
    <cellStyle name="Followed Hyperlink" xfId="2497" builtinId="9" hidden="1"/>
    <cellStyle name="Followed Hyperlink" xfId="2499" builtinId="9" hidden="1"/>
    <cellStyle name="Followed Hyperlink" xfId="2501" builtinId="9" hidden="1"/>
    <cellStyle name="Followed Hyperlink" xfId="2503" builtinId="9" hidden="1"/>
    <cellStyle name="Followed Hyperlink" xfId="2505" builtinId="9" hidden="1"/>
    <cellStyle name="Followed Hyperlink" xfId="2507" builtinId="9" hidden="1"/>
    <cellStyle name="Followed Hyperlink" xfId="2509" builtinId="9" hidden="1"/>
    <cellStyle name="Followed Hyperlink" xfId="2511" builtinId="9" hidden="1"/>
    <cellStyle name="Followed Hyperlink" xfId="2513" builtinId="9" hidden="1"/>
    <cellStyle name="Followed Hyperlink" xfId="2515" builtinId="9" hidden="1"/>
    <cellStyle name="Followed Hyperlink" xfId="2517" builtinId="9" hidden="1"/>
    <cellStyle name="Followed Hyperlink" xfId="2519" builtinId="9" hidden="1"/>
    <cellStyle name="Followed Hyperlink" xfId="2521" builtinId="9" hidden="1"/>
    <cellStyle name="Followed Hyperlink" xfId="2523" builtinId="9" hidden="1"/>
    <cellStyle name="Followed Hyperlink" xfId="2525" builtinId="9" hidden="1"/>
    <cellStyle name="Followed Hyperlink" xfId="2527" builtinId="9" hidden="1"/>
    <cellStyle name="Followed Hyperlink" xfId="2529" builtinId="9" hidden="1"/>
    <cellStyle name="Followed Hyperlink" xfId="2531" builtinId="9" hidden="1"/>
    <cellStyle name="Followed Hyperlink" xfId="2533" builtinId="9" hidden="1"/>
    <cellStyle name="Followed Hyperlink" xfId="2535" builtinId="9" hidden="1"/>
    <cellStyle name="Followed Hyperlink" xfId="2537" builtinId="9" hidden="1"/>
    <cellStyle name="Followed Hyperlink" xfId="2539" builtinId="9" hidden="1"/>
    <cellStyle name="Followed Hyperlink" xfId="2541" builtinId="9" hidden="1"/>
    <cellStyle name="Followed Hyperlink" xfId="2543" builtinId="9" hidden="1"/>
    <cellStyle name="Followed Hyperlink" xfId="2545" builtinId="9" hidden="1"/>
    <cellStyle name="Followed Hyperlink" xfId="2547" builtinId="9" hidden="1"/>
    <cellStyle name="Followed Hyperlink" xfId="2549" builtinId="9" hidden="1"/>
    <cellStyle name="Followed Hyperlink" xfId="2551" builtinId="9" hidden="1"/>
    <cellStyle name="Followed Hyperlink" xfId="2553" builtinId="9" hidden="1"/>
    <cellStyle name="Followed Hyperlink" xfId="2555" builtinId="9" hidden="1"/>
    <cellStyle name="Followed Hyperlink" xfId="2557" builtinId="9" hidden="1"/>
    <cellStyle name="Followed Hyperlink" xfId="2559" builtinId="9" hidden="1"/>
    <cellStyle name="Followed Hyperlink" xfId="2561" builtinId="9" hidden="1"/>
    <cellStyle name="Followed Hyperlink" xfId="2563" builtinId="9" hidden="1"/>
    <cellStyle name="Followed Hyperlink" xfId="2565" builtinId="9" hidden="1"/>
    <cellStyle name="Followed Hyperlink" xfId="2567" builtinId="9" hidden="1"/>
    <cellStyle name="Followed Hyperlink" xfId="2569" builtinId="9" hidden="1"/>
    <cellStyle name="Followed Hyperlink" xfId="2571" builtinId="9" hidden="1"/>
    <cellStyle name="Followed Hyperlink" xfId="2573" builtinId="9" hidden="1"/>
    <cellStyle name="Followed Hyperlink" xfId="2575" builtinId="9" hidden="1"/>
    <cellStyle name="Followed Hyperlink" xfId="2577" builtinId="9" hidden="1"/>
    <cellStyle name="Followed Hyperlink" xfId="2579" builtinId="9" hidden="1"/>
    <cellStyle name="Followed Hyperlink" xfId="2581" builtinId="9" hidden="1"/>
    <cellStyle name="Followed Hyperlink" xfId="2583" builtinId="9" hidden="1"/>
    <cellStyle name="Followed Hyperlink" xfId="2585" builtinId="9" hidden="1"/>
    <cellStyle name="Followed Hyperlink" xfId="2587" builtinId="9" hidden="1"/>
    <cellStyle name="Followed Hyperlink" xfId="2589" builtinId="9" hidden="1"/>
    <cellStyle name="Followed Hyperlink" xfId="2591" builtinId="9" hidden="1"/>
    <cellStyle name="Followed Hyperlink" xfId="2593" builtinId="9" hidden="1"/>
    <cellStyle name="Followed Hyperlink" xfId="2595" builtinId="9" hidden="1"/>
    <cellStyle name="Followed Hyperlink" xfId="2597" builtinId="9" hidden="1"/>
    <cellStyle name="Followed Hyperlink" xfId="2599" builtinId="9" hidden="1"/>
    <cellStyle name="Followed Hyperlink" xfId="2601" builtinId="9" hidden="1"/>
    <cellStyle name="Followed Hyperlink" xfId="2603" builtinId="9" hidden="1"/>
    <cellStyle name="Followed Hyperlink" xfId="2605" builtinId="9" hidden="1"/>
    <cellStyle name="Followed Hyperlink" xfId="2607" builtinId="9" hidden="1"/>
    <cellStyle name="Followed Hyperlink" xfId="2609" builtinId="9" hidden="1"/>
    <cellStyle name="Followed Hyperlink" xfId="2611" builtinId="9" hidden="1"/>
    <cellStyle name="Followed Hyperlink" xfId="2613" builtinId="9" hidden="1"/>
    <cellStyle name="Followed Hyperlink" xfId="2615" builtinId="9" hidden="1"/>
    <cellStyle name="Followed Hyperlink" xfId="2617" builtinId="9" hidden="1"/>
    <cellStyle name="Followed Hyperlink" xfId="2619" builtinId="9" hidden="1"/>
    <cellStyle name="Followed Hyperlink" xfId="2621" builtinId="9" hidden="1"/>
    <cellStyle name="Followed Hyperlink" xfId="2623" builtinId="9" hidden="1"/>
    <cellStyle name="Followed Hyperlink" xfId="2625" builtinId="9" hidden="1"/>
    <cellStyle name="Followed Hyperlink" xfId="2627" builtinId="9" hidden="1"/>
    <cellStyle name="Followed Hyperlink" xfId="2629" builtinId="9" hidden="1"/>
    <cellStyle name="Followed Hyperlink" xfId="2631" builtinId="9" hidden="1"/>
    <cellStyle name="Followed Hyperlink" xfId="2633" builtinId="9" hidden="1"/>
    <cellStyle name="Followed Hyperlink" xfId="2635" builtinId="9" hidden="1"/>
    <cellStyle name="Followed Hyperlink" xfId="2637" builtinId="9" hidden="1"/>
    <cellStyle name="Followed Hyperlink" xfId="2639" builtinId="9" hidden="1"/>
    <cellStyle name="Followed Hyperlink" xfId="2641" builtinId="9" hidden="1"/>
    <cellStyle name="Followed Hyperlink" xfId="2643" builtinId="9" hidden="1"/>
    <cellStyle name="Followed Hyperlink" xfId="2645" builtinId="9" hidden="1"/>
    <cellStyle name="Followed Hyperlink" xfId="2647" builtinId="9" hidden="1"/>
    <cellStyle name="Followed Hyperlink" xfId="2649" builtinId="9" hidden="1"/>
    <cellStyle name="Followed Hyperlink" xfId="2651" builtinId="9" hidden="1"/>
    <cellStyle name="Followed Hyperlink" xfId="2653" builtinId="9" hidden="1"/>
    <cellStyle name="Followed Hyperlink" xfId="2655" builtinId="9" hidden="1"/>
    <cellStyle name="Followed Hyperlink" xfId="2657" builtinId="9" hidden="1"/>
    <cellStyle name="Followed Hyperlink" xfId="2659" builtinId="9" hidden="1"/>
    <cellStyle name="Followed Hyperlink" xfId="2661" builtinId="9" hidden="1"/>
    <cellStyle name="Followed Hyperlink" xfId="2663" builtinId="9" hidden="1"/>
    <cellStyle name="Followed Hyperlink" xfId="2665" builtinId="9" hidden="1"/>
    <cellStyle name="Followed Hyperlink" xfId="2667" builtinId="9" hidden="1"/>
    <cellStyle name="Followed Hyperlink" xfId="2669" builtinId="9" hidden="1"/>
    <cellStyle name="Followed Hyperlink" xfId="2671" builtinId="9" hidden="1"/>
    <cellStyle name="Followed Hyperlink" xfId="2673" builtinId="9" hidden="1"/>
    <cellStyle name="Followed Hyperlink" xfId="2675" builtinId="9" hidden="1"/>
    <cellStyle name="Followed Hyperlink" xfId="2677" builtinId="9" hidden="1"/>
    <cellStyle name="Followed Hyperlink" xfId="2679" builtinId="9" hidden="1"/>
    <cellStyle name="Followed Hyperlink" xfId="2681" builtinId="9" hidden="1"/>
    <cellStyle name="Followed Hyperlink" xfId="2683" builtinId="9" hidden="1"/>
    <cellStyle name="Followed Hyperlink" xfId="2685" builtinId="9" hidden="1"/>
    <cellStyle name="Followed Hyperlink" xfId="2687" builtinId="9" hidden="1"/>
    <cellStyle name="Followed Hyperlink" xfId="2689" builtinId="9" hidden="1"/>
    <cellStyle name="Followed Hyperlink" xfId="2691" builtinId="9" hidden="1"/>
    <cellStyle name="Followed Hyperlink" xfId="2693" builtinId="9" hidden="1"/>
    <cellStyle name="Followed Hyperlink" xfId="2695" builtinId="9" hidden="1"/>
    <cellStyle name="Followed Hyperlink" xfId="2697" builtinId="9" hidden="1"/>
    <cellStyle name="Followed Hyperlink" xfId="2699" builtinId="9" hidden="1"/>
    <cellStyle name="Followed Hyperlink" xfId="2701" builtinId="9" hidden="1"/>
    <cellStyle name="Followed Hyperlink" xfId="2703" builtinId="9" hidden="1"/>
    <cellStyle name="Followed Hyperlink" xfId="2705" builtinId="9" hidden="1"/>
    <cellStyle name="Followed Hyperlink" xfId="2707" builtinId="9" hidden="1"/>
    <cellStyle name="Followed Hyperlink" xfId="2709" builtinId="9" hidden="1"/>
    <cellStyle name="Followed Hyperlink" xfId="2711" builtinId="9" hidden="1"/>
    <cellStyle name="Followed Hyperlink" xfId="2713" builtinId="9" hidden="1"/>
    <cellStyle name="Followed Hyperlink" xfId="2715" builtinId="9" hidden="1"/>
    <cellStyle name="Followed Hyperlink" xfId="2717" builtinId="9" hidden="1"/>
    <cellStyle name="Followed Hyperlink" xfId="2719" builtinId="9" hidden="1"/>
    <cellStyle name="Followed Hyperlink" xfId="2721" builtinId="9" hidden="1"/>
    <cellStyle name="Followed Hyperlink" xfId="2723" builtinId="9" hidden="1"/>
    <cellStyle name="Followed Hyperlink" xfId="2725" builtinId="9" hidden="1"/>
    <cellStyle name="Followed Hyperlink" xfId="2727" builtinId="9" hidden="1"/>
    <cellStyle name="Followed Hyperlink" xfId="2729" builtinId="9" hidden="1"/>
    <cellStyle name="Followed Hyperlink" xfId="2731" builtinId="9" hidden="1"/>
    <cellStyle name="Followed Hyperlink" xfId="2733" builtinId="9" hidden="1"/>
    <cellStyle name="Followed Hyperlink" xfId="2735" builtinId="9" hidden="1"/>
    <cellStyle name="Followed Hyperlink" xfId="2737" builtinId="9" hidden="1"/>
    <cellStyle name="Followed Hyperlink" xfId="2739" builtinId="9" hidden="1"/>
    <cellStyle name="Followed Hyperlink" xfId="2741" builtinId="9" hidden="1"/>
    <cellStyle name="Followed Hyperlink" xfId="2743" builtinId="9" hidden="1"/>
    <cellStyle name="Followed Hyperlink" xfId="2745" builtinId="9" hidden="1"/>
    <cellStyle name="Followed Hyperlink" xfId="2747" builtinId="9" hidden="1"/>
    <cellStyle name="Followed Hyperlink" xfId="2749" builtinId="9" hidden="1"/>
    <cellStyle name="Followed Hyperlink" xfId="2751" builtinId="9" hidden="1"/>
    <cellStyle name="Followed Hyperlink" xfId="2753" builtinId="9" hidden="1"/>
    <cellStyle name="Followed Hyperlink" xfId="2755" builtinId="9" hidden="1"/>
    <cellStyle name="Followed Hyperlink" xfId="2757" builtinId="9" hidden="1"/>
    <cellStyle name="Followed Hyperlink" xfId="2759" builtinId="9" hidden="1"/>
    <cellStyle name="Followed Hyperlink" xfId="2761" builtinId="9" hidden="1"/>
    <cellStyle name="Followed Hyperlink" xfId="2763" builtinId="9" hidden="1"/>
    <cellStyle name="Followed Hyperlink" xfId="2765" builtinId="9" hidden="1"/>
    <cellStyle name="Followed Hyperlink" xfId="2767" builtinId="9" hidden="1"/>
    <cellStyle name="Followed Hyperlink" xfId="2769" builtinId="9" hidden="1"/>
    <cellStyle name="Followed Hyperlink" xfId="2771" builtinId="9" hidden="1"/>
    <cellStyle name="Followed Hyperlink" xfId="2773" builtinId="9" hidden="1"/>
    <cellStyle name="Followed Hyperlink" xfId="2775" builtinId="9" hidden="1"/>
    <cellStyle name="Followed Hyperlink" xfId="2777" builtinId="9" hidden="1"/>
    <cellStyle name="Followed Hyperlink" xfId="2779" builtinId="9" hidden="1"/>
    <cellStyle name="Followed Hyperlink" xfId="2781" builtinId="9" hidden="1"/>
    <cellStyle name="Followed Hyperlink" xfId="2783" builtinId="9" hidden="1"/>
    <cellStyle name="Followed Hyperlink" xfId="2785" builtinId="9" hidden="1"/>
    <cellStyle name="Followed Hyperlink" xfId="2787" builtinId="9" hidden="1"/>
    <cellStyle name="Followed Hyperlink" xfId="2789" builtinId="9" hidden="1"/>
    <cellStyle name="Followed Hyperlink" xfId="2791" builtinId="9" hidden="1"/>
    <cellStyle name="Followed Hyperlink" xfId="2793" builtinId="9" hidden="1"/>
    <cellStyle name="Followed Hyperlink" xfId="2795" builtinId="9" hidden="1"/>
    <cellStyle name="Followed Hyperlink" xfId="2797" builtinId="9" hidden="1"/>
    <cellStyle name="Followed Hyperlink" xfId="2799" builtinId="9" hidden="1"/>
    <cellStyle name="Followed Hyperlink" xfId="2801" builtinId="9" hidden="1"/>
    <cellStyle name="Followed Hyperlink" xfId="2803" builtinId="9" hidden="1"/>
    <cellStyle name="Followed Hyperlink" xfId="2805" builtinId="9" hidden="1"/>
    <cellStyle name="Followed Hyperlink" xfId="2807" builtinId="9" hidden="1"/>
    <cellStyle name="Followed Hyperlink" xfId="2809" builtinId="9" hidden="1"/>
    <cellStyle name="Followed Hyperlink" xfId="2811" builtinId="9" hidden="1"/>
    <cellStyle name="Followed Hyperlink" xfId="2813" builtinId="9" hidden="1"/>
    <cellStyle name="Followed Hyperlink" xfId="2815" builtinId="9" hidden="1"/>
    <cellStyle name="Followed Hyperlink" xfId="2817" builtinId="9" hidden="1"/>
    <cellStyle name="Followed Hyperlink" xfId="2819" builtinId="9" hidden="1"/>
    <cellStyle name="Followed Hyperlink" xfId="2821" builtinId="9" hidden="1"/>
    <cellStyle name="Followed Hyperlink" xfId="2823" builtinId="9" hidden="1"/>
    <cellStyle name="Followed Hyperlink" xfId="2825" builtinId="9" hidden="1"/>
    <cellStyle name="Followed Hyperlink" xfId="2827" builtinId="9" hidden="1"/>
    <cellStyle name="Followed Hyperlink" xfId="2829" builtinId="9" hidden="1"/>
    <cellStyle name="Followed Hyperlink" xfId="2831" builtinId="9" hidden="1"/>
    <cellStyle name="Followed Hyperlink" xfId="2833" builtinId="9" hidden="1"/>
    <cellStyle name="Followed Hyperlink" xfId="2835" builtinId="9" hidden="1"/>
    <cellStyle name="Followed Hyperlink" xfId="2837" builtinId="9" hidden="1"/>
    <cellStyle name="Followed Hyperlink" xfId="2839" builtinId="9" hidden="1"/>
    <cellStyle name="Followed Hyperlink" xfId="2841" builtinId="9" hidden="1"/>
    <cellStyle name="Followed Hyperlink" xfId="2843" builtinId="9" hidden="1"/>
    <cellStyle name="Followed Hyperlink" xfId="2845" builtinId="9" hidden="1"/>
    <cellStyle name="Followed Hyperlink" xfId="2847" builtinId="9" hidden="1"/>
    <cellStyle name="Followed Hyperlink" xfId="2849" builtinId="9" hidden="1"/>
    <cellStyle name="Followed Hyperlink" xfId="2851" builtinId="9" hidden="1"/>
    <cellStyle name="Followed Hyperlink" xfId="2853" builtinId="9" hidden="1"/>
    <cellStyle name="Followed Hyperlink" xfId="2855" builtinId="9" hidden="1"/>
    <cellStyle name="Followed Hyperlink" xfId="2857" builtinId="9" hidden="1"/>
    <cellStyle name="Followed Hyperlink" xfId="2859" builtinId="9" hidden="1"/>
    <cellStyle name="Followed Hyperlink" xfId="2861" builtinId="9" hidden="1"/>
    <cellStyle name="Followed Hyperlink" xfId="2863" builtinId="9" hidden="1"/>
    <cellStyle name="Followed Hyperlink" xfId="2865" builtinId="9" hidden="1"/>
    <cellStyle name="Followed Hyperlink" xfId="2867" builtinId="9" hidden="1"/>
    <cellStyle name="Followed Hyperlink" xfId="2869" builtinId="9" hidden="1"/>
    <cellStyle name="Followed Hyperlink" xfId="2871" builtinId="9" hidden="1"/>
    <cellStyle name="Followed Hyperlink" xfId="2873" builtinId="9" hidden="1"/>
    <cellStyle name="Followed Hyperlink" xfId="2875" builtinId="9" hidden="1"/>
    <cellStyle name="Followed Hyperlink" xfId="2877" builtinId="9" hidden="1"/>
    <cellStyle name="Followed Hyperlink" xfId="2879" builtinId="9" hidden="1"/>
    <cellStyle name="Followed Hyperlink" xfId="2881" builtinId="9" hidden="1"/>
    <cellStyle name="Followed Hyperlink" xfId="2883" builtinId="9" hidden="1"/>
    <cellStyle name="Followed Hyperlink" xfId="2885" builtinId="9" hidden="1"/>
    <cellStyle name="Followed Hyperlink" xfId="2887" builtinId="9" hidden="1"/>
    <cellStyle name="Followed Hyperlink" xfId="2889" builtinId="9" hidden="1"/>
    <cellStyle name="Followed Hyperlink" xfId="2891" builtinId="9" hidden="1"/>
    <cellStyle name="Followed Hyperlink" xfId="2893" builtinId="9" hidden="1"/>
    <cellStyle name="Followed Hyperlink" xfId="2895" builtinId="9" hidden="1"/>
    <cellStyle name="Followed Hyperlink" xfId="2897" builtinId="9" hidden="1"/>
    <cellStyle name="Followed Hyperlink" xfId="2899" builtinId="9" hidden="1"/>
    <cellStyle name="Followed Hyperlink" xfId="2901" builtinId="9" hidden="1"/>
    <cellStyle name="Followed Hyperlink" xfId="2903" builtinId="9" hidden="1"/>
    <cellStyle name="Followed Hyperlink" xfId="2905" builtinId="9" hidden="1"/>
    <cellStyle name="Followed Hyperlink" xfId="2907" builtinId="9" hidden="1"/>
    <cellStyle name="Followed Hyperlink" xfId="2909" builtinId="9" hidden="1"/>
    <cellStyle name="Followed Hyperlink" xfId="2911" builtinId="9" hidden="1"/>
    <cellStyle name="Followed Hyperlink" xfId="2913" builtinId="9" hidden="1"/>
    <cellStyle name="Followed Hyperlink" xfId="2915" builtinId="9" hidden="1"/>
    <cellStyle name="Followed Hyperlink" xfId="2917" builtinId="9" hidden="1"/>
    <cellStyle name="Followed Hyperlink" xfId="2919" builtinId="9" hidden="1"/>
    <cellStyle name="Followed Hyperlink" xfId="2921" builtinId="9" hidden="1"/>
    <cellStyle name="Followed Hyperlink" xfId="2923" builtinId="9" hidden="1"/>
    <cellStyle name="Followed Hyperlink" xfId="2925" builtinId="9" hidden="1"/>
    <cellStyle name="Followed Hyperlink" xfId="2927" builtinId="9" hidden="1"/>
    <cellStyle name="Followed Hyperlink" xfId="2929" builtinId="9" hidden="1"/>
    <cellStyle name="Followed Hyperlink" xfId="2931" builtinId="9" hidden="1"/>
    <cellStyle name="Followed Hyperlink" xfId="2933" builtinId="9" hidden="1"/>
    <cellStyle name="Followed Hyperlink" xfId="2935" builtinId="9" hidden="1"/>
    <cellStyle name="Followed Hyperlink" xfId="2937" builtinId="9" hidden="1"/>
    <cellStyle name="Followed Hyperlink" xfId="2939" builtinId="9" hidden="1"/>
    <cellStyle name="Followed Hyperlink" xfId="2941" builtinId="9" hidden="1"/>
    <cellStyle name="Followed Hyperlink" xfId="2943" builtinId="9" hidden="1"/>
    <cellStyle name="Followed Hyperlink" xfId="2945" builtinId="9" hidden="1"/>
    <cellStyle name="Followed Hyperlink" xfId="2947" builtinId="9" hidden="1"/>
    <cellStyle name="Followed Hyperlink" xfId="2949" builtinId="9" hidden="1"/>
    <cellStyle name="Followed Hyperlink" xfId="2951" builtinId="9" hidden="1"/>
    <cellStyle name="Followed Hyperlink" xfId="2953" builtinId="9" hidden="1"/>
    <cellStyle name="Followed Hyperlink" xfId="2955" builtinId="9" hidden="1"/>
    <cellStyle name="Followed Hyperlink" xfId="2957" builtinId="9" hidden="1"/>
    <cellStyle name="Followed Hyperlink" xfId="2959" builtinId="9" hidden="1"/>
    <cellStyle name="Followed Hyperlink" xfId="2961" builtinId="9" hidden="1"/>
    <cellStyle name="Followed Hyperlink" xfId="2963" builtinId="9" hidden="1"/>
    <cellStyle name="Followed Hyperlink" xfId="2965" builtinId="9" hidden="1"/>
    <cellStyle name="Followed Hyperlink" xfId="2967" builtinId="9" hidden="1"/>
    <cellStyle name="Followed Hyperlink" xfId="2969" builtinId="9" hidden="1"/>
    <cellStyle name="Followed Hyperlink" xfId="2971" builtinId="9" hidden="1"/>
    <cellStyle name="Followed Hyperlink" xfId="2973" builtinId="9" hidden="1"/>
    <cellStyle name="Followed Hyperlink" xfId="2975" builtinId="9" hidden="1"/>
    <cellStyle name="Followed Hyperlink" xfId="2977" builtinId="9" hidden="1"/>
    <cellStyle name="Followed Hyperlink" xfId="2979" builtinId="9" hidden="1"/>
    <cellStyle name="Followed Hyperlink" xfId="2981" builtinId="9" hidden="1"/>
    <cellStyle name="Followed Hyperlink" xfId="2983" builtinId="9" hidden="1"/>
    <cellStyle name="Followed Hyperlink" xfId="2985" builtinId="9" hidden="1"/>
    <cellStyle name="Followed Hyperlink" xfId="2987" builtinId="9" hidden="1"/>
    <cellStyle name="Followed Hyperlink" xfId="2989" builtinId="9" hidden="1"/>
    <cellStyle name="Followed Hyperlink" xfId="2991" builtinId="9" hidden="1"/>
    <cellStyle name="Followed Hyperlink" xfId="2993" builtinId="9" hidden="1"/>
    <cellStyle name="Followed Hyperlink" xfId="2995" builtinId="9" hidden="1"/>
    <cellStyle name="Followed Hyperlink" xfId="2997" builtinId="9" hidden="1"/>
    <cellStyle name="Followed Hyperlink" xfId="2999" builtinId="9" hidden="1"/>
    <cellStyle name="Followed Hyperlink" xfId="3001" builtinId="9" hidden="1"/>
    <cellStyle name="Followed Hyperlink" xfId="3003" builtinId="9" hidden="1"/>
    <cellStyle name="Followed Hyperlink" xfId="3005" builtinId="9" hidden="1"/>
    <cellStyle name="Followed Hyperlink" xfId="3007" builtinId="9" hidden="1"/>
    <cellStyle name="Followed Hyperlink" xfId="3009" builtinId="9" hidden="1"/>
    <cellStyle name="Followed Hyperlink" xfId="3011" builtinId="9" hidden="1"/>
    <cellStyle name="Followed Hyperlink" xfId="3013" builtinId="9" hidden="1"/>
    <cellStyle name="Followed Hyperlink" xfId="3015" builtinId="9" hidden="1"/>
    <cellStyle name="Followed Hyperlink" xfId="3017" builtinId="9" hidden="1"/>
    <cellStyle name="Followed Hyperlink" xfId="3019" builtinId="9" hidden="1"/>
    <cellStyle name="Followed Hyperlink" xfId="3021" builtinId="9" hidden="1"/>
    <cellStyle name="Followed Hyperlink" xfId="3023" builtinId="9" hidden="1"/>
    <cellStyle name="Followed Hyperlink" xfId="3025" builtinId="9" hidden="1"/>
    <cellStyle name="Followed Hyperlink" xfId="3027" builtinId="9" hidden="1"/>
    <cellStyle name="Followed Hyperlink" xfId="3029" builtinId="9" hidden="1"/>
    <cellStyle name="Followed Hyperlink" xfId="3031" builtinId="9" hidden="1"/>
    <cellStyle name="Followed Hyperlink" xfId="3033" builtinId="9" hidden="1"/>
    <cellStyle name="Followed Hyperlink" xfId="3035" builtinId="9" hidden="1"/>
    <cellStyle name="Followed Hyperlink" xfId="3037" builtinId="9" hidden="1"/>
    <cellStyle name="Followed Hyperlink" xfId="3039" builtinId="9" hidden="1"/>
    <cellStyle name="Followed Hyperlink" xfId="3041" builtinId="9" hidden="1"/>
    <cellStyle name="Followed Hyperlink" xfId="3043" builtinId="9" hidden="1"/>
    <cellStyle name="Followed Hyperlink" xfId="3045" builtinId="9" hidden="1"/>
    <cellStyle name="Followed Hyperlink" xfId="3047" builtinId="9" hidden="1"/>
    <cellStyle name="Followed Hyperlink" xfId="3049" builtinId="9" hidden="1"/>
    <cellStyle name="Followed Hyperlink" xfId="3051" builtinId="9" hidden="1"/>
    <cellStyle name="Followed Hyperlink" xfId="3053" builtinId="9" hidden="1"/>
    <cellStyle name="Followed Hyperlink" xfId="3055" builtinId="9" hidden="1"/>
    <cellStyle name="Followed Hyperlink" xfId="3057" builtinId="9" hidden="1"/>
    <cellStyle name="Followed Hyperlink" xfId="3059" builtinId="9" hidden="1"/>
    <cellStyle name="Followed Hyperlink" xfId="3061" builtinId="9" hidden="1"/>
    <cellStyle name="Followed Hyperlink" xfId="3063" builtinId="9" hidden="1"/>
    <cellStyle name="Followed Hyperlink" xfId="3065" builtinId="9" hidden="1"/>
    <cellStyle name="Followed Hyperlink" xfId="3067" builtinId="9" hidden="1"/>
    <cellStyle name="Followed Hyperlink" xfId="3069" builtinId="9" hidden="1"/>
    <cellStyle name="Followed Hyperlink" xfId="3071" builtinId="9" hidden="1"/>
    <cellStyle name="Followed Hyperlink" xfId="3073" builtinId="9" hidden="1"/>
    <cellStyle name="Followed Hyperlink" xfId="3075" builtinId="9" hidden="1"/>
    <cellStyle name="Followed Hyperlink" xfId="3077" builtinId="9" hidden="1"/>
    <cellStyle name="Followed Hyperlink" xfId="3079" builtinId="9" hidden="1"/>
    <cellStyle name="Followed Hyperlink" xfId="3081" builtinId="9" hidden="1"/>
    <cellStyle name="Followed Hyperlink" xfId="3083" builtinId="9" hidden="1"/>
    <cellStyle name="Followed Hyperlink" xfId="3085" builtinId="9" hidden="1"/>
    <cellStyle name="Followed Hyperlink" xfId="3087" builtinId="9" hidden="1"/>
    <cellStyle name="Followed Hyperlink" xfId="3089" builtinId="9" hidden="1"/>
    <cellStyle name="Followed Hyperlink" xfId="3091" builtinId="9" hidden="1"/>
    <cellStyle name="Followed Hyperlink" xfId="3093" builtinId="9" hidden="1"/>
    <cellStyle name="Followed Hyperlink" xfId="3095" builtinId="9" hidden="1"/>
    <cellStyle name="Followed Hyperlink" xfId="3097" builtinId="9" hidden="1"/>
    <cellStyle name="Followed Hyperlink" xfId="3099" builtinId="9" hidden="1"/>
    <cellStyle name="Followed Hyperlink" xfId="3101" builtinId="9" hidden="1"/>
    <cellStyle name="Followed Hyperlink" xfId="3103" builtinId="9" hidden="1"/>
    <cellStyle name="Followed Hyperlink" xfId="3105" builtinId="9" hidden="1"/>
    <cellStyle name="Followed Hyperlink" xfId="3107" builtinId="9" hidden="1"/>
    <cellStyle name="Followed Hyperlink" xfId="3109" builtinId="9" hidden="1"/>
    <cellStyle name="Followed Hyperlink" xfId="3111" builtinId="9" hidden="1"/>
    <cellStyle name="Followed Hyperlink" xfId="3113" builtinId="9" hidden="1"/>
    <cellStyle name="Followed Hyperlink" xfId="3115" builtinId="9" hidden="1"/>
    <cellStyle name="Followed Hyperlink" xfId="3117" builtinId="9" hidden="1"/>
    <cellStyle name="Followed Hyperlink" xfId="3119" builtinId="9" hidden="1"/>
    <cellStyle name="Followed Hyperlink" xfId="3121" builtinId="9" hidden="1"/>
    <cellStyle name="Followed Hyperlink" xfId="3123" builtinId="9" hidden="1"/>
    <cellStyle name="Followed Hyperlink" xfId="3125" builtinId="9" hidden="1"/>
    <cellStyle name="Followed Hyperlink" xfId="3127" builtinId="9" hidden="1"/>
    <cellStyle name="Followed Hyperlink" xfId="3129" builtinId="9" hidden="1"/>
    <cellStyle name="Followed Hyperlink" xfId="3131" builtinId="9" hidden="1"/>
    <cellStyle name="Followed Hyperlink" xfId="3133" builtinId="9" hidden="1"/>
    <cellStyle name="Followed Hyperlink" xfId="3135" builtinId="9" hidden="1"/>
    <cellStyle name="Followed Hyperlink" xfId="3137" builtinId="9" hidden="1"/>
    <cellStyle name="Followed Hyperlink" xfId="3139" builtinId="9" hidden="1"/>
    <cellStyle name="Followed Hyperlink" xfId="3141" builtinId="9" hidden="1"/>
    <cellStyle name="Followed Hyperlink" xfId="3143" builtinId="9" hidden="1"/>
    <cellStyle name="Followed Hyperlink" xfId="3145" builtinId="9" hidden="1"/>
    <cellStyle name="Followed Hyperlink" xfId="3147" builtinId="9" hidden="1"/>
    <cellStyle name="Followed Hyperlink" xfId="3149" builtinId="9" hidden="1"/>
    <cellStyle name="Followed Hyperlink" xfId="3151" builtinId="9" hidden="1"/>
    <cellStyle name="Followed Hyperlink" xfId="3153" builtinId="9" hidden="1"/>
    <cellStyle name="Followed Hyperlink" xfId="3155" builtinId="9" hidden="1"/>
    <cellStyle name="Followed Hyperlink" xfId="3157" builtinId="9" hidden="1"/>
    <cellStyle name="Followed Hyperlink" xfId="3159" builtinId="9" hidden="1"/>
    <cellStyle name="Followed Hyperlink" xfId="3161" builtinId="9" hidden="1"/>
    <cellStyle name="Followed Hyperlink" xfId="3163" builtinId="9" hidden="1"/>
    <cellStyle name="Followed Hyperlink" xfId="3165" builtinId="9" hidden="1"/>
    <cellStyle name="Followed Hyperlink" xfId="3167" builtinId="9" hidden="1"/>
    <cellStyle name="Followed Hyperlink" xfId="3169" builtinId="9" hidden="1"/>
    <cellStyle name="Followed Hyperlink" xfId="3171" builtinId="9" hidden="1"/>
    <cellStyle name="Followed Hyperlink" xfId="3173" builtinId="9" hidden="1"/>
    <cellStyle name="Followed Hyperlink" xfId="3175" builtinId="9" hidden="1"/>
    <cellStyle name="Followed Hyperlink" xfId="3177" builtinId="9" hidden="1"/>
    <cellStyle name="Followed Hyperlink" xfId="3179" builtinId="9" hidden="1"/>
    <cellStyle name="Followed Hyperlink" xfId="3181" builtinId="9" hidden="1"/>
    <cellStyle name="Followed Hyperlink" xfId="3183" builtinId="9" hidden="1"/>
    <cellStyle name="Followed Hyperlink" xfId="3185" builtinId="9" hidden="1"/>
    <cellStyle name="Followed Hyperlink" xfId="3187" builtinId="9" hidden="1"/>
    <cellStyle name="Followed Hyperlink" xfId="3189" builtinId="9" hidden="1"/>
    <cellStyle name="Followed Hyperlink" xfId="3191" builtinId="9" hidden="1"/>
    <cellStyle name="Followed Hyperlink" xfId="3193" builtinId="9" hidden="1"/>
    <cellStyle name="Followed Hyperlink" xfId="3195" builtinId="9" hidden="1"/>
    <cellStyle name="Followed Hyperlink" xfId="3197" builtinId="9" hidden="1"/>
    <cellStyle name="Followed Hyperlink" xfId="3199" builtinId="9" hidden="1"/>
    <cellStyle name="Followed Hyperlink" xfId="3201" builtinId="9" hidden="1"/>
    <cellStyle name="Followed Hyperlink" xfId="3203" builtinId="9" hidden="1"/>
    <cellStyle name="Followed Hyperlink" xfId="3205" builtinId="9" hidden="1"/>
    <cellStyle name="Followed Hyperlink" xfId="3207" builtinId="9" hidden="1"/>
    <cellStyle name="Followed Hyperlink" xfId="3209" builtinId="9" hidden="1"/>
    <cellStyle name="Followed Hyperlink" xfId="3211" builtinId="9" hidden="1"/>
    <cellStyle name="Followed Hyperlink" xfId="3213" builtinId="9" hidden="1"/>
    <cellStyle name="Followed Hyperlink" xfId="3215" builtinId="9" hidden="1"/>
    <cellStyle name="Followed Hyperlink" xfId="3217" builtinId="9" hidden="1"/>
    <cellStyle name="Followed Hyperlink" xfId="3219" builtinId="9" hidden="1"/>
    <cellStyle name="Followed Hyperlink" xfId="3221" builtinId="9" hidden="1"/>
    <cellStyle name="Followed Hyperlink" xfId="3223" builtinId="9" hidden="1"/>
    <cellStyle name="Followed Hyperlink" xfId="3225" builtinId="9" hidden="1"/>
    <cellStyle name="Followed Hyperlink" xfId="3227" builtinId="9" hidden="1"/>
    <cellStyle name="Followed Hyperlink" xfId="3229" builtinId="9" hidden="1"/>
    <cellStyle name="Followed Hyperlink" xfId="3231" builtinId="9" hidden="1"/>
    <cellStyle name="Followed Hyperlink" xfId="3233" builtinId="9" hidden="1"/>
    <cellStyle name="Followed Hyperlink" xfId="3235" builtinId="9" hidden="1"/>
    <cellStyle name="Followed Hyperlink" xfId="3237" builtinId="9" hidden="1"/>
    <cellStyle name="Followed Hyperlink" xfId="3239" builtinId="9" hidden="1"/>
    <cellStyle name="Followed Hyperlink" xfId="3241" builtinId="9" hidden="1"/>
    <cellStyle name="Followed Hyperlink" xfId="3243" builtinId="9" hidden="1"/>
    <cellStyle name="Followed Hyperlink" xfId="3245" builtinId="9" hidden="1"/>
    <cellStyle name="Followed Hyperlink" xfId="3247" builtinId="9" hidden="1"/>
    <cellStyle name="Followed Hyperlink" xfId="3249" builtinId="9" hidden="1"/>
    <cellStyle name="Followed Hyperlink" xfId="3251" builtinId="9" hidden="1"/>
    <cellStyle name="Followed Hyperlink" xfId="3253" builtinId="9" hidden="1"/>
    <cellStyle name="Followed Hyperlink" xfId="3255" builtinId="9" hidden="1"/>
    <cellStyle name="Followed Hyperlink" xfId="3257" builtinId="9" hidden="1"/>
    <cellStyle name="Followed Hyperlink" xfId="3259" builtinId="9" hidden="1"/>
    <cellStyle name="Followed Hyperlink" xfId="3261" builtinId="9" hidden="1"/>
    <cellStyle name="Followed Hyperlink" xfId="3263" builtinId="9" hidden="1"/>
    <cellStyle name="Followed Hyperlink" xfId="3265" builtinId="9" hidden="1"/>
    <cellStyle name="Followed Hyperlink" xfId="3267" builtinId="9" hidden="1"/>
    <cellStyle name="Followed Hyperlink" xfId="3269" builtinId="9" hidden="1"/>
    <cellStyle name="Followed Hyperlink" xfId="3271" builtinId="9" hidden="1"/>
    <cellStyle name="Followed Hyperlink" xfId="3273" builtinId="9" hidden="1"/>
    <cellStyle name="Followed Hyperlink" xfId="3275" builtinId="9" hidden="1"/>
    <cellStyle name="Followed Hyperlink" xfId="3277" builtinId="9" hidden="1"/>
    <cellStyle name="Followed Hyperlink" xfId="3279" builtinId="9" hidden="1"/>
    <cellStyle name="Followed Hyperlink" xfId="3281" builtinId="9" hidden="1"/>
    <cellStyle name="Followed Hyperlink" xfId="3283" builtinId="9" hidden="1"/>
    <cellStyle name="Followed Hyperlink" xfId="3285" builtinId="9" hidden="1"/>
    <cellStyle name="Followed Hyperlink" xfId="3287" builtinId="9" hidden="1"/>
    <cellStyle name="Followed Hyperlink" xfId="3289" builtinId="9" hidden="1"/>
    <cellStyle name="Followed Hyperlink" xfId="3291" builtinId="9" hidden="1"/>
    <cellStyle name="Followed Hyperlink" xfId="3293" builtinId="9" hidden="1"/>
    <cellStyle name="Followed Hyperlink" xfId="3295" builtinId="9" hidden="1"/>
    <cellStyle name="Followed Hyperlink" xfId="3297" builtinId="9" hidden="1"/>
    <cellStyle name="Followed Hyperlink" xfId="3299" builtinId="9" hidden="1"/>
    <cellStyle name="Followed Hyperlink" xfId="3301" builtinId="9" hidden="1"/>
    <cellStyle name="Followed Hyperlink" xfId="3303" builtinId="9" hidden="1"/>
    <cellStyle name="Followed Hyperlink" xfId="3305" builtinId="9" hidden="1"/>
    <cellStyle name="Followed Hyperlink" xfId="3307" builtinId="9" hidden="1"/>
    <cellStyle name="Followed Hyperlink" xfId="3309" builtinId="9" hidden="1"/>
    <cellStyle name="Followed Hyperlink" xfId="3311" builtinId="9" hidden="1"/>
    <cellStyle name="Followed Hyperlink" xfId="3313" builtinId="9" hidden="1"/>
    <cellStyle name="Followed Hyperlink" xfId="3315" builtinId="9" hidden="1"/>
    <cellStyle name="Followed Hyperlink" xfId="3317" builtinId="9" hidden="1"/>
    <cellStyle name="Followed Hyperlink" xfId="3319" builtinId="9" hidden="1"/>
    <cellStyle name="Followed Hyperlink" xfId="3321" builtinId="9" hidden="1"/>
    <cellStyle name="Followed Hyperlink" xfId="3323" builtinId="9" hidden="1"/>
    <cellStyle name="Followed Hyperlink" xfId="3325" builtinId="9" hidden="1"/>
    <cellStyle name="Followed Hyperlink" xfId="3327" builtinId="9" hidden="1"/>
    <cellStyle name="Followed Hyperlink" xfId="3329" builtinId="9" hidden="1"/>
    <cellStyle name="Followed Hyperlink" xfId="3331" builtinId="9" hidden="1"/>
    <cellStyle name="Followed Hyperlink" xfId="3333" builtinId="9" hidden="1"/>
    <cellStyle name="Followed Hyperlink" xfId="3335" builtinId="9" hidden="1"/>
    <cellStyle name="Followed Hyperlink" xfId="3337" builtinId="9" hidden="1"/>
    <cellStyle name="Followed Hyperlink" xfId="3339" builtinId="9" hidden="1"/>
    <cellStyle name="Followed Hyperlink" xfId="3341" builtinId="9" hidden="1"/>
    <cellStyle name="Followed Hyperlink" xfId="3343" builtinId="9" hidden="1"/>
    <cellStyle name="Followed Hyperlink" xfId="3345" builtinId="9" hidden="1"/>
    <cellStyle name="Followed Hyperlink" xfId="3347" builtinId="9" hidden="1"/>
    <cellStyle name="Followed Hyperlink" xfId="3349" builtinId="9" hidden="1"/>
    <cellStyle name="Followed Hyperlink" xfId="3351" builtinId="9" hidden="1"/>
    <cellStyle name="Followed Hyperlink" xfId="3353" builtinId="9" hidden="1"/>
    <cellStyle name="Followed Hyperlink" xfId="3355" builtinId="9" hidden="1"/>
    <cellStyle name="Followed Hyperlink" xfId="3357" builtinId="9" hidden="1"/>
    <cellStyle name="Followed Hyperlink" xfId="3359" builtinId="9" hidden="1"/>
    <cellStyle name="Followed Hyperlink" xfId="3361" builtinId="9" hidden="1"/>
    <cellStyle name="Followed Hyperlink" xfId="3363" builtinId="9" hidden="1"/>
    <cellStyle name="Followed Hyperlink" xfId="3365" builtinId="9" hidden="1"/>
    <cellStyle name="Followed Hyperlink" xfId="3367" builtinId="9" hidden="1"/>
    <cellStyle name="Followed Hyperlink" xfId="3369" builtinId="9" hidden="1"/>
    <cellStyle name="Followed Hyperlink" xfId="3371" builtinId="9" hidden="1"/>
    <cellStyle name="Followed Hyperlink" xfId="3373" builtinId="9" hidden="1"/>
    <cellStyle name="Followed Hyperlink" xfId="3375" builtinId="9" hidden="1"/>
    <cellStyle name="Followed Hyperlink" xfId="3377" builtinId="9" hidden="1"/>
    <cellStyle name="Followed Hyperlink" xfId="3379" builtinId="9" hidden="1"/>
    <cellStyle name="Followed Hyperlink" xfId="3381" builtinId="9" hidden="1"/>
    <cellStyle name="Followed Hyperlink" xfId="3383" builtinId="9" hidden="1"/>
    <cellStyle name="Followed Hyperlink" xfId="3385" builtinId="9" hidden="1"/>
    <cellStyle name="Followed Hyperlink" xfId="3387" builtinId="9" hidden="1"/>
    <cellStyle name="Followed Hyperlink" xfId="3389" builtinId="9" hidden="1"/>
    <cellStyle name="Followed Hyperlink" xfId="3391" builtinId="9" hidden="1"/>
    <cellStyle name="Followed Hyperlink" xfId="3393" builtinId="9" hidden="1"/>
    <cellStyle name="Followed Hyperlink" xfId="3395" builtinId="9" hidden="1"/>
    <cellStyle name="Followed Hyperlink" xfId="3397" builtinId="9" hidden="1"/>
    <cellStyle name="Followed Hyperlink" xfId="3399" builtinId="9" hidden="1"/>
    <cellStyle name="Followed Hyperlink" xfId="3401" builtinId="9" hidden="1"/>
    <cellStyle name="Followed Hyperlink" xfId="3403" builtinId="9" hidden="1"/>
    <cellStyle name="Followed Hyperlink" xfId="3405" builtinId="9" hidden="1"/>
    <cellStyle name="Followed Hyperlink" xfId="3407" builtinId="9" hidden="1"/>
    <cellStyle name="Followed Hyperlink" xfId="3409" builtinId="9" hidden="1"/>
    <cellStyle name="Followed Hyperlink" xfId="3411" builtinId="9" hidden="1"/>
    <cellStyle name="Followed Hyperlink" xfId="3413" builtinId="9" hidden="1"/>
    <cellStyle name="Followed Hyperlink" xfId="3415" builtinId="9" hidden="1"/>
    <cellStyle name="Followed Hyperlink" xfId="3417" builtinId="9" hidden="1"/>
    <cellStyle name="Followed Hyperlink" xfId="3419" builtinId="9" hidden="1"/>
    <cellStyle name="Followed Hyperlink" xfId="3421" builtinId="9" hidden="1"/>
    <cellStyle name="Followed Hyperlink" xfId="3423" builtinId="9" hidden="1"/>
    <cellStyle name="Followed Hyperlink" xfId="3425" builtinId="9" hidden="1"/>
    <cellStyle name="Followed Hyperlink" xfId="3427" builtinId="9" hidden="1"/>
    <cellStyle name="Followed Hyperlink" xfId="3429" builtinId="9" hidden="1"/>
    <cellStyle name="Followed Hyperlink" xfId="3431" builtinId="9" hidden="1"/>
    <cellStyle name="Followed Hyperlink" xfId="3433" builtinId="9" hidden="1"/>
    <cellStyle name="Followed Hyperlink" xfId="3435" builtinId="9" hidden="1"/>
    <cellStyle name="Followed Hyperlink" xfId="3437" builtinId="9" hidden="1"/>
    <cellStyle name="Followed Hyperlink" xfId="3439" builtinId="9" hidden="1"/>
    <cellStyle name="Followed Hyperlink" xfId="3441" builtinId="9" hidden="1"/>
    <cellStyle name="Followed Hyperlink" xfId="3443" builtinId="9" hidden="1"/>
    <cellStyle name="Followed Hyperlink" xfId="3445" builtinId="9" hidden="1"/>
    <cellStyle name="Followed Hyperlink" xfId="3447" builtinId="9" hidden="1"/>
    <cellStyle name="Followed Hyperlink" xfId="3449" builtinId="9" hidden="1"/>
    <cellStyle name="Followed Hyperlink" xfId="3451" builtinId="9" hidden="1"/>
    <cellStyle name="Followed Hyperlink" xfId="3453" builtinId="9" hidden="1"/>
    <cellStyle name="Followed Hyperlink" xfId="3455" builtinId="9" hidden="1"/>
    <cellStyle name="Followed Hyperlink" xfId="3457" builtinId="9" hidden="1"/>
    <cellStyle name="Followed Hyperlink" xfId="3459" builtinId="9" hidden="1"/>
    <cellStyle name="Followed Hyperlink" xfId="3461" builtinId="9" hidden="1"/>
    <cellStyle name="Followed Hyperlink" xfId="3463" builtinId="9" hidden="1"/>
    <cellStyle name="Followed Hyperlink" xfId="3465" builtinId="9" hidden="1"/>
    <cellStyle name="Followed Hyperlink" xfId="3467" builtinId="9" hidden="1"/>
    <cellStyle name="Followed Hyperlink" xfId="3469" builtinId="9" hidden="1"/>
    <cellStyle name="Followed Hyperlink" xfId="3471" builtinId="9" hidden="1"/>
    <cellStyle name="Followed Hyperlink" xfId="3473" builtinId="9" hidden="1"/>
    <cellStyle name="Followed Hyperlink" xfId="3475" builtinId="9" hidden="1"/>
    <cellStyle name="Followed Hyperlink" xfId="3477" builtinId="9" hidden="1"/>
    <cellStyle name="Followed Hyperlink" xfId="3479" builtinId="9" hidden="1"/>
    <cellStyle name="Followed Hyperlink" xfId="3481" builtinId="9" hidden="1"/>
    <cellStyle name="Followed Hyperlink" xfId="3483" builtinId="9" hidden="1"/>
    <cellStyle name="Followed Hyperlink" xfId="3485" builtinId="9" hidden="1"/>
    <cellStyle name="Followed Hyperlink" xfId="3487" builtinId="9" hidden="1"/>
    <cellStyle name="Followed Hyperlink" xfId="3489" builtinId="9" hidden="1"/>
    <cellStyle name="Followed Hyperlink" xfId="3491" builtinId="9" hidden="1"/>
    <cellStyle name="Followed Hyperlink" xfId="3493" builtinId="9" hidden="1"/>
    <cellStyle name="Followed Hyperlink" xfId="3495" builtinId="9" hidden="1"/>
    <cellStyle name="Followed Hyperlink" xfId="3497" builtinId="9" hidden="1"/>
    <cellStyle name="Followed Hyperlink" xfId="3499" builtinId="9" hidden="1"/>
    <cellStyle name="Followed Hyperlink" xfId="3501" builtinId="9" hidden="1"/>
    <cellStyle name="Followed Hyperlink" xfId="3503" builtinId="9" hidden="1"/>
    <cellStyle name="Followed Hyperlink" xfId="3505" builtinId="9" hidden="1"/>
    <cellStyle name="Followed Hyperlink" xfId="3507" builtinId="9" hidden="1"/>
    <cellStyle name="Followed Hyperlink" xfId="3509" builtinId="9" hidden="1"/>
    <cellStyle name="Followed Hyperlink" xfId="3511" builtinId="9" hidden="1"/>
    <cellStyle name="Followed Hyperlink" xfId="3513" builtinId="9" hidden="1"/>
    <cellStyle name="Followed Hyperlink" xfId="3515" builtinId="9" hidden="1"/>
    <cellStyle name="Followed Hyperlink" xfId="3517" builtinId="9" hidden="1"/>
    <cellStyle name="Followed Hyperlink" xfId="3519" builtinId="9" hidden="1"/>
    <cellStyle name="Followed Hyperlink" xfId="3521" builtinId="9" hidden="1"/>
    <cellStyle name="Followed Hyperlink" xfId="3523" builtinId="9" hidden="1"/>
    <cellStyle name="Followed Hyperlink" xfId="3525" builtinId="9" hidden="1"/>
    <cellStyle name="Followed Hyperlink" xfId="3527" builtinId="9" hidden="1"/>
    <cellStyle name="Followed Hyperlink" xfId="3529" builtinId="9" hidden="1"/>
    <cellStyle name="Followed Hyperlink" xfId="3531" builtinId="9" hidden="1"/>
    <cellStyle name="Followed Hyperlink" xfId="3533" builtinId="9" hidden="1"/>
    <cellStyle name="Followed Hyperlink" xfId="3535" builtinId="9" hidden="1"/>
    <cellStyle name="Followed Hyperlink" xfId="3537" builtinId="9" hidden="1"/>
    <cellStyle name="Followed Hyperlink" xfId="3539" builtinId="9" hidden="1"/>
    <cellStyle name="Followed Hyperlink" xfId="3541" builtinId="9" hidden="1"/>
    <cellStyle name="Followed Hyperlink" xfId="3543" builtinId="9" hidden="1"/>
    <cellStyle name="Followed Hyperlink" xfId="3545" builtinId="9" hidden="1"/>
    <cellStyle name="Followed Hyperlink" xfId="3547" builtinId="9" hidden="1"/>
    <cellStyle name="Followed Hyperlink" xfId="3549" builtinId="9" hidden="1"/>
    <cellStyle name="Followed Hyperlink" xfId="3551" builtinId="9" hidden="1"/>
    <cellStyle name="Followed Hyperlink" xfId="3553" builtinId="9" hidden="1"/>
    <cellStyle name="Followed Hyperlink" xfId="3555" builtinId="9" hidden="1"/>
    <cellStyle name="Followed Hyperlink" xfId="3557" builtinId="9" hidden="1"/>
    <cellStyle name="Followed Hyperlink" xfId="3559" builtinId="9" hidden="1"/>
    <cellStyle name="Followed Hyperlink" xfId="3561" builtinId="9" hidden="1"/>
    <cellStyle name="Followed Hyperlink" xfId="3563" builtinId="9" hidden="1"/>
    <cellStyle name="Followed Hyperlink" xfId="3565" builtinId="9" hidden="1"/>
    <cellStyle name="Followed Hyperlink" xfId="3567" builtinId="9" hidden="1"/>
    <cellStyle name="Followed Hyperlink" xfId="3569" builtinId="9" hidden="1"/>
    <cellStyle name="Followed Hyperlink" xfId="3571" builtinId="9" hidden="1"/>
    <cellStyle name="Followed Hyperlink" xfId="3573" builtinId="9" hidden="1"/>
    <cellStyle name="Followed Hyperlink" xfId="3575" builtinId="9" hidden="1"/>
    <cellStyle name="Followed Hyperlink" xfId="3577" builtinId="9" hidden="1"/>
    <cellStyle name="Followed Hyperlink" xfId="3579" builtinId="9" hidden="1"/>
    <cellStyle name="Followed Hyperlink" xfId="3581" builtinId="9" hidden="1"/>
    <cellStyle name="Followed Hyperlink" xfId="3583" builtinId="9" hidden="1"/>
    <cellStyle name="Followed Hyperlink" xfId="3585" builtinId="9" hidden="1"/>
    <cellStyle name="Followed Hyperlink" xfId="3587" builtinId="9" hidden="1"/>
    <cellStyle name="Followed Hyperlink" xfId="3589" builtinId="9" hidden="1"/>
    <cellStyle name="Followed Hyperlink" xfId="3591" builtinId="9" hidden="1"/>
    <cellStyle name="Followed Hyperlink" xfId="3593" builtinId="9" hidden="1"/>
    <cellStyle name="Followed Hyperlink" xfId="3595" builtinId="9" hidden="1"/>
    <cellStyle name="Followed Hyperlink" xfId="3597" builtinId="9" hidden="1"/>
    <cellStyle name="Followed Hyperlink" xfId="3599" builtinId="9" hidden="1"/>
    <cellStyle name="Followed Hyperlink" xfId="3601" builtinId="9" hidden="1"/>
    <cellStyle name="Followed Hyperlink" xfId="3603" builtinId="9" hidden="1"/>
    <cellStyle name="Followed Hyperlink" xfId="3605" builtinId="9" hidden="1"/>
    <cellStyle name="Followed Hyperlink" xfId="3607" builtinId="9" hidden="1"/>
    <cellStyle name="Followed Hyperlink" xfId="3609" builtinId="9" hidden="1"/>
    <cellStyle name="Followed Hyperlink" xfId="3611" builtinId="9" hidden="1"/>
    <cellStyle name="Followed Hyperlink" xfId="3613" builtinId="9" hidden="1"/>
    <cellStyle name="Followed Hyperlink" xfId="3615" builtinId="9" hidden="1"/>
    <cellStyle name="Followed Hyperlink" xfId="3617" builtinId="9" hidden="1"/>
    <cellStyle name="Followed Hyperlink" xfId="3619" builtinId="9" hidden="1"/>
    <cellStyle name="Followed Hyperlink" xfId="3621" builtinId="9" hidden="1"/>
    <cellStyle name="Followed Hyperlink" xfId="3623" builtinId="9" hidden="1"/>
    <cellStyle name="Followed Hyperlink" xfId="3625" builtinId="9" hidden="1"/>
    <cellStyle name="Followed Hyperlink" xfId="3627" builtinId="9" hidden="1"/>
    <cellStyle name="Followed Hyperlink" xfId="3629" builtinId="9" hidden="1"/>
    <cellStyle name="Followed Hyperlink" xfId="3631" builtinId="9" hidden="1"/>
    <cellStyle name="Followed Hyperlink" xfId="3633" builtinId="9" hidden="1"/>
    <cellStyle name="Followed Hyperlink" xfId="3635" builtinId="9" hidden="1"/>
    <cellStyle name="Followed Hyperlink" xfId="3637" builtinId="9" hidden="1"/>
    <cellStyle name="Followed Hyperlink" xfId="3639" builtinId="9" hidden="1"/>
    <cellStyle name="Followed Hyperlink" xfId="3641" builtinId="9" hidden="1"/>
    <cellStyle name="Followed Hyperlink" xfId="3643" builtinId="9" hidden="1"/>
    <cellStyle name="Followed Hyperlink" xfId="3645" builtinId="9" hidden="1"/>
    <cellStyle name="Followed Hyperlink" xfId="3647" builtinId="9" hidden="1"/>
    <cellStyle name="Followed Hyperlink" xfId="3649" builtinId="9" hidden="1"/>
    <cellStyle name="Followed Hyperlink" xfId="3651" builtinId="9" hidden="1"/>
    <cellStyle name="Followed Hyperlink" xfId="3653"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Hyperlink" xfId="719" builtinId="8" hidden="1"/>
    <cellStyle name="Hyperlink" xfId="721" builtinId="8" hidden="1"/>
    <cellStyle name="Hyperlink" xfId="723" builtinId="8" hidden="1"/>
    <cellStyle name="Hyperlink" xfId="725" builtinId="8" hidden="1"/>
    <cellStyle name="Hyperlink" xfId="727" builtinId="8" hidden="1"/>
    <cellStyle name="Hyperlink" xfId="729" builtinId="8" hidden="1"/>
    <cellStyle name="Hyperlink" xfId="731" builtinId="8" hidden="1"/>
    <cellStyle name="Hyperlink" xfId="733" builtinId="8" hidden="1"/>
    <cellStyle name="Hyperlink" xfId="735" builtinId="8" hidden="1"/>
    <cellStyle name="Hyperlink" xfId="737" builtinId="8" hidden="1"/>
    <cellStyle name="Hyperlink" xfId="739" builtinId="8" hidden="1"/>
    <cellStyle name="Hyperlink" xfId="741" builtinId="8" hidden="1"/>
    <cellStyle name="Hyperlink" xfId="743" builtinId="8" hidden="1"/>
    <cellStyle name="Hyperlink" xfId="745" builtinId="8" hidden="1"/>
    <cellStyle name="Hyperlink" xfId="747" builtinId="8" hidden="1"/>
    <cellStyle name="Hyperlink" xfId="749" builtinId="8" hidden="1"/>
    <cellStyle name="Hyperlink" xfId="751" builtinId="8" hidden="1"/>
    <cellStyle name="Hyperlink" xfId="753" builtinId="8" hidden="1"/>
    <cellStyle name="Hyperlink" xfId="755" builtinId="8" hidden="1"/>
    <cellStyle name="Hyperlink" xfId="757" builtinId="8" hidden="1"/>
    <cellStyle name="Hyperlink" xfId="759" builtinId="8" hidden="1"/>
    <cellStyle name="Hyperlink" xfId="761" builtinId="8" hidden="1"/>
    <cellStyle name="Hyperlink" xfId="763" builtinId="8" hidden="1"/>
    <cellStyle name="Hyperlink" xfId="765" builtinId="8" hidden="1"/>
    <cellStyle name="Hyperlink" xfId="767" builtinId="8" hidden="1"/>
    <cellStyle name="Hyperlink" xfId="769" builtinId="8" hidden="1"/>
    <cellStyle name="Hyperlink" xfId="771" builtinId="8" hidden="1"/>
    <cellStyle name="Hyperlink" xfId="773" builtinId="8" hidden="1"/>
    <cellStyle name="Hyperlink" xfId="775" builtinId="8" hidden="1"/>
    <cellStyle name="Hyperlink" xfId="777" builtinId="8" hidden="1"/>
    <cellStyle name="Hyperlink" xfId="779" builtinId="8" hidden="1"/>
    <cellStyle name="Hyperlink" xfId="781" builtinId="8" hidden="1"/>
    <cellStyle name="Hyperlink" xfId="783" builtinId="8" hidden="1"/>
    <cellStyle name="Hyperlink" xfId="785" builtinId="8" hidden="1"/>
    <cellStyle name="Hyperlink" xfId="787" builtinId="8" hidden="1"/>
    <cellStyle name="Hyperlink" xfId="789" builtinId="8" hidden="1"/>
    <cellStyle name="Hyperlink" xfId="791" builtinId="8" hidden="1"/>
    <cellStyle name="Hyperlink" xfId="793" builtinId="8" hidden="1"/>
    <cellStyle name="Hyperlink" xfId="795" builtinId="8" hidden="1"/>
    <cellStyle name="Hyperlink" xfId="797" builtinId="8" hidden="1"/>
    <cellStyle name="Hyperlink" xfId="799" builtinId="8" hidden="1"/>
    <cellStyle name="Hyperlink" xfId="801" builtinId="8" hidden="1"/>
    <cellStyle name="Hyperlink" xfId="803" builtinId="8" hidden="1"/>
    <cellStyle name="Hyperlink" xfId="805" builtinId="8" hidden="1"/>
    <cellStyle name="Hyperlink" xfId="807" builtinId="8" hidden="1"/>
    <cellStyle name="Hyperlink" xfId="809" builtinId="8" hidden="1"/>
    <cellStyle name="Hyperlink" xfId="811" builtinId="8" hidden="1"/>
    <cellStyle name="Hyperlink" xfId="813" builtinId="8" hidden="1"/>
    <cellStyle name="Hyperlink" xfId="815" builtinId="8" hidden="1"/>
    <cellStyle name="Hyperlink" xfId="817" builtinId="8" hidden="1"/>
    <cellStyle name="Hyperlink" xfId="819" builtinId="8" hidden="1"/>
    <cellStyle name="Hyperlink" xfId="821" builtinId="8" hidden="1"/>
    <cellStyle name="Hyperlink" xfId="823" builtinId="8" hidden="1"/>
    <cellStyle name="Hyperlink" xfId="825" builtinId="8" hidden="1"/>
    <cellStyle name="Hyperlink" xfId="827" builtinId="8" hidden="1"/>
    <cellStyle name="Hyperlink" xfId="829" builtinId="8" hidden="1"/>
    <cellStyle name="Hyperlink" xfId="831" builtinId="8" hidden="1"/>
    <cellStyle name="Hyperlink" xfId="833" builtinId="8" hidden="1"/>
    <cellStyle name="Hyperlink" xfId="835" builtinId="8" hidden="1"/>
    <cellStyle name="Hyperlink" xfId="837" builtinId="8" hidden="1"/>
    <cellStyle name="Hyperlink" xfId="839" builtinId="8" hidden="1"/>
    <cellStyle name="Hyperlink" xfId="841" builtinId="8" hidden="1"/>
    <cellStyle name="Hyperlink" xfId="843" builtinId="8" hidden="1"/>
    <cellStyle name="Hyperlink" xfId="845" builtinId="8" hidden="1"/>
    <cellStyle name="Hyperlink" xfId="847" builtinId="8" hidden="1"/>
    <cellStyle name="Hyperlink" xfId="849" builtinId="8" hidden="1"/>
    <cellStyle name="Hyperlink" xfId="851" builtinId="8" hidden="1"/>
    <cellStyle name="Hyperlink" xfId="853" builtinId="8" hidden="1"/>
    <cellStyle name="Hyperlink" xfId="855" builtinId="8" hidden="1"/>
    <cellStyle name="Hyperlink" xfId="857" builtinId="8" hidden="1"/>
    <cellStyle name="Hyperlink" xfId="859" builtinId="8" hidden="1"/>
    <cellStyle name="Hyperlink" xfId="861" builtinId="8" hidden="1"/>
    <cellStyle name="Hyperlink" xfId="863" builtinId="8" hidden="1"/>
    <cellStyle name="Hyperlink" xfId="865" builtinId="8" hidden="1"/>
    <cellStyle name="Hyperlink" xfId="867" builtinId="8" hidden="1"/>
    <cellStyle name="Hyperlink" xfId="869" builtinId="8" hidden="1"/>
    <cellStyle name="Hyperlink" xfId="871" builtinId="8" hidden="1"/>
    <cellStyle name="Hyperlink" xfId="873" builtinId="8" hidden="1"/>
    <cellStyle name="Hyperlink" xfId="875" builtinId="8" hidden="1"/>
    <cellStyle name="Hyperlink" xfId="877" builtinId="8" hidden="1"/>
    <cellStyle name="Hyperlink" xfId="879" builtinId="8" hidden="1"/>
    <cellStyle name="Hyperlink" xfId="881" builtinId="8" hidden="1"/>
    <cellStyle name="Hyperlink" xfId="883" builtinId="8" hidden="1"/>
    <cellStyle name="Hyperlink" xfId="885" builtinId="8" hidden="1"/>
    <cellStyle name="Hyperlink" xfId="887" builtinId="8" hidden="1"/>
    <cellStyle name="Hyperlink" xfId="889" builtinId="8" hidden="1"/>
    <cellStyle name="Hyperlink" xfId="891" builtinId="8" hidden="1"/>
    <cellStyle name="Hyperlink" xfId="893" builtinId="8" hidden="1"/>
    <cellStyle name="Hyperlink" xfId="895" builtinId="8" hidden="1"/>
    <cellStyle name="Hyperlink" xfId="897" builtinId="8" hidden="1"/>
    <cellStyle name="Hyperlink" xfId="899" builtinId="8" hidden="1"/>
    <cellStyle name="Hyperlink" xfId="901" builtinId="8" hidden="1"/>
    <cellStyle name="Hyperlink" xfId="903" builtinId="8" hidden="1"/>
    <cellStyle name="Hyperlink" xfId="905" builtinId="8" hidden="1"/>
    <cellStyle name="Hyperlink" xfId="907" builtinId="8" hidden="1"/>
    <cellStyle name="Hyperlink" xfId="909" builtinId="8" hidden="1"/>
    <cellStyle name="Hyperlink" xfId="911" builtinId="8" hidden="1"/>
    <cellStyle name="Hyperlink" xfId="913" builtinId="8" hidden="1"/>
    <cellStyle name="Hyperlink" xfId="915" builtinId="8" hidden="1"/>
    <cellStyle name="Hyperlink" xfId="917" builtinId="8" hidden="1"/>
    <cellStyle name="Hyperlink" xfId="919" builtinId="8" hidden="1"/>
    <cellStyle name="Hyperlink" xfId="921" builtinId="8" hidden="1"/>
    <cellStyle name="Hyperlink" xfId="923" builtinId="8" hidden="1"/>
    <cellStyle name="Hyperlink" xfId="925" builtinId="8" hidden="1"/>
    <cellStyle name="Hyperlink" xfId="927" builtinId="8" hidden="1"/>
    <cellStyle name="Hyperlink" xfId="929" builtinId="8" hidden="1"/>
    <cellStyle name="Hyperlink" xfId="931" builtinId="8" hidden="1"/>
    <cellStyle name="Hyperlink" xfId="933" builtinId="8" hidden="1"/>
    <cellStyle name="Hyperlink" xfId="935" builtinId="8" hidden="1"/>
    <cellStyle name="Hyperlink" xfId="937" builtinId="8" hidden="1"/>
    <cellStyle name="Hyperlink" xfId="939" builtinId="8" hidden="1"/>
    <cellStyle name="Hyperlink" xfId="941" builtinId="8" hidden="1"/>
    <cellStyle name="Hyperlink" xfId="943" builtinId="8" hidden="1"/>
    <cellStyle name="Hyperlink" xfId="945" builtinId="8" hidden="1"/>
    <cellStyle name="Hyperlink" xfId="947" builtinId="8" hidden="1"/>
    <cellStyle name="Hyperlink" xfId="949" builtinId="8" hidden="1"/>
    <cellStyle name="Hyperlink" xfId="951" builtinId="8" hidden="1"/>
    <cellStyle name="Hyperlink" xfId="953" builtinId="8" hidden="1"/>
    <cellStyle name="Hyperlink" xfId="955" builtinId="8" hidden="1"/>
    <cellStyle name="Hyperlink" xfId="957" builtinId="8" hidden="1"/>
    <cellStyle name="Hyperlink" xfId="959" builtinId="8" hidden="1"/>
    <cellStyle name="Hyperlink" xfId="961" builtinId="8" hidden="1"/>
    <cellStyle name="Hyperlink" xfId="963" builtinId="8" hidden="1"/>
    <cellStyle name="Hyperlink" xfId="965" builtinId="8" hidden="1"/>
    <cellStyle name="Hyperlink" xfId="967" builtinId="8" hidden="1"/>
    <cellStyle name="Hyperlink" xfId="969" builtinId="8" hidden="1"/>
    <cellStyle name="Hyperlink" xfId="972" builtinId="8" hidden="1"/>
    <cellStyle name="Hyperlink" xfId="974" builtinId="8" hidden="1"/>
    <cellStyle name="Hyperlink" xfId="976" builtinId="8" hidden="1"/>
    <cellStyle name="Hyperlink" xfId="978" builtinId="8" hidden="1"/>
    <cellStyle name="Hyperlink" xfId="980" builtinId="8" hidden="1"/>
    <cellStyle name="Hyperlink" xfId="982" builtinId="8" hidden="1"/>
    <cellStyle name="Hyperlink" xfId="984" builtinId="8" hidden="1"/>
    <cellStyle name="Hyperlink" xfId="986" builtinId="8" hidden="1"/>
    <cellStyle name="Hyperlink" xfId="988" builtinId="8" hidden="1"/>
    <cellStyle name="Hyperlink" xfId="990" builtinId="8" hidden="1"/>
    <cellStyle name="Hyperlink" xfId="992" builtinId="8" hidden="1"/>
    <cellStyle name="Hyperlink" xfId="994" builtinId="8" hidden="1"/>
    <cellStyle name="Hyperlink" xfId="996" builtinId="8" hidden="1"/>
    <cellStyle name="Hyperlink" xfId="998" builtinId="8" hidden="1"/>
    <cellStyle name="Hyperlink" xfId="1000" builtinId="8" hidden="1"/>
    <cellStyle name="Hyperlink" xfId="1002" builtinId="8" hidden="1"/>
    <cellStyle name="Hyperlink" xfId="1004" builtinId="8" hidden="1"/>
    <cellStyle name="Hyperlink" xfId="1006" builtinId="8" hidden="1"/>
    <cellStyle name="Hyperlink" xfId="1008" builtinId="8" hidden="1"/>
    <cellStyle name="Hyperlink" xfId="1010" builtinId="8" hidden="1"/>
    <cellStyle name="Hyperlink" xfId="1012" builtinId="8" hidden="1"/>
    <cellStyle name="Hyperlink" xfId="1014" builtinId="8" hidden="1"/>
    <cellStyle name="Hyperlink" xfId="1016" builtinId="8" hidden="1"/>
    <cellStyle name="Hyperlink" xfId="1018" builtinId="8" hidden="1"/>
    <cellStyle name="Hyperlink" xfId="1020" builtinId="8" hidden="1"/>
    <cellStyle name="Hyperlink" xfId="1022" builtinId="8" hidden="1"/>
    <cellStyle name="Hyperlink" xfId="1024" builtinId="8" hidden="1"/>
    <cellStyle name="Hyperlink" xfId="1026" builtinId="8" hidden="1"/>
    <cellStyle name="Hyperlink" xfId="1028" builtinId="8" hidden="1"/>
    <cellStyle name="Hyperlink" xfId="1030" builtinId="8" hidden="1"/>
    <cellStyle name="Hyperlink" xfId="1032" builtinId="8" hidden="1"/>
    <cellStyle name="Hyperlink" xfId="1034" builtinId="8" hidden="1"/>
    <cellStyle name="Hyperlink" xfId="1036" builtinId="8" hidden="1"/>
    <cellStyle name="Hyperlink" xfId="1038" builtinId="8" hidden="1"/>
    <cellStyle name="Hyperlink" xfId="1040" builtinId="8" hidden="1"/>
    <cellStyle name="Hyperlink" xfId="1042" builtinId="8" hidden="1"/>
    <cellStyle name="Hyperlink" xfId="1044" builtinId="8" hidden="1"/>
    <cellStyle name="Hyperlink" xfId="1046" builtinId="8" hidden="1"/>
    <cellStyle name="Hyperlink" xfId="1048" builtinId="8" hidden="1"/>
    <cellStyle name="Hyperlink" xfId="1050" builtinId="8" hidden="1"/>
    <cellStyle name="Hyperlink" xfId="1052" builtinId="8" hidden="1"/>
    <cellStyle name="Hyperlink" xfId="1054" builtinId="8" hidden="1"/>
    <cellStyle name="Hyperlink" xfId="1056" builtinId="8" hidden="1"/>
    <cellStyle name="Hyperlink" xfId="1058" builtinId="8" hidden="1"/>
    <cellStyle name="Hyperlink" xfId="1060" builtinId="8" hidden="1"/>
    <cellStyle name="Hyperlink" xfId="1062" builtinId="8" hidden="1"/>
    <cellStyle name="Hyperlink" xfId="1064" builtinId="8" hidden="1"/>
    <cellStyle name="Hyperlink" xfId="1066" builtinId="8" hidden="1"/>
    <cellStyle name="Hyperlink" xfId="1068" builtinId="8" hidden="1"/>
    <cellStyle name="Hyperlink" xfId="1070" builtinId="8" hidden="1"/>
    <cellStyle name="Hyperlink" xfId="1072" builtinId="8" hidden="1"/>
    <cellStyle name="Hyperlink" xfId="1074" builtinId="8" hidden="1"/>
    <cellStyle name="Hyperlink" xfId="1076" builtinId="8" hidden="1"/>
    <cellStyle name="Hyperlink" xfId="1078" builtinId="8" hidden="1"/>
    <cellStyle name="Hyperlink" xfId="1080" builtinId="8" hidden="1"/>
    <cellStyle name="Hyperlink" xfId="1082" builtinId="8" hidden="1"/>
    <cellStyle name="Hyperlink" xfId="1084" builtinId="8" hidden="1"/>
    <cellStyle name="Hyperlink" xfId="1086" builtinId="8" hidden="1"/>
    <cellStyle name="Hyperlink" xfId="1088" builtinId="8" hidden="1"/>
    <cellStyle name="Hyperlink" xfId="1090" builtinId="8" hidden="1"/>
    <cellStyle name="Hyperlink" xfId="1092" builtinId="8" hidden="1"/>
    <cellStyle name="Hyperlink" xfId="1094" builtinId="8" hidden="1"/>
    <cellStyle name="Hyperlink" xfId="1096" builtinId="8" hidden="1"/>
    <cellStyle name="Hyperlink" xfId="1098" builtinId="8" hidden="1"/>
    <cellStyle name="Hyperlink" xfId="1100" builtinId="8" hidden="1"/>
    <cellStyle name="Hyperlink" xfId="1102" builtinId="8" hidden="1"/>
    <cellStyle name="Hyperlink" xfId="1104" builtinId="8" hidden="1"/>
    <cellStyle name="Hyperlink" xfId="1106" builtinId="8" hidden="1"/>
    <cellStyle name="Hyperlink" xfId="1108" builtinId="8" hidden="1"/>
    <cellStyle name="Hyperlink" xfId="1110" builtinId="8" hidden="1"/>
    <cellStyle name="Hyperlink" xfId="1112" builtinId="8" hidden="1"/>
    <cellStyle name="Hyperlink" xfId="1114" builtinId="8" hidden="1"/>
    <cellStyle name="Hyperlink" xfId="1116" builtinId="8" hidden="1"/>
    <cellStyle name="Hyperlink" xfId="1118" builtinId="8" hidden="1"/>
    <cellStyle name="Hyperlink" xfId="1120" builtinId="8" hidden="1"/>
    <cellStyle name="Hyperlink" xfId="1122" builtinId="8" hidden="1"/>
    <cellStyle name="Hyperlink" xfId="1124" builtinId="8" hidden="1"/>
    <cellStyle name="Hyperlink" xfId="1126" builtinId="8" hidden="1"/>
    <cellStyle name="Hyperlink" xfId="1128" builtinId="8" hidden="1"/>
    <cellStyle name="Hyperlink" xfId="1130" builtinId="8" hidden="1"/>
    <cellStyle name="Hyperlink" xfId="1132" builtinId="8" hidden="1"/>
    <cellStyle name="Hyperlink" xfId="1134" builtinId="8" hidden="1"/>
    <cellStyle name="Hyperlink" xfId="1136" builtinId="8" hidden="1"/>
    <cellStyle name="Hyperlink" xfId="1138" builtinId="8" hidden="1"/>
    <cellStyle name="Hyperlink" xfId="1140" builtinId="8" hidden="1"/>
    <cellStyle name="Hyperlink" xfId="1142" builtinId="8" hidden="1"/>
    <cellStyle name="Hyperlink" xfId="1144" builtinId="8" hidden="1"/>
    <cellStyle name="Hyperlink" xfId="1146" builtinId="8" hidden="1"/>
    <cellStyle name="Hyperlink" xfId="1148" builtinId="8" hidden="1"/>
    <cellStyle name="Hyperlink" xfId="1150" builtinId="8" hidden="1"/>
    <cellStyle name="Hyperlink" xfId="1152" builtinId="8" hidden="1"/>
    <cellStyle name="Hyperlink" xfId="1154" builtinId="8" hidden="1"/>
    <cellStyle name="Hyperlink" xfId="1156" builtinId="8" hidden="1"/>
    <cellStyle name="Hyperlink" xfId="1158" builtinId="8" hidden="1"/>
    <cellStyle name="Hyperlink" xfId="1160" builtinId="8" hidden="1"/>
    <cellStyle name="Hyperlink" xfId="1162" builtinId="8" hidden="1"/>
    <cellStyle name="Hyperlink" xfId="1164" builtinId="8" hidden="1"/>
    <cellStyle name="Hyperlink" xfId="1166" builtinId="8" hidden="1"/>
    <cellStyle name="Hyperlink" xfId="1168" builtinId="8" hidden="1"/>
    <cellStyle name="Hyperlink" xfId="1170" builtinId="8" hidden="1"/>
    <cellStyle name="Hyperlink" xfId="1172" builtinId="8" hidden="1"/>
    <cellStyle name="Hyperlink" xfId="1174" builtinId="8" hidden="1"/>
    <cellStyle name="Hyperlink" xfId="1176" builtinId="8" hidden="1"/>
    <cellStyle name="Hyperlink" xfId="1178" builtinId="8" hidden="1"/>
    <cellStyle name="Hyperlink" xfId="1180" builtinId="8" hidden="1"/>
    <cellStyle name="Hyperlink" xfId="1182" builtinId="8" hidden="1"/>
    <cellStyle name="Hyperlink" xfId="1184" builtinId="8" hidden="1"/>
    <cellStyle name="Hyperlink" xfId="1186" builtinId="8" hidden="1"/>
    <cellStyle name="Hyperlink" xfId="1188" builtinId="8" hidden="1"/>
    <cellStyle name="Hyperlink" xfId="1190" builtinId="8" hidden="1"/>
    <cellStyle name="Hyperlink" xfId="1192" builtinId="8" hidden="1"/>
    <cellStyle name="Hyperlink" xfId="1194" builtinId="8" hidden="1"/>
    <cellStyle name="Hyperlink" xfId="1196" builtinId="8" hidden="1"/>
    <cellStyle name="Hyperlink" xfId="1198" builtinId="8" hidden="1"/>
    <cellStyle name="Hyperlink" xfId="1200" builtinId="8" hidden="1"/>
    <cellStyle name="Hyperlink" xfId="1202" builtinId="8" hidden="1"/>
    <cellStyle name="Hyperlink" xfId="1204" builtinId="8" hidden="1"/>
    <cellStyle name="Hyperlink" xfId="1206" builtinId="8" hidden="1"/>
    <cellStyle name="Hyperlink" xfId="1208" builtinId="8" hidden="1"/>
    <cellStyle name="Hyperlink" xfId="1210" builtinId="8" hidden="1"/>
    <cellStyle name="Hyperlink" xfId="1212" builtinId="8" hidden="1"/>
    <cellStyle name="Hyperlink" xfId="1214" builtinId="8" hidden="1"/>
    <cellStyle name="Hyperlink" xfId="1216" builtinId="8" hidden="1"/>
    <cellStyle name="Hyperlink" xfId="1218" builtinId="8" hidden="1"/>
    <cellStyle name="Hyperlink" xfId="1220" builtinId="8" hidden="1"/>
    <cellStyle name="Hyperlink" xfId="1222" builtinId="8" hidden="1"/>
    <cellStyle name="Hyperlink" xfId="1224" builtinId="8" hidden="1"/>
    <cellStyle name="Hyperlink" xfId="1226" builtinId="8" hidden="1"/>
    <cellStyle name="Hyperlink" xfId="1228" builtinId="8" hidden="1"/>
    <cellStyle name="Hyperlink" xfId="1230" builtinId="8" hidden="1"/>
    <cellStyle name="Hyperlink" xfId="1232" builtinId="8" hidden="1"/>
    <cellStyle name="Hyperlink" xfId="1234" builtinId="8" hidden="1"/>
    <cellStyle name="Hyperlink" xfId="1236" builtinId="8" hidden="1"/>
    <cellStyle name="Hyperlink" xfId="1238" builtinId="8" hidden="1"/>
    <cellStyle name="Hyperlink" xfId="1240" builtinId="8" hidden="1"/>
    <cellStyle name="Hyperlink" xfId="1242" builtinId="8" hidden="1"/>
    <cellStyle name="Hyperlink" xfId="1244" builtinId="8" hidden="1"/>
    <cellStyle name="Hyperlink" xfId="1246" builtinId="8" hidden="1"/>
    <cellStyle name="Hyperlink" xfId="1248" builtinId="8" hidden="1"/>
    <cellStyle name="Hyperlink" xfId="1250" builtinId="8" hidden="1"/>
    <cellStyle name="Hyperlink" xfId="1252" builtinId="8" hidden="1"/>
    <cellStyle name="Hyperlink" xfId="1254" builtinId="8" hidden="1"/>
    <cellStyle name="Hyperlink" xfId="1256" builtinId="8" hidden="1"/>
    <cellStyle name="Hyperlink" xfId="1258" builtinId="8" hidden="1"/>
    <cellStyle name="Hyperlink" xfId="1260" builtinId="8" hidden="1"/>
    <cellStyle name="Hyperlink" xfId="1262" builtinId="8" hidden="1"/>
    <cellStyle name="Hyperlink" xfId="1264" builtinId="8" hidden="1"/>
    <cellStyle name="Hyperlink" xfId="1266" builtinId="8" hidden="1"/>
    <cellStyle name="Hyperlink" xfId="1268" builtinId="8" hidden="1"/>
    <cellStyle name="Hyperlink" xfId="1270" builtinId="8" hidden="1"/>
    <cellStyle name="Hyperlink" xfId="1272" builtinId="8" hidden="1"/>
    <cellStyle name="Hyperlink" xfId="1274" builtinId="8" hidden="1"/>
    <cellStyle name="Hyperlink" xfId="1276" builtinId="8" hidden="1"/>
    <cellStyle name="Hyperlink" xfId="1278" builtinId="8" hidden="1"/>
    <cellStyle name="Hyperlink" xfId="1280" builtinId="8" hidden="1"/>
    <cellStyle name="Hyperlink" xfId="1282" builtinId="8" hidden="1"/>
    <cellStyle name="Hyperlink" xfId="1284" builtinId="8" hidden="1"/>
    <cellStyle name="Hyperlink" xfId="1286" builtinId="8" hidden="1"/>
    <cellStyle name="Hyperlink" xfId="1288" builtinId="8" hidden="1"/>
    <cellStyle name="Hyperlink" xfId="1290" builtinId="8" hidden="1"/>
    <cellStyle name="Hyperlink" xfId="1292" builtinId="8" hidden="1"/>
    <cellStyle name="Hyperlink" xfId="1294" builtinId="8" hidden="1"/>
    <cellStyle name="Hyperlink" xfId="1296" builtinId="8" hidden="1"/>
    <cellStyle name="Hyperlink" xfId="1298" builtinId="8" hidden="1"/>
    <cellStyle name="Hyperlink" xfId="1300" builtinId="8" hidden="1"/>
    <cellStyle name="Hyperlink" xfId="1302" builtinId="8" hidden="1"/>
    <cellStyle name="Hyperlink" xfId="1304" builtinId="8" hidden="1"/>
    <cellStyle name="Hyperlink" xfId="1306" builtinId="8" hidden="1"/>
    <cellStyle name="Hyperlink" xfId="1308" builtinId="8" hidden="1"/>
    <cellStyle name="Hyperlink" xfId="1310" builtinId="8" hidden="1"/>
    <cellStyle name="Hyperlink" xfId="1312" builtinId="8" hidden="1"/>
    <cellStyle name="Hyperlink" xfId="1314" builtinId="8" hidden="1"/>
    <cellStyle name="Hyperlink" xfId="1316" builtinId="8" hidden="1"/>
    <cellStyle name="Hyperlink" xfId="1318" builtinId="8" hidden="1"/>
    <cellStyle name="Hyperlink" xfId="1320" builtinId="8" hidden="1"/>
    <cellStyle name="Hyperlink" xfId="1322" builtinId="8" hidden="1"/>
    <cellStyle name="Hyperlink" xfId="1324" builtinId="8" hidden="1"/>
    <cellStyle name="Hyperlink" xfId="1326" builtinId="8" hidden="1"/>
    <cellStyle name="Hyperlink" xfId="1328" builtinId="8" hidden="1"/>
    <cellStyle name="Hyperlink" xfId="1330" builtinId="8" hidden="1"/>
    <cellStyle name="Hyperlink" xfId="1332" builtinId="8" hidden="1"/>
    <cellStyle name="Hyperlink" xfId="1334" builtinId="8" hidden="1"/>
    <cellStyle name="Hyperlink" xfId="1336" builtinId="8" hidden="1"/>
    <cellStyle name="Hyperlink" xfId="1338" builtinId="8" hidden="1"/>
    <cellStyle name="Hyperlink" xfId="1340" builtinId="8" hidden="1"/>
    <cellStyle name="Hyperlink" xfId="1342" builtinId="8" hidden="1"/>
    <cellStyle name="Hyperlink" xfId="1344" builtinId="8" hidden="1"/>
    <cellStyle name="Hyperlink" xfId="1346" builtinId="8" hidden="1"/>
    <cellStyle name="Hyperlink" xfId="1348" builtinId="8" hidden="1"/>
    <cellStyle name="Hyperlink" xfId="1350" builtinId="8" hidden="1"/>
    <cellStyle name="Hyperlink" xfId="1352" builtinId="8" hidden="1"/>
    <cellStyle name="Hyperlink" xfId="1354" builtinId="8" hidden="1"/>
    <cellStyle name="Hyperlink" xfId="1356" builtinId="8" hidden="1"/>
    <cellStyle name="Hyperlink" xfId="1358" builtinId="8" hidden="1"/>
    <cellStyle name="Hyperlink" xfId="1360" builtinId="8" hidden="1"/>
    <cellStyle name="Hyperlink" xfId="1362" builtinId="8" hidden="1"/>
    <cellStyle name="Hyperlink" xfId="1364" builtinId="8" hidden="1"/>
    <cellStyle name="Hyperlink" xfId="1366" builtinId="8" hidden="1"/>
    <cellStyle name="Hyperlink" xfId="1368" builtinId="8" hidden="1"/>
    <cellStyle name="Hyperlink" xfId="1370" builtinId="8" hidden="1"/>
    <cellStyle name="Hyperlink" xfId="1372" builtinId="8" hidden="1"/>
    <cellStyle name="Hyperlink" xfId="1374" builtinId="8" hidden="1"/>
    <cellStyle name="Hyperlink" xfId="1376" builtinId="8" hidden="1"/>
    <cellStyle name="Hyperlink" xfId="1378" builtinId="8" hidden="1"/>
    <cellStyle name="Hyperlink" xfId="1380" builtinId="8" hidden="1"/>
    <cellStyle name="Hyperlink" xfId="1382" builtinId="8" hidden="1"/>
    <cellStyle name="Hyperlink" xfId="1384" builtinId="8" hidden="1"/>
    <cellStyle name="Hyperlink" xfId="1386" builtinId="8" hidden="1"/>
    <cellStyle name="Hyperlink" xfId="1388" builtinId="8" hidden="1"/>
    <cellStyle name="Hyperlink" xfId="1390" builtinId="8" hidden="1"/>
    <cellStyle name="Hyperlink" xfId="1392" builtinId="8" hidden="1"/>
    <cellStyle name="Hyperlink" xfId="1394" builtinId="8" hidden="1"/>
    <cellStyle name="Hyperlink" xfId="1396" builtinId="8" hidden="1"/>
    <cellStyle name="Hyperlink" xfId="1398" builtinId="8" hidden="1"/>
    <cellStyle name="Hyperlink" xfId="1400" builtinId="8" hidden="1"/>
    <cellStyle name="Hyperlink" xfId="1402" builtinId="8" hidden="1"/>
    <cellStyle name="Hyperlink" xfId="1404" builtinId="8" hidden="1"/>
    <cellStyle name="Hyperlink" xfId="1406" builtinId="8" hidden="1"/>
    <cellStyle name="Hyperlink" xfId="1408" builtinId="8" hidden="1"/>
    <cellStyle name="Hyperlink" xfId="1410" builtinId="8" hidden="1"/>
    <cellStyle name="Hyperlink" xfId="1412" builtinId="8" hidden="1"/>
    <cellStyle name="Hyperlink" xfId="1414" builtinId="8" hidden="1"/>
    <cellStyle name="Hyperlink" xfId="1416" builtinId="8" hidden="1"/>
    <cellStyle name="Hyperlink" xfId="1418" builtinId="8" hidden="1"/>
    <cellStyle name="Hyperlink" xfId="1420" builtinId="8" hidden="1"/>
    <cellStyle name="Hyperlink" xfId="1422" builtinId="8" hidden="1"/>
    <cellStyle name="Hyperlink" xfId="1424" builtinId="8" hidden="1"/>
    <cellStyle name="Hyperlink" xfId="1426" builtinId="8" hidden="1"/>
    <cellStyle name="Hyperlink" xfId="1428" builtinId="8" hidden="1"/>
    <cellStyle name="Hyperlink" xfId="1430" builtinId="8" hidden="1"/>
    <cellStyle name="Hyperlink" xfId="1432" builtinId="8" hidden="1"/>
    <cellStyle name="Hyperlink" xfId="1434" builtinId="8" hidden="1"/>
    <cellStyle name="Hyperlink" xfId="1436" builtinId="8" hidden="1"/>
    <cellStyle name="Hyperlink" xfId="1438" builtinId="8" hidden="1"/>
    <cellStyle name="Hyperlink" xfId="1440" builtinId="8" hidden="1"/>
    <cellStyle name="Hyperlink" xfId="1442" builtinId="8" hidden="1"/>
    <cellStyle name="Hyperlink" xfId="1444" builtinId="8" hidden="1"/>
    <cellStyle name="Hyperlink" xfId="1446" builtinId="8" hidden="1"/>
    <cellStyle name="Hyperlink" xfId="1448" builtinId="8" hidden="1"/>
    <cellStyle name="Hyperlink" xfId="1450" builtinId="8" hidden="1"/>
    <cellStyle name="Hyperlink" xfId="1452" builtinId="8" hidden="1"/>
    <cellStyle name="Hyperlink" xfId="1454" builtinId="8" hidden="1"/>
    <cellStyle name="Hyperlink" xfId="1456" builtinId="8" hidden="1"/>
    <cellStyle name="Hyperlink" xfId="1458" builtinId="8" hidden="1"/>
    <cellStyle name="Hyperlink" xfId="1460" builtinId="8" hidden="1"/>
    <cellStyle name="Hyperlink" xfId="1462" builtinId="8" hidden="1"/>
    <cellStyle name="Hyperlink" xfId="1464" builtinId="8" hidden="1"/>
    <cellStyle name="Hyperlink" xfId="1466" builtinId="8" hidden="1"/>
    <cellStyle name="Hyperlink" xfId="1468" builtinId="8" hidden="1"/>
    <cellStyle name="Hyperlink" xfId="1470" builtinId="8" hidden="1"/>
    <cellStyle name="Hyperlink" xfId="1472" builtinId="8" hidden="1"/>
    <cellStyle name="Hyperlink" xfId="1474" builtinId="8" hidden="1"/>
    <cellStyle name="Hyperlink" xfId="1476" builtinId="8" hidden="1"/>
    <cellStyle name="Hyperlink" xfId="1478" builtinId="8" hidden="1"/>
    <cellStyle name="Hyperlink" xfId="1480" builtinId="8" hidden="1"/>
    <cellStyle name="Hyperlink" xfId="1482" builtinId="8" hidden="1"/>
    <cellStyle name="Hyperlink" xfId="1484" builtinId="8" hidden="1"/>
    <cellStyle name="Hyperlink" xfId="1486" builtinId="8" hidden="1"/>
    <cellStyle name="Hyperlink" xfId="1488" builtinId="8" hidden="1"/>
    <cellStyle name="Hyperlink" xfId="1490" builtinId="8" hidden="1"/>
    <cellStyle name="Hyperlink" xfId="1492" builtinId="8" hidden="1"/>
    <cellStyle name="Hyperlink" xfId="1494" builtinId="8" hidden="1"/>
    <cellStyle name="Hyperlink" xfId="1496" builtinId="8" hidden="1"/>
    <cellStyle name="Hyperlink" xfId="1498" builtinId="8" hidden="1"/>
    <cellStyle name="Hyperlink" xfId="1500" builtinId="8" hidden="1"/>
    <cellStyle name="Hyperlink" xfId="1502" builtinId="8" hidden="1"/>
    <cellStyle name="Hyperlink" xfId="1504" builtinId="8" hidden="1"/>
    <cellStyle name="Hyperlink" xfId="1506" builtinId="8" hidden="1"/>
    <cellStyle name="Hyperlink" xfId="1508" builtinId="8" hidden="1"/>
    <cellStyle name="Hyperlink" xfId="1510" builtinId="8" hidden="1"/>
    <cellStyle name="Hyperlink" xfId="1512" builtinId="8" hidden="1"/>
    <cellStyle name="Hyperlink" xfId="1514" builtinId="8" hidden="1"/>
    <cellStyle name="Hyperlink" xfId="1516" builtinId="8" hidden="1"/>
    <cellStyle name="Hyperlink" xfId="1518" builtinId="8" hidden="1"/>
    <cellStyle name="Hyperlink" xfId="1520" builtinId="8" hidden="1"/>
    <cellStyle name="Hyperlink" xfId="1522" builtinId="8" hidden="1"/>
    <cellStyle name="Hyperlink" xfId="1524" builtinId="8" hidden="1"/>
    <cellStyle name="Hyperlink" xfId="1526" builtinId="8" hidden="1"/>
    <cellStyle name="Hyperlink" xfId="1528" builtinId="8" hidden="1"/>
    <cellStyle name="Hyperlink" xfId="1530" builtinId="8" hidden="1"/>
    <cellStyle name="Hyperlink" xfId="1532" builtinId="8" hidden="1"/>
    <cellStyle name="Hyperlink" xfId="1534" builtinId="8" hidden="1"/>
    <cellStyle name="Hyperlink" xfId="1536" builtinId="8" hidden="1"/>
    <cellStyle name="Hyperlink" xfId="1538" builtinId="8" hidden="1"/>
    <cellStyle name="Hyperlink" xfId="1540" builtinId="8" hidden="1"/>
    <cellStyle name="Hyperlink" xfId="1542" builtinId="8" hidden="1"/>
    <cellStyle name="Hyperlink" xfId="1544" builtinId="8" hidden="1"/>
    <cellStyle name="Hyperlink" xfId="1546" builtinId="8" hidden="1"/>
    <cellStyle name="Hyperlink" xfId="1548" builtinId="8" hidden="1"/>
    <cellStyle name="Hyperlink" xfId="1550" builtinId="8" hidden="1"/>
    <cellStyle name="Hyperlink" xfId="1552" builtinId="8" hidden="1"/>
    <cellStyle name="Hyperlink" xfId="1554" builtinId="8" hidden="1"/>
    <cellStyle name="Hyperlink" xfId="1556" builtinId="8" hidden="1"/>
    <cellStyle name="Hyperlink" xfId="1558" builtinId="8" hidden="1"/>
    <cellStyle name="Hyperlink" xfId="1560" builtinId="8" hidden="1"/>
    <cellStyle name="Hyperlink" xfId="1562" builtinId="8" hidden="1"/>
    <cellStyle name="Hyperlink" xfId="1564" builtinId="8" hidden="1"/>
    <cellStyle name="Hyperlink" xfId="1566" builtinId="8" hidden="1"/>
    <cellStyle name="Hyperlink" xfId="1568" builtinId="8" hidden="1"/>
    <cellStyle name="Hyperlink" xfId="1570" builtinId="8" hidden="1"/>
    <cellStyle name="Hyperlink" xfId="1572" builtinId="8" hidden="1"/>
    <cellStyle name="Hyperlink" xfId="1574" builtinId="8" hidden="1"/>
    <cellStyle name="Hyperlink" xfId="1576" builtinId="8" hidden="1"/>
    <cellStyle name="Hyperlink" xfId="1578" builtinId="8" hidden="1"/>
    <cellStyle name="Hyperlink" xfId="1580" builtinId="8" hidden="1"/>
    <cellStyle name="Hyperlink" xfId="1582" builtinId="8" hidden="1"/>
    <cellStyle name="Hyperlink" xfId="1584" builtinId="8" hidden="1"/>
    <cellStyle name="Hyperlink" xfId="1586" builtinId="8" hidden="1"/>
    <cellStyle name="Hyperlink" xfId="1588" builtinId="8" hidden="1"/>
    <cellStyle name="Hyperlink" xfId="1590" builtinId="8" hidden="1"/>
    <cellStyle name="Hyperlink" xfId="1592" builtinId="8" hidden="1"/>
    <cellStyle name="Hyperlink" xfId="1594" builtinId="8" hidden="1"/>
    <cellStyle name="Hyperlink" xfId="1596" builtinId="8" hidden="1"/>
    <cellStyle name="Hyperlink" xfId="1598" builtinId="8" hidden="1"/>
    <cellStyle name="Hyperlink" xfId="1600" builtinId="8" hidden="1"/>
    <cellStyle name="Hyperlink" xfId="1602" builtinId="8" hidden="1"/>
    <cellStyle name="Hyperlink" xfId="1604" builtinId="8" hidden="1"/>
    <cellStyle name="Hyperlink" xfId="1606" builtinId="8" hidden="1"/>
    <cellStyle name="Hyperlink" xfId="1608" builtinId="8" hidden="1"/>
    <cellStyle name="Hyperlink" xfId="1610" builtinId="8" hidden="1"/>
    <cellStyle name="Hyperlink" xfId="1612" builtinId="8" hidden="1"/>
    <cellStyle name="Hyperlink" xfId="1614" builtinId="8" hidden="1"/>
    <cellStyle name="Hyperlink" xfId="1616" builtinId="8" hidden="1"/>
    <cellStyle name="Hyperlink" xfId="1618" builtinId="8" hidden="1"/>
    <cellStyle name="Hyperlink" xfId="1620" builtinId="8" hidden="1"/>
    <cellStyle name="Hyperlink" xfId="1622" builtinId="8" hidden="1"/>
    <cellStyle name="Hyperlink" xfId="1624" builtinId="8" hidden="1"/>
    <cellStyle name="Hyperlink" xfId="1626" builtinId="8" hidden="1"/>
    <cellStyle name="Hyperlink" xfId="1628" builtinId="8" hidden="1"/>
    <cellStyle name="Hyperlink" xfId="1630" builtinId="8" hidden="1"/>
    <cellStyle name="Hyperlink" xfId="1632" builtinId="8" hidden="1"/>
    <cellStyle name="Hyperlink" xfId="1634" builtinId="8" hidden="1"/>
    <cellStyle name="Hyperlink" xfId="1636" builtinId="8" hidden="1"/>
    <cellStyle name="Hyperlink" xfId="1638" builtinId="8" hidden="1"/>
    <cellStyle name="Hyperlink" xfId="1640" builtinId="8" hidden="1"/>
    <cellStyle name="Hyperlink" xfId="1642" builtinId="8" hidden="1"/>
    <cellStyle name="Hyperlink" xfId="1644" builtinId="8" hidden="1"/>
    <cellStyle name="Hyperlink" xfId="1646" builtinId="8" hidden="1"/>
    <cellStyle name="Hyperlink" xfId="1648" builtinId="8" hidden="1"/>
    <cellStyle name="Hyperlink" xfId="1650" builtinId="8" hidden="1"/>
    <cellStyle name="Hyperlink" xfId="1652" builtinId="8" hidden="1"/>
    <cellStyle name="Hyperlink" xfId="1654" builtinId="8" hidden="1"/>
    <cellStyle name="Hyperlink" xfId="1656" builtinId="8" hidden="1"/>
    <cellStyle name="Hyperlink" xfId="1658" builtinId="8" hidden="1"/>
    <cellStyle name="Hyperlink" xfId="1660" builtinId="8" hidden="1"/>
    <cellStyle name="Hyperlink" xfId="1662" builtinId="8" hidden="1"/>
    <cellStyle name="Hyperlink" xfId="1664" builtinId="8" hidden="1"/>
    <cellStyle name="Hyperlink" xfId="1666" builtinId="8" hidden="1"/>
    <cellStyle name="Hyperlink" xfId="1668" builtinId="8" hidden="1"/>
    <cellStyle name="Hyperlink" xfId="1670" builtinId="8" hidden="1"/>
    <cellStyle name="Hyperlink" xfId="1672" builtinId="8" hidden="1"/>
    <cellStyle name="Hyperlink" xfId="1674" builtinId="8" hidden="1"/>
    <cellStyle name="Hyperlink" xfId="1676" builtinId="8" hidden="1"/>
    <cellStyle name="Hyperlink" xfId="1678" builtinId="8" hidden="1"/>
    <cellStyle name="Hyperlink" xfId="1680" builtinId="8" hidden="1"/>
    <cellStyle name="Hyperlink" xfId="1682" builtinId="8" hidden="1"/>
    <cellStyle name="Hyperlink" xfId="1684" builtinId="8" hidden="1"/>
    <cellStyle name="Hyperlink" xfId="1686" builtinId="8" hidden="1"/>
    <cellStyle name="Hyperlink" xfId="1688" builtinId="8" hidden="1"/>
    <cellStyle name="Hyperlink" xfId="1690" builtinId="8" hidden="1"/>
    <cellStyle name="Hyperlink" xfId="1692" builtinId="8" hidden="1"/>
    <cellStyle name="Hyperlink" xfId="1694" builtinId="8" hidden="1"/>
    <cellStyle name="Hyperlink" xfId="1696" builtinId="8" hidden="1"/>
    <cellStyle name="Hyperlink" xfId="1698" builtinId="8" hidden="1"/>
    <cellStyle name="Hyperlink" xfId="1700" builtinId="8" hidden="1"/>
    <cellStyle name="Hyperlink" xfId="1702" builtinId="8" hidden="1"/>
    <cellStyle name="Hyperlink" xfId="1704" builtinId="8" hidden="1"/>
    <cellStyle name="Hyperlink" xfId="1706" builtinId="8" hidden="1"/>
    <cellStyle name="Hyperlink" xfId="1708" builtinId="8" hidden="1"/>
    <cellStyle name="Hyperlink" xfId="1710" builtinId="8" hidden="1"/>
    <cellStyle name="Hyperlink" xfId="1712" builtinId="8" hidden="1"/>
    <cellStyle name="Hyperlink" xfId="1714" builtinId="8" hidden="1"/>
    <cellStyle name="Hyperlink" xfId="1716" builtinId="8" hidden="1"/>
    <cellStyle name="Hyperlink" xfId="1718" builtinId="8" hidden="1"/>
    <cellStyle name="Hyperlink" xfId="1720" builtinId="8" hidden="1"/>
    <cellStyle name="Hyperlink" xfId="1722" builtinId="8" hidden="1"/>
    <cellStyle name="Hyperlink" xfId="1724" builtinId="8" hidden="1"/>
    <cellStyle name="Hyperlink" xfId="1726" builtinId="8" hidden="1"/>
    <cellStyle name="Hyperlink" xfId="1728" builtinId="8" hidden="1"/>
    <cellStyle name="Hyperlink" xfId="1730" builtinId="8" hidden="1"/>
    <cellStyle name="Hyperlink" xfId="1732" builtinId="8" hidden="1"/>
    <cellStyle name="Hyperlink" xfId="1734" builtinId="8" hidden="1"/>
    <cellStyle name="Hyperlink" xfId="1736" builtinId="8" hidden="1"/>
    <cellStyle name="Hyperlink" xfId="1738" builtinId="8" hidden="1"/>
    <cellStyle name="Hyperlink" xfId="1740" builtinId="8" hidden="1"/>
    <cellStyle name="Hyperlink" xfId="1742" builtinId="8" hidden="1"/>
    <cellStyle name="Hyperlink" xfId="1744" builtinId="8" hidden="1"/>
    <cellStyle name="Hyperlink" xfId="1746" builtinId="8" hidden="1"/>
    <cellStyle name="Hyperlink" xfId="1748" builtinId="8" hidden="1"/>
    <cellStyle name="Hyperlink" xfId="1750" builtinId="8" hidden="1"/>
    <cellStyle name="Hyperlink" xfId="1752" builtinId="8" hidden="1"/>
    <cellStyle name="Hyperlink" xfId="1754" builtinId="8" hidden="1"/>
    <cellStyle name="Hyperlink" xfId="1756" builtinId="8" hidden="1"/>
    <cellStyle name="Hyperlink" xfId="1758" builtinId="8" hidden="1"/>
    <cellStyle name="Hyperlink" xfId="1760" builtinId="8" hidden="1"/>
    <cellStyle name="Hyperlink" xfId="1762" builtinId="8" hidden="1"/>
    <cellStyle name="Hyperlink" xfId="1764" builtinId="8" hidden="1"/>
    <cellStyle name="Hyperlink" xfId="1766" builtinId="8" hidden="1"/>
    <cellStyle name="Hyperlink" xfId="1768" builtinId="8" hidden="1"/>
    <cellStyle name="Hyperlink" xfId="1770" builtinId="8" hidden="1"/>
    <cellStyle name="Hyperlink" xfId="1772" builtinId="8" hidden="1"/>
    <cellStyle name="Hyperlink" xfId="1774" builtinId="8" hidden="1"/>
    <cellStyle name="Hyperlink" xfId="1776" builtinId="8" hidden="1"/>
    <cellStyle name="Hyperlink" xfId="1778" builtinId="8" hidden="1"/>
    <cellStyle name="Hyperlink" xfId="1780" builtinId="8" hidden="1"/>
    <cellStyle name="Hyperlink" xfId="1782" builtinId="8" hidden="1"/>
    <cellStyle name="Hyperlink" xfId="1784" builtinId="8" hidden="1"/>
    <cellStyle name="Hyperlink" xfId="1786" builtinId="8" hidden="1"/>
    <cellStyle name="Hyperlink" xfId="1788" builtinId="8" hidden="1"/>
    <cellStyle name="Hyperlink" xfId="1790" builtinId="8" hidden="1"/>
    <cellStyle name="Hyperlink" xfId="1792" builtinId="8" hidden="1"/>
    <cellStyle name="Hyperlink" xfId="1794" builtinId="8" hidden="1"/>
    <cellStyle name="Hyperlink" xfId="1796" builtinId="8" hidden="1"/>
    <cellStyle name="Hyperlink" xfId="1798" builtinId="8" hidden="1"/>
    <cellStyle name="Hyperlink" xfId="1800" builtinId="8" hidden="1"/>
    <cellStyle name="Hyperlink" xfId="1802" builtinId="8" hidden="1"/>
    <cellStyle name="Hyperlink" xfId="1804" builtinId="8" hidden="1"/>
    <cellStyle name="Hyperlink" xfId="1806" builtinId="8" hidden="1"/>
    <cellStyle name="Hyperlink" xfId="1808" builtinId="8" hidden="1"/>
    <cellStyle name="Hyperlink" xfId="1810" builtinId="8" hidden="1"/>
    <cellStyle name="Hyperlink" xfId="1812" builtinId="8" hidden="1"/>
    <cellStyle name="Hyperlink" xfId="1814" builtinId="8" hidden="1"/>
    <cellStyle name="Hyperlink" xfId="1816" builtinId="8" hidden="1"/>
    <cellStyle name="Hyperlink" xfId="1818" builtinId="8" hidden="1"/>
    <cellStyle name="Hyperlink" xfId="1820" builtinId="8" hidden="1"/>
    <cellStyle name="Hyperlink" xfId="1822" builtinId="8" hidden="1"/>
    <cellStyle name="Hyperlink" xfId="1824" builtinId="8" hidden="1"/>
    <cellStyle name="Hyperlink" xfId="1826" builtinId="8" hidden="1"/>
    <cellStyle name="Hyperlink" xfId="1828" builtinId="8" hidden="1"/>
    <cellStyle name="Hyperlink" xfId="1830" builtinId="8" hidden="1"/>
    <cellStyle name="Hyperlink" xfId="1832" builtinId="8" hidden="1"/>
    <cellStyle name="Hyperlink" xfId="1834" builtinId="8" hidden="1"/>
    <cellStyle name="Hyperlink" xfId="1836" builtinId="8" hidden="1"/>
    <cellStyle name="Hyperlink" xfId="1838" builtinId="8" hidden="1"/>
    <cellStyle name="Hyperlink" xfId="1840" builtinId="8" hidden="1"/>
    <cellStyle name="Hyperlink" xfId="1842" builtinId="8" hidden="1"/>
    <cellStyle name="Hyperlink" xfId="1844" builtinId="8" hidden="1"/>
    <cellStyle name="Hyperlink" xfId="1846" builtinId="8" hidden="1"/>
    <cellStyle name="Hyperlink" xfId="1848" builtinId="8" hidden="1"/>
    <cellStyle name="Hyperlink" xfId="1850" builtinId="8" hidden="1"/>
    <cellStyle name="Hyperlink" xfId="1852" builtinId="8" hidden="1"/>
    <cellStyle name="Hyperlink" xfId="1854" builtinId="8" hidden="1"/>
    <cellStyle name="Hyperlink" xfId="1856" builtinId="8" hidden="1"/>
    <cellStyle name="Hyperlink" xfId="1858" builtinId="8" hidden="1"/>
    <cellStyle name="Hyperlink" xfId="1860" builtinId="8" hidden="1"/>
    <cellStyle name="Hyperlink" xfId="1862" builtinId="8" hidden="1"/>
    <cellStyle name="Hyperlink" xfId="1864" builtinId="8" hidden="1"/>
    <cellStyle name="Hyperlink" xfId="1866" builtinId="8" hidden="1"/>
    <cellStyle name="Hyperlink" xfId="1868" builtinId="8" hidden="1"/>
    <cellStyle name="Hyperlink" xfId="1870" builtinId="8" hidden="1"/>
    <cellStyle name="Hyperlink" xfId="1872" builtinId="8" hidden="1"/>
    <cellStyle name="Hyperlink" xfId="1874" builtinId="8" hidden="1"/>
    <cellStyle name="Hyperlink" xfId="1876" builtinId="8" hidden="1"/>
    <cellStyle name="Hyperlink" xfId="1878" builtinId="8" hidden="1"/>
    <cellStyle name="Hyperlink" xfId="1880" builtinId="8" hidden="1"/>
    <cellStyle name="Hyperlink" xfId="1882" builtinId="8" hidden="1"/>
    <cellStyle name="Hyperlink" xfId="1884" builtinId="8" hidden="1"/>
    <cellStyle name="Hyperlink" xfId="1886" builtinId="8" hidden="1"/>
    <cellStyle name="Hyperlink" xfId="1888" builtinId="8" hidden="1"/>
    <cellStyle name="Hyperlink" xfId="1890" builtinId="8" hidden="1"/>
    <cellStyle name="Hyperlink" xfId="1892" builtinId="8" hidden="1"/>
    <cellStyle name="Hyperlink" xfId="1894" builtinId="8" hidden="1"/>
    <cellStyle name="Hyperlink" xfId="1896" builtinId="8" hidden="1"/>
    <cellStyle name="Hyperlink" xfId="1898" builtinId="8" hidden="1"/>
    <cellStyle name="Hyperlink" xfId="1900" builtinId="8" hidden="1"/>
    <cellStyle name="Hyperlink" xfId="1902" builtinId="8" hidden="1"/>
    <cellStyle name="Hyperlink" xfId="1904" builtinId="8" hidden="1"/>
    <cellStyle name="Hyperlink" xfId="1906" builtinId="8" hidden="1"/>
    <cellStyle name="Hyperlink" xfId="1908" builtinId="8" hidden="1"/>
    <cellStyle name="Hyperlink" xfId="1910" builtinId="8" hidden="1"/>
    <cellStyle name="Hyperlink" xfId="1912" builtinId="8" hidden="1"/>
    <cellStyle name="Hyperlink" xfId="1914" builtinId="8" hidden="1"/>
    <cellStyle name="Hyperlink" xfId="1916" builtinId="8" hidden="1"/>
    <cellStyle name="Hyperlink" xfId="1918" builtinId="8" hidden="1"/>
    <cellStyle name="Hyperlink" xfId="1920" builtinId="8" hidden="1"/>
    <cellStyle name="Hyperlink" xfId="1922" builtinId="8" hidden="1"/>
    <cellStyle name="Hyperlink" xfId="1924" builtinId="8" hidden="1"/>
    <cellStyle name="Hyperlink" xfId="1926" builtinId="8" hidden="1"/>
    <cellStyle name="Hyperlink" xfId="1928" builtinId="8" hidden="1"/>
    <cellStyle name="Hyperlink" xfId="1930" builtinId="8" hidden="1"/>
    <cellStyle name="Hyperlink" xfId="1932" builtinId="8" hidden="1"/>
    <cellStyle name="Hyperlink" xfId="1934" builtinId="8" hidden="1"/>
    <cellStyle name="Hyperlink" xfId="1936" builtinId="8" hidden="1"/>
    <cellStyle name="Hyperlink" xfId="1938" builtinId="8" hidden="1"/>
    <cellStyle name="Hyperlink" xfId="1940" builtinId="8" hidden="1"/>
    <cellStyle name="Hyperlink" xfId="1942" builtinId="8" hidden="1"/>
    <cellStyle name="Hyperlink" xfId="1944" builtinId="8" hidden="1"/>
    <cellStyle name="Hyperlink" xfId="1946" builtinId="8" hidden="1"/>
    <cellStyle name="Hyperlink" xfId="1948" builtinId="8" hidden="1"/>
    <cellStyle name="Hyperlink" xfId="1950" builtinId="8" hidden="1"/>
    <cellStyle name="Hyperlink" xfId="1952" builtinId="8" hidden="1"/>
    <cellStyle name="Hyperlink" xfId="1954" builtinId="8" hidden="1"/>
    <cellStyle name="Hyperlink" xfId="1956" builtinId="8" hidden="1"/>
    <cellStyle name="Hyperlink" xfId="1958" builtinId="8" hidden="1"/>
    <cellStyle name="Hyperlink" xfId="1960" builtinId="8" hidden="1"/>
    <cellStyle name="Hyperlink" xfId="1962" builtinId="8" hidden="1"/>
    <cellStyle name="Hyperlink" xfId="1964" builtinId="8" hidden="1"/>
    <cellStyle name="Hyperlink" xfId="1966" builtinId="8" hidden="1"/>
    <cellStyle name="Hyperlink" xfId="1968" builtinId="8" hidden="1"/>
    <cellStyle name="Hyperlink" xfId="1970" builtinId="8" hidden="1"/>
    <cellStyle name="Hyperlink" xfId="1972" builtinId="8" hidden="1"/>
    <cellStyle name="Hyperlink" xfId="1974" builtinId="8" hidden="1"/>
    <cellStyle name="Hyperlink" xfId="1976" builtinId="8" hidden="1"/>
    <cellStyle name="Hyperlink" xfId="1978" builtinId="8" hidden="1"/>
    <cellStyle name="Hyperlink" xfId="1980" builtinId="8" hidden="1"/>
    <cellStyle name="Hyperlink" xfId="1982" builtinId="8" hidden="1"/>
    <cellStyle name="Hyperlink" xfId="1984" builtinId="8" hidden="1"/>
    <cellStyle name="Hyperlink" xfId="1986" builtinId="8" hidden="1"/>
    <cellStyle name="Hyperlink" xfId="1988" builtinId="8" hidden="1"/>
    <cellStyle name="Hyperlink" xfId="1990" builtinId="8" hidden="1"/>
    <cellStyle name="Hyperlink" xfId="1992" builtinId="8" hidden="1"/>
    <cellStyle name="Hyperlink" xfId="1994" builtinId="8" hidden="1"/>
    <cellStyle name="Hyperlink" xfId="1996" builtinId="8" hidden="1"/>
    <cellStyle name="Hyperlink" xfId="1998" builtinId="8" hidden="1"/>
    <cellStyle name="Hyperlink" xfId="2000" builtinId="8" hidden="1"/>
    <cellStyle name="Hyperlink" xfId="2002" builtinId="8" hidden="1"/>
    <cellStyle name="Hyperlink" xfId="2004" builtinId="8" hidden="1"/>
    <cellStyle name="Hyperlink" xfId="2006" builtinId="8" hidden="1"/>
    <cellStyle name="Hyperlink" xfId="2008" builtinId="8" hidden="1"/>
    <cellStyle name="Hyperlink" xfId="2010" builtinId="8" hidden="1"/>
    <cellStyle name="Hyperlink" xfId="2012" builtinId="8" hidden="1"/>
    <cellStyle name="Hyperlink" xfId="2014" builtinId="8" hidden="1"/>
    <cellStyle name="Hyperlink" xfId="2016" builtinId="8" hidden="1"/>
    <cellStyle name="Hyperlink" xfId="2018" builtinId="8" hidden="1"/>
    <cellStyle name="Hyperlink" xfId="2020" builtinId="8" hidden="1"/>
    <cellStyle name="Hyperlink" xfId="2022" builtinId="8" hidden="1"/>
    <cellStyle name="Hyperlink" xfId="2024" builtinId="8" hidden="1"/>
    <cellStyle name="Hyperlink" xfId="2026" builtinId="8" hidden="1"/>
    <cellStyle name="Hyperlink" xfId="2028" builtinId="8" hidden="1"/>
    <cellStyle name="Hyperlink" xfId="2030" builtinId="8" hidden="1"/>
    <cellStyle name="Hyperlink" xfId="2032" builtinId="8" hidden="1"/>
    <cellStyle name="Hyperlink" xfId="2034" builtinId="8" hidden="1"/>
    <cellStyle name="Hyperlink" xfId="2036" builtinId="8" hidden="1"/>
    <cellStyle name="Hyperlink" xfId="2038" builtinId="8" hidden="1"/>
    <cellStyle name="Hyperlink" xfId="2040" builtinId="8" hidden="1"/>
    <cellStyle name="Hyperlink" xfId="2042" builtinId="8" hidden="1"/>
    <cellStyle name="Hyperlink" xfId="2044" builtinId="8" hidden="1"/>
    <cellStyle name="Hyperlink" xfId="2046" builtinId="8" hidden="1"/>
    <cellStyle name="Hyperlink" xfId="2048" builtinId="8" hidden="1"/>
    <cellStyle name="Hyperlink" xfId="2050" builtinId="8" hidden="1"/>
    <cellStyle name="Hyperlink" xfId="2052" builtinId="8" hidden="1"/>
    <cellStyle name="Hyperlink" xfId="2054" builtinId="8" hidden="1"/>
    <cellStyle name="Hyperlink" xfId="2056" builtinId="8" hidden="1"/>
    <cellStyle name="Hyperlink" xfId="2058" builtinId="8" hidden="1"/>
    <cellStyle name="Hyperlink" xfId="2060" builtinId="8" hidden="1"/>
    <cellStyle name="Hyperlink" xfId="2062" builtinId="8" hidden="1"/>
    <cellStyle name="Hyperlink" xfId="2064" builtinId="8" hidden="1"/>
    <cellStyle name="Hyperlink" xfId="2066" builtinId="8" hidden="1"/>
    <cellStyle name="Hyperlink" xfId="2068" builtinId="8" hidden="1"/>
    <cellStyle name="Hyperlink" xfId="2070" builtinId="8" hidden="1"/>
    <cellStyle name="Hyperlink" xfId="2072" builtinId="8" hidden="1"/>
    <cellStyle name="Hyperlink" xfId="2074" builtinId="8" hidden="1"/>
    <cellStyle name="Hyperlink" xfId="2076" builtinId="8" hidden="1"/>
    <cellStyle name="Hyperlink" xfId="2078" builtinId="8" hidden="1"/>
    <cellStyle name="Hyperlink" xfId="2080" builtinId="8" hidden="1"/>
    <cellStyle name="Hyperlink" xfId="2082" builtinId="8" hidden="1"/>
    <cellStyle name="Hyperlink" xfId="2084" builtinId="8" hidden="1"/>
    <cellStyle name="Hyperlink" xfId="2086" builtinId="8" hidden="1"/>
    <cellStyle name="Hyperlink" xfId="2088" builtinId="8" hidden="1"/>
    <cellStyle name="Hyperlink" xfId="2090" builtinId="8" hidden="1"/>
    <cellStyle name="Hyperlink" xfId="2092" builtinId="8" hidden="1"/>
    <cellStyle name="Hyperlink" xfId="2094" builtinId="8" hidden="1"/>
    <cellStyle name="Hyperlink" xfId="2096" builtinId="8" hidden="1"/>
    <cellStyle name="Hyperlink" xfId="2098" builtinId="8" hidden="1"/>
    <cellStyle name="Hyperlink" xfId="2100" builtinId="8" hidden="1"/>
    <cellStyle name="Hyperlink" xfId="2102" builtinId="8" hidden="1"/>
    <cellStyle name="Hyperlink" xfId="2104" builtinId="8" hidden="1"/>
    <cellStyle name="Hyperlink" xfId="2106" builtinId="8" hidden="1"/>
    <cellStyle name="Hyperlink" xfId="2108" builtinId="8" hidden="1"/>
    <cellStyle name="Hyperlink" xfId="2110" builtinId="8" hidden="1"/>
    <cellStyle name="Hyperlink" xfId="2112" builtinId="8" hidden="1"/>
    <cellStyle name="Hyperlink" xfId="2114" builtinId="8" hidden="1"/>
    <cellStyle name="Hyperlink" xfId="2116" builtinId="8" hidden="1"/>
    <cellStyle name="Hyperlink" xfId="2118" builtinId="8" hidden="1"/>
    <cellStyle name="Hyperlink" xfId="2120" builtinId="8" hidden="1"/>
    <cellStyle name="Hyperlink" xfId="2122" builtinId="8" hidden="1"/>
    <cellStyle name="Hyperlink" xfId="2124" builtinId="8" hidden="1"/>
    <cellStyle name="Hyperlink" xfId="2126" builtinId="8" hidden="1"/>
    <cellStyle name="Hyperlink" xfId="2128" builtinId="8" hidden="1"/>
    <cellStyle name="Hyperlink" xfId="2130" builtinId="8" hidden="1"/>
    <cellStyle name="Hyperlink" xfId="2132" builtinId="8" hidden="1"/>
    <cellStyle name="Hyperlink" xfId="2134" builtinId="8" hidden="1"/>
    <cellStyle name="Hyperlink" xfId="2136" builtinId="8" hidden="1"/>
    <cellStyle name="Hyperlink" xfId="2138" builtinId="8" hidden="1"/>
    <cellStyle name="Hyperlink" xfId="2140" builtinId="8" hidden="1"/>
    <cellStyle name="Hyperlink" xfId="2142" builtinId="8" hidden="1"/>
    <cellStyle name="Hyperlink" xfId="2144" builtinId="8" hidden="1"/>
    <cellStyle name="Hyperlink" xfId="2146" builtinId="8" hidden="1"/>
    <cellStyle name="Hyperlink" xfId="2148" builtinId="8" hidden="1"/>
    <cellStyle name="Hyperlink" xfId="2150" builtinId="8" hidden="1"/>
    <cellStyle name="Hyperlink" xfId="2152" builtinId="8" hidden="1"/>
    <cellStyle name="Hyperlink" xfId="2154" builtinId="8" hidden="1"/>
    <cellStyle name="Hyperlink" xfId="2156" builtinId="8" hidden="1"/>
    <cellStyle name="Hyperlink" xfId="2158" builtinId="8" hidden="1"/>
    <cellStyle name="Hyperlink" xfId="2160" builtinId="8" hidden="1"/>
    <cellStyle name="Hyperlink" xfId="2162" builtinId="8" hidden="1"/>
    <cellStyle name="Hyperlink" xfId="2164" builtinId="8" hidden="1"/>
    <cellStyle name="Hyperlink" xfId="2166" builtinId="8" hidden="1"/>
    <cellStyle name="Hyperlink" xfId="2168" builtinId="8" hidden="1"/>
    <cellStyle name="Hyperlink" xfId="2170" builtinId="8" hidden="1"/>
    <cellStyle name="Hyperlink" xfId="2172" builtinId="8" hidden="1"/>
    <cellStyle name="Hyperlink" xfId="2174" builtinId="8" hidden="1"/>
    <cellStyle name="Hyperlink" xfId="2176" builtinId="8" hidden="1"/>
    <cellStyle name="Hyperlink" xfId="2178" builtinId="8" hidden="1"/>
    <cellStyle name="Hyperlink" xfId="2180" builtinId="8" hidden="1"/>
    <cellStyle name="Hyperlink" xfId="2182" builtinId="8" hidden="1"/>
    <cellStyle name="Hyperlink" xfId="2184" builtinId="8" hidden="1"/>
    <cellStyle name="Hyperlink" xfId="2186" builtinId="8" hidden="1"/>
    <cellStyle name="Hyperlink" xfId="2188" builtinId="8" hidden="1"/>
    <cellStyle name="Hyperlink" xfId="2190" builtinId="8" hidden="1"/>
    <cellStyle name="Hyperlink" xfId="2192" builtinId="8" hidden="1"/>
    <cellStyle name="Hyperlink" xfId="2194" builtinId="8" hidden="1"/>
    <cellStyle name="Hyperlink" xfId="2196" builtinId="8" hidden="1"/>
    <cellStyle name="Hyperlink" xfId="2198" builtinId="8" hidden="1"/>
    <cellStyle name="Hyperlink" xfId="2200" builtinId="8" hidden="1"/>
    <cellStyle name="Hyperlink" xfId="2202" builtinId="8" hidden="1"/>
    <cellStyle name="Hyperlink" xfId="2204" builtinId="8" hidden="1"/>
    <cellStyle name="Hyperlink" xfId="2206" builtinId="8" hidden="1"/>
    <cellStyle name="Hyperlink" xfId="2208" builtinId="8" hidden="1"/>
    <cellStyle name="Hyperlink" xfId="2210" builtinId="8" hidden="1"/>
    <cellStyle name="Hyperlink" xfId="2212" builtinId="8" hidden="1"/>
    <cellStyle name="Hyperlink" xfId="2214" builtinId="8" hidden="1"/>
    <cellStyle name="Hyperlink" xfId="2216" builtinId="8" hidden="1"/>
    <cellStyle name="Hyperlink" xfId="2218" builtinId="8" hidden="1"/>
    <cellStyle name="Hyperlink" xfId="2220" builtinId="8" hidden="1"/>
    <cellStyle name="Hyperlink" xfId="2222" builtinId="8" hidden="1"/>
    <cellStyle name="Hyperlink" xfId="2224" builtinId="8" hidden="1"/>
    <cellStyle name="Hyperlink" xfId="2226" builtinId="8" hidden="1"/>
    <cellStyle name="Hyperlink" xfId="2228" builtinId="8" hidden="1"/>
    <cellStyle name="Hyperlink" xfId="2230" builtinId="8" hidden="1"/>
    <cellStyle name="Hyperlink" xfId="2232" builtinId="8" hidden="1"/>
    <cellStyle name="Hyperlink" xfId="2234" builtinId="8" hidden="1"/>
    <cellStyle name="Hyperlink" xfId="2236" builtinId="8" hidden="1"/>
    <cellStyle name="Hyperlink" xfId="2238" builtinId="8" hidden="1"/>
    <cellStyle name="Hyperlink" xfId="2240" builtinId="8" hidden="1"/>
    <cellStyle name="Hyperlink" xfId="2242" builtinId="8" hidden="1"/>
    <cellStyle name="Hyperlink" xfId="2244" builtinId="8" hidden="1"/>
    <cellStyle name="Hyperlink" xfId="2246" builtinId="8" hidden="1"/>
    <cellStyle name="Hyperlink" xfId="2248" builtinId="8" hidden="1"/>
    <cellStyle name="Hyperlink" xfId="2250" builtinId="8" hidden="1"/>
    <cellStyle name="Hyperlink" xfId="2252" builtinId="8" hidden="1"/>
    <cellStyle name="Hyperlink" xfId="2254" builtinId="8" hidden="1"/>
    <cellStyle name="Hyperlink" xfId="2256" builtinId="8" hidden="1"/>
    <cellStyle name="Hyperlink" xfId="2258" builtinId="8" hidden="1"/>
    <cellStyle name="Hyperlink" xfId="2260" builtinId="8" hidden="1"/>
    <cellStyle name="Hyperlink" xfId="2262" builtinId="8" hidden="1"/>
    <cellStyle name="Hyperlink" xfId="2264" builtinId="8" hidden="1"/>
    <cellStyle name="Hyperlink" xfId="2266" builtinId="8" hidden="1"/>
    <cellStyle name="Hyperlink" xfId="2268" builtinId="8" hidden="1"/>
    <cellStyle name="Hyperlink" xfId="2270" builtinId="8" hidden="1"/>
    <cellStyle name="Hyperlink" xfId="2272" builtinId="8" hidden="1"/>
    <cellStyle name="Hyperlink" xfId="2274" builtinId="8" hidden="1"/>
    <cellStyle name="Hyperlink" xfId="2276" builtinId="8" hidden="1"/>
    <cellStyle name="Hyperlink" xfId="2278" builtinId="8" hidden="1"/>
    <cellStyle name="Hyperlink" xfId="2280" builtinId="8" hidden="1"/>
    <cellStyle name="Hyperlink" xfId="2282" builtinId="8" hidden="1"/>
    <cellStyle name="Hyperlink" xfId="2284" builtinId="8" hidden="1"/>
    <cellStyle name="Hyperlink" xfId="2286" builtinId="8" hidden="1"/>
    <cellStyle name="Hyperlink" xfId="2288" builtinId="8" hidden="1"/>
    <cellStyle name="Hyperlink" xfId="2290" builtinId="8" hidden="1"/>
    <cellStyle name="Hyperlink" xfId="2292" builtinId="8" hidden="1"/>
    <cellStyle name="Hyperlink" xfId="2294" builtinId="8" hidden="1"/>
    <cellStyle name="Hyperlink" xfId="2296" builtinId="8" hidden="1"/>
    <cellStyle name="Hyperlink" xfId="2298" builtinId="8" hidden="1"/>
    <cellStyle name="Hyperlink" xfId="2300" builtinId="8" hidden="1"/>
    <cellStyle name="Hyperlink" xfId="2302" builtinId="8" hidden="1"/>
    <cellStyle name="Hyperlink" xfId="2304" builtinId="8" hidden="1"/>
    <cellStyle name="Hyperlink" xfId="2306" builtinId="8" hidden="1"/>
    <cellStyle name="Hyperlink" xfId="2308" builtinId="8" hidden="1"/>
    <cellStyle name="Hyperlink" xfId="2310" builtinId="8" hidden="1"/>
    <cellStyle name="Hyperlink" xfId="2312" builtinId="8" hidden="1"/>
    <cellStyle name="Hyperlink" xfId="2314" builtinId="8" hidden="1"/>
    <cellStyle name="Hyperlink" xfId="2316" builtinId="8" hidden="1"/>
    <cellStyle name="Hyperlink" xfId="2318" builtinId="8" hidden="1"/>
    <cellStyle name="Hyperlink" xfId="2320" builtinId="8" hidden="1"/>
    <cellStyle name="Hyperlink" xfId="2322" builtinId="8" hidden="1"/>
    <cellStyle name="Hyperlink" xfId="2324" builtinId="8" hidden="1"/>
    <cellStyle name="Hyperlink" xfId="2326" builtinId="8" hidden="1"/>
    <cellStyle name="Hyperlink" xfId="2328" builtinId="8" hidden="1"/>
    <cellStyle name="Hyperlink" xfId="2330" builtinId="8" hidden="1"/>
    <cellStyle name="Hyperlink" xfId="2332" builtinId="8" hidden="1"/>
    <cellStyle name="Hyperlink" xfId="2334" builtinId="8" hidden="1"/>
    <cellStyle name="Hyperlink" xfId="2336" builtinId="8" hidden="1"/>
    <cellStyle name="Hyperlink" xfId="2338" builtinId="8" hidden="1"/>
    <cellStyle name="Hyperlink" xfId="2340" builtinId="8" hidden="1"/>
    <cellStyle name="Hyperlink" xfId="2342" builtinId="8" hidden="1"/>
    <cellStyle name="Hyperlink" xfId="2344" builtinId="8" hidden="1"/>
    <cellStyle name="Hyperlink" xfId="2346" builtinId="8" hidden="1"/>
    <cellStyle name="Hyperlink" xfId="2348" builtinId="8" hidden="1"/>
    <cellStyle name="Hyperlink" xfId="2350" builtinId="8" hidden="1"/>
    <cellStyle name="Hyperlink" xfId="2352" builtinId="8" hidden="1"/>
    <cellStyle name="Hyperlink" xfId="2354" builtinId="8" hidden="1"/>
    <cellStyle name="Hyperlink" xfId="2356" builtinId="8" hidden="1"/>
    <cellStyle name="Hyperlink" xfId="2358" builtinId="8" hidden="1"/>
    <cellStyle name="Hyperlink" xfId="2360" builtinId="8" hidden="1"/>
    <cellStyle name="Hyperlink" xfId="2362" builtinId="8" hidden="1"/>
    <cellStyle name="Hyperlink" xfId="2364" builtinId="8" hidden="1"/>
    <cellStyle name="Hyperlink" xfId="2366" builtinId="8" hidden="1"/>
    <cellStyle name="Hyperlink" xfId="2368" builtinId="8" hidden="1"/>
    <cellStyle name="Hyperlink" xfId="2370" builtinId="8" hidden="1"/>
    <cellStyle name="Hyperlink" xfId="2372" builtinId="8" hidden="1"/>
    <cellStyle name="Hyperlink" xfId="2374" builtinId="8" hidden="1"/>
    <cellStyle name="Hyperlink" xfId="2376" builtinId="8" hidden="1"/>
    <cellStyle name="Hyperlink" xfId="2378" builtinId="8" hidden="1"/>
    <cellStyle name="Hyperlink" xfId="2380" builtinId="8" hidden="1"/>
    <cellStyle name="Hyperlink" xfId="2382" builtinId="8" hidden="1"/>
    <cellStyle name="Hyperlink" xfId="2384" builtinId="8" hidden="1"/>
    <cellStyle name="Hyperlink" xfId="2386" builtinId="8" hidden="1"/>
    <cellStyle name="Hyperlink" xfId="2388" builtinId="8" hidden="1"/>
    <cellStyle name="Hyperlink" xfId="2390" builtinId="8" hidden="1"/>
    <cellStyle name="Hyperlink" xfId="2392" builtinId="8" hidden="1"/>
    <cellStyle name="Hyperlink" xfId="2394" builtinId="8" hidden="1"/>
    <cellStyle name="Hyperlink" xfId="2396" builtinId="8" hidden="1"/>
    <cellStyle name="Hyperlink" xfId="2398" builtinId="8" hidden="1"/>
    <cellStyle name="Hyperlink" xfId="2400" builtinId="8" hidden="1"/>
    <cellStyle name="Hyperlink" xfId="2402" builtinId="8" hidden="1"/>
    <cellStyle name="Hyperlink" xfId="2404" builtinId="8" hidden="1"/>
    <cellStyle name="Hyperlink" xfId="2406" builtinId="8" hidden="1"/>
    <cellStyle name="Hyperlink" xfId="2408" builtinId="8" hidden="1"/>
    <cellStyle name="Hyperlink" xfId="2410" builtinId="8" hidden="1"/>
    <cellStyle name="Hyperlink" xfId="2412" builtinId="8" hidden="1"/>
    <cellStyle name="Hyperlink" xfId="2414" builtinId="8" hidden="1"/>
    <cellStyle name="Hyperlink" xfId="2416" builtinId="8" hidden="1"/>
    <cellStyle name="Hyperlink" xfId="2418" builtinId="8" hidden="1"/>
    <cellStyle name="Hyperlink" xfId="2420" builtinId="8" hidden="1"/>
    <cellStyle name="Hyperlink" xfId="2422" builtinId="8" hidden="1"/>
    <cellStyle name="Hyperlink" xfId="2424" builtinId="8" hidden="1"/>
    <cellStyle name="Hyperlink" xfId="2426" builtinId="8" hidden="1"/>
    <cellStyle name="Hyperlink" xfId="2428" builtinId="8" hidden="1"/>
    <cellStyle name="Hyperlink" xfId="2430" builtinId="8" hidden="1"/>
    <cellStyle name="Hyperlink" xfId="2432" builtinId="8" hidden="1"/>
    <cellStyle name="Hyperlink" xfId="2434" builtinId="8" hidden="1"/>
    <cellStyle name="Hyperlink" xfId="2436" builtinId="8" hidden="1"/>
    <cellStyle name="Hyperlink" xfId="2438" builtinId="8" hidden="1"/>
    <cellStyle name="Hyperlink" xfId="2440" builtinId="8" hidden="1"/>
    <cellStyle name="Hyperlink" xfId="2442" builtinId="8" hidden="1"/>
    <cellStyle name="Hyperlink" xfId="2444" builtinId="8" hidden="1"/>
    <cellStyle name="Hyperlink" xfId="2446" builtinId="8" hidden="1"/>
    <cellStyle name="Hyperlink" xfId="2448" builtinId="8" hidden="1"/>
    <cellStyle name="Hyperlink" xfId="2450" builtinId="8" hidden="1"/>
    <cellStyle name="Hyperlink" xfId="2452" builtinId="8" hidden="1"/>
    <cellStyle name="Hyperlink" xfId="2454" builtinId="8" hidden="1"/>
    <cellStyle name="Hyperlink" xfId="2456" builtinId="8" hidden="1"/>
    <cellStyle name="Hyperlink" xfId="2458" builtinId="8" hidden="1"/>
    <cellStyle name="Hyperlink" xfId="2460" builtinId="8" hidden="1"/>
    <cellStyle name="Hyperlink" xfId="2462" builtinId="8" hidden="1"/>
    <cellStyle name="Hyperlink" xfId="2464" builtinId="8" hidden="1"/>
    <cellStyle name="Hyperlink" xfId="2466" builtinId="8" hidden="1"/>
    <cellStyle name="Hyperlink" xfId="2468" builtinId="8" hidden="1"/>
    <cellStyle name="Hyperlink" xfId="2470" builtinId="8" hidden="1"/>
    <cellStyle name="Hyperlink" xfId="2472" builtinId="8" hidden="1"/>
    <cellStyle name="Hyperlink" xfId="2474" builtinId="8" hidden="1"/>
    <cellStyle name="Hyperlink" xfId="2476" builtinId="8" hidden="1"/>
    <cellStyle name="Hyperlink" xfId="2478" builtinId="8" hidden="1"/>
    <cellStyle name="Hyperlink" xfId="2480" builtinId="8" hidden="1"/>
    <cellStyle name="Hyperlink" xfId="2482" builtinId="8" hidden="1"/>
    <cellStyle name="Hyperlink" xfId="2484" builtinId="8" hidden="1"/>
    <cellStyle name="Hyperlink" xfId="2486" builtinId="8" hidden="1"/>
    <cellStyle name="Hyperlink" xfId="2488" builtinId="8" hidden="1"/>
    <cellStyle name="Hyperlink" xfId="2490" builtinId="8" hidden="1"/>
    <cellStyle name="Hyperlink" xfId="2492" builtinId="8" hidden="1"/>
    <cellStyle name="Hyperlink" xfId="2494" builtinId="8" hidden="1"/>
    <cellStyle name="Hyperlink" xfId="2496" builtinId="8" hidden="1"/>
    <cellStyle name="Hyperlink" xfId="2498" builtinId="8" hidden="1"/>
    <cellStyle name="Hyperlink" xfId="2500" builtinId="8" hidden="1"/>
    <cellStyle name="Hyperlink" xfId="2502" builtinId="8" hidden="1"/>
    <cellStyle name="Hyperlink" xfId="2504" builtinId="8" hidden="1"/>
    <cellStyle name="Hyperlink" xfId="2506" builtinId="8" hidden="1"/>
    <cellStyle name="Hyperlink" xfId="2508" builtinId="8" hidden="1"/>
    <cellStyle name="Hyperlink" xfId="2510" builtinId="8" hidden="1"/>
    <cellStyle name="Hyperlink" xfId="2512" builtinId="8" hidden="1"/>
    <cellStyle name="Hyperlink" xfId="2514" builtinId="8" hidden="1"/>
    <cellStyle name="Hyperlink" xfId="2516" builtinId="8" hidden="1"/>
    <cellStyle name="Hyperlink" xfId="2518" builtinId="8" hidden="1"/>
    <cellStyle name="Hyperlink" xfId="2520" builtinId="8" hidden="1"/>
    <cellStyle name="Hyperlink" xfId="2522" builtinId="8" hidden="1"/>
    <cellStyle name="Hyperlink" xfId="2524" builtinId="8" hidden="1"/>
    <cellStyle name="Hyperlink" xfId="2526" builtinId="8" hidden="1"/>
    <cellStyle name="Hyperlink" xfId="2528" builtinId="8" hidden="1"/>
    <cellStyle name="Hyperlink" xfId="2530" builtinId="8" hidden="1"/>
    <cellStyle name="Hyperlink" xfId="2532" builtinId="8" hidden="1"/>
    <cellStyle name="Hyperlink" xfId="2534" builtinId="8" hidden="1"/>
    <cellStyle name="Hyperlink" xfId="2536" builtinId="8" hidden="1"/>
    <cellStyle name="Hyperlink" xfId="2538" builtinId="8" hidden="1"/>
    <cellStyle name="Hyperlink" xfId="2540" builtinId="8" hidden="1"/>
    <cellStyle name="Hyperlink" xfId="2542" builtinId="8" hidden="1"/>
    <cellStyle name="Hyperlink" xfId="2544" builtinId="8" hidden="1"/>
    <cellStyle name="Hyperlink" xfId="2546" builtinId="8" hidden="1"/>
    <cellStyle name="Hyperlink" xfId="2548" builtinId="8" hidden="1"/>
    <cellStyle name="Hyperlink" xfId="2550" builtinId="8" hidden="1"/>
    <cellStyle name="Hyperlink" xfId="2552" builtinId="8" hidden="1"/>
    <cellStyle name="Hyperlink" xfId="2554" builtinId="8" hidden="1"/>
    <cellStyle name="Hyperlink" xfId="2556" builtinId="8" hidden="1"/>
    <cellStyle name="Hyperlink" xfId="2558" builtinId="8" hidden="1"/>
    <cellStyle name="Hyperlink" xfId="2560" builtinId="8" hidden="1"/>
    <cellStyle name="Hyperlink" xfId="2562" builtinId="8" hidden="1"/>
    <cellStyle name="Hyperlink" xfId="2564" builtinId="8" hidden="1"/>
    <cellStyle name="Hyperlink" xfId="2566" builtinId="8" hidden="1"/>
    <cellStyle name="Hyperlink" xfId="2568" builtinId="8" hidden="1"/>
    <cellStyle name="Hyperlink" xfId="2570" builtinId="8" hidden="1"/>
    <cellStyle name="Hyperlink" xfId="2572" builtinId="8" hidden="1"/>
    <cellStyle name="Hyperlink" xfId="2574" builtinId="8" hidden="1"/>
    <cellStyle name="Hyperlink" xfId="2576" builtinId="8" hidden="1"/>
    <cellStyle name="Hyperlink" xfId="2578" builtinId="8" hidden="1"/>
    <cellStyle name="Hyperlink" xfId="2580" builtinId="8" hidden="1"/>
    <cellStyle name="Hyperlink" xfId="2582" builtinId="8" hidden="1"/>
    <cellStyle name="Hyperlink" xfId="2584" builtinId="8" hidden="1"/>
    <cellStyle name="Hyperlink" xfId="2586" builtinId="8" hidden="1"/>
    <cellStyle name="Hyperlink" xfId="2588" builtinId="8" hidden="1"/>
    <cellStyle name="Hyperlink" xfId="2590" builtinId="8" hidden="1"/>
    <cellStyle name="Hyperlink" xfId="2592" builtinId="8" hidden="1"/>
    <cellStyle name="Hyperlink" xfId="2594" builtinId="8" hidden="1"/>
    <cellStyle name="Hyperlink" xfId="2596" builtinId="8" hidden="1"/>
    <cellStyle name="Hyperlink" xfId="2598" builtinId="8" hidden="1"/>
    <cellStyle name="Hyperlink" xfId="2600" builtinId="8" hidden="1"/>
    <cellStyle name="Hyperlink" xfId="2602" builtinId="8" hidden="1"/>
    <cellStyle name="Hyperlink" xfId="2604" builtinId="8" hidden="1"/>
    <cellStyle name="Hyperlink" xfId="2606" builtinId="8" hidden="1"/>
    <cellStyle name="Hyperlink" xfId="2608" builtinId="8" hidden="1"/>
    <cellStyle name="Hyperlink" xfId="2610" builtinId="8" hidden="1"/>
    <cellStyle name="Hyperlink" xfId="2612" builtinId="8" hidden="1"/>
    <cellStyle name="Hyperlink" xfId="2614" builtinId="8" hidden="1"/>
    <cellStyle name="Hyperlink" xfId="2616" builtinId="8" hidden="1"/>
    <cellStyle name="Hyperlink" xfId="2618" builtinId="8" hidden="1"/>
    <cellStyle name="Hyperlink" xfId="2620" builtinId="8" hidden="1"/>
    <cellStyle name="Hyperlink" xfId="2622" builtinId="8" hidden="1"/>
    <cellStyle name="Hyperlink" xfId="2624" builtinId="8" hidden="1"/>
    <cellStyle name="Hyperlink" xfId="2626" builtinId="8" hidden="1"/>
    <cellStyle name="Hyperlink" xfId="2628" builtinId="8" hidden="1"/>
    <cellStyle name="Hyperlink" xfId="2630" builtinId="8" hidden="1"/>
    <cellStyle name="Hyperlink" xfId="2632" builtinId="8" hidden="1"/>
    <cellStyle name="Hyperlink" xfId="2634" builtinId="8" hidden="1"/>
    <cellStyle name="Hyperlink" xfId="2636" builtinId="8" hidden="1"/>
    <cellStyle name="Hyperlink" xfId="2638" builtinId="8" hidden="1"/>
    <cellStyle name="Hyperlink" xfId="2640" builtinId="8" hidden="1"/>
    <cellStyle name="Hyperlink" xfId="2642" builtinId="8" hidden="1"/>
    <cellStyle name="Hyperlink" xfId="2644" builtinId="8" hidden="1"/>
    <cellStyle name="Hyperlink" xfId="2646" builtinId="8" hidden="1"/>
    <cellStyle name="Hyperlink" xfId="2648" builtinId="8" hidden="1"/>
    <cellStyle name="Hyperlink" xfId="2650" builtinId="8" hidden="1"/>
    <cellStyle name="Hyperlink" xfId="2652" builtinId="8" hidden="1"/>
    <cellStyle name="Hyperlink" xfId="2654" builtinId="8" hidden="1"/>
    <cellStyle name="Hyperlink" xfId="2656" builtinId="8" hidden="1"/>
    <cellStyle name="Hyperlink" xfId="2658" builtinId="8" hidden="1"/>
    <cellStyle name="Hyperlink" xfId="2660" builtinId="8" hidden="1"/>
    <cellStyle name="Hyperlink" xfId="2662" builtinId="8" hidden="1"/>
    <cellStyle name="Hyperlink" xfId="2664" builtinId="8" hidden="1"/>
    <cellStyle name="Hyperlink" xfId="2666" builtinId="8" hidden="1"/>
    <cellStyle name="Hyperlink" xfId="2668" builtinId="8" hidden="1"/>
    <cellStyle name="Hyperlink" xfId="2670" builtinId="8" hidden="1"/>
    <cellStyle name="Hyperlink" xfId="2672" builtinId="8" hidden="1"/>
    <cellStyle name="Hyperlink" xfId="2674" builtinId="8" hidden="1"/>
    <cellStyle name="Hyperlink" xfId="2676" builtinId="8" hidden="1"/>
    <cellStyle name="Hyperlink" xfId="2678" builtinId="8" hidden="1"/>
    <cellStyle name="Hyperlink" xfId="2680" builtinId="8" hidden="1"/>
    <cellStyle name="Hyperlink" xfId="2682" builtinId="8" hidden="1"/>
    <cellStyle name="Hyperlink" xfId="2684" builtinId="8" hidden="1"/>
    <cellStyle name="Hyperlink" xfId="2686" builtinId="8" hidden="1"/>
    <cellStyle name="Hyperlink" xfId="2688" builtinId="8" hidden="1"/>
    <cellStyle name="Hyperlink" xfId="2690" builtinId="8" hidden="1"/>
    <cellStyle name="Hyperlink" xfId="2692" builtinId="8" hidden="1"/>
    <cellStyle name="Hyperlink" xfId="2694" builtinId="8" hidden="1"/>
    <cellStyle name="Hyperlink" xfId="2696" builtinId="8" hidden="1"/>
    <cellStyle name="Hyperlink" xfId="2698" builtinId="8" hidden="1"/>
    <cellStyle name="Hyperlink" xfId="2700" builtinId="8" hidden="1"/>
    <cellStyle name="Hyperlink" xfId="2702" builtinId="8" hidden="1"/>
    <cellStyle name="Hyperlink" xfId="2704" builtinId="8" hidden="1"/>
    <cellStyle name="Hyperlink" xfId="2706" builtinId="8" hidden="1"/>
    <cellStyle name="Hyperlink" xfId="2708" builtinId="8" hidden="1"/>
    <cellStyle name="Hyperlink" xfId="2710" builtinId="8" hidden="1"/>
    <cellStyle name="Hyperlink" xfId="2712" builtinId="8" hidden="1"/>
    <cellStyle name="Hyperlink" xfId="2714" builtinId="8" hidden="1"/>
    <cellStyle name="Hyperlink" xfId="2716" builtinId="8" hidden="1"/>
    <cellStyle name="Hyperlink" xfId="2718" builtinId="8" hidden="1"/>
    <cellStyle name="Hyperlink" xfId="2720" builtinId="8" hidden="1"/>
    <cellStyle name="Hyperlink" xfId="2722" builtinId="8" hidden="1"/>
    <cellStyle name="Hyperlink" xfId="2724" builtinId="8" hidden="1"/>
    <cellStyle name="Hyperlink" xfId="2726" builtinId="8" hidden="1"/>
    <cellStyle name="Hyperlink" xfId="2728" builtinId="8" hidden="1"/>
    <cellStyle name="Hyperlink" xfId="2730" builtinId="8" hidden="1"/>
    <cellStyle name="Hyperlink" xfId="2732" builtinId="8" hidden="1"/>
    <cellStyle name="Hyperlink" xfId="2734" builtinId="8" hidden="1"/>
    <cellStyle name="Hyperlink" xfId="2736" builtinId="8" hidden="1"/>
    <cellStyle name="Hyperlink" xfId="2738" builtinId="8" hidden="1"/>
    <cellStyle name="Hyperlink" xfId="2740" builtinId="8" hidden="1"/>
    <cellStyle name="Hyperlink" xfId="2742" builtinId="8" hidden="1"/>
    <cellStyle name="Hyperlink" xfId="2744" builtinId="8" hidden="1"/>
    <cellStyle name="Hyperlink" xfId="2746" builtinId="8" hidden="1"/>
    <cellStyle name="Hyperlink" xfId="2748" builtinId="8" hidden="1"/>
    <cellStyle name="Hyperlink" xfId="2750" builtinId="8" hidden="1"/>
    <cellStyle name="Hyperlink" xfId="2752" builtinId="8" hidden="1"/>
    <cellStyle name="Hyperlink" xfId="2754" builtinId="8" hidden="1"/>
    <cellStyle name="Hyperlink" xfId="2756" builtinId="8" hidden="1"/>
    <cellStyle name="Hyperlink" xfId="2758" builtinId="8" hidden="1"/>
    <cellStyle name="Hyperlink" xfId="2760" builtinId="8" hidden="1"/>
    <cellStyle name="Hyperlink" xfId="2762" builtinId="8" hidden="1"/>
    <cellStyle name="Hyperlink" xfId="2764" builtinId="8" hidden="1"/>
    <cellStyle name="Hyperlink" xfId="2766" builtinId="8" hidden="1"/>
    <cellStyle name="Hyperlink" xfId="2768" builtinId="8" hidden="1"/>
    <cellStyle name="Hyperlink" xfId="2770" builtinId="8" hidden="1"/>
    <cellStyle name="Hyperlink" xfId="2772" builtinId="8" hidden="1"/>
    <cellStyle name="Hyperlink" xfId="2774" builtinId="8" hidden="1"/>
    <cellStyle name="Hyperlink" xfId="2776" builtinId="8" hidden="1"/>
    <cellStyle name="Hyperlink" xfId="2778" builtinId="8" hidden="1"/>
    <cellStyle name="Hyperlink" xfId="2780" builtinId="8" hidden="1"/>
    <cellStyle name="Hyperlink" xfId="2782" builtinId="8" hidden="1"/>
    <cellStyle name="Hyperlink" xfId="2784" builtinId="8" hidden="1"/>
    <cellStyle name="Hyperlink" xfId="2786" builtinId="8" hidden="1"/>
    <cellStyle name="Hyperlink" xfId="2788" builtinId="8" hidden="1"/>
    <cellStyle name="Hyperlink" xfId="2790" builtinId="8" hidden="1"/>
    <cellStyle name="Hyperlink" xfId="2792" builtinId="8" hidden="1"/>
    <cellStyle name="Hyperlink" xfId="2794" builtinId="8" hidden="1"/>
    <cellStyle name="Hyperlink" xfId="2796" builtinId="8" hidden="1"/>
    <cellStyle name="Hyperlink" xfId="2798" builtinId="8" hidden="1"/>
    <cellStyle name="Hyperlink" xfId="2800" builtinId="8" hidden="1"/>
    <cellStyle name="Hyperlink" xfId="2802" builtinId="8" hidden="1"/>
    <cellStyle name="Hyperlink" xfId="2804" builtinId="8" hidden="1"/>
    <cellStyle name="Hyperlink" xfId="2806" builtinId="8" hidden="1"/>
    <cellStyle name="Hyperlink" xfId="2808" builtinId="8" hidden="1"/>
    <cellStyle name="Hyperlink" xfId="2810" builtinId="8" hidden="1"/>
    <cellStyle name="Hyperlink" xfId="2812" builtinId="8" hidden="1"/>
    <cellStyle name="Hyperlink" xfId="2814" builtinId="8" hidden="1"/>
    <cellStyle name="Hyperlink" xfId="2816" builtinId="8" hidden="1"/>
    <cellStyle name="Hyperlink" xfId="2818" builtinId="8" hidden="1"/>
    <cellStyle name="Hyperlink" xfId="2820" builtinId="8" hidden="1"/>
    <cellStyle name="Hyperlink" xfId="2822" builtinId="8" hidden="1"/>
    <cellStyle name="Hyperlink" xfId="2824" builtinId="8" hidden="1"/>
    <cellStyle name="Hyperlink" xfId="2826" builtinId="8" hidden="1"/>
    <cellStyle name="Hyperlink" xfId="2828" builtinId="8" hidden="1"/>
    <cellStyle name="Hyperlink" xfId="2830" builtinId="8" hidden="1"/>
    <cellStyle name="Hyperlink" xfId="2832" builtinId="8" hidden="1"/>
    <cellStyle name="Hyperlink" xfId="2834" builtinId="8" hidden="1"/>
    <cellStyle name="Hyperlink" xfId="2836" builtinId="8" hidden="1"/>
    <cellStyle name="Hyperlink" xfId="2838" builtinId="8" hidden="1"/>
    <cellStyle name="Hyperlink" xfId="2840" builtinId="8" hidden="1"/>
    <cellStyle name="Hyperlink" xfId="2842" builtinId="8" hidden="1"/>
    <cellStyle name="Hyperlink" xfId="2844" builtinId="8" hidden="1"/>
    <cellStyle name="Hyperlink" xfId="2846" builtinId="8" hidden="1"/>
    <cellStyle name="Hyperlink" xfId="2848" builtinId="8" hidden="1"/>
    <cellStyle name="Hyperlink" xfId="2850" builtinId="8" hidden="1"/>
    <cellStyle name="Hyperlink" xfId="2852" builtinId="8" hidden="1"/>
    <cellStyle name="Hyperlink" xfId="2854" builtinId="8" hidden="1"/>
    <cellStyle name="Hyperlink" xfId="2856" builtinId="8" hidden="1"/>
    <cellStyle name="Hyperlink" xfId="2858" builtinId="8" hidden="1"/>
    <cellStyle name="Hyperlink" xfId="2860" builtinId="8" hidden="1"/>
    <cellStyle name="Hyperlink" xfId="2862" builtinId="8" hidden="1"/>
    <cellStyle name="Hyperlink" xfId="2864" builtinId="8" hidden="1"/>
    <cellStyle name="Hyperlink" xfId="2866" builtinId="8" hidden="1"/>
    <cellStyle name="Hyperlink" xfId="2868" builtinId="8" hidden="1"/>
    <cellStyle name="Hyperlink" xfId="2870" builtinId="8" hidden="1"/>
    <cellStyle name="Hyperlink" xfId="2872" builtinId="8" hidden="1"/>
    <cellStyle name="Hyperlink" xfId="2874" builtinId="8" hidden="1"/>
    <cellStyle name="Hyperlink" xfId="2876" builtinId="8" hidden="1"/>
    <cellStyle name="Hyperlink" xfId="2878" builtinId="8" hidden="1"/>
    <cellStyle name="Hyperlink" xfId="2880" builtinId="8" hidden="1"/>
    <cellStyle name="Hyperlink" xfId="2882" builtinId="8" hidden="1"/>
    <cellStyle name="Hyperlink" xfId="2884" builtinId="8" hidden="1"/>
    <cellStyle name="Hyperlink" xfId="2886" builtinId="8" hidden="1"/>
    <cellStyle name="Hyperlink" xfId="2888" builtinId="8" hidden="1"/>
    <cellStyle name="Hyperlink" xfId="2890" builtinId="8" hidden="1"/>
    <cellStyle name="Hyperlink" xfId="2892" builtinId="8" hidden="1"/>
    <cellStyle name="Hyperlink" xfId="2894" builtinId="8" hidden="1"/>
    <cellStyle name="Hyperlink" xfId="2896" builtinId="8" hidden="1"/>
    <cellStyle name="Hyperlink" xfId="2898" builtinId="8" hidden="1"/>
    <cellStyle name="Hyperlink" xfId="2900" builtinId="8" hidden="1"/>
    <cellStyle name="Hyperlink" xfId="2902" builtinId="8" hidden="1"/>
    <cellStyle name="Hyperlink" xfId="2904" builtinId="8" hidden="1"/>
    <cellStyle name="Hyperlink" xfId="2906" builtinId="8" hidden="1"/>
    <cellStyle name="Hyperlink" xfId="2908" builtinId="8" hidden="1"/>
    <cellStyle name="Hyperlink" xfId="2910" builtinId="8" hidden="1"/>
    <cellStyle name="Hyperlink" xfId="2912" builtinId="8" hidden="1"/>
    <cellStyle name="Hyperlink" xfId="2914" builtinId="8" hidden="1"/>
    <cellStyle name="Hyperlink" xfId="2916" builtinId="8" hidden="1"/>
    <cellStyle name="Hyperlink" xfId="2918" builtinId="8" hidden="1"/>
    <cellStyle name="Hyperlink" xfId="2920" builtinId="8" hidden="1"/>
    <cellStyle name="Hyperlink" xfId="2922" builtinId="8" hidden="1"/>
    <cellStyle name="Hyperlink" xfId="2924" builtinId="8" hidden="1"/>
    <cellStyle name="Hyperlink" xfId="2926" builtinId="8" hidden="1"/>
    <cellStyle name="Hyperlink" xfId="2928" builtinId="8" hidden="1"/>
    <cellStyle name="Hyperlink" xfId="2930" builtinId="8" hidden="1"/>
    <cellStyle name="Hyperlink" xfId="2932" builtinId="8" hidden="1"/>
    <cellStyle name="Hyperlink" xfId="2934" builtinId="8" hidden="1"/>
    <cellStyle name="Hyperlink" xfId="2936" builtinId="8" hidden="1"/>
    <cellStyle name="Hyperlink" xfId="2938" builtinId="8" hidden="1"/>
    <cellStyle name="Hyperlink" xfId="2940" builtinId="8" hidden="1"/>
    <cellStyle name="Hyperlink" xfId="2942" builtinId="8" hidden="1"/>
    <cellStyle name="Hyperlink" xfId="2944" builtinId="8" hidden="1"/>
    <cellStyle name="Hyperlink" xfId="2946" builtinId="8" hidden="1"/>
    <cellStyle name="Hyperlink" xfId="2948" builtinId="8" hidden="1"/>
    <cellStyle name="Hyperlink" xfId="2950" builtinId="8" hidden="1"/>
    <cellStyle name="Hyperlink" xfId="2952" builtinId="8" hidden="1"/>
    <cellStyle name="Hyperlink" xfId="2954" builtinId="8" hidden="1"/>
    <cellStyle name="Hyperlink" xfId="2956" builtinId="8" hidden="1"/>
    <cellStyle name="Hyperlink" xfId="2958" builtinId="8" hidden="1"/>
    <cellStyle name="Hyperlink" xfId="2960" builtinId="8" hidden="1"/>
    <cellStyle name="Hyperlink" xfId="2962" builtinId="8" hidden="1"/>
    <cellStyle name="Hyperlink" xfId="2964" builtinId="8" hidden="1"/>
    <cellStyle name="Hyperlink" xfId="2966" builtinId="8" hidden="1"/>
    <cellStyle name="Hyperlink" xfId="2968" builtinId="8" hidden="1"/>
    <cellStyle name="Hyperlink" xfId="2970" builtinId="8" hidden="1"/>
    <cellStyle name="Hyperlink" xfId="2972" builtinId="8" hidden="1"/>
    <cellStyle name="Hyperlink" xfId="2974" builtinId="8" hidden="1"/>
    <cellStyle name="Hyperlink" xfId="2976" builtinId="8" hidden="1"/>
    <cellStyle name="Hyperlink" xfId="2978" builtinId="8" hidden="1"/>
    <cellStyle name="Hyperlink" xfId="2980" builtinId="8" hidden="1"/>
    <cellStyle name="Hyperlink" xfId="2982" builtinId="8" hidden="1"/>
    <cellStyle name="Hyperlink" xfId="2984" builtinId="8" hidden="1"/>
    <cellStyle name="Hyperlink" xfId="2986" builtinId="8" hidden="1"/>
    <cellStyle name="Hyperlink" xfId="2988" builtinId="8" hidden="1"/>
    <cellStyle name="Hyperlink" xfId="2990" builtinId="8" hidden="1"/>
    <cellStyle name="Hyperlink" xfId="2992" builtinId="8" hidden="1"/>
    <cellStyle name="Hyperlink" xfId="2994" builtinId="8" hidden="1"/>
    <cellStyle name="Hyperlink" xfId="2996" builtinId="8" hidden="1"/>
    <cellStyle name="Hyperlink" xfId="2998" builtinId="8" hidden="1"/>
    <cellStyle name="Hyperlink" xfId="3000" builtinId="8" hidden="1"/>
    <cellStyle name="Hyperlink" xfId="3002" builtinId="8" hidden="1"/>
    <cellStyle name="Hyperlink" xfId="3004" builtinId="8" hidden="1"/>
    <cellStyle name="Hyperlink" xfId="3006" builtinId="8" hidden="1"/>
    <cellStyle name="Hyperlink" xfId="3008" builtinId="8" hidden="1"/>
    <cellStyle name="Hyperlink" xfId="3010" builtinId="8" hidden="1"/>
    <cellStyle name="Hyperlink" xfId="3012" builtinId="8" hidden="1"/>
    <cellStyle name="Hyperlink" xfId="3014" builtinId="8" hidden="1"/>
    <cellStyle name="Hyperlink" xfId="3016" builtinId="8" hidden="1"/>
    <cellStyle name="Hyperlink" xfId="3018" builtinId="8" hidden="1"/>
    <cellStyle name="Hyperlink" xfId="3020" builtinId="8" hidden="1"/>
    <cellStyle name="Hyperlink" xfId="3022" builtinId="8" hidden="1"/>
    <cellStyle name="Hyperlink" xfId="3024" builtinId="8" hidden="1"/>
    <cellStyle name="Hyperlink" xfId="3026" builtinId="8" hidden="1"/>
    <cellStyle name="Hyperlink" xfId="3028" builtinId="8" hidden="1"/>
    <cellStyle name="Hyperlink" xfId="3030" builtinId="8" hidden="1"/>
    <cellStyle name="Hyperlink" xfId="3032" builtinId="8" hidden="1"/>
    <cellStyle name="Hyperlink" xfId="3034" builtinId="8" hidden="1"/>
    <cellStyle name="Hyperlink" xfId="3036" builtinId="8" hidden="1"/>
    <cellStyle name="Hyperlink" xfId="3038" builtinId="8" hidden="1"/>
    <cellStyle name="Hyperlink" xfId="3040" builtinId="8" hidden="1"/>
    <cellStyle name="Hyperlink" xfId="3042" builtinId="8" hidden="1"/>
    <cellStyle name="Hyperlink" xfId="3044" builtinId="8" hidden="1"/>
    <cellStyle name="Hyperlink" xfId="3046" builtinId="8" hidden="1"/>
    <cellStyle name="Hyperlink" xfId="3048" builtinId="8" hidden="1"/>
    <cellStyle name="Hyperlink" xfId="3050" builtinId="8" hidden="1"/>
    <cellStyle name="Hyperlink" xfId="3052" builtinId="8" hidden="1"/>
    <cellStyle name="Hyperlink" xfId="3054" builtinId="8" hidden="1"/>
    <cellStyle name="Hyperlink" xfId="3056" builtinId="8" hidden="1"/>
    <cellStyle name="Hyperlink" xfId="3058" builtinId="8" hidden="1"/>
    <cellStyle name="Hyperlink" xfId="3060" builtinId="8" hidden="1"/>
    <cellStyle name="Hyperlink" xfId="3062" builtinId="8" hidden="1"/>
    <cellStyle name="Hyperlink" xfId="3064" builtinId="8" hidden="1"/>
    <cellStyle name="Hyperlink" xfId="3066" builtinId="8" hidden="1"/>
    <cellStyle name="Hyperlink" xfId="3068" builtinId="8" hidden="1"/>
    <cellStyle name="Hyperlink" xfId="3070" builtinId="8" hidden="1"/>
    <cellStyle name="Hyperlink" xfId="3072" builtinId="8" hidden="1"/>
    <cellStyle name="Hyperlink" xfId="3074" builtinId="8" hidden="1"/>
    <cellStyle name="Hyperlink" xfId="3076" builtinId="8" hidden="1"/>
    <cellStyle name="Hyperlink" xfId="3078" builtinId="8" hidden="1"/>
    <cellStyle name="Hyperlink" xfId="3080" builtinId="8" hidden="1"/>
    <cellStyle name="Hyperlink" xfId="3082" builtinId="8" hidden="1"/>
    <cellStyle name="Hyperlink" xfId="3084" builtinId="8" hidden="1"/>
    <cellStyle name="Hyperlink" xfId="3086" builtinId="8" hidden="1"/>
    <cellStyle name="Hyperlink" xfId="3088" builtinId="8" hidden="1"/>
    <cellStyle name="Hyperlink" xfId="3090" builtinId="8" hidden="1"/>
    <cellStyle name="Hyperlink" xfId="3092" builtinId="8" hidden="1"/>
    <cellStyle name="Hyperlink" xfId="3094" builtinId="8" hidden="1"/>
    <cellStyle name="Hyperlink" xfId="3096" builtinId="8" hidden="1"/>
    <cellStyle name="Hyperlink" xfId="3098" builtinId="8" hidden="1"/>
    <cellStyle name="Hyperlink" xfId="3100" builtinId="8" hidden="1"/>
    <cellStyle name="Hyperlink" xfId="3102" builtinId="8" hidden="1"/>
    <cellStyle name="Hyperlink" xfId="3104" builtinId="8" hidden="1"/>
    <cellStyle name="Hyperlink" xfId="3106" builtinId="8" hidden="1"/>
    <cellStyle name="Hyperlink" xfId="3108" builtinId="8" hidden="1"/>
    <cellStyle name="Hyperlink" xfId="3110" builtinId="8" hidden="1"/>
    <cellStyle name="Hyperlink" xfId="3112" builtinId="8" hidden="1"/>
    <cellStyle name="Hyperlink" xfId="3114" builtinId="8" hidden="1"/>
    <cellStyle name="Hyperlink" xfId="3116" builtinId="8" hidden="1"/>
    <cellStyle name="Hyperlink" xfId="3118" builtinId="8" hidden="1"/>
    <cellStyle name="Hyperlink" xfId="3120" builtinId="8" hidden="1"/>
    <cellStyle name="Hyperlink" xfId="3122" builtinId="8" hidden="1"/>
    <cellStyle name="Hyperlink" xfId="3124" builtinId="8" hidden="1"/>
    <cellStyle name="Hyperlink" xfId="3126" builtinId="8" hidden="1"/>
    <cellStyle name="Hyperlink" xfId="3128" builtinId="8" hidden="1"/>
    <cellStyle name="Hyperlink" xfId="3130" builtinId="8" hidden="1"/>
    <cellStyle name="Hyperlink" xfId="3132" builtinId="8" hidden="1"/>
    <cellStyle name="Hyperlink" xfId="3134" builtinId="8" hidden="1"/>
    <cellStyle name="Hyperlink" xfId="3136" builtinId="8" hidden="1"/>
    <cellStyle name="Hyperlink" xfId="3138" builtinId="8" hidden="1"/>
    <cellStyle name="Hyperlink" xfId="3140" builtinId="8" hidden="1"/>
    <cellStyle name="Hyperlink" xfId="3142" builtinId="8" hidden="1"/>
    <cellStyle name="Hyperlink" xfId="3144" builtinId="8" hidden="1"/>
    <cellStyle name="Hyperlink" xfId="3146" builtinId="8" hidden="1"/>
    <cellStyle name="Hyperlink" xfId="3148" builtinId="8" hidden="1"/>
    <cellStyle name="Hyperlink" xfId="3150" builtinId="8" hidden="1"/>
    <cellStyle name="Hyperlink" xfId="3152" builtinId="8" hidden="1"/>
    <cellStyle name="Hyperlink" xfId="3154" builtinId="8" hidden="1"/>
    <cellStyle name="Hyperlink" xfId="3156" builtinId="8" hidden="1"/>
    <cellStyle name="Hyperlink" xfId="3158" builtinId="8" hidden="1"/>
    <cellStyle name="Hyperlink" xfId="3160" builtinId="8" hidden="1"/>
    <cellStyle name="Hyperlink" xfId="3162" builtinId="8" hidden="1"/>
    <cellStyle name="Hyperlink" xfId="3164" builtinId="8" hidden="1"/>
    <cellStyle name="Hyperlink" xfId="3166" builtinId="8" hidden="1"/>
    <cellStyle name="Hyperlink" xfId="3168" builtinId="8" hidden="1"/>
    <cellStyle name="Hyperlink" xfId="3170" builtinId="8" hidden="1"/>
    <cellStyle name="Hyperlink" xfId="3172" builtinId="8" hidden="1"/>
    <cellStyle name="Hyperlink" xfId="3174" builtinId="8" hidden="1"/>
    <cellStyle name="Hyperlink" xfId="3176" builtinId="8" hidden="1"/>
    <cellStyle name="Hyperlink" xfId="3178" builtinId="8" hidden="1"/>
    <cellStyle name="Hyperlink" xfId="3180" builtinId="8" hidden="1"/>
    <cellStyle name="Hyperlink" xfId="3182" builtinId="8" hidden="1"/>
    <cellStyle name="Hyperlink" xfId="3184" builtinId="8" hidden="1"/>
    <cellStyle name="Hyperlink" xfId="3186" builtinId="8" hidden="1"/>
    <cellStyle name="Hyperlink" xfId="3188" builtinId="8" hidden="1"/>
    <cellStyle name="Hyperlink" xfId="3190" builtinId="8" hidden="1"/>
    <cellStyle name="Hyperlink" xfId="3192" builtinId="8" hidden="1"/>
    <cellStyle name="Hyperlink" xfId="3194" builtinId="8" hidden="1"/>
    <cellStyle name="Hyperlink" xfId="3196" builtinId="8" hidden="1"/>
    <cellStyle name="Hyperlink" xfId="3198" builtinId="8" hidden="1"/>
    <cellStyle name="Hyperlink" xfId="3200" builtinId="8" hidden="1"/>
    <cellStyle name="Hyperlink" xfId="3202" builtinId="8" hidden="1"/>
    <cellStyle name="Hyperlink" xfId="3204" builtinId="8" hidden="1"/>
    <cellStyle name="Hyperlink" xfId="3206" builtinId="8" hidden="1"/>
    <cellStyle name="Hyperlink" xfId="3208" builtinId="8" hidden="1"/>
    <cellStyle name="Hyperlink" xfId="3210" builtinId="8" hidden="1"/>
    <cellStyle name="Hyperlink" xfId="3212" builtinId="8" hidden="1"/>
    <cellStyle name="Hyperlink" xfId="3214" builtinId="8" hidden="1"/>
    <cellStyle name="Hyperlink" xfId="3216" builtinId="8" hidden="1"/>
    <cellStyle name="Hyperlink" xfId="3218" builtinId="8" hidden="1"/>
    <cellStyle name="Hyperlink" xfId="3220" builtinId="8" hidden="1"/>
    <cellStyle name="Hyperlink" xfId="3222" builtinId="8" hidden="1"/>
    <cellStyle name="Hyperlink" xfId="3224" builtinId="8" hidden="1"/>
    <cellStyle name="Hyperlink" xfId="3226" builtinId="8" hidden="1"/>
    <cellStyle name="Hyperlink" xfId="3228" builtinId="8" hidden="1"/>
    <cellStyle name="Hyperlink" xfId="3230" builtinId="8" hidden="1"/>
    <cellStyle name="Hyperlink" xfId="3232" builtinId="8" hidden="1"/>
    <cellStyle name="Hyperlink" xfId="3234" builtinId="8" hidden="1"/>
    <cellStyle name="Hyperlink" xfId="3236" builtinId="8" hidden="1"/>
    <cellStyle name="Hyperlink" xfId="3238" builtinId="8" hidden="1"/>
    <cellStyle name="Hyperlink" xfId="3240" builtinId="8" hidden="1"/>
    <cellStyle name="Hyperlink" xfId="3242" builtinId="8" hidden="1"/>
    <cellStyle name="Hyperlink" xfId="3244" builtinId="8" hidden="1"/>
    <cellStyle name="Hyperlink" xfId="3246" builtinId="8" hidden="1"/>
    <cellStyle name="Hyperlink" xfId="3248" builtinId="8" hidden="1"/>
    <cellStyle name="Hyperlink" xfId="3250" builtinId="8" hidden="1"/>
    <cellStyle name="Hyperlink" xfId="3252" builtinId="8" hidden="1"/>
    <cellStyle name="Hyperlink" xfId="3254" builtinId="8" hidden="1"/>
    <cellStyle name="Hyperlink" xfId="3256" builtinId="8" hidden="1"/>
    <cellStyle name="Hyperlink" xfId="3258" builtinId="8" hidden="1"/>
    <cellStyle name="Hyperlink" xfId="3260" builtinId="8" hidden="1"/>
    <cellStyle name="Hyperlink" xfId="3262" builtinId="8" hidden="1"/>
    <cellStyle name="Hyperlink" xfId="3264" builtinId="8" hidden="1"/>
    <cellStyle name="Hyperlink" xfId="3266" builtinId="8" hidden="1"/>
    <cellStyle name="Hyperlink" xfId="3268" builtinId="8" hidden="1"/>
    <cellStyle name="Hyperlink" xfId="3270" builtinId="8" hidden="1"/>
    <cellStyle name="Hyperlink" xfId="3272" builtinId="8" hidden="1"/>
    <cellStyle name="Hyperlink" xfId="3274" builtinId="8" hidden="1"/>
    <cellStyle name="Hyperlink" xfId="3276" builtinId="8" hidden="1"/>
    <cellStyle name="Hyperlink" xfId="3278" builtinId="8" hidden="1"/>
    <cellStyle name="Hyperlink" xfId="3280" builtinId="8" hidden="1"/>
    <cellStyle name="Hyperlink" xfId="3282" builtinId="8" hidden="1"/>
    <cellStyle name="Hyperlink" xfId="3284" builtinId="8" hidden="1"/>
    <cellStyle name="Hyperlink" xfId="3286" builtinId="8" hidden="1"/>
    <cellStyle name="Hyperlink" xfId="3288" builtinId="8" hidden="1"/>
    <cellStyle name="Hyperlink" xfId="3290" builtinId="8" hidden="1"/>
    <cellStyle name="Hyperlink" xfId="3292" builtinId="8" hidden="1"/>
    <cellStyle name="Hyperlink" xfId="3294" builtinId="8" hidden="1"/>
    <cellStyle name="Hyperlink" xfId="3296" builtinId="8" hidden="1"/>
    <cellStyle name="Hyperlink" xfId="3298" builtinId="8" hidden="1"/>
    <cellStyle name="Hyperlink" xfId="3300" builtinId="8" hidden="1"/>
    <cellStyle name="Hyperlink" xfId="3302" builtinId="8" hidden="1"/>
    <cellStyle name="Hyperlink" xfId="3304" builtinId="8" hidden="1"/>
    <cellStyle name="Hyperlink" xfId="3306" builtinId="8" hidden="1"/>
    <cellStyle name="Hyperlink" xfId="3308" builtinId="8" hidden="1"/>
    <cellStyle name="Hyperlink" xfId="3310" builtinId="8" hidden="1"/>
    <cellStyle name="Hyperlink" xfId="3312" builtinId="8" hidden="1"/>
    <cellStyle name="Hyperlink" xfId="3314" builtinId="8" hidden="1"/>
    <cellStyle name="Hyperlink" xfId="3316" builtinId="8" hidden="1"/>
    <cellStyle name="Hyperlink" xfId="3318" builtinId="8" hidden="1"/>
    <cellStyle name="Hyperlink" xfId="3320" builtinId="8" hidden="1"/>
    <cellStyle name="Hyperlink" xfId="3322" builtinId="8" hidden="1"/>
    <cellStyle name="Hyperlink" xfId="3324" builtinId="8" hidden="1"/>
    <cellStyle name="Hyperlink" xfId="3326" builtinId="8" hidden="1"/>
    <cellStyle name="Hyperlink" xfId="3328" builtinId="8" hidden="1"/>
    <cellStyle name="Hyperlink" xfId="3330" builtinId="8" hidden="1"/>
    <cellStyle name="Hyperlink" xfId="3332" builtinId="8" hidden="1"/>
    <cellStyle name="Hyperlink" xfId="3334" builtinId="8" hidden="1"/>
    <cellStyle name="Hyperlink" xfId="3336" builtinId="8" hidden="1"/>
    <cellStyle name="Hyperlink" xfId="3338" builtinId="8" hidden="1"/>
    <cellStyle name="Hyperlink" xfId="3340" builtinId="8" hidden="1"/>
    <cellStyle name="Hyperlink" xfId="3342" builtinId="8" hidden="1"/>
    <cellStyle name="Hyperlink" xfId="3344" builtinId="8" hidden="1"/>
    <cellStyle name="Hyperlink" xfId="3346" builtinId="8" hidden="1"/>
    <cellStyle name="Hyperlink" xfId="3348" builtinId="8" hidden="1"/>
    <cellStyle name="Hyperlink" xfId="3350" builtinId="8" hidden="1"/>
    <cellStyle name="Hyperlink" xfId="3352" builtinId="8" hidden="1"/>
    <cellStyle name="Hyperlink" xfId="3354" builtinId="8" hidden="1"/>
    <cellStyle name="Hyperlink" xfId="3356" builtinId="8" hidden="1"/>
    <cellStyle name="Hyperlink" xfId="3358" builtinId="8" hidden="1"/>
    <cellStyle name="Hyperlink" xfId="3360" builtinId="8" hidden="1"/>
    <cellStyle name="Hyperlink" xfId="3362" builtinId="8" hidden="1"/>
    <cellStyle name="Hyperlink" xfId="3364" builtinId="8" hidden="1"/>
    <cellStyle name="Hyperlink" xfId="3366" builtinId="8" hidden="1"/>
    <cellStyle name="Hyperlink" xfId="3368" builtinId="8" hidden="1"/>
    <cellStyle name="Hyperlink" xfId="3370" builtinId="8" hidden="1"/>
    <cellStyle name="Hyperlink" xfId="3372" builtinId="8" hidden="1"/>
    <cellStyle name="Hyperlink" xfId="3374" builtinId="8" hidden="1"/>
    <cellStyle name="Hyperlink" xfId="3376" builtinId="8" hidden="1"/>
    <cellStyle name="Hyperlink" xfId="3378" builtinId="8" hidden="1"/>
    <cellStyle name="Hyperlink" xfId="3380" builtinId="8" hidden="1"/>
    <cellStyle name="Hyperlink" xfId="3382" builtinId="8" hidden="1"/>
    <cellStyle name="Hyperlink" xfId="3384" builtinId="8" hidden="1"/>
    <cellStyle name="Hyperlink" xfId="3386" builtinId="8" hidden="1"/>
    <cellStyle name="Hyperlink" xfId="3388" builtinId="8" hidden="1"/>
    <cellStyle name="Hyperlink" xfId="3390" builtinId="8" hidden="1"/>
    <cellStyle name="Hyperlink" xfId="3392" builtinId="8" hidden="1"/>
    <cellStyle name="Hyperlink" xfId="3394" builtinId="8" hidden="1"/>
    <cellStyle name="Hyperlink" xfId="3396" builtinId="8" hidden="1"/>
    <cellStyle name="Hyperlink" xfId="3398" builtinId="8" hidden="1"/>
    <cellStyle name="Hyperlink" xfId="3400" builtinId="8" hidden="1"/>
    <cellStyle name="Hyperlink" xfId="3402" builtinId="8" hidden="1"/>
    <cellStyle name="Hyperlink" xfId="3404" builtinId="8" hidden="1"/>
    <cellStyle name="Hyperlink" xfId="3406" builtinId="8" hidden="1"/>
    <cellStyle name="Hyperlink" xfId="3408" builtinId="8" hidden="1"/>
    <cellStyle name="Hyperlink" xfId="3410" builtinId="8" hidden="1"/>
    <cellStyle name="Hyperlink" xfId="3412" builtinId="8" hidden="1"/>
    <cellStyle name="Hyperlink" xfId="3414" builtinId="8" hidden="1"/>
    <cellStyle name="Hyperlink" xfId="3416" builtinId="8" hidden="1"/>
    <cellStyle name="Hyperlink" xfId="3418" builtinId="8" hidden="1"/>
    <cellStyle name="Hyperlink" xfId="3420" builtinId="8" hidden="1"/>
    <cellStyle name="Hyperlink" xfId="3422" builtinId="8" hidden="1"/>
    <cellStyle name="Hyperlink" xfId="3424" builtinId="8" hidden="1"/>
    <cellStyle name="Hyperlink" xfId="3426" builtinId="8" hidden="1"/>
    <cellStyle name="Hyperlink" xfId="3428" builtinId="8" hidden="1"/>
    <cellStyle name="Hyperlink" xfId="3430" builtinId="8" hidden="1"/>
    <cellStyle name="Hyperlink" xfId="3432" builtinId="8" hidden="1"/>
    <cellStyle name="Hyperlink" xfId="3434" builtinId="8" hidden="1"/>
    <cellStyle name="Hyperlink" xfId="3436" builtinId="8" hidden="1"/>
    <cellStyle name="Hyperlink" xfId="3438" builtinId="8" hidden="1"/>
    <cellStyle name="Hyperlink" xfId="3440" builtinId="8" hidden="1"/>
    <cellStyle name="Hyperlink" xfId="3442" builtinId="8" hidden="1"/>
    <cellStyle name="Hyperlink" xfId="3444" builtinId="8" hidden="1"/>
    <cellStyle name="Hyperlink" xfId="3446" builtinId="8" hidden="1"/>
    <cellStyle name="Hyperlink" xfId="3448" builtinId="8" hidden="1"/>
    <cellStyle name="Hyperlink" xfId="3450" builtinId="8" hidden="1"/>
    <cellStyle name="Hyperlink" xfId="3452" builtinId="8" hidden="1"/>
    <cellStyle name="Hyperlink" xfId="3454" builtinId="8" hidden="1"/>
    <cellStyle name="Hyperlink" xfId="3456" builtinId="8" hidden="1"/>
    <cellStyle name="Hyperlink" xfId="3458" builtinId="8" hidden="1"/>
    <cellStyle name="Hyperlink" xfId="3460" builtinId="8" hidden="1"/>
    <cellStyle name="Hyperlink" xfId="3462" builtinId="8" hidden="1"/>
    <cellStyle name="Hyperlink" xfId="3464" builtinId="8" hidden="1"/>
    <cellStyle name="Hyperlink" xfId="3466" builtinId="8" hidden="1"/>
    <cellStyle name="Hyperlink" xfId="3468" builtinId="8" hidden="1"/>
    <cellStyle name="Hyperlink" xfId="3470" builtinId="8" hidden="1"/>
    <cellStyle name="Hyperlink" xfId="3472" builtinId="8" hidden="1"/>
    <cellStyle name="Hyperlink" xfId="3474" builtinId="8" hidden="1"/>
    <cellStyle name="Hyperlink" xfId="3476" builtinId="8" hidden="1"/>
    <cellStyle name="Hyperlink" xfId="3478" builtinId="8" hidden="1"/>
    <cellStyle name="Hyperlink" xfId="3480" builtinId="8" hidden="1"/>
    <cellStyle name="Hyperlink" xfId="3482" builtinId="8" hidden="1"/>
    <cellStyle name="Hyperlink" xfId="3484" builtinId="8" hidden="1"/>
    <cellStyle name="Hyperlink" xfId="3486" builtinId="8" hidden="1"/>
    <cellStyle name="Hyperlink" xfId="3488" builtinId="8" hidden="1"/>
    <cellStyle name="Hyperlink" xfId="3490" builtinId="8" hidden="1"/>
    <cellStyle name="Hyperlink" xfId="3492" builtinId="8" hidden="1"/>
    <cellStyle name="Hyperlink" xfId="3494" builtinId="8" hidden="1"/>
    <cellStyle name="Hyperlink" xfId="3496" builtinId="8" hidden="1"/>
    <cellStyle name="Hyperlink" xfId="3498" builtinId="8" hidden="1"/>
    <cellStyle name="Hyperlink" xfId="3500" builtinId="8" hidden="1"/>
    <cellStyle name="Hyperlink" xfId="3502" builtinId="8" hidden="1"/>
    <cellStyle name="Hyperlink" xfId="3504" builtinId="8" hidden="1"/>
    <cellStyle name="Hyperlink" xfId="3506" builtinId="8" hidden="1"/>
    <cellStyle name="Hyperlink" xfId="3508" builtinId="8" hidden="1"/>
    <cellStyle name="Hyperlink" xfId="3510" builtinId="8" hidden="1"/>
    <cellStyle name="Hyperlink" xfId="3512" builtinId="8" hidden="1"/>
    <cellStyle name="Hyperlink" xfId="3514" builtinId="8" hidden="1"/>
    <cellStyle name="Hyperlink" xfId="3516" builtinId="8" hidden="1"/>
    <cellStyle name="Hyperlink" xfId="3518" builtinId="8" hidden="1"/>
    <cellStyle name="Hyperlink" xfId="3520" builtinId="8" hidden="1"/>
    <cellStyle name="Hyperlink" xfId="3522" builtinId="8" hidden="1"/>
    <cellStyle name="Hyperlink" xfId="3524" builtinId="8" hidden="1"/>
    <cellStyle name="Hyperlink" xfId="3526" builtinId="8" hidden="1"/>
    <cellStyle name="Hyperlink" xfId="3528" builtinId="8" hidden="1"/>
    <cellStyle name="Hyperlink" xfId="3530" builtinId="8" hidden="1"/>
    <cellStyle name="Hyperlink" xfId="3532" builtinId="8" hidden="1"/>
    <cellStyle name="Hyperlink" xfId="3534" builtinId="8" hidden="1"/>
    <cellStyle name="Hyperlink" xfId="3536" builtinId="8" hidden="1"/>
    <cellStyle name="Hyperlink" xfId="3538" builtinId="8" hidden="1"/>
    <cellStyle name="Hyperlink" xfId="3540" builtinId="8" hidden="1"/>
    <cellStyle name="Hyperlink" xfId="3542" builtinId="8" hidden="1"/>
    <cellStyle name="Hyperlink" xfId="3544" builtinId="8" hidden="1"/>
    <cellStyle name="Hyperlink" xfId="3546" builtinId="8" hidden="1"/>
    <cellStyle name="Hyperlink" xfId="3548" builtinId="8" hidden="1"/>
    <cellStyle name="Hyperlink" xfId="3550" builtinId="8" hidden="1"/>
    <cellStyle name="Hyperlink" xfId="3552" builtinId="8" hidden="1"/>
    <cellStyle name="Hyperlink" xfId="3554" builtinId="8" hidden="1"/>
    <cellStyle name="Hyperlink" xfId="3556" builtinId="8" hidden="1"/>
    <cellStyle name="Hyperlink" xfId="3558" builtinId="8" hidden="1"/>
    <cellStyle name="Hyperlink" xfId="3560" builtinId="8" hidden="1"/>
    <cellStyle name="Hyperlink" xfId="3562" builtinId="8" hidden="1"/>
    <cellStyle name="Hyperlink" xfId="3564" builtinId="8" hidden="1"/>
    <cellStyle name="Hyperlink" xfId="3566" builtinId="8" hidden="1"/>
    <cellStyle name="Hyperlink" xfId="3568" builtinId="8" hidden="1"/>
    <cellStyle name="Hyperlink" xfId="3570" builtinId="8" hidden="1"/>
    <cellStyle name="Hyperlink" xfId="3572" builtinId="8" hidden="1"/>
    <cellStyle name="Hyperlink" xfId="3574" builtinId="8" hidden="1"/>
    <cellStyle name="Hyperlink" xfId="3576" builtinId="8" hidden="1"/>
    <cellStyle name="Hyperlink" xfId="3578" builtinId="8" hidden="1"/>
    <cellStyle name="Hyperlink" xfId="3580" builtinId="8" hidden="1"/>
    <cellStyle name="Hyperlink" xfId="3582" builtinId="8" hidden="1"/>
    <cellStyle name="Hyperlink" xfId="3584" builtinId="8" hidden="1"/>
    <cellStyle name="Hyperlink" xfId="3586" builtinId="8" hidden="1"/>
    <cellStyle name="Hyperlink" xfId="3588" builtinId="8" hidden="1"/>
    <cellStyle name="Hyperlink" xfId="3590" builtinId="8" hidden="1"/>
    <cellStyle name="Hyperlink" xfId="3592" builtinId="8" hidden="1"/>
    <cellStyle name="Hyperlink" xfId="3594" builtinId="8" hidden="1"/>
    <cellStyle name="Hyperlink" xfId="3596" builtinId="8" hidden="1"/>
    <cellStyle name="Hyperlink" xfId="3598" builtinId="8" hidden="1"/>
    <cellStyle name="Hyperlink" xfId="3600" builtinId="8" hidden="1"/>
    <cellStyle name="Hyperlink" xfId="3602" builtinId="8" hidden="1"/>
    <cellStyle name="Hyperlink" xfId="3604" builtinId="8" hidden="1"/>
    <cellStyle name="Hyperlink" xfId="3606" builtinId="8" hidden="1"/>
    <cellStyle name="Hyperlink" xfId="3608" builtinId="8" hidden="1"/>
    <cellStyle name="Hyperlink" xfId="3610" builtinId="8" hidden="1"/>
    <cellStyle name="Hyperlink" xfId="3612" builtinId="8" hidden="1"/>
    <cellStyle name="Hyperlink" xfId="3614" builtinId="8" hidden="1"/>
    <cellStyle name="Hyperlink" xfId="3616" builtinId="8" hidden="1"/>
    <cellStyle name="Hyperlink" xfId="3618" builtinId="8" hidden="1"/>
    <cellStyle name="Hyperlink" xfId="3620" builtinId="8" hidden="1"/>
    <cellStyle name="Hyperlink" xfId="3622" builtinId="8" hidden="1"/>
    <cellStyle name="Hyperlink" xfId="3624" builtinId="8" hidden="1"/>
    <cellStyle name="Hyperlink" xfId="3626" builtinId="8" hidden="1"/>
    <cellStyle name="Hyperlink" xfId="3628" builtinId="8" hidden="1"/>
    <cellStyle name="Hyperlink" xfId="3630" builtinId="8" hidden="1"/>
    <cellStyle name="Hyperlink" xfId="3632" builtinId="8" hidden="1"/>
    <cellStyle name="Hyperlink" xfId="3634" builtinId="8" hidden="1"/>
    <cellStyle name="Hyperlink" xfId="3636" builtinId="8" hidden="1"/>
    <cellStyle name="Hyperlink" xfId="3638" builtinId="8" hidden="1"/>
    <cellStyle name="Hyperlink" xfId="3640" builtinId="8" hidden="1"/>
    <cellStyle name="Hyperlink" xfId="3642" builtinId="8" hidden="1"/>
    <cellStyle name="Hyperlink" xfId="3644" builtinId="8" hidden="1"/>
    <cellStyle name="Hyperlink" xfId="3646" builtinId="8" hidden="1"/>
    <cellStyle name="Hyperlink" xfId="3648" builtinId="8" hidden="1"/>
    <cellStyle name="Hyperlink" xfId="3650" builtinId="8" hidden="1"/>
    <cellStyle name="Hyperlink" xfId="3652" builtinId="8" hidden="1"/>
    <cellStyle name="Normal" xfId="0" builtinId="0"/>
    <cellStyle name="Normal 2" xfId="971" xr:uid="{00000000-0005-0000-0000-0000450E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355600</xdr:colOff>
      <xdr:row>10</xdr:row>
      <xdr:rowOff>131233</xdr:rowOff>
    </xdr:from>
    <xdr:to>
      <xdr:col>1</xdr:col>
      <xdr:colOff>80433</xdr:colOff>
      <xdr:row>16</xdr:row>
      <xdr:rowOff>131233</xdr:rowOff>
    </xdr:to>
    <xdr:sp macro="" textlink="">
      <xdr:nvSpPr>
        <xdr:cNvPr id="5123" name="BalanceButton" hidden="1">
          <a:extLst>
            <a:ext uri="{63B3BB69-23CF-44E3-9099-C40C66FF867C}">
              <a14:compatExt xmlns:a14="http://schemas.microsoft.com/office/drawing/2010/main" spid="_x0000_s5123"/>
            </a:ext>
            <a:ext uri="{FF2B5EF4-FFF2-40B4-BE49-F238E27FC236}">
              <a16:creationId xmlns:a16="http://schemas.microsoft.com/office/drawing/2014/main" id="{00000000-0008-0000-0100-000003140000}"/>
            </a:ext>
          </a:extLst>
        </xdr:cNvPr>
        <xdr:cNvSpPr/>
      </xdr:nvSpPr>
      <xdr:spPr>
        <a:xfrm>
          <a:off x="0" y="0"/>
          <a:ext cx="0" cy="0"/>
        </a:xfrm>
        <a:prstGeom prst="rect">
          <a:avLst/>
        </a:prstGeom>
      </xdr:spPr>
    </xdr:sp>
    <xdr:clientData/>
  </xdr:twoCellAnchor>
  <xdr:twoCellAnchor editAs="oneCell">
    <xdr:from>
      <xdr:col>18</xdr:col>
      <xdr:colOff>67734</xdr:colOff>
      <xdr:row>1</xdr:row>
      <xdr:rowOff>101599</xdr:rowOff>
    </xdr:from>
    <xdr:to>
      <xdr:col>20</xdr:col>
      <xdr:colOff>541867</xdr:colOff>
      <xdr:row>11</xdr:row>
      <xdr:rowOff>25399</xdr:rowOff>
    </xdr:to>
    <xdr:pic macro="[0]!Sheet8.BalanceButton_Click">
      <xdr:nvPicPr>
        <xdr:cNvPr id="3" name="Picture 2" descr="129498-simple-red-square-icon-signs-scale-sc2.png">
          <a:extLst>
            <a:ext uri="{FF2B5EF4-FFF2-40B4-BE49-F238E27FC236}">
              <a16:creationId xmlns:a16="http://schemas.microsoft.com/office/drawing/2014/main" id="{00000000-0008-0000-01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5396" t="14113" r="15319" b="16603"/>
        <a:stretch/>
      </xdr:blipFill>
      <xdr:spPr>
        <a:xfrm>
          <a:off x="16594667" y="253999"/>
          <a:ext cx="1828800" cy="1828800"/>
        </a:xfrm>
        <a:prstGeom prst="rect">
          <a:avLst/>
        </a:prstGeom>
      </xdr:spPr>
    </xdr:pic>
    <xdr:clientData/>
  </xdr:twoCellAnchor>
  <xdr:twoCellAnchor editAs="oneCell">
    <xdr:from>
      <xdr:col>18</xdr:col>
      <xdr:colOff>71966</xdr:colOff>
      <xdr:row>15</xdr:row>
      <xdr:rowOff>63472</xdr:rowOff>
    </xdr:from>
    <xdr:to>
      <xdr:col>20</xdr:col>
      <xdr:colOff>581268</xdr:colOff>
      <xdr:row>24</xdr:row>
      <xdr:rowOff>177772</xdr:rowOff>
    </xdr:to>
    <xdr:pic macro="[0]!WriteEwEResult">
      <xdr:nvPicPr>
        <xdr:cNvPr id="2" name="Picture 1" descr="129217-simple-red-square-icon-natural-wonders-leaves-sc49.png">
          <a:extLst>
            <a:ext uri="{FF2B5EF4-FFF2-40B4-BE49-F238E27FC236}">
              <a16:creationId xmlns:a16="http://schemas.microsoft.com/office/drawing/2014/main" id="{00000000-0008-0000-0100-000002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5365" t="14063" r="15625" b="18229"/>
        <a:stretch/>
      </xdr:blipFill>
      <xdr:spPr>
        <a:xfrm>
          <a:off x="16531166" y="2374872"/>
          <a:ext cx="1855502" cy="1828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584200</xdr:colOff>
      <xdr:row>8</xdr:row>
      <xdr:rowOff>0</xdr:rowOff>
    </xdr:from>
    <xdr:to>
      <xdr:col>11</xdr:col>
      <xdr:colOff>541020</xdr:colOff>
      <xdr:row>12</xdr:row>
      <xdr:rowOff>40640</xdr:rowOff>
    </xdr:to>
    <xdr:sp macro="" textlink="">
      <xdr:nvSpPr>
        <xdr:cNvPr id="19459" name="comEvv" hidden="1">
          <a:extLst>
            <a:ext uri="{63B3BB69-23CF-44E3-9099-C40C66FF867C}">
              <a14:compatExt xmlns:a14="http://schemas.microsoft.com/office/drawing/2010/main" spid="_x0000_s19459"/>
            </a:ext>
            <a:ext uri="{FF2B5EF4-FFF2-40B4-BE49-F238E27FC236}">
              <a16:creationId xmlns:a16="http://schemas.microsoft.com/office/drawing/2014/main" id="{00000000-0008-0000-0B00-0000034C0000}"/>
            </a:ext>
          </a:extLst>
        </xdr:cNvPr>
        <xdr:cNvSpPr/>
      </xdr:nvSpPr>
      <xdr:spPr>
        <a:xfrm>
          <a:off x="0" y="0"/>
          <a:ext cx="0" cy="0"/>
        </a:xfrm>
        <a:prstGeom prst="rect">
          <a:avLst/>
        </a:prstGeom>
      </xdr:spPr>
    </xdr:sp>
    <xdr:clientData/>
  </xdr:twoCellAnchor>
  <xdr:twoCellAnchor editAs="oneCell">
    <xdr:from>
      <xdr:col>9</xdr:col>
      <xdr:colOff>520700</xdr:colOff>
      <xdr:row>1</xdr:row>
      <xdr:rowOff>101600</xdr:rowOff>
    </xdr:from>
    <xdr:to>
      <xdr:col>11</xdr:col>
      <xdr:colOff>477520</xdr:colOff>
      <xdr:row>5</xdr:row>
      <xdr:rowOff>154940</xdr:rowOff>
    </xdr:to>
    <xdr:sp macro="" textlink="">
      <xdr:nvSpPr>
        <xdr:cNvPr id="19460" name="comCexport" hidden="1">
          <a:extLst>
            <a:ext uri="{63B3BB69-23CF-44E3-9099-C40C66FF867C}">
              <a14:compatExt xmlns:a14="http://schemas.microsoft.com/office/drawing/2010/main" spid="_x0000_s19460"/>
            </a:ext>
            <a:ext uri="{FF2B5EF4-FFF2-40B4-BE49-F238E27FC236}">
              <a16:creationId xmlns:a16="http://schemas.microsoft.com/office/drawing/2014/main" id="{00000000-0008-0000-0B00-0000044C0000}"/>
            </a:ext>
          </a:extLst>
        </xdr:cNvPr>
        <xdr:cNvSpPr/>
      </xdr:nvSpPr>
      <xdr:spPr>
        <a:xfrm>
          <a:off x="0" y="0"/>
          <a:ext cx="0" cy="0"/>
        </a:xfrm>
        <a:prstGeom prst="rect">
          <a:avLst/>
        </a:prstGeom>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tabColor indexed="8"/>
  </sheetPr>
  <dimension ref="B2:D68"/>
  <sheetViews>
    <sheetView topLeftCell="C45" zoomScale="125" zoomScaleNormal="125" zoomScalePageLayoutView="125" workbookViewId="0">
      <selection activeCell="C69" sqref="C69"/>
    </sheetView>
  </sheetViews>
  <sheetFormatPr baseColWidth="10" defaultColWidth="8.83203125" defaultRowHeight="13" x14ac:dyDescent="0.15"/>
  <cols>
    <col min="2" max="2" width="16" customWidth="1"/>
    <col min="3" max="3" width="201" customWidth="1"/>
  </cols>
  <sheetData>
    <row r="2" spans="2:4" x14ac:dyDescent="0.15">
      <c r="B2" t="s">
        <v>145</v>
      </c>
    </row>
    <row r="3" spans="2:4" x14ac:dyDescent="0.15">
      <c r="B3" t="s">
        <v>146</v>
      </c>
    </row>
    <row r="4" spans="2:4" x14ac:dyDescent="0.15">
      <c r="B4" s="62" t="s">
        <v>164</v>
      </c>
    </row>
    <row r="6" spans="2:4" ht="14" thickBot="1" x14ac:dyDescent="0.2">
      <c r="B6" s="46" t="s">
        <v>141</v>
      </c>
    </row>
    <row r="7" spans="2:4" x14ac:dyDescent="0.15">
      <c r="B7" s="62" t="s">
        <v>143</v>
      </c>
    </row>
    <row r="8" spans="2:4" x14ac:dyDescent="0.15">
      <c r="B8" s="62" t="s">
        <v>142</v>
      </c>
    </row>
    <row r="9" spans="2:4" x14ac:dyDescent="0.15">
      <c r="B9" s="62" t="s">
        <v>144</v>
      </c>
    </row>
    <row r="10" spans="2:4" x14ac:dyDescent="0.15">
      <c r="B10" s="62" t="s">
        <v>147</v>
      </c>
    </row>
    <row r="11" spans="2:4" x14ac:dyDescent="0.15">
      <c r="B11" s="62" t="s">
        <v>151</v>
      </c>
    </row>
    <row r="12" spans="2:4" x14ac:dyDescent="0.15">
      <c r="B12" s="62" t="s">
        <v>153</v>
      </c>
    </row>
    <row r="13" spans="2:4" x14ac:dyDescent="0.15">
      <c r="B13" s="62" t="s">
        <v>165</v>
      </c>
    </row>
    <row r="15" spans="2:4" ht="14" thickBot="1" x14ac:dyDescent="0.2"/>
    <row r="16" spans="2:4" ht="14" thickBot="1" x14ac:dyDescent="0.2">
      <c r="B16" s="47" t="s">
        <v>137</v>
      </c>
      <c r="C16" s="48"/>
      <c r="D16" s="30">
        <v>41373</v>
      </c>
    </row>
    <row r="17" spans="2:4" x14ac:dyDescent="0.15">
      <c r="B17" s="49" t="s">
        <v>58</v>
      </c>
      <c r="C17" s="33">
        <v>0</v>
      </c>
    </row>
    <row r="18" spans="2:4" x14ac:dyDescent="0.15">
      <c r="B18" s="49" t="s">
        <v>59</v>
      </c>
      <c r="C18" s="33">
        <v>1</v>
      </c>
    </row>
    <row r="19" spans="2:4" x14ac:dyDescent="0.15">
      <c r="B19" s="49" t="s">
        <v>60</v>
      </c>
      <c r="C19" s="33">
        <v>2</v>
      </c>
    </row>
    <row r="20" spans="2:4" ht="14" thickBot="1" x14ac:dyDescent="0.2">
      <c r="B20" s="50" t="s">
        <v>44</v>
      </c>
      <c r="C20" s="34">
        <v>3</v>
      </c>
    </row>
    <row r="21" spans="2:4" x14ac:dyDescent="0.15">
      <c r="B21" s="51" t="s">
        <v>140</v>
      </c>
    </row>
    <row r="22" spans="2:4" ht="14" thickBot="1" x14ac:dyDescent="0.2"/>
    <row r="23" spans="2:4" ht="14" thickBot="1" x14ac:dyDescent="0.2">
      <c r="B23" s="47" t="s">
        <v>65</v>
      </c>
      <c r="C23" s="48"/>
      <c r="D23" s="30" t="s">
        <v>148</v>
      </c>
    </row>
    <row r="24" spans="2:4" x14ac:dyDescent="0.15">
      <c r="B24" s="53" t="s">
        <v>38</v>
      </c>
      <c r="C24" s="31">
        <v>1</v>
      </c>
    </row>
    <row r="25" spans="2:4" x14ac:dyDescent="0.15">
      <c r="B25" s="49" t="s">
        <v>40</v>
      </c>
      <c r="C25" s="33">
        <v>1.1000000000000001</v>
      </c>
    </row>
    <row r="26" spans="2:4" x14ac:dyDescent="0.15">
      <c r="B26" s="49" t="s">
        <v>41</v>
      </c>
      <c r="C26" s="33">
        <v>1.2</v>
      </c>
    </row>
    <row r="27" spans="2:4" x14ac:dyDescent="0.15">
      <c r="B27" s="49"/>
      <c r="C27" s="33"/>
    </row>
    <row r="28" spans="2:4" x14ac:dyDescent="0.15">
      <c r="B28" s="49" t="s">
        <v>42</v>
      </c>
      <c r="C28" s="33">
        <v>2.1</v>
      </c>
    </row>
    <row r="29" spans="2:4" x14ac:dyDescent="0.15">
      <c r="B29" s="49" t="s">
        <v>43</v>
      </c>
      <c r="C29" s="33">
        <v>2.2000000000000002</v>
      </c>
    </row>
    <row r="30" spans="2:4" x14ac:dyDescent="0.15">
      <c r="B30" s="49" t="s">
        <v>67</v>
      </c>
      <c r="C30" s="33">
        <v>2.2999999999999998</v>
      </c>
    </row>
    <row r="31" spans="2:4" x14ac:dyDescent="0.15">
      <c r="B31" s="49"/>
      <c r="C31" s="33"/>
    </row>
    <row r="32" spans="2:4" x14ac:dyDescent="0.15">
      <c r="B32" s="49" t="s">
        <v>62</v>
      </c>
      <c r="C32" s="33">
        <v>3.11</v>
      </c>
    </row>
    <row r="33" spans="2:3" x14ac:dyDescent="0.15">
      <c r="B33" s="49" t="s">
        <v>61</v>
      </c>
      <c r="C33" s="33">
        <v>3.12</v>
      </c>
    </row>
    <row r="34" spans="2:3" x14ac:dyDescent="0.15">
      <c r="B34" s="49" t="s">
        <v>68</v>
      </c>
      <c r="C34" s="33">
        <v>3.13</v>
      </c>
    </row>
    <row r="35" spans="2:3" x14ac:dyDescent="0.15">
      <c r="B35" s="49"/>
      <c r="C35" s="33"/>
    </row>
    <row r="36" spans="2:3" x14ac:dyDescent="0.15">
      <c r="B36" s="49" t="s">
        <v>66</v>
      </c>
      <c r="C36" s="33">
        <v>3.21</v>
      </c>
    </row>
    <row r="37" spans="2:3" x14ac:dyDescent="0.15">
      <c r="B37" s="49" t="s">
        <v>63</v>
      </c>
      <c r="C37" s="33">
        <v>3.22</v>
      </c>
    </row>
    <row r="38" spans="2:3" x14ac:dyDescent="0.15">
      <c r="B38" s="49" t="s">
        <v>69</v>
      </c>
      <c r="C38" s="33">
        <v>3.23</v>
      </c>
    </row>
    <row r="39" spans="2:3" x14ac:dyDescent="0.15">
      <c r="B39" s="49"/>
      <c r="C39" s="33"/>
    </row>
    <row r="40" spans="2:3" x14ac:dyDescent="0.15">
      <c r="B40" s="49" t="s">
        <v>64</v>
      </c>
      <c r="C40" s="33">
        <v>8</v>
      </c>
    </row>
    <row r="41" spans="2:3" x14ac:dyDescent="0.15">
      <c r="B41" s="49"/>
      <c r="C41" s="33"/>
    </row>
    <row r="42" spans="2:3" x14ac:dyDescent="0.15">
      <c r="B42" s="49" t="s">
        <v>71</v>
      </c>
      <c r="C42" s="33">
        <v>4.0999999999999996</v>
      </c>
    </row>
    <row r="43" spans="2:3" x14ac:dyDescent="0.15">
      <c r="B43" s="49" t="s">
        <v>70</v>
      </c>
      <c r="C43" s="33">
        <v>4.2</v>
      </c>
    </row>
    <row r="44" spans="2:3" x14ac:dyDescent="0.15">
      <c r="B44" s="49" t="s">
        <v>72</v>
      </c>
      <c r="C44" s="33">
        <v>4.3</v>
      </c>
    </row>
    <row r="45" spans="2:3" x14ac:dyDescent="0.15">
      <c r="B45" s="32"/>
      <c r="C45" s="33"/>
    </row>
    <row r="46" spans="2:3" x14ac:dyDescent="0.15">
      <c r="B46" s="49" t="s">
        <v>138</v>
      </c>
      <c r="C46" s="33">
        <v>6.1</v>
      </c>
    </row>
    <row r="47" spans="2:3" x14ac:dyDescent="0.15">
      <c r="B47" s="49" t="s">
        <v>45</v>
      </c>
      <c r="C47" s="33">
        <v>6.2</v>
      </c>
    </row>
    <row r="48" spans="2:3" x14ac:dyDescent="0.15">
      <c r="B48" s="49"/>
      <c r="C48" s="33"/>
    </row>
    <row r="49" spans="2:4" x14ac:dyDescent="0.15">
      <c r="B49" s="49" t="s">
        <v>44</v>
      </c>
      <c r="C49" s="33">
        <v>5</v>
      </c>
    </row>
    <row r="50" spans="2:4" x14ac:dyDescent="0.15">
      <c r="B50" s="49"/>
      <c r="C50" s="33"/>
    </row>
    <row r="51" spans="2:4" ht="14" thickBot="1" x14ac:dyDescent="0.2">
      <c r="B51" s="50" t="s">
        <v>73</v>
      </c>
      <c r="C51" s="34">
        <v>7</v>
      </c>
    </row>
    <row r="53" spans="2:4" x14ac:dyDescent="0.15">
      <c r="B53" s="145" t="s">
        <v>171</v>
      </c>
      <c r="C53" s="111">
        <v>746</v>
      </c>
      <c r="D53" s="111"/>
    </row>
    <row r="54" spans="2:4" x14ac:dyDescent="0.15">
      <c r="B54" s="145" t="s">
        <v>172</v>
      </c>
      <c r="C54" s="145" t="s">
        <v>185</v>
      </c>
      <c r="D54" s="111"/>
    </row>
    <row r="55" spans="2:4" x14ac:dyDescent="0.15">
      <c r="B55" s="145" t="s">
        <v>173</v>
      </c>
      <c r="C55" s="145" t="s">
        <v>186</v>
      </c>
      <c r="D55" s="111"/>
    </row>
    <row r="56" spans="2:4" x14ac:dyDescent="0.15">
      <c r="B56" s="145" t="s">
        <v>174</v>
      </c>
      <c r="C56" s="111">
        <v>1608</v>
      </c>
      <c r="D56" s="111"/>
    </row>
    <row r="57" spans="2:4" x14ac:dyDescent="0.15">
      <c r="B57" s="145" t="s">
        <v>175</v>
      </c>
      <c r="C57" s="145" t="s">
        <v>187</v>
      </c>
      <c r="D57" s="111"/>
    </row>
    <row r="58" spans="2:4" x14ac:dyDescent="0.15">
      <c r="B58" s="145" t="s">
        <v>176</v>
      </c>
      <c r="C58" s="145" t="s">
        <v>188</v>
      </c>
      <c r="D58" s="111"/>
    </row>
    <row r="59" spans="2:4" x14ac:dyDescent="0.15">
      <c r="B59" s="145" t="s">
        <v>177</v>
      </c>
      <c r="C59" s="145" t="s">
        <v>189</v>
      </c>
      <c r="D59" s="111"/>
    </row>
    <row r="60" spans="2:4" x14ac:dyDescent="0.15">
      <c r="B60" s="145" t="s">
        <v>178</v>
      </c>
      <c r="C60" s="145" t="s">
        <v>190</v>
      </c>
      <c r="D60" s="111"/>
    </row>
    <row r="61" spans="2:4" x14ac:dyDescent="0.15">
      <c r="B61" s="145" t="s">
        <v>179</v>
      </c>
      <c r="C61" s="111">
        <v>40</v>
      </c>
      <c r="D61" s="111"/>
    </row>
    <row r="62" spans="2:4" x14ac:dyDescent="0.15">
      <c r="B62" s="145" t="s">
        <v>180</v>
      </c>
      <c r="C62" s="111">
        <v>5</v>
      </c>
      <c r="D62" s="111"/>
    </row>
    <row r="63" spans="2:4" x14ac:dyDescent="0.15">
      <c r="B63" s="145" t="s">
        <v>181</v>
      </c>
      <c r="C63" s="111">
        <v>2015</v>
      </c>
      <c r="D63" s="111"/>
    </row>
    <row r="64" spans="2:4" x14ac:dyDescent="0.15">
      <c r="B64" s="145" t="s">
        <v>182</v>
      </c>
      <c r="C64" s="111">
        <v>2</v>
      </c>
      <c r="D64" s="111"/>
    </row>
    <row r="65" spans="2:4" x14ac:dyDescent="0.15">
      <c r="B65" s="145" t="s">
        <v>183</v>
      </c>
      <c r="C65" s="237" t="s">
        <v>191</v>
      </c>
      <c r="D65" s="111"/>
    </row>
    <row r="66" spans="2:4" x14ac:dyDescent="0.15">
      <c r="B66" s="145" t="s">
        <v>184</v>
      </c>
      <c r="C66" s="145" t="s">
        <v>192</v>
      </c>
      <c r="D66" s="111"/>
    </row>
    <row r="67" spans="2:4" x14ac:dyDescent="0.15">
      <c r="B67" s="111"/>
      <c r="C67" s="111"/>
      <c r="D67" s="111"/>
    </row>
    <row r="68" spans="2:4" x14ac:dyDescent="0.15">
      <c r="B68" s="111"/>
      <c r="C68" s="111"/>
      <c r="D68" s="111"/>
    </row>
  </sheetData>
  <phoneticPr fontId="2" type="noConversion"/>
  <pageMargins left="0.75" right="0.75" top="1" bottom="1" header="0.5" footer="0.5"/>
  <pageSetup orientation="portrai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tabColor indexed="45"/>
  </sheetPr>
  <dimension ref="A1:AT193"/>
  <sheetViews>
    <sheetView tabSelected="1" workbookViewId="0">
      <pane ySplit="1" topLeftCell="A2" activePane="bottomLeft" state="frozenSplit"/>
      <selection activeCell="E1" sqref="E1"/>
      <selection pane="bottomLeft" activeCell="P8" sqref="P8"/>
    </sheetView>
  </sheetViews>
  <sheetFormatPr baseColWidth="10" defaultColWidth="8.83203125" defaultRowHeight="15" customHeight="1" x14ac:dyDescent="0.15"/>
  <cols>
    <col min="1" max="1" width="22.5" style="83" customWidth="1"/>
    <col min="2" max="3" width="3.33203125" style="83" customWidth="1"/>
    <col min="4" max="4" width="14.33203125" style="83" customWidth="1"/>
    <col min="5" max="5" width="27.5" style="83" bestFit="1" customWidth="1"/>
    <col min="6" max="6" width="2.33203125" style="83" bestFit="1" customWidth="1"/>
    <col min="7" max="7" width="13.83203125" style="83" bestFit="1" customWidth="1"/>
    <col min="8" max="8" width="11.83203125" style="83" customWidth="1"/>
    <col min="9" max="9" width="10.83203125" style="83" customWidth="1"/>
    <col min="10" max="10" width="12.83203125" style="83" customWidth="1"/>
    <col min="11" max="11" width="13.83203125" style="83" customWidth="1"/>
    <col min="12" max="12" width="2.33203125" style="83" customWidth="1"/>
    <col min="13" max="13" width="4.83203125" style="83" customWidth="1"/>
    <col min="14" max="14" width="3.83203125" style="83" customWidth="1"/>
    <col min="16" max="25" width="8.83203125" style="83"/>
    <col min="26" max="26" width="16.1640625" bestFit="1" customWidth="1"/>
    <col min="27" max="27" width="23.6640625" customWidth="1"/>
    <col min="28" max="28" width="18.83203125" bestFit="1" customWidth="1"/>
    <col min="29" max="29" width="18.83203125" customWidth="1"/>
    <col min="30" max="30" width="16.33203125" customWidth="1"/>
    <col min="32" max="32" width="41.83203125" bestFit="1" customWidth="1"/>
    <col min="39" max="39" width="33.33203125" bestFit="1" customWidth="1"/>
    <col min="47" max="16384" width="8.83203125" style="83"/>
  </cols>
  <sheetData>
    <row r="1" spans="1:46" s="100" customFormat="1" ht="15" customHeight="1" x14ac:dyDescent="0.15">
      <c r="A1" s="79" t="s">
        <v>18</v>
      </c>
      <c r="C1" s="80" t="s">
        <v>8</v>
      </c>
      <c r="D1" s="79" t="s">
        <v>23</v>
      </c>
      <c r="E1" s="79" t="s">
        <v>0</v>
      </c>
      <c r="F1" s="79" t="s">
        <v>7</v>
      </c>
      <c r="G1" s="81" t="s">
        <v>13</v>
      </c>
      <c r="H1" s="79" t="s">
        <v>1</v>
      </c>
      <c r="I1" s="79" t="s">
        <v>2</v>
      </c>
      <c r="J1" s="79" t="s">
        <v>14</v>
      </c>
      <c r="K1" s="79" t="s">
        <v>3</v>
      </c>
      <c r="L1" s="79" t="s">
        <v>4</v>
      </c>
      <c r="M1" s="79" t="s">
        <v>5</v>
      </c>
      <c r="N1" s="79" t="s">
        <v>6</v>
      </c>
      <c r="O1"/>
      <c r="Z1"/>
      <c r="AA1"/>
      <c r="AB1"/>
      <c r="AC1"/>
      <c r="AD1"/>
      <c r="AE1"/>
      <c r="AF1"/>
      <c r="AG1"/>
      <c r="AH1"/>
      <c r="AI1"/>
      <c r="AJ1"/>
      <c r="AK1"/>
      <c r="AL1"/>
      <c r="AM1"/>
      <c r="AN1"/>
      <c r="AO1"/>
      <c r="AP1"/>
      <c r="AQ1"/>
      <c r="AR1"/>
      <c r="AS1"/>
      <c r="AT1"/>
    </row>
    <row r="2" spans="1:46" ht="15" customHeight="1" x14ac:dyDescent="0.15">
      <c r="C2" s="100">
        <v>1</v>
      </c>
      <c r="D2"/>
      <c r="E2" s="146" t="s">
        <v>193</v>
      </c>
      <c r="F2" s="83">
        <v>1</v>
      </c>
      <c r="G2" s="83">
        <v>2.9226999999999999</v>
      </c>
      <c r="H2" s="83">
        <v>81.912499999999994</v>
      </c>
      <c r="I2" s="6">
        <v>0</v>
      </c>
      <c r="J2" s="6">
        <v>0.52891606099999999</v>
      </c>
      <c r="K2" s="6">
        <v>0</v>
      </c>
      <c r="L2" s="6">
        <v>0</v>
      </c>
      <c r="M2" s="83">
        <v>0</v>
      </c>
      <c r="N2" s="83">
        <v>0</v>
      </c>
    </row>
    <row r="3" spans="1:46" ht="15" customHeight="1" x14ac:dyDescent="0.15">
      <c r="A3" s="1" t="s">
        <v>9</v>
      </c>
      <c r="B3" s="4">
        <v>38</v>
      </c>
      <c r="C3" s="83">
        <v>2</v>
      </c>
      <c r="D3"/>
      <c r="E3" s="146" t="s">
        <v>194</v>
      </c>
      <c r="F3" s="83">
        <v>1</v>
      </c>
      <c r="G3" s="83">
        <v>1.15099478</v>
      </c>
      <c r="H3" s="83">
        <v>4.8899999999999997</v>
      </c>
      <c r="I3" s="83">
        <v>0</v>
      </c>
      <c r="J3" s="83">
        <v>0.7</v>
      </c>
      <c r="K3" s="83">
        <v>0</v>
      </c>
      <c r="L3" s="83">
        <v>0</v>
      </c>
      <c r="M3" s="83">
        <v>0</v>
      </c>
      <c r="N3" s="83">
        <v>0</v>
      </c>
    </row>
    <row r="4" spans="1:46" ht="15" customHeight="1" x14ac:dyDescent="0.15">
      <c r="A4" s="1" t="s">
        <v>10</v>
      </c>
      <c r="B4" s="4">
        <v>3</v>
      </c>
      <c r="C4" s="83">
        <v>3</v>
      </c>
      <c r="D4"/>
      <c r="E4" s="146" t="s">
        <v>195</v>
      </c>
      <c r="F4" s="83">
        <v>0</v>
      </c>
      <c r="G4" s="83">
        <v>2.1110000000000002</v>
      </c>
      <c r="H4" s="83">
        <v>24.65</v>
      </c>
      <c r="I4" s="83">
        <v>74.694999999999993</v>
      </c>
      <c r="J4" s="83">
        <v>0.99405710000000003</v>
      </c>
      <c r="K4" s="83">
        <v>0.33000869999999999</v>
      </c>
      <c r="L4" s="83">
        <v>0</v>
      </c>
      <c r="M4" s="83">
        <v>0.4</v>
      </c>
      <c r="N4" s="83">
        <v>0</v>
      </c>
      <c r="V4" s="1" t="s">
        <v>29</v>
      </c>
    </row>
    <row r="5" spans="1:46" ht="15" customHeight="1" thickBot="1" x14ac:dyDescent="0.2">
      <c r="A5" s="1" t="s">
        <v>11</v>
      </c>
      <c r="B5" s="4">
        <v>5</v>
      </c>
      <c r="C5" s="83">
        <v>4</v>
      </c>
      <c r="D5"/>
      <c r="E5" s="146" t="s">
        <v>196</v>
      </c>
      <c r="F5" s="83">
        <v>0</v>
      </c>
      <c r="G5" s="83">
        <v>0.15646913600000001</v>
      </c>
      <c r="H5" s="83">
        <v>20.52</v>
      </c>
      <c r="I5" s="83">
        <v>63.13</v>
      </c>
      <c r="J5" s="83">
        <v>0.95</v>
      </c>
      <c r="K5" s="83">
        <v>0.32504355899999998</v>
      </c>
      <c r="L5" s="83">
        <v>0</v>
      </c>
      <c r="M5" s="83">
        <v>0.4</v>
      </c>
      <c r="N5" s="83">
        <v>0</v>
      </c>
      <c r="P5" s="73"/>
      <c r="Q5" s="73"/>
      <c r="R5" s="73"/>
    </row>
    <row r="6" spans="1:46" ht="15" customHeight="1" thickBot="1" x14ac:dyDescent="0.2">
      <c r="B6" s="1"/>
      <c r="C6" s="83">
        <v>5</v>
      </c>
      <c r="D6"/>
      <c r="E6" s="146" t="s">
        <v>197</v>
      </c>
      <c r="F6" s="83">
        <v>0</v>
      </c>
      <c r="G6" s="83">
        <v>0.14688743700000001</v>
      </c>
      <c r="H6" s="83">
        <v>15.84</v>
      </c>
      <c r="I6" s="83">
        <v>56.45</v>
      </c>
      <c r="J6" s="83">
        <v>0.5</v>
      </c>
      <c r="K6" s="83">
        <v>0.28060230000000003</v>
      </c>
      <c r="L6" s="83">
        <v>0</v>
      </c>
      <c r="M6" s="83">
        <v>0.4</v>
      </c>
      <c r="N6" s="83">
        <v>0</v>
      </c>
      <c r="P6" s="73"/>
      <c r="Q6" s="73"/>
      <c r="R6" s="73"/>
      <c r="W6" s="36" t="s">
        <v>31</v>
      </c>
      <c r="X6" s="52">
        <f>MAX(MainOutputs!G:G)</f>
        <v>0.99405717849731445</v>
      </c>
    </row>
    <row r="7" spans="1:46" ht="15" customHeight="1" x14ac:dyDescent="0.15">
      <c r="A7" s="2" t="s">
        <v>27</v>
      </c>
      <c r="B7" s="83">
        <f ca="1">COUNTIF(OFFSET(cornerDiets,1,1,NumLiving+NumDead+1,NumLiving+NumDead),"&gt;0")+NumLiving+NumDead+1</f>
        <v>477</v>
      </c>
      <c r="C7" s="83">
        <v>6</v>
      </c>
      <c r="D7"/>
      <c r="E7" s="146" t="s">
        <v>198</v>
      </c>
      <c r="F7" s="83">
        <v>0</v>
      </c>
      <c r="G7" s="83">
        <v>0.79500000000000004</v>
      </c>
      <c r="H7" s="83">
        <v>5.0659999999999998</v>
      </c>
      <c r="I7" s="83">
        <v>18.257200000000001</v>
      </c>
      <c r="J7" s="83">
        <v>0.80842389999999997</v>
      </c>
      <c r="K7" s="83">
        <v>0.27747955899999999</v>
      </c>
      <c r="L7" s="83">
        <v>0</v>
      </c>
      <c r="M7" s="83">
        <v>0.6</v>
      </c>
      <c r="N7" s="83">
        <v>0</v>
      </c>
      <c r="P7" s="73"/>
      <c r="Q7" s="73"/>
      <c r="R7" s="73"/>
    </row>
    <row r="8" spans="1:46" ht="15" customHeight="1" x14ac:dyDescent="0.15">
      <c r="A8" s="2" t="s">
        <v>28</v>
      </c>
      <c r="B8" s="83">
        <f ca="1">COUNTIF(OFFSET(cornerFishing,1,2,NumLiving+NumDead,NumGears),"&gt;0")+NumDead*COUNTIF(OFFSET(cornerDiscards,1,2,NumLiving+NumDead,NumGears),"&gt;0")+NumLiving+NumDead+1</f>
        <v>244</v>
      </c>
      <c r="C8" s="83">
        <v>7</v>
      </c>
      <c r="D8"/>
      <c r="E8" s="146" t="s">
        <v>199</v>
      </c>
      <c r="F8" s="83">
        <v>0</v>
      </c>
      <c r="G8" s="83">
        <v>0.79799129999999996</v>
      </c>
      <c r="H8" s="83">
        <v>13.95</v>
      </c>
      <c r="I8" s="83">
        <v>56.56</v>
      </c>
      <c r="J8" s="83">
        <v>0.95</v>
      </c>
      <c r="K8" s="83">
        <v>0.246640727</v>
      </c>
      <c r="L8" s="83">
        <v>0</v>
      </c>
      <c r="M8" s="83">
        <v>0.3</v>
      </c>
      <c r="N8" s="83">
        <v>0</v>
      </c>
      <c r="P8" s="73"/>
      <c r="Q8" s="73"/>
      <c r="R8" s="73"/>
    </row>
    <row r="9" spans="1:46" ht="15" customHeight="1" x14ac:dyDescent="0.15">
      <c r="B9" s="1"/>
      <c r="C9" s="83">
        <v>8</v>
      </c>
      <c r="D9"/>
      <c r="E9" s="146" t="s">
        <v>200</v>
      </c>
      <c r="F9" s="83">
        <v>0</v>
      </c>
      <c r="G9" s="83">
        <v>3.4902669999999998</v>
      </c>
      <c r="H9" s="83">
        <v>3.3119999999999998</v>
      </c>
      <c r="I9" s="83">
        <v>10.73</v>
      </c>
      <c r="J9" s="83">
        <v>0.8</v>
      </c>
      <c r="K9" s="83">
        <v>0.30866729999999998</v>
      </c>
      <c r="L9" s="83">
        <v>0</v>
      </c>
      <c r="M9" s="83">
        <v>0.4</v>
      </c>
      <c r="N9" s="83">
        <v>0</v>
      </c>
      <c r="P9" s="73"/>
      <c r="Q9" s="73"/>
      <c r="R9" s="73"/>
    </row>
    <row r="10" spans="1:46" ht="15" customHeight="1" x14ac:dyDescent="0.15">
      <c r="B10" s="1"/>
      <c r="C10" s="83">
        <v>9</v>
      </c>
      <c r="D10"/>
      <c r="E10" s="146" t="s">
        <v>201</v>
      </c>
      <c r="F10" s="83">
        <v>0</v>
      </c>
      <c r="G10" s="83">
        <v>0.133090019</v>
      </c>
      <c r="H10" s="83">
        <v>3.48</v>
      </c>
      <c r="I10" s="83">
        <v>10.816000000000001</v>
      </c>
      <c r="J10" s="83">
        <v>0.95</v>
      </c>
      <c r="K10" s="83">
        <v>0.32174557399999998</v>
      </c>
      <c r="L10" s="83">
        <v>0</v>
      </c>
      <c r="M10" s="83">
        <v>0.2</v>
      </c>
      <c r="N10" s="83">
        <v>0</v>
      </c>
    </row>
    <row r="11" spans="1:46" ht="15" customHeight="1" x14ac:dyDescent="0.15">
      <c r="C11" s="83">
        <v>10</v>
      </c>
      <c r="D11"/>
      <c r="E11" s="146" t="s">
        <v>202</v>
      </c>
      <c r="F11" s="83">
        <v>0</v>
      </c>
      <c r="G11" s="83">
        <v>0.15456578100000001</v>
      </c>
      <c r="H11" s="83">
        <v>2.76</v>
      </c>
      <c r="I11" s="83">
        <v>9.26</v>
      </c>
      <c r="J11" s="83">
        <v>0.95</v>
      </c>
      <c r="K11" s="83">
        <v>0.29805615499999999</v>
      </c>
      <c r="L11" s="83">
        <v>0</v>
      </c>
      <c r="M11" s="83">
        <v>0.2</v>
      </c>
      <c r="N11" s="83">
        <v>0</v>
      </c>
    </row>
    <row r="12" spans="1:46" ht="15" customHeight="1" x14ac:dyDescent="0.15">
      <c r="C12" s="83">
        <v>11</v>
      </c>
      <c r="D12"/>
      <c r="E12" s="146" t="s">
        <v>203</v>
      </c>
      <c r="F12" s="83">
        <v>0</v>
      </c>
      <c r="G12" s="83">
        <v>6.5055064900000001E-2</v>
      </c>
      <c r="H12" s="83">
        <v>1.6877156499999999</v>
      </c>
      <c r="I12" s="83">
        <v>6.7659789999999997</v>
      </c>
      <c r="J12" s="83">
        <v>0.96700495500000005</v>
      </c>
      <c r="K12" s="83">
        <v>0.24944146</v>
      </c>
      <c r="L12" s="83">
        <v>0</v>
      </c>
      <c r="M12" s="83">
        <v>0.13</v>
      </c>
      <c r="N12" s="83">
        <v>0</v>
      </c>
    </row>
    <row r="13" spans="1:46" ht="15" customHeight="1" x14ac:dyDescent="0.15">
      <c r="C13" s="83">
        <v>12</v>
      </c>
      <c r="D13"/>
      <c r="E13" s="146" t="s">
        <v>204</v>
      </c>
      <c r="F13" s="83">
        <v>0</v>
      </c>
      <c r="G13" s="83">
        <v>4.0756523599999997E-2</v>
      </c>
      <c r="H13" s="83">
        <v>2.9079003299999999</v>
      </c>
      <c r="I13" s="83">
        <v>26.56</v>
      </c>
      <c r="J13" s="83">
        <v>0.95</v>
      </c>
      <c r="K13" s="83">
        <v>0.1094842</v>
      </c>
      <c r="L13" s="83">
        <v>0</v>
      </c>
      <c r="M13" s="83">
        <v>0.2</v>
      </c>
      <c r="N13" s="83">
        <v>0</v>
      </c>
    </row>
    <row r="14" spans="1:46" ht="15" customHeight="1" x14ac:dyDescent="0.15">
      <c r="C14" s="83">
        <v>13</v>
      </c>
      <c r="D14"/>
      <c r="E14" s="146" t="s">
        <v>205</v>
      </c>
      <c r="F14" s="83">
        <v>0</v>
      </c>
      <c r="G14" s="83">
        <v>0.30788729999999997</v>
      </c>
      <c r="H14" s="83">
        <v>1.0561846500000001</v>
      </c>
      <c r="I14" s="83">
        <v>8.1185849999999995</v>
      </c>
      <c r="J14" s="83">
        <v>0.96566909999999995</v>
      </c>
      <c r="K14" s="83">
        <v>0.13009467699999999</v>
      </c>
      <c r="L14" s="83">
        <v>0</v>
      </c>
      <c r="M14" s="83">
        <v>0.2</v>
      </c>
      <c r="N14" s="83">
        <v>0</v>
      </c>
    </row>
    <row r="15" spans="1:46" ht="15" customHeight="1" x14ac:dyDescent="0.15">
      <c r="C15" s="83">
        <v>14</v>
      </c>
      <c r="D15"/>
      <c r="E15" s="146" t="s">
        <v>206</v>
      </c>
      <c r="F15" s="83">
        <v>0</v>
      </c>
      <c r="G15" s="83">
        <v>7.1765640000000006E-2</v>
      </c>
      <c r="H15" s="83">
        <v>1.6200330000000001</v>
      </c>
      <c r="I15" s="83">
        <v>7.1675953899999998</v>
      </c>
      <c r="J15" s="83">
        <v>0.91055923699999997</v>
      </c>
      <c r="K15" s="83">
        <v>0.22602182600000001</v>
      </c>
      <c r="L15" s="83">
        <v>0</v>
      </c>
      <c r="M15" s="83">
        <v>0.2</v>
      </c>
      <c r="N15" s="83">
        <v>0</v>
      </c>
    </row>
    <row r="16" spans="1:46" ht="15" customHeight="1" x14ac:dyDescent="0.15">
      <c r="C16" s="83">
        <v>15</v>
      </c>
      <c r="D16"/>
      <c r="E16" s="146" t="s">
        <v>207</v>
      </c>
      <c r="F16" s="83">
        <v>0</v>
      </c>
      <c r="G16" s="83">
        <v>6.7571129999999993E-2</v>
      </c>
      <c r="H16" s="83">
        <v>1.92539215</v>
      </c>
      <c r="I16" s="83">
        <v>8.8276120000000002</v>
      </c>
      <c r="J16" s="83">
        <v>0.9066149</v>
      </c>
      <c r="K16" s="83">
        <v>0.21811018900000001</v>
      </c>
      <c r="L16" s="83">
        <v>0</v>
      </c>
      <c r="M16" s="83">
        <v>0.2</v>
      </c>
      <c r="N16" s="83">
        <v>0</v>
      </c>
    </row>
    <row r="17" spans="1:22" ht="15" customHeight="1" x14ac:dyDescent="0.15">
      <c r="C17" s="83">
        <v>16</v>
      </c>
      <c r="D17"/>
      <c r="E17" s="146" t="s">
        <v>208</v>
      </c>
      <c r="F17" s="83">
        <v>0</v>
      </c>
      <c r="G17" s="83">
        <v>1.5201685E-2</v>
      </c>
      <c r="H17" s="83">
        <v>1.48710656</v>
      </c>
      <c r="I17" s="83">
        <v>8.3419559999999997</v>
      </c>
      <c r="J17" s="83">
        <v>0.616822541</v>
      </c>
      <c r="K17" s="83">
        <v>0.178268328</v>
      </c>
      <c r="L17" s="83">
        <v>0</v>
      </c>
      <c r="M17" s="83">
        <v>0.2</v>
      </c>
      <c r="N17" s="83">
        <v>0</v>
      </c>
      <c r="V17" s="1" t="s">
        <v>30</v>
      </c>
    </row>
    <row r="18" spans="1:22" ht="15" customHeight="1" x14ac:dyDescent="0.15">
      <c r="C18" s="83">
        <v>17</v>
      </c>
      <c r="D18"/>
      <c r="E18" s="146" t="s">
        <v>209</v>
      </c>
      <c r="F18" s="83">
        <v>0</v>
      </c>
      <c r="G18" s="83">
        <v>0.57067823399999995</v>
      </c>
      <c r="H18" s="83">
        <v>2.0189068300000002</v>
      </c>
      <c r="I18" s="83">
        <v>9.7488139999999994</v>
      </c>
      <c r="J18" s="83">
        <v>0.42014625700000002</v>
      </c>
      <c r="K18" s="83">
        <v>0.207092568</v>
      </c>
      <c r="L18" s="83">
        <v>0</v>
      </c>
      <c r="M18" s="83">
        <v>0.2</v>
      </c>
      <c r="N18" s="83">
        <v>0</v>
      </c>
      <c r="V18" s="1"/>
    </row>
    <row r="19" spans="1:22" ht="15" customHeight="1" x14ac:dyDescent="0.15">
      <c r="C19" s="83">
        <v>18</v>
      </c>
      <c r="D19"/>
      <c r="E19" s="146" t="s">
        <v>210</v>
      </c>
      <c r="F19" s="83">
        <v>0</v>
      </c>
      <c r="G19" s="83">
        <v>1.19477091E-2</v>
      </c>
      <c r="H19" s="83">
        <v>0.86132410000000004</v>
      </c>
      <c r="I19" s="83">
        <v>6</v>
      </c>
      <c r="J19" s="83">
        <v>0.19958901400000001</v>
      </c>
      <c r="K19" s="83">
        <v>0.14355401700000001</v>
      </c>
      <c r="L19" s="83">
        <v>0</v>
      </c>
      <c r="M19" s="83">
        <v>0.2</v>
      </c>
      <c r="N19" s="83">
        <v>0</v>
      </c>
    </row>
    <row r="20" spans="1:22" ht="15" customHeight="1" thickBot="1" x14ac:dyDescent="0.2">
      <c r="C20" s="83">
        <v>19</v>
      </c>
      <c r="D20"/>
      <c r="E20" s="146" t="s">
        <v>211</v>
      </c>
      <c r="F20" s="83">
        <v>0</v>
      </c>
      <c r="G20" s="83">
        <v>5.5763510000000002E-2</v>
      </c>
      <c r="H20" s="83">
        <v>1.0654192</v>
      </c>
      <c r="I20" s="83">
        <v>7.6</v>
      </c>
      <c r="J20" s="83">
        <v>0.97408439999999996</v>
      </c>
      <c r="K20" s="83">
        <v>0.140186742</v>
      </c>
      <c r="L20" s="83">
        <v>0</v>
      </c>
      <c r="M20" s="83">
        <v>0.2</v>
      </c>
      <c r="N20" s="83">
        <v>0</v>
      </c>
    </row>
    <row r="21" spans="1:22" ht="15" customHeight="1" thickBot="1" x14ac:dyDescent="0.2">
      <c r="A21" s="47" t="s">
        <v>137</v>
      </c>
      <c r="B21" s="101"/>
      <c r="C21" s="83">
        <v>20</v>
      </c>
      <c r="D21"/>
      <c r="E21" s="146" t="s">
        <v>212</v>
      </c>
      <c r="F21" s="83">
        <v>0</v>
      </c>
      <c r="G21" s="83">
        <v>3.9111625400000002E-2</v>
      </c>
      <c r="H21" s="83">
        <v>1.1388</v>
      </c>
      <c r="I21" s="83">
        <v>6.68</v>
      </c>
      <c r="J21" s="83">
        <v>0.9713408</v>
      </c>
      <c r="K21" s="83">
        <v>0.170479044</v>
      </c>
      <c r="L21" s="83">
        <v>0</v>
      </c>
      <c r="M21" s="83">
        <v>0.2</v>
      </c>
      <c r="N21" s="83">
        <v>0</v>
      </c>
    </row>
    <row r="22" spans="1:22" ht="15" customHeight="1" x14ac:dyDescent="0.15">
      <c r="A22" s="102" t="s">
        <v>58</v>
      </c>
      <c r="B22" s="103">
        <v>0</v>
      </c>
      <c r="C22" s="83">
        <v>21</v>
      </c>
      <c r="D22"/>
      <c r="E22" s="146" t="s">
        <v>213</v>
      </c>
      <c r="F22" s="83">
        <v>0</v>
      </c>
      <c r="G22" s="83">
        <v>7.9554940000000005E-2</v>
      </c>
      <c r="H22" s="83">
        <v>0.95802605200000002</v>
      </c>
      <c r="I22" s="83">
        <v>5.7</v>
      </c>
      <c r="J22" s="83">
        <v>0.233324</v>
      </c>
      <c r="K22" s="83">
        <v>0.16807475699999999</v>
      </c>
      <c r="L22" s="83">
        <v>0</v>
      </c>
      <c r="M22" s="83">
        <v>0.2</v>
      </c>
      <c r="N22" s="83">
        <v>0</v>
      </c>
    </row>
    <row r="23" spans="1:22" ht="15" customHeight="1" x14ac:dyDescent="0.15">
      <c r="A23" s="102" t="s">
        <v>59</v>
      </c>
      <c r="B23" s="103">
        <v>1</v>
      </c>
      <c r="C23" s="83">
        <v>22</v>
      </c>
      <c r="D23"/>
      <c r="E23" s="146" t="s">
        <v>214</v>
      </c>
      <c r="F23" s="83">
        <v>0</v>
      </c>
      <c r="G23" s="83">
        <v>0.16531316900000001</v>
      </c>
      <c r="H23" s="83">
        <v>0.87015014899999998</v>
      </c>
      <c r="I23" s="83">
        <v>5.9653396599999997</v>
      </c>
      <c r="J23" s="83">
        <v>0.66538673599999998</v>
      </c>
      <c r="K23" s="83">
        <v>0.14586766100000001</v>
      </c>
      <c r="L23" s="83">
        <v>0</v>
      </c>
      <c r="M23" s="83">
        <v>0.2</v>
      </c>
      <c r="N23" s="83">
        <v>0</v>
      </c>
    </row>
    <row r="24" spans="1:22" ht="15" customHeight="1" x14ac:dyDescent="0.15">
      <c r="A24" s="102" t="s">
        <v>60</v>
      </c>
      <c r="B24" s="103">
        <v>2</v>
      </c>
      <c r="C24" s="83">
        <v>23</v>
      </c>
      <c r="D24"/>
      <c r="E24" s="146" t="s">
        <v>215</v>
      </c>
      <c r="F24" s="83">
        <v>0</v>
      </c>
      <c r="G24" s="83">
        <v>0.53163459999999996</v>
      </c>
      <c r="H24" s="83">
        <v>0.99064799999999997</v>
      </c>
      <c r="I24" s="83">
        <v>5.5491023100000003</v>
      </c>
      <c r="J24" s="83">
        <v>3.7206377800000003E-2</v>
      </c>
      <c r="K24" s="83">
        <v>0.17852399999999999</v>
      </c>
      <c r="L24" s="83">
        <v>0</v>
      </c>
      <c r="M24" s="83">
        <v>0.2</v>
      </c>
      <c r="N24" s="83">
        <v>0</v>
      </c>
    </row>
    <row r="25" spans="1:22" ht="15" customHeight="1" thickBot="1" x14ac:dyDescent="0.2">
      <c r="A25" s="104" t="s">
        <v>44</v>
      </c>
      <c r="B25" s="105">
        <v>3</v>
      </c>
      <c r="C25" s="83">
        <v>24</v>
      </c>
      <c r="D25"/>
      <c r="E25" s="146" t="s">
        <v>216</v>
      </c>
      <c r="F25" s="83">
        <v>0</v>
      </c>
      <c r="G25" s="83">
        <v>1.6202515000000001E-2</v>
      </c>
      <c r="H25" s="83">
        <v>0.46348119999999998</v>
      </c>
      <c r="I25" s="83">
        <v>4.4000000000000004</v>
      </c>
      <c r="J25" s="83">
        <v>0.12683345400000001</v>
      </c>
      <c r="K25" s="83">
        <v>0.105336629</v>
      </c>
      <c r="L25" s="83">
        <v>0</v>
      </c>
      <c r="M25" s="83">
        <v>0.2</v>
      </c>
      <c r="N25" s="83">
        <v>0</v>
      </c>
    </row>
    <row r="26" spans="1:22" ht="15" customHeight="1" x14ac:dyDescent="0.15">
      <c r="A26" s="106" t="s">
        <v>140</v>
      </c>
      <c r="C26" s="83">
        <v>25</v>
      </c>
      <c r="D26"/>
      <c r="E26" s="146" t="s">
        <v>217</v>
      </c>
      <c r="F26" s="83">
        <v>0</v>
      </c>
      <c r="G26" s="83">
        <v>2.3432807900000001</v>
      </c>
      <c r="H26" s="83">
        <v>1.9642946699999999</v>
      </c>
      <c r="I26" s="83">
        <v>10.1331778</v>
      </c>
      <c r="J26" s="83">
        <v>0.966650546</v>
      </c>
      <c r="K26" s="83">
        <v>0.19384784999999999</v>
      </c>
      <c r="L26" s="83">
        <v>0</v>
      </c>
      <c r="M26" s="83">
        <v>0.2</v>
      </c>
      <c r="N26" s="83">
        <v>0</v>
      </c>
    </row>
    <row r="27" spans="1:22" ht="15" customHeight="1" x14ac:dyDescent="0.15">
      <c r="C27" s="83">
        <v>26</v>
      </c>
      <c r="D27"/>
      <c r="E27" s="146" t="s">
        <v>218</v>
      </c>
      <c r="F27" s="83">
        <v>0</v>
      </c>
      <c r="G27" s="83">
        <v>0.149305612</v>
      </c>
      <c r="H27" s="83">
        <v>1.11240578</v>
      </c>
      <c r="I27" s="83">
        <v>9.9039870000000008</v>
      </c>
      <c r="J27" s="83">
        <v>0.92002949999999994</v>
      </c>
      <c r="K27" s="83">
        <v>0.112318985</v>
      </c>
      <c r="L27" s="83">
        <v>0</v>
      </c>
      <c r="M27" s="83">
        <v>0.2</v>
      </c>
      <c r="N27" s="83">
        <v>0</v>
      </c>
    </row>
    <row r="28" spans="1:22" ht="15" customHeight="1" x14ac:dyDescent="0.15">
      <c r="C28" s="83">
        <v>27</v>
      </c>
      <c r="D28"/>
      <c r="E28" s="146" t="s">
        <v>219</v>
      </c>
      <c r="F28" s="83">
        <v>0</v>
      </c>
      <c r="G28" s="83">
        <v>0.15006636100000001</v>
      </c>
      <c r="H28" s="83">
        <v>1.69729471</v>
      </c>
      <c r="I28" s="83">
        <v>7.4829309999999998</v>
      </c>
      <c r="J28" s="83">
        <v>0.84427273300000005</v>
      </c>
      <c r="K28" s="83">
        <v>0.22682216799999999</v>
      </c>
      <c r="L28" s="83">
        <v>0</v>
      </c>
      <c r="M28" s="83">
        <v>0.2</v>
      </c>
      <c r="N28" s="83">
        <v>0</v>
      </c>
    </row>
    <row r="29" spans="1:22" customFormat="1" ht="15" customHeight="1" x14ac:dyDescent="0.15">
      <c r="C29" s="83">
        <v>28</v>
      </c>
      <c r="E29" s="146" t="s">
        <v>220</v>
      </c>
      <c r="F29" s="83">
        <v>0</v>
      </c>
      <c r="G29" s="83">
        <v>8.8186375799999994E-2</v>
      </c>
      <c r="H29" s="83">
        <v>0.81596199999999997</v>
      </c>
      <c r="I29" s="83">
        <v>6.9</v>
      </c>
      <c r="J29" s="83">
        <v>0.74771136000000005</v>
      </c>
      <c r="K29" s="83">
        <v>0.118255362</v>
      </c>
      <c r="L29" s="83">
        <v>0</v>
      </c>
      <c r="M29" s="83">
        <v>0.2</v>
      </c>
      <c r="N29" s="83">
        <v>0</v>
      </c>
    </row>
    <row r="30" spans="1:22" customFormat="1" ht="15" customHeight="1" x14ac:dyDescent="0.15">
      <c r="C30" s="83">
        <v>29</v>
      </c>
      <c r="E30" s="146" t="s">
        <v>221</v>
      </c>
      <c r="F30" s="83">
        <v>0</v>
      </c>
      <c r="G30" s="83">
        <v>0.14461249100000001</v>
      </c>
      <c r="H30" s="83">
        <v>0.91508719999999999</v>
      </c>
      <c r="I30" s="83">
        <v>7.1</v>
      </c>
      <c r="J30" s="83">
        <v>0.99288589999999999</v>
      </c>
      <c r="K30" s="83">
        <v>0.128885522</v>
      </c>
      <c r="L30" s="83">
        <v>0</v>
      </c>
      <c r="M30" s="83">
        <v>0.2</v>
      </c>
      <c r="N30" s="83">
        <v>0</v>
      </c>
    </row>
    <row r="31" spans="1:22" customFormat="1" ht="15" customHeight="1" x14ac:dyDescent="0.15">
      <c r="C31" s="83">
        <v>30</v>
      </c>
      <c r="E31" s="146" t="s">
        <v>222</v>
      </c>
      <c r="F31" s="83">
        <v>0</v>
      </c>
      <c r="G31" s="83">
        <v>0.33288875200000001</v>
      </c>
      <c r="H31" s="83">
        <v>0.96781176300000005</v>
      </c>
      <c r="I31" s="83">
        <v>5.4</v>
      </c>
      <c r="J31" s="83">
        <v>0.35561959999999998</v>
      </c>
      <c r="K31" s="83">
        <v>0.17922440000000001</v>
      </c>
      <c r="L31" s="83">
        <v>0</v>
      </c>
      <c r="M31" s="83">
        <v>0.2</v>
      </c>
      <c r="N31" s="83">
        <v>0</v>
      </c>
    </row>
    <row r="32" spans="1:22" customFormat="1" ht="15" customHeight="1" x14ac:dyDescent="0.15">
      <c r="C32" s="83">
        <v>31</v>
      </c>
      <c r="E32" s="146" t="s">
        <v>223</v>
      </c>
      <c r="F32" s="83">
        <v>0</v>
      </c>
      <c r="G32" s="83">
        <v>0.44198880000000002</v>
      </c>
      <c r="H32" s="83">
        <v>1.9554878499999999</v>
      </c>
      <c r="I32" s="83">
        <v>13.82</v>
      </c>
      <c r="J32" s="83">
        <v>0.95</v>
      </c>
      <c r="K32" s="83">
        <v>0.14149695600000001</v>
      </c>
      <c r="L32" s="83">
        <v>0</v>
      </c>
      <c r="M32" s="83">
        <v>0.2</v>
      </c>
      <c r="N32" s="83">
        <v>0</v>
      </c>
    </row>
    <row r="33" spans="3:14" customFormat="1" ht="15" customHeight="1" x14ac:dyDescent="0.15">
      <c r="C33" s="83">
        <v>32</v>
      </c>
      <c r="E33" s="146" t="s">
        <v>224</v>
      </c>
      <c r="F33" s="83">
        <v>0</v>
      </c>
      <c r="G33" s="83">
        <v>0.48204037500000002</v>
      </c>
      <c r="H33" s="83">
        <v>1.7092771499999999</v>
      </c>
      <c r="I33" s="83">
        <v>9.5</v>
      </c>
      <c r="J33" s="83">
        <v>0.95</v>
      </c>
      <c r="K33" s="83">
        <v>0.1799239</v>
      </c>
      <c r="L33" s="83">
        <v>0</v>
      </c>
      <c r="M33" s="83">
        <v>0.2</v>
      </c>
      <c r="N33" s="83">
        <v>0</v>
      </c>
    </row>
    <row r="34" spans="3:14" customFormat="1" ht="15" customHeight="1" x14ac:dyDescent="0.15">
      <c r="C34" s="83">
        <v>33</v>
      </c>
      <c r="E34" s="146" t="s">
        <v>225</v>
      </c>
      <c r="F34" s="83">
        <v>0</v>
      </c>
      <c r="G34" s="83">
        <v>0.22799973200000001</v>
      </c>
      <c r="H34" s="83">
        <v>0.72723689999999996</v>
      </c>
      <c r="I34" s="83">
        <v>7.2016654000000004</v>
      </c>
      <c r="J34" s="83">
        <v>0.43052425999999999</v>
      </c>
      <c r="K34" s="83">
        <v>0.100981772</v>
      </c>
      <c r="L34" s="83">
        <v>0</v>
      </c>
      <c r="M34" s="83">
        <v>0.2</v>
      </c>
      <c r="N34" s="83">
        <v>0</v>
      </c>
    </row>
    <row r="35" spans="3:14" customFormat="1" ht="15" customHeight="1" x14ac:dyDescent="0.15">
      <c r="C35" s="83">
        <v>34</v>
      </c>
      <c r="E35" s="146" t="s">
        <v>226</v>
      </c>
      <c r="F35" s="83">
        <v>0</v>
      </c>
      <c r="G35" s="83">
        <v>0.11942824</v>
      </c>
      <c r="H35" s="83">
        <v>0.69482619999999995</v>
      </c>
      <c r="I35" s="83">
        <v>5.5732035599999996</v>
      </c>
      <c r="J35" s="83">
        <v>0.72386026400000003</v>
      </c>
      <c r="K35" s="83">
        <v>0.124672674</v>
      </c>
      <c r="L35" s="83">
        <v>0</v>
      </c>
      <c r="M35" s="83">
        <v>0.2</v>
      </c>
      <c r="N35" s="83">
        <v>0</v>
      </c>
    </row>
    <row r="36" spans="3:14" customFormat="1" ht="15" customHeight="1" x14ac:dyDescent="0.15">
      <c r="C36" s="83">
        <v>35</v>
      </c>
      <c r="E36" s="146" t="s">
        <v>227</v>
      </c>
      <c r="F36" s="83">
        <v>0</v>
      </c>
      <c r="G36" s="83">
        <v>0.35965976100000002</v>
      </c>
      <c r="H36" s="83">
        <v>0.17</v>
      </c>
      <c r="I36" s="83">
        <v>2.78</v>
      </c>
      <c r="J36" s="83">
        <v>4.9065980000000002E-2</v>
      </c>
      <c r="K36" s="83">
        <v>6.1151079999999997E-2</v>
      </c>
      <c r="L36" s="83">
        <v>0</v>
      </c>
      <c r="M36" s="83">
        <v>0.2</v>
      </c>
      <c r="N36" s="83">
        <v>0</v>
      </c>
    </row>
    <row r="37" spans="3:14" customFormat="1" ht="15" customHeight="1" x14ac:dyDescent="0.15">
      <c r="C37" s="83">
        <v>36</v>
      </c>
      <c r="E37" s="146" t="s">
        <v>228</v>
      </c>
      <c r="F37" s="83">
        <v>0</v>
      </c>
      <c r="G37" s="83">
        <v>2.4868000000000001E-2</v>
      </c>
      <c r="H37" s="83">
        <v>8.4000000000000005E-2</v>
      </c>
      <c r="I37" s="83">
        <v>11.01</v>
      </c>
      <c r="J37" s="83">
        <v>0</v>
      </c>
      <c r="K37" s="83">
        <v>7.6294275899999996E-3</v>
      </c>
      <c r="L37" s="83">
        <v>0</v>
      </c>
      <c r="M37" s="83">
        <v>0.2</v>
      </c>
      <c r="N37" s="83">
        <v>0</v>
      </c>
    </row>
    <row r="38" spans="3:14" customFormat="1" ht="15" customHeight="1" x14ac:dyDescent="0.15">
      <c r="C38" s="83">
        <v>37</v>
      </c>
      <c r="E38" s="146" t="s">
        <v>229</v>
      </c>
      <c r="F38" s="83">
        <v>0</v>
      </c>
      <c r="G38" s="83">
        <v>2E-3</v>
      </c>
      <c r="H38" s="83">
        <v>0.126</v>
      </c>
      <c r="I38" s="83">
        <v>11.66</v>
      </c>
      <c r="J38" s="83">
        <v>0</v>
      </c>
      <c r="K38" s="83">
        <v>1.08061749E-2</v>
      </c>
      <c r="L38" s="83">
        <v>0</v>
      </c>
      <c r="M38" s="83">
        <v>0.2</v>
      </c>
      <c r="N38" s="83">
        <v>0</v>
      </c>
    </row>
    <row r="39" spans="3:14" customFormat="1" ht="15" customHeight="1" x14ac:dyDescent="0.15">
      <c r="C39" s="83">
        <v>38</v>
      </c>
      <c r="E39" s="146" t="s">
        <v>230</v>
      </c>
      <c r="F39" s="83">
        <v>0</v>
      </c>
      <c r="G39" s="83">
        <v>1.6226912800000001E-3</v>
      </c>
      <c r="H39" s="83">
        <v>5.86</v>
      </c>
      <c r="I39" s="83">
        <v>68.654079999999993</v>
      </c>
      <c r="J39" s="83">
        <v>0</v>
      </c>
      <c r="K39" s="83">
        <v>8.5355445700000004E-2</v>
      </c>
      <c r="L39" s="83">
        <v>0</v>
      </c>
      <c r="M39" s="83">
        <v>0.2</v>
      </c>
      <c r="N39" s="83">
        <v>0</v>
      </c>
    </row>
    <row r="40" spans="3:14" customFormat="1" ht="15" customHeight="1" x14ac:dyDescent="0.15">
      <c r="C40" s="83">
        <v>39</v>
      </c>
      <c r="E40" s="146" t="s">
        <v>231</v>
      </c>
      <c r="F40" s="83">
        <v>2</v>
      </c>
      <c r="G40" s="83">
        <v>16.59</v>
      </c>
      <c r="H40" s="83">
        <v>0</v>
      </c>
      <c r="I40" s="83">
        <v>0</v>
      </c>
      <c r="J40" s="83">
        <v>0.41867637600000002</v>
      </c>
      <c r="K40" s="83">
        <v>0</v>
      </c>
      <c r="L40" s="83">
        <v>0</v>
      </c>
      <c r="M40" s="83">
        <v>0.2</v>
      </c>
      <c r="N40" s="83">
        <v>0.8</v>
      </c>
    </row>
    <row r="41" spans="3:14" customFormat="1" ht="15" customHeight="1" x14ac:dyDescent="0.15">
      <c r="C41" s="83">
        <v>40</v>
      </c>
      <c r="E41" s="146" t="s">
        <v>232</v>
      </c>
      <c r="F41" s="83">
        <v>2</v>
      </c>
      <c r="G41" s="83">
        <v>3.806665E-2</v>
      </c>
      <c r="H41" s="83">
        <v>0</v>
      </c>
      <c r="I41" s="83">
        <v>0</v>
      </c>
      <c r="J41" s="83">
        <v>0</v>
      </c>
      <c r="K41" s="83">
        <v>0</v>
      </c>
      <c r="L41" s="83">
        <v>0</v>
      </c>
      <c r="M41" s="83">
        <v>0</v>
      </c>
      <c r="N41" s="83">
        <v>0</v>
      </c>
    </row>
    <row r="42" spans="3:14" customFormat="1" ht="15" customHeight="1" x14ac:dyDescent="0.15">
      <c r="C42" s="83">
        <v>41</v>
      </c>
      <c r="E42" s="146" t="s">
        <v>233</v>
      </c>
      <c r="F42" s="83">
        <v>2</v>
      </c>
      <c r="G42" s="83">
        <v>5</v>
      </c>
      <c r="H42" s="83">
        <v>0</v>
      </c>
      <c r="I42" s="83">
        <v>0</v>
      </c>
      <c r="J42" s="83">
        <v>0</v>
      </c>
      <c r="K42" s="83">
        <v>0</v>
      </c>
      <c r="L42" s="83">
        <v>0</v>
      </c>
      <c r="M42" s="83">
        <v>0</v>
      </c>
      <c r="N42" s="83">
        <v>0</v>
      </c>
    </row>
    <row r="43" spans="3:14" customFormat="1" ht="15" customHeight="1" x14ac:dyDescent="0.15">
      <c r="C43" s="83">
        <v>42</v>
      </c>
      <c r="E43" s="146" t="s">
        <v>234</v>
      </c>
      <c r="F43" s="83">
        <v>3</v>
      </c>
      <c r="G43" s="83">
        <v>0</v>
      </c>
      <c r="H43" s="83">
        <v>0</v>
      </c>
      <c r="I43" s="83">
        <v>0</v>
      </c>
      <c r="J43" s="83">
        <v>0</v>
      </c>
      <c r="K43" s="83">
        <v>0</v>
      </c>
      <c r="L43" s="83">
        <v>0</v>
      </c>
      <c r="M43" s="83">
        <v>0</v>
      </c>
      <c r="N43" s="83">
        <v>0</v>
      </c>
    </row>
    <row r="44" spans="3:14" customFormat="1" ht="15" customHeight="1" x14ac:dyDescent="0.15">
      <c r="C44" s="83">
        <v>43</v>
      </c>
      <c r="E44" s="146" t="s">
        <v>235</v>
      </c>
      <c r="F44" s="83">
        <v>3</v>
      </c>
      <c r="G44" s="83">
        <v>0</v>
      </c>
      <c r="H44" s="83">
        <v>0</v>
      </c>
      <c r="I44" s="83">
        <v>0</v>
      </c>
      <c r="J44" s="83">
        <v>0</v>
      </c>
      <c r="K44" s="83">
        <v>0</v>
      </c>
      <c r="L44" s="83">
        <v>0</v>
      </c>
      <c r="M44" s="83">
        <v>0</v>
      </c>
      <c r="N44" s="83">
        <v>0</v>
      </c>
    </row>
    <row r="45" spans="3:14" customFormat="1" ht="15" customHeight="1" x14ac:dyDescent="0.15">
      <c r="C45" s="83">
        <v>44</v>
      </c>
      <c r="E45" s="146" t="s">
        <v>236</v>
      </c>
      <c r="F45" s="83">
        <v>3</v>
      </c>
      <c r="G45" s="83">
        <v>0</v>
      </c>
      <c r="H45" s="83">
        <v>0</v>
      </c>
      <c r="I45" s="83">
        <v>0</v>
      </c>
      <c r="J45" s="83">
        <v>0</v>
      </c>
      <c r="K45" s="83">
        <v>0</v>
      </c>
      <c r="L45" s="83">
        <v>0</v>
      </c>
      <c r="M45" s="83">
        <v>0</v>
      </c>
      <c r="N45" s="83">
        <v>0</v>
      </c>
    </row>
    <row r="46" spans="3:14" customFormat="1" ht="15" customHeight="1" x14ac:dyDescent="0.15">
      <c r="C46" s="83">
        <v>45</v>
      </c>
      <c r="E46" s="146" t="s">
        <v>237</v>
      </c>
      <c r="F46" s="83">
        <v>3</v>
      </c>
      <c r="G46" s="83">
        <v>0</v>
      </c>
      <c r="H46" s="83">
        <v>0</v>
      </c>
      <c r="I46" s="83">
        <v>0</v>
      </c>
      <c r="J46" s="83">
        <v>0</v>
      </c>
      <c r="K46" s="83">
        <v>0</v>
      </c>
      <c r="L46" s="83">
        <v>0</v>
      </c>
      <c r="M46" s="83">
        <v>0</v>
      </c>
      <c r="N46" s="83">
        <v>0</v>
      </c>
    </row>
    <row r="47" spans="3:14" customFormat="1" ht="15" customHeight="1" x14ac:dyDescent="0.15">
      <c r="C47" s="83">
        <v>46</v>
      </c>
      <c r="E47" s="146" t="s">
        <v>238</v>
      </c>
      <c r="F47" s="83">
        <v>3</v>
      </c>
      <c r="G47" s="83">
        <v>0</v>
      </c>
      <c r="H47" s="83">
        <v>0</v>
      </c>
      <c r="I47" s="83">
        <v>0</v>
      </c>
      <c r="J47" s="83">
        <v>0</v>
      </c>
      <c r="K47" s="83">
        <v>0</v>
      </c>
      <c r="L47" s="83">
        <v>0</v>
      </c>
      <c r="M47" s="83">
        <v>0</v>
      </c>
      <c r="N47" s="83">
        <v>0</v>
      </c>
    </row>
    <row r="48" spans="3:14" customFormat="1" ht="15" customHeight="1" x14ac:dyDescent="0.15"/>
    <row r="49" customFormat="1" ht="15" customHeight="1" x14ac:dyDescent="0.15"/>
    <row r="50" customFormat="1" ht="15" customHeight="1" x14ac:dyDescent="0.15"/>
    <row r="51" customFormat="1" ht="15" customHeight="1" x14ac:dyDescent="0.15"/>
    <row r="52" customFormat="1" ht="15" customHeight="1" x14ac:dyDescent="0.15"/>
    <row r="53" customFormat="1" ht="15" customHeight="1" x14ac:dyDescent="0.15"/>
    <row r="54" customFormat="1" ht="15" customHeight="1" x14ac:dyDescent="0.15"/>
    <row r="55" customFormat="1" ht="15" customHeight="1" x14ac:dyDescent="0.15"/>
    <row r="56" customFormat="1" ht="15" customHeight="1" x14ac:dyDescent="0.15"/>
    <row r="57" customFormat="1" ht="15" customHeight="1" x14ac:dyDescent="0.15"/>
    <row r="58" customFormat="1" ht="15" customHeight="1" x14ac:dyDescent="0.15"/>
    <row r="59" customFormat="1" ht="15" customHeight="1" x14ac:dyDescent="0.15"/>
    <row r="60" customFormat="1" ht="15" customHeight="1" x14ac:dyDescent="0.15"/>
    <row r="61" customFormat="1" ht="15" customHeight="1" x14ac:dyDescent="0.15"/>
    <row r="62" customFormat="1" ht="15" customHeight="1" x14ac:dyDescent="0.15"/>
    <row r="63" customFormat="1" ht="15" customHeight="1" x14ac:dyDescent="0.15"/>
    <row r="64" customFormat="1" ht="15" customHeight="1" x14ac:dyDescent="0.15"/>
    <row r="65" customFormat="1" ht="15" customHeight="1" x14ac:dyDescent="0.15"/>
    <row r="66" customFormat="1" ht="15" customHeight="1" x14ac:dyDescent="0.15"/>
    <row r="67" customFormat="1" ht="15" customHeight="1" x14ac:dyDescent="0.15"/>
    <row r="68" customFormat="1" ht="15" customHeight="1" x14ac:dyDescent="0.15"/>
    <row r="69" customFormat="1" ht="15" customHeight="1" x14ac:dyDescent="0.15"/>
    <row r="70" customFormat="1" ht="15" customHeight="1" x14ac:dyDescent="0.15"/>
    <row r="71" customFormat="1" ht="15" customHeight="1" x14ac:dyDescent="0.15"/>
    <row r="72" customFormat="1" ht="15" customHeight="1" x14ac:dyDescent="0.15"/>
    <row r="73" customFormat="1" ht="15" customHeight="1" x14ac:dyDescent="0.15"/>
    <row r="74" customFormat="1" ht="15" customHeight="1" x14ac:dyDescent="0.15"/>
    <row r="75" customFormat="1" ht="15" customHeight="1" x14ac:dyDescent="0.15"/>
    <row r="76" customFormat="1" ht="15" customHeight="1" x14ac:dyDescent="0.15"/>
    <row r="77" customFormat="1" ht="15" customHeight="1" x14ac:dyDescent="0.15"/>
    <row r="78" customFormat="1" ht="15" customHeight="1" x14ac:dyDescent="0.15"/>
    <row r="79" customFormat="1" ht="15" customHeight="1" x14ac:dyDescent="0.15"/>
    <row r="80" customFormat="1" ht="15" customHeight="1" x14ac:dyDescent="0.15"/>
    <row r="81" customFormat="1" ht="15" customHeight="1" x14ac:dyDescent="0.15"/>
    <row r="82" customFormat="1" ht="15" customHeight="1" x14ac:dyDescent="0.15"/>
    <row r="83" customFormat="1" ht="15" customHeight="1" x14ac:dyDescent="0.15"/>
    <row r="84" customFormat="1" ht="15" customHeight="1" x14ac:dyDescent="0.15"/>
    <row r="85" customFormat="1" ht="15" customHeight="1" x14ac:dyDescent="0.15"/>
    <row r="86" customFormat="1" ht="15" customHeight="1" x14ac:dyDescent="0.15"/>
    <row r="87" customFormat="1" ht="15" customHeight="1" x14ac:dyDescent="0.15"/>
    <row r="88" customFormat="1" ht="15" customHeight="1" x14ac:dyDescent="0.15"/>
    <row r="89" customFormat="1" ht="15" customHeight="1" x14ac:dyDescent="0.15"/>
    <row r="90" customFormat="1" ht="15" customHeight="1" x14ac:dyDescent="0.15"/>
    <row r="91" customFormat="1" ht="15" customHeight="1" x14ac:dyDescent="0.15"/>
    <row r="92" customFormat="1" ht="15" customHeight="1" x14ac:dyDescent="0.15"/>
    <row r="93" customFormat="1" ht="15" customHeight="1" x14ac:dyDescent="0.15"/>
    <row r="94" customFormat="1" ht="15" customHeight="1" x14ac:dyDescent="0.15"/>
    <row r="95" customFormat="1" ht="15" customHeight="1" x14ac:dyDescent="0.15"/>
    <row r="96" customFormat="1" ht="15" customHeight="1" x14ac:dyDescent="0.15"/>
    <row r="97" customFormat="1" ht="15" customHeight="1" x14ac:dyDescent="0.15"/>
    <row r="98" customFormat="1" ht="15" customHeight="1" x14ac:dyDescent="0.15"/>
    <row r="99" customFormat="1" ht="15" customHeight="1" x14ac:dyDescent="0.15"/>
    <row r="100" customFormat="1" ht="15" customHeight="1" x14ac:dyDescent="0.15"/>
    <row r="101" customFormat="1" ht="15" customHeight="1" x14ac:dyDescent="0.15"/>
    <row r="102" customFormat="1" ht="15" customHeight="1" x14ac:dyDescent="0.15"/>
    <row r="103" customFormat="1" ht="15" customHeight="1" x14ac:dyDescent="0.15"/>
    <row r="104" customFormat="1" ht="15" customHeight="1" x14ac:dyDescent="0.15"/>
    <row r="105" customFormat="1" ht="15" customHeight="1" x14ac:dyDescent="0.15"/>
    <row r="106" customFormat="1" ht="15" customHeight="1" x14ac:dyDescent="0.15"/>
    <row r="107" customFormat="1" ht="15" customHeight="1" x14ac:dyDescent="0.15"/>
    <row r="108" customFormat="1" ht="15" customHeight="1" x14ac:dyDescent="0.15"/>
    <row r="109" customFormat="1" ht="15" customHeight="1" x14ac:dyDescent="0.15"/>
    <row r="110" customFormat="1" ht="15" customHeight="1" x14ac:dyDescent="0.15"/>
    <row r="111" customFormat="1" ht="15" customHeight="1" x14ac:dyDescent="0.15"/>
    <row r="112" customFormat="1" ht="15" customHeight="1" x14ac:dyDescent="0.15"/>
    <row r="113" customFormat="1" ht="15" customHeight="1" x14ac:dyDescent="0.15"/>
    <row r="114" customFormat="1" ht="15" customHeight="1" x14ac:dyDescent="0.15"/>
    <row r="115" customFormat="1" ht="15" customHeight="1" x14ac:dyDescent="0.15"/>
    <row r="116" customFormat="1" ht="15" customHeight="1" x14ac:dyDescent="0.15"/>
    <row r="117" customFormat="1" ht="15" customHeight="1" x14ac:dyDescent="0.15"/>
    <row r="118" customFormat="1" ht="15" customHeight="1" x14ac:dyDescent="0.15"/>
    <row r="119" customFormat="1" ht="15" customHeight="1" x14ac:dyDescent="0.15"/>
    <row r="120" customFormat="1" ht="15" customHeight="1" x14ac:dyDescent="0.15"/>
    <row r="121" customFormat="1" ht="15" customHeight="1" x14ac:dyDescent="0.15"/>
    <row r="122" customFormat="1" ht="15" customHeight="1" x14ac:dyDescent="0.15"/>
    <row r="123" customFormat="1" ht="15" customHeight="1" x14ac:dyDescent="0.15"/>
    <row r="124" customFormat="1" ht="15" customHeight="1" x14ac:dyDescent="0.15"/>
    <row r="125" customFormat="1" ht="15" customHeight="1" x14ac:dyDescent="0.15"/>
    <row r="126" customFormat="1" ht="15" customHeight="1" x14ac:dyDescent="0.15"/>
    <row r="127" customFormat="1" ht="15" customHeight="1" x14ac:dyDescent="0.15"/>
    <row r="128" customFormat="1" ht="15" customHeight="1" x14ac:dyDescent="0.15"/>
    <row r="129" customFormat="1" ht="15" customHeight="1" x14ac:dyDescent="0.15"/>
    <row r="130" customFormat="1" ht="15" customHeight="1" x14ac:dyDescent="0.15"/>
    <row r="131" customFormat="1" ht="15" customHeight="1" x14ac:dyDescent="0.15"/>
    <row r="132" customFormat="1" ht="15" customHeight="1" x14ac:dyDescent="0.15"/>
    <row r="133" customFormat="1" ht="15" customHeight="1" x14ac:dyDescent="0.15"/>
    <row r="134" customFormat="1" ht="15" customHeight="1" x14ac:dyDescent="0.15"/>
    <row r="135" customFormat="1" ht="15" customHeight="1" x14ac:dyDescent="0.15"/>
    <row r="136" customFormat="1" ht="15" customHeight="1" x14ac:dyDescent="0.15"/>
    <row r="137" customFormat="1" ht="15" customHeight="1" x14ac:dyDescent="0.15"/>
    <row r="138" customFormat="1" ht="15" customHeight="1" x14ac:dyDescent="0.15"/>
    <row r="139" customFormat="1" ht="15" customHeight="1" x14ac:dyDescent="0.15"/>
    <row r="140" customFormat="1" ht="15" customHeight="1" x14ac:dyDescent="0.15"/>
    <row r="141" customFormat="1" ht="15" customHeight="1" x14ac:dyDescent="0.15"/>
    <row r="142" customFormat="1" ht="15" customHeight="1" x14ac:dyDescent="0.15"/>
    <row r="143" customFormat="1" ht="15" customHeight="1" x14ac:dyDescent="0.15"/>
    <row r="144" customFormat="1" ht="15" customHeight="1" x14ac:dyDescent="0.15"/>
    <row r="145" customFormat="1" ht="15" customHeight="1" x14ac:dyDescent="0.15"/>
    <row r="146" customFormat="1" ht="15" customHeight="1" x14ac:dyDescent="0.15"/>
    <row r="147" customFormat="1" ht="15" customHeight="1" x14ac:dyDescent="0.15"/>
    <row r="148" customFormat="1" ht="15" customHeight="1" x14ac:dyDescent="0.15"/>
    <row r="149" customFormat="1" ht="15" customHeight="1" x14ac:dyDescent="0.15"/>
    <row r="150" customFormat="1" ht="15" customHeight="1" x14ac:dyDescent="0.15"/>
    <row r="151" customFormat="1" ht="15" customHeight="1" x14ac:dyDescent="0.15"/>
    <row r="152" customFormat="1" ht="15" customHeight="1" x14ac:dyDescent="0.15"/>
    <row r="153" customFormat="1" ht="15" customHeight="1" x14ac:dyDescent="0.15"/>
    <row r="154" customFormat="1" ht="15" customHeight="1" x14ac:dyDescent="0.15"/>
    <row r="155" customFormat="1" ht="15" customHeight="1" x14ac:dyDescent="0.15"/>
    <row r="156" customFormat="1" ht="15" customHeight="1" x14ac:dyDescent="0.15"/>
    <row r="157" customFormat="1" ht="15" customHeight="1" x14ac:dyDescent="0.15"/>
    <row r="158" customFormat="1" ht="15" customHeight="1" x14ac:dyDescent="0.15"/>
    <row r="159" customFormat="1" ht="15" customHeight="1" x14ac:dyDescent="0.15"/>
    <row r="160" customFormat="1" ht="15" customHeight="1" x14ac:dyDescent="0.15"/>
    <row r="161" customFormat="1" ht="15" customHeight="1" x14ac:dyDescent="0.15"/>
    <row r="162" customFormat="1" ht="15" customHeight="1" x14ac:dyDescent="0.15"/>
    <row r="163" customFormat="1" ht="15" customHeight="1" x14ac:dyDescent="0.15"/>
    <row r="164" customFormat="1" ht="15" customHeight="1" x14ac:dyDescent="0.15"/>
    <row r="165" customFormat="1" ht="15" customHeight="1" x14ac:dyDescent="0.15"/>
    <row r="166" customFormat="1" ht="15" customHeight="1" x14ac:dyDescent="0.15"/>
    <row r="167" customFormat="1" ht="15" customHeight="1" x14ac:dyDescent="0.15"/>
    <row r="168" customFormat="1" ht="15" customHeight="1" x14ac:dyDescent="0.15"/>
    <row r="169" customFormat="1" ht="15" customHeight="1" x14ac:dyDescent="0.15"/>
    <row r="170" customFormat="1" ht="15" customHeight="1" x14ac:dyDescent="0.15"/>
    <row r="171" customFormat="1" ht="15" customHeight="1" x14ac:dyDescent="0.15"/>
    <row r="172" customFormat="1" ht="15" customHeight="1" x14ac:dyDescent="0.15"/>
    <row r="173" customFormat="1" ht="15" customHeight="1" x14ac:dyDescent="0.15"/>
    <row r="174" customFormat="1" ht="15" customHeight="1" x14ac:dyDescent="0.15"/>
    <row r="175" customFormat="1" ht="15" customHeight="1" x14ac:dyDescent="0.15"/>
    <row r="176" customFormat="1" ht="15" customHeight="1" x14ac:dyDescent="0.15"/>
    <row r="177" customFormat="1" ht="15" customHeight="1" x14ac:dyDescent="0.15"/>
    <row r="178" customFormat="1" ht="15" customHeight="1" x14ac:dyDescent="0.15"/>
    <row r="179" customFormat="1" ht="15" customHeight="1" x14ac:dyDescent="0.15"/>
    <row r="180" customFormat="1" ht="15" customHeight="1" x14ac:dyDescent="0.15"/>
    <row r="181" customFormat="1" ht="15" customHeight="1" x14ac:dyDescent="0.15"/>
    <row r="182" customFormat="1" ht="15" customHeight="1" x14ac:dyDescent="0.15"/>
    <row r="183" customFormat="1" ht="15" customHeight="1" x14ac:dyDescent="0.15"/>
    <row r="184" customFormat="1" ht="15" customHeight="1" x14ac:dyDescent="0.15"/>
    <row r="185" customFormat="1" ht="15" customHeight="1" x14ac:dyDescent="0.15"/>
    <row r="186" customFormat="1" ht="15" customHeight="1" x14ac:dyDescent="0.15"/>
    <row r="187" customFormat="1" ht="15" customHeight="1" x14ac:dyDescent="0.15"/>
    <row r="188" customFormat="1" ht="15" customHeight="1" x14ac:dyDescent="0.15"/>
    <row r="189" customFormat="1" ht="15" customHeight="1" x14ac:dyDescent="0.15"/>
    <row r="190" customFormat="1" ht="15" customHeight="1" x14ac:dyDescent="0.15"/>
    <row r="191" customFormat="1" ht="15" customHeight="1" x14ac:dyDescent="0.15"/>
    <row r="192" customFormat="1" ht="15" customHeight="1" x14ac:dyDescent="0.15"/>
    <row r="193" customFormat="1" ht="15" customHeight="1" x14ac:dyDescent="0.15"/>
  </sheetData>
  <phoneticPr fontId="2" type="noConversion"/>
  <pageMargins left="0.75" right="0.75" top="1" bottom="1" header="0.5" footer="0.5"/>
  <pageSetup orientation="portrait"/>
  <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tabColor indexed="45"/>
  </sheetPr>
  <dimension ref="A1:AP373"/>
  <sheetViews>
    <sheetView workbookViewId="0">
      <pane xSplit="1" ySplit="1" topLeftCell="W24" activePane="bottomRight" state="frozen"/>
      <selection pane="topRight" activeCell="B1" sqref="B1"/>
      <selection pane="bottomLeft" activeCell="A2" sqref="A2"/>
      <selection pane="bottomRight" activeCell="X55" sqref="X55"/>
    </sheetView>
  </sheetViews>
  <sheetFormatPr baseColWidth="10" defaultColWidth="8.83203125" defaultRowHeight="13" x14ac:dyDescent="0.15"/>
  <cols>
    <col min="1" max="1" width="27.5" style="143" bestFit="1" customWidth="1"/>
    <col min="2" max="3" width="2.33203125" style="143" bestFit="1" customWidth="1"/>
    <col min="4" max="4" width="5.83203125" style="143" bestFit="1" customWidth="1"/>
    <col min="5" max="5" width="4.83203125" style="143" bestFit="1" customWidth="1"/>
    <col min="6" max="7" width="5.83203125" style="143" bestFit="1" customWidth="1"/>
    <col min="8" max="8" width="7.6640625" style="143" customWidth="1"/>
    <col min="9" max="11" width="5.83203125" style="143" bestFit="1" customWidth="1"/>
    <col min="12" max="29" width="6.83203125" style="143" bestFit="1" customWidth="1"/>
    <col min="30" max="32" width="6.83203125" style="143" customWidth="1"/>
    <col min="33" max="33" width="5.83203125" style="143" customWidth="1"/>
    <col min="34" max="39" width="6.83203125" style="143" customWidth="1"/>
    <col min="40" max="42" width="2.33203125" style="143" customWidth="1"/>
    <col min="43" max="16384" width="8.83203125" style="143"/>
  </cols>
  <sheetData>
    <row r="1" spans="1:42" x14ac:dyDescent="0.15">
      <c r="A1" s="142" t="s">
        <v>19</v>
      </c>
      <c r="B1" s="148" t="s">
        <v>193</v>
      </c>
      <c r="C1" s="148" t="s">
        <v>194</v>
      </c>
      <c r="D1" s="148" t="s">
        <v>195</v>
      </c>
      <c r="E1" s="148" t="s">
        <v>196</v>
      </c>
      <c r="F1" s="148" t="s">
        <v>197</v>
      </c>
      <c r="G1" s="148" t="s">
        <v>198</v>
      </c>
      <c r="H1" s="148" t="s">
        <v>199</v>
      </c>
      <c r="I1" s="148" t="s">
        <v>200</v>
      </c>
      <c r="J1" s="148" t="s">
        <v>201</v>
      </c>
      <c r="K1" s="148" t="s">
        <v>202</v>
      </c>
      <c r="L1" s="148" t="s">
        <v>203</v>
      </c>
      <c r="M1" s="148" t="s">
        <v>204</v>
      </c>
      <c r="N1" s="148" t="s">
        <v>205</v>
      </c>
      <c r="O1" s="148" t="s">
        <v>206</v>
      </c>
      <c r="P1" s="148" t="s">
        <v>207</v>
      </c>
      <c r="Q1" s="148" t="s">
        <v>208</v>
      </c>
      <c r="R1" s="148" t="s">
        <v>209</v>
      </c>
      <c r="S1" s="148" t="s">
        <v>210</v>
      </c>
      <c r="T1" s="148" t="s">
        <v>211</v>
      </c>
      <c r="U1" s="148" t="s">
        <v>212</v>
      </c>
      <c r="V1" s="148" t="s">
        <v>213</v>
      </c>
      <c r="W1" s="148" t="s">
        <v>214</v>
      </c>
      <c r="X1" s="148" t="s">
        <v>215</v>
      </c>
      <c r="Y1" s="148" t="s">
        <v>216</v>
      </c>
      <c r="Z1" s="148" t="s">
        <v>217</v>
      </c>
      <c r="AA1" s="148" t="s">
        <v>218</v>
      </c>
      <c r="AB1" s="148" t="s">
        <v>219</v>
      </c>
      <c r="AC1" s="148" t="s">
        <v>220</v>
      </c>
      <c r="AD1" s="148" t="s">
        <v>221</v>
      </c>
      <c r="AE1" s="148" t="s">
        <v>222</v>
      </c>
      <c r="AF1" s="148" t="s">
        <v>223</v>
      </c>
      <c r="AG1" s="148" t="s">
        <v>224</v>
      </c>
      <c r="AH1" s="148" t="s">
        <v>225</v>
      </c>
      <c r="AI1" s="148" t="s">
        <v>226</v>
      </c>
      <c r="AJ1" s="148" t="s">
        <v>227</v>
      </c>
      <c r="AK1" s="148" t="s">
        <v>228</v>
      </c>
      <c r="AL1" s="148" t="s">
        <v>229</v>
      </c>
      <c r="AM1" s="148" t="s">
        <v>230</v>
      </c>
      <c r="AN1" s="148" t="s">
        <v>231</v>
      </c>
      <c r="AO1" s="148" t="s">
        <v>232</v>
      </c>
      <c r="AP1" s="148" t="s">
        <v>233</v>
      </c>
    </row>
    <row r="2" spans="1:42" customFormat="1" x14ac:dyDescent="0.15">
      <c r="A2" s="147" t="s">
        <v>193</v>
      </c>
      <c r="B2" s="143">
        <v>0</v>
      </c>
      <c r="C2" s="143">
        <v>0</v>
      </c>
      <c r="D2" s="143">
        <v>0.747</v>
      </c>
      <c r="E2" s="143">
        <v>0.5</v>
      </c>
      <c r="F2" s="143">
        <v>0</v>
      </c>
      <c r="G2" s="143">
        <v>0</v>
      </c>
      <c r="H2" s="143">
        <v>0.02</v>
      </c>
      <c r="I2" s="143">
        <v>0.08</v>
      </c>
      <c r="J2" s="143">
        <v>0</v>
      </c>
      <c r="K2" s="143">
        <v>0</v>
      </c>
      <c r="L2" s="143">
        <v>0</v>
      </c>
      <c r="M2" s="143">
        <v>0</v>
      </c>
      <c r="N2" s="143">
        <v>0</v>
      </c>
      <c r="O2" s="143">
        <v>0</v>
      </c>
      <c r="P2" s="143">
        <v>0</v>
      </c>
      <c r="Q2" s="143">
        <v>0</v>
      </c>
      <c r="R2" s="143">
        <v>0</v>
      </c>
      <c r="S2" s="143">
        <v>0</v>
      </c>
      <c r="T2" s="143">
        <v>0</v>
      </c>
      <c r="U2" s="143">
        <v>0</v>
      </c>
      <c r="V2" s="143">
        <v>0</v>
      </c>
      <c r="W2" s="143">
        <v>0</v>
      </c>
      <c r="X2" s="143">
        <v>0</v>
      </c>
      <c r="Y2" s="143">
        <v>0</v>
      </c>
      <c r="Z2" s="143">
        <v>0</v>
      </c>
      <c r="AA2" s="143">
        <v>0</v>
      </c>
      <c r="AB2" s="143">
        <v>0</v>
      </c>
      <c r="AC2" s="143">
        <v>0</v>
      </c>
      <c r="AD2" s="143">
        <v>0</v>
      </c>
      <c r="AE2" s="143">
        <v>0</v>
      </c>
      <c r="AF2" s="143">
        <v>0</v>
      </c>
      <c r="AG2" s="143">
        <v>0</v>
      </c>
      <c r="AH2" s="143">
        <v>0</v>
      </c>
      <c r="AI2" s="143">
        <v>0</v>
      </c>
      <c r="AJ2" s="143">
        <v>0</v>
      </c>
      <c r="AK2" s="143">
        <v>0</v>
      </c>
      <c r="AL2" s="143">
        <v>0</v>
      </c>
      <c r="AM2" s="143">
        <v>0</v>
      </c>
      <c r="AN2" s="143">
        <v>0</v>
      </c>
      <c r="AO2" s="143">
        <v>0</v>
      </c>
      <c r="AP2" s="143">
        <v>0</v>
      </c>
    </row>
    <row r="3" spans="1:42" customFormat="1" x14ac:dyDescent="0.15">
      <c r="A3" s="147" t="s">
        <v>194</v>
      </c>
      <c r="B3" s="143">
        <v>0</v>
      </c>
      <c r="C3" s="143">
        <v>0</v>
      </c>
      <c r="D3" s="143">
        <v>0</v>
      </c>
      <c r="E3" s="143">
        <v>0</v>
      </c>
      <c r="F3" s="143">
        <v>0</v>
      </c>
      <c r="G3" s="143">
        <v>7.0000000000000007E-2</v>
      </c>
      <c r="H3" s="143">
        <v>0</v>
      </c>
      <c r="I3" s="143">
        <v>0.01</v>
      </c>
      <c r="J3" s="143">
        <v>0</v>
      </c>
      <c r="K3" s="143">
        <v>0</v>
      </c>
      <c r="L3" s="143">
        <v>0</v>
      </c>
      <c r="M3" s="143">
        <v>0</v>
      </c>
      <c r="N3" s="143">
        <v>4.0000000000000002E-4</v>
      </c>
      <c r="O3" s="143">
        <v>0</v>
      </c>
      <c r="P3" s="143">
        <v>0</v>
      </c>
      <c r="Q3" s="143">
        <v>0</v>
      </c>
      <c r="R3" s="143">
        <v>0.1361</v>
      </c>
      <c r="S3" s="143">
        <v>0</v>
      </c>
      <c r="T3" s="143">
        <v>0</v>
      </c>
      <c r="U3" s="143">
        <v>0</v>
      </c>
      <c r="V3" s="143">
        <v>0</v>
      </c>
      <c r="W3" s="143">
        <v>0</v>
      </c>
      <c r="X3" s="143">
        <v>0</v>
      </c>
      <c r="Y3" s="143">
        <v>0</v>
      </c>
      <c r="Z3" s="143">
        <v>1.0800000000000002E-2</v>
      </c>
      <c r="AA3" s="143">
        <v>0.20480000000000001</v>
      </c>
      <c r="AB3" s="143">
        <v>0.91669999999999996</v>
      </c>
      <c r="AC3" s="143">
        <v>0</v>
      </c>
      <c r="AD3" s="143">
        <v>0</v>
      </c>
      <c r="AE3" s="143">
        <v>0</v>
      </c>
      <c r="AF3" s="143">
        <v>0</v>
      </c>
      <c r="AG3" s="143">
        <v>0</v>
      </c>
      <c r="AH3" s="143">
        <v>0</v>
      </c>
      <c r="AI3" s="143">
        <v>0</v>
      </c>
      <c r="AJ3" s="143">
        <v>0.20250000000000001</v>
      </c>
      <c r="AK3" s="143">
        <v>0</v>
      </c>
      <c r="AL3" s="143">
        <v>0</v>
      </c>
      <c r="AM3" s="143">
        <v>0</v>
      </c>
      <c r="AN3" s="143">
        <v>0</v>
      </c>
      <c r="AO3" s="143">
        <v>0</v>
      </c>
      <c r="AP3" s="143">
        <v>0</v>
      </c>
    </row>
    <row r="4" spans="1:42" customFormat="1" x14ac:dyDescent="0.15">
      <c r="A4" s="147" t="s">
        <v>195</v>
      </c>
      <c r="B4" s="143">
        <v>0</v>
      </c>
      <c r="C4" s="143">
        <v>0</v>
      </c>
      <c r="D4" s="143">
        <v>3.0000000000000001E-3</v>
      </c>
      <c r="E4" s="143">
        <v>0.35</v>
      </c>
      <c r="F4" s="143">
        <v>0.85599999999999998</v>
      </c>
      <c r="G4" s="143">
        <v>0.09</v>
      </c>
      <c r="H4" s="143">
        <v>0.1</v>
      </c>
      <c r="I4" s="143">
        <v>0.09</v>
      </c>
      <c r="J4" s="143">
        <v>6.6000000000000003E-2</v>
      </c>
      <c r="K4" s="143">
        <v>0</v>
      </c>
      <c r="L4" s="143">
        <v>0</v>
      </c>
      <c r="M4" s="143">
        <v>0</v>
      </c>
      <c r="N4" s="143">
        <v>4.3900000000000002E-2</v>
      </c>
      <c r="O4" s="143">
        <v>2.3999999999999998E-3</v>
      </c>
      <c r="P4" s="143">
        <v>0</v>
      </c>
      <c r="Q4" s="143">
        <v>4.0000000000000002E-4</v>
      </c>
      <c r="R4" s="143">
        <v>5.7999999999999996E-3</v>
      </c>
      <c r="S4" s="143">
        <v>0</v>
      </c>
      <c r="T4" s="143">
        <v>0</v>
      </c>
      <c r="U4" s="143">
        <v>0</v>
      </c>
      <c r="V4" s="143">
        <v>0</v>
      </c>
      <c r="W4" s="143">
        <v>0</v>
      </c>
      <c r="X4" s="143">
        <v>0</v>
      </c>
      <c r="Y4" s="143">
        <v>0</v>
      </c>
      <c r="Z4" s="143">
        <v>0.92980000000000007</v>
      </c>
      <c r="AA4" s="143">
        <v>4.0000000000000002E-4</v>
      </c>
      <c r="AB4" s="143">
        <v>0</v>
      </c>
      <c r="AC4" s="143">
        <v>0</v>
      </c>
      <c r="AD4" s="143">
        <v>0</v>
      </c>
      <c r="AE4" s="143">
        <v>0</v>
      </c>
      <c r="AF4" s="143">
        <v>0.84130000000000027</v>
      </c>
      <c r="AG4" s="143">
        <v>0.88500000000000001</v>
      </c>
      <c r="AH4" s="143">
        <v>0</v>
      </c>
      <c r="AI4" s="143">
        <v>0</v>
      </c>
      <c r="AJ4" s="143">
        <v>0</v>
      </c>
      <c r="AK4" s="143">
        <v>0</v>
      </c>
      <c r="AL4" s="143">
        <v>0</v>
      </c>
      <c r="AM4" s="143">
        <v>0</v>
      </c>
      <c r="AN4" s="143">
        <v>0</v>
      </c>
      <c r="AO4" s="143">
        <v>0</v>
      </c>
      <c r="AP4" s="143">
        <v>0</v>
      </c>
    </row>
    <row r="5" spans="1:42" customFormat="1" x14ac:dyDescent="0.15">
      <c r="A5" s="147" t="s">
        <v>196</v>
      </c>
      <c r="B5" s="143">
        <v>0</v>
      </c>
      <c r="C5" s="143">
        <v>0</v>
      </c>
      <c r="D5" s="143">
        <v>0</v>
      </c>
      <c r="E5" s="143">
        <v>0.05</v>
      </c>
      <c r="F5" s="143">
        <v>4.3999999999999997E-2</v>
      </c>
      <c r="G5" s="143">
        <v>0</v>
      </c>
      <c r="H5" s="143">
        <v>0</v>
      </c>
      <c r="I5" s="143">
        <v>0</v>
      </c>
      <c r="J5" s="143">
        <v>0.24299999999999999</v>
      </c>
      <c r="K5" s="143">
        <v>0.125</v>
      </c>
      <c r="L5" s="143">
        <v>0</v>
      </c>
      <c r="M5" s="143">
        <v>0</v>
      </c>
      <c r="N5" s="143">
        <v>5.7000000000000002E-2</v>
      </c>
      <c r="O5" s="143">
        <v>1.5100000000000001E-2</v>
      </c>
      <c r="P5" s="143">
        <v>6.4999999999999997E-3</v>
      </c>
      <c r="Q5" s="143">
        <v>0.1089</v>
      </c>
      <c r="R5" s="143">
        <v>4.41E-2</v>
      </c>
      <c r="S5" s="143">
        <v>0</v>
      </c>
      <c r="T5" s="143">
        <v>0</v>
      </c>
      <c r="U5" s="143">
        <v>0</v>
      </c>
      <c r="V5" s="143">
        <v>0</v>
      </c>
      <c r="W5" s="143">
        <v>0</v>
      </c>
      <c r="X5" s="143">
        <v>0</v>
      </c>
      <c r="Y5" s="143">
        <v>0</v>
      </c>
      <c r="Z5" s="143">
        <v>2.0100000000000003E-2</v>
      </c>
      <c r="AA5" s="143">
        <v>0.1182</v>
      </c>
      <c r="AB5" s="143">
        <v>0</v>
      </c>
      <c r="AC5" s="143">
        <v>2.0299999999999999E-2</v>
      </c>
      <c r="AD5" s="143">
        <v>0</v>
      </c>
      <c r="AE5" s="143">
        <v>0</v>
      </c>
      <c r="AF5" s="143">
        <v>5.1800000000000013E-2</v>
      </c>
      <c r="AG5" s="143">
        <v>5.1999999999999998E-2</v>
      </c>
      <c r="AH5" s="143">
        <v>1.8599999999999998E-2</v>
      </c>
      <c r="AI5" s="143">
        <v>0</v>
      </c>
      <c r="AJ5" s="143">
        <v>0</v>
      </c>
      <c r="AK5" s="143">
        <v>0</v>
      </c>
      <c r="AL5" s="143">
        <v>0</v>
      </c>
      <c r="AM5" s="143">
        <v>0</v>
      </c>
      <c r="AN5" s="143">
        <v>0</v>
      </c>
      <c r="AO5" s="143">
        <v>0</v>
      </c>
      <c r="AP5" s="143">
        <v>0</v>
      </c>
    </row>
    <row r="6" spans="1:42" customFormat="1" x14ac:dyDescent="0.15">
      <c r="A6" s="147" t="s">
        <v>197</v>
      </c>
      <c r="B6" s="143">
        <v>0</v>
      </c>
      <c r="C6" s="143">
        <v>0</v>
      </c>
      <c r="D6" s="143">
        <v>0</v>
      </c>
      <c r="E6" s="143">
        <v>0</v>
      </c>
      <c r="F6" s="143">
        <v>0</v>
      </c>
      <c r="G6" s="143">
        <v>0</v>
      </c>
      <c r="H6" s="143">
        <v>0</v>
      </c>
      <c r="I6" s="143">
        <v>0</v>
      </c>
      <c r="J6" s="143">
        <v>0</v>
      </c>
      <c r="K6" s="143">
        <v>0</v>
      </c>
      <c r="L6" s="143">
        <v>0</v>
      </c>
      <c r="M6" s="143">
        <v>0</v>
      </c>
      <c r="N6" s="143">
        <v>2.0000000000000001E-4</v>
      </c>
      <c r="O6" s="143">
        <v>0</v>
      </c>
      <c r="P6" s="143">
        <v>0</v>
      </c>
      <c r="Q6" s="143">
        <v>0</v>
      </c>
      <c r="R6" s="143">
        <v>1.2999999999999999E-3</v>
      </c>
      <c r="S6" s="143">
        <v>0</v>
      </c>
      <c r="T6" s="143">
        <v>0</v>
      </c>
      <c r="U6" s="143">
        <v>0</v>
      </c>
      <c r="V6" s="143">
        <v>0</v>
      </c>
      <c r="W6" s="143">
        <v>0</v>
      </c>
      <c r="X6" s="143">
        <v>0</v>
      </c>
      <c r="Y6" s="143">
        <v>0</v>
      </c>
      <c r="Z6" s="143">
        <v>1.6200000000000003E-2</v>
      </c>
      <c r="AA6" s="143">
        <v>0</v>
      </c>
      <c r="AB6" s="143">
        <v>0</v>
      </c>
      <c r="AC6" s="143">
        <v>0</v>
      </c>
      <c r="AD6" s="143">
        <v>0</v>
      </c>
      <c r="AE6" s="143">
        <v>0</v>
      </c>
      <c r="AF6" s="143">
        <v>6.5200000000000008E-2</v>
      </c>
      <c r="AG6" s="143">
        <v>6.3E-2</v>
      </c>
      <c r="AH6" s="143">
        <v>0</v>
      </c>
      <c r="AI6" s="143">
        <v>0</v>
      </c>
      <c r="AJ6" s="143">
        <v>8.4199999999999997E-2</v>
      </c>
      <c r="AK6" s="143">
        <v>0</v>
      </c>
      <c r="AL6" s="143">
        <v>0</v>
      </c>
      <c r="AM6" s="143">
        <v>0</v>
      </c>
      <c r="AN6" s="143">
        <v>0</v>
      </c>
      <c r="AO6" s="143">
        <v>0</v>
      </c>
      <c r="AP6" s="143">
        <v>0</v>
      </c>
    </row>
    <row r="7" spans="1:42" customFormat="1" x14ac:dyDescent="0.15">
      <c r="A7" s="147" t="s">
        <v>198</v>
      </c>
      <c r="B7" s="143">
        <v>0</v>
      </c>
      <c r="C7" s="143">
        <v>0</v>
      </c>
      <c r="D7" s="143">
        <v>0</v>
      </c>
      <c r="E7" s="143">
        <v>0</v>
      </c>
      <c r="F7" s="143">
        <v>0</v>
      </c>
      <c r="G7" s="143">
        <v>0</v>
      </c>
      <c r="H7" s="143">
        <v>0.01</v>
      </c>
      <c r="I7" s="143">
        <v>0</v>
      </c>
      <c r="J7" s="143">
        <v>0.19600000000000001</v>
      </c>
      <c r="K7" s="143">
        <v>0.27500000000000002</v>
      </c>
      <c r="L7" s="143">
        <v>1.0000000000000002E-3</v>
      </c>
      <c r="M7" s="143">
        <v>0</v>
      </c>
      <c r="N7" s="143">
        <v>6.25E-2</v>
      </c>
      <c r="O7" s="143">
        <v>0.186</v>
      </c>
      <c r="P7" s="143">
        <v>0.12180000000000001</v>
      </c>
      <c r="Q7" s="143">
        <v>0.1173</v>
      </c>
      <c r="R7" s="143">
        <v>2.3E-2</v>
      </c>
      <c r="S7" s="143">
        <v>0</v>
      </c>
      <c r="T7" s="143">
        <v>6.0000000000000005E-2</v>
      </c>
      <c r="U7" s="143">
        <v>4.7799999999999988E-2</v>
      </c>
      <c r="V7" s="143">
        <v>0</v>
      </c>
      <c r="W7" s="143">
        <v>2.3000000000000004E-3</v>
      </c>
      <c r="X7" s="143">
        <v>0.16260000000000005</v>
      </c>
      <c r="Y7" s="143">
        <v>4.9000000000000007E-3</v>
      </c>
      <c r="Z7" s="143">
        <v>1.5000000000000001E-2</v>
      </c>
      <c r="AA7" s="143">
        <v>0.31440000000000001</v>
      </c>
      <c r="AB7" s="143">
        <v>0</v>
      </c>
      <c r="AC7" s="143">
        <v>0</v>
      </c>
      <c r="AD7" s="143">
        <v>0</v>
      </c>
      <c r="AE7" s="143">
        <v>0.14250000000000002</v>
      </c>
      <c r="AF7" s="143">
        <v>1.0400000000000001E-2</v>
      </c>
      <c r="AG7" s="143">
        <v>0</v>
      </c>
      <c r="AH7" s="143">
        <v>0</v>
      </c>
      <c r="AI7" s="143">
        <v>0</v>
      </c>
      <c r="AJ7" s="143">
        <v>0</v>
      </c>
      <c r="AK7" s="143">
        <v>0</v>
      </c>
      <c r="AL7" s="143">
        <v>0</v>
      </c>
      <c r="AM7" s="143">
        <v>0</v>
      </c>
      <c r="AN7" s="143">
        <v>0</v>
      </c>
      <c r="AO7" s="143">
        <v>0</v>
      </c>
      <c r="AP7" s="143">
        <v>0</v>
      </c>
    </row>
    <row r="8" spans="1:42" customFormat="1" x14ac:dyDescent="0.15">
      <c r="A8" s="147" t="s">
        <v>199</v>
      </c>
      <c r="B8" s="143">
        <v>0</v>
      </c>
      <c r="C8" s="143">
        <v>0</v>
      </c>
      <c r="D8" s="143">
        <v>0</v>
      </c>
      <c r="E8" s="143">
        <v>0</v>
      </c>
      <c r="F8" s="143">
        <v>0</v>
      </c>
      <c r="G8" s="143">
        <v>0.21</v>
      </c>
      <c r="H8" s="143">
        <v>0.04</v>
      </c>
      <c r="I8" s="143">
        <v>0.01</v>
      </c>
      <c r="J8" s="143">
        <v>0.14599999999999999</v>
      </c>
      <c r="K8" s="143">
        <v>0.128</v>
      </c>
      <c r="L8" s="143">
        <v>0.30050000000000004</v>
      </c>
      <c r="M8" s="143">
        <v>2.9100000000000001E-2</v>
      </c>
      <c r="N8" s="143">
        <v>0.15509999999999999</v>
      </c>
      <c r="O8" s="143">
        <v>0.47110000000000002</v>
      </c>
      <c r="P8" s="143">
        <v>0.48930000000000001</v>
      </c>
      <c r="Q8" s="143">
        <v>0.64939999999999998</v>
      </c>
      <c r="R8" s="143">
        <v>0.30420000000000003</v>
      </c>
      <c r="S8" s="143">
        <v>0</v>
      </c>
      <c r="T8" s="143">
        <v>0.8096000000000001</v>
      </c>
      <c r="U8" s="143">
        <v>0.51259999999999983</v>
      </c>
      <c r="V8" s="143">
        <v>0</v>
      </c>
      <c r="W8" s="143">
        <v>0</v>
      </c>
      <c r="X8" s="143">
        <v>0.32240000000000013</v>
      </c>
      <c r="Y8" s="143">
        <v>9.0000000000000011E-3</v>
      </c>
      <c r="Z8" s="143">
        <v>4.5000000000000005E-3</v>
      </c>
      <c r="AA8" s="143">
        <v>4.87E-2</v>
      </c>
      <c r="AB8" s="143">
        <v>0</v>
      </c>
      <c r="AC8" s="143">
        <v>0</v>
      </c>
      <c r="AD8" s="143">
        <v>0</v>
      </c>
      <c r="AE8" s="143">
        <v>0.25490000000000007</v>
      </c>
      <c r="AF8" s="143">
        <v>3.4000000000000007E-3</v>
      </c>
      <c r="AG8" s="143">
        <v>0</v>
      </c>
      <c r="AH8" s="143">
        <v>4.3E-3</v>
      </c>
      <c r="AI8" s="143">
        <v>0</v>
      </c>
      <c r="AJ8" s="143">
        <v>0</v>
      </c>
      <c r="AK8" s="143">
        <v>0</v>
      </c>
      <c r="AL8" s="143">
        <v>0</v>
      </c>
      <c r="AM8" s="143">
        <v>0</v>
      </c>
      <c r="AN8" s="143">
        <v>0</v>
      </c>
      <c r="AO8" s="143">
        <v>0</v>
      </c>
      <c r="AP8" s="143">
        <v>0</v>
      </c>
    </row>
    <row r="9" spans="1:42" customFormat="1" x14ac:dyDescent="0.15">
      <c r="A9" s="147" t="s">
        <v>200</v>
      </c>
      <c r="B9" s="143">
        <v>0</v>
      </c>
      <c r="C9" s="143">
        <v>0</v>
      </c>
      <c r="D9" s="143">
        <v>0</v>
      </c>
      <c r="E9" s="143">
        <v>0</v>
      </c>
      <c r="F9" s="143">
        <v>0</v>
      </c>
      <c r="G9" s="143">
        <v>0</v>
      </c>
      <c r="H9" s="143">
        <v>0.03</v>
      </c>
      <c r="I9" s="143">
        <v>0.05</v>
      </c>
      <c r="J9" s="143">
        <v>7.6999999999999999E-2</v>
      </c>
      <c r="K9" s="143">
        <v>0.21</v>
      </c>
      <c r="L9" s="143">
        <v>0.27900000000000008</v>
      </c>
      <c r="M9" s="143">
        <v>0</v>
      </c>
      <c r="N9" s="143">
        <v>0.37459999999999999</v>
      </c>
      <c r="O9" s="143">
        <v>0.1653</v>
      </c>
      <c r="P9" s="143">
        <v>0.2286</v>
      </c>
      <c r="Q9" s="143">
        <v>3.2199999999999999E-2</v>
      </c>
      <c r="R9" s="143">
        <v>0.32300000000000001</v>
      </c>
      <c r="S9" s="143">
        <v>0</v>
      </c>
      <c r="T9" s="143">
        <v>4.0000000000000008E-2</v>
      </c>
      <c r="U9" s="143">
        <v>3.1899999999999991E-2</v>
      </c>
      <c r="V9" s="143">
        <v>0.14910000000000001</v>
      </c>
      <c r="W9" s="143">
        <v>7.3900000000000007E-2</v>
      </c>
      <c r="X9" s="143">
        <v>0.41260000000000013</v>
      </c>
      <c r="Y9" s="143">
        <v>5.1500000000000004E-2</v>
      </c>
      <c r="Z9" s="143">
        <v>0</v>
      </c>
      <c r="AA9" s="143">
        <v>0.108</v>
      </c>
      <c r="AB9" s="143">
        <v>0</v>
      </c>
      <c r="AC9" s="143">
        <v>0</v>
      </c>
      <c r="AD9" s="143">
        <v>0</v>
      </c>
      <c r="AE9" s="143">
        <v>0.4724000000000001</v>
      </c>
      <c r="AF9" s="143">
        <v>0</v>
      </c>
      <c r="AG9" s="143">
        <v>0</v>
      </c>
      <c r="AH9" s="143">
        <v>0</v>
      </c>
      <c r="AI9" s="143">
        <v>0</v>
      </c>
      <c r="AJ9" s="143">
        <v>0.13270000000000001</v>
      </c>
      <c r="AK9" s="143">
        <v>0</v>
      </c>
      <c r="AL9" s="143">
        <v>0</v>
      </c>
      <c r="AM9" s="143">
        <v>0</v>
      </c>
      <c r="AN9" s="143">
        <v>0</v>
      </c>
      <c r="AO9" s="143">
        <v>0</v>
      </c>
      <c r="AP9" s="143">
        <v>0</v>
      </c>
    </row>
    <row r="10" spans="1:42" customFormat="1" x14ac:dyDescent="0.15">
      <c r="A10" s="147" t="s">
        <v>201</v>
      </c>
      <c r="B10" s="143">
        <v>0</v>
      </c>
      <c r="C10" s="143">
        <v>0</v>
      </c>
      <c r="D10" s="143">
        <v>0</v>
      </c>
      <c r="E10" s="143">
        <v>0</v>
      </c>
      <c r="F10" s="143">
        <v>0</v>
      </c>
      <c r="G10" s="143">
        <v>0</v>
      </c>
      <c r="H10" s="143">
        <v>0</v>
      </c>
      <c r="I10" s="143">
        <v>0</v>
      </c>
      <c r="J10" s="143">
        <v>0</v>
      </c>
      <c r="K10" s="143">
        <v>0.01</v>
      </c>
      <c r="L10" s="143">
        <v>3.7700000000000004E-2</v>
      </c>
      <c r="M10" s="143">
        <v>3.9199999999999999E-2</v>
      </c>
      <c r="N10" s="143">
        <v>2E-3</v>
      </c>
      <c r="O10" s="143">
        <v>3.4700000000000002E-2</v>
      </c>
      <c r="P10" s="143">
        <v>2.06E-2</v>
      </c>
      <c r="Q10" s="143">
        <v>2.07E-2</v>
      </c>
      <c r="R10" s="143">
        <v>4.3400000000000001E-2</v>
      </c>
      <c r="S10" s="143">
        <v>0.21000000000000002</v>
      </c>
      <c r="T10" s="143">
        <v>9.8000000000000014E-3</v>
      </c>
      <c r="U10" s="143">
        <v>7.8099999999999989E-2</v>
      </c>
      <c r="V10" s="143">
        <v>3.5999999999999999E-3</v>
      </c>
      <c r="W10" s="143">
        <v>2.4500000000000004E-2</v>
      </c>
      <c r="X10" s="143">
        <v>2.0000000000000009E-3</v>
      </c>
      <c r="Y10" s="143">
        <v>2.4800000000000003E-2</v>
      </c>
      <c r="Z10" s="143">
        <v>2.0000000000000004E-4</v>
      </c>
      <c r="AA10" s="143">
        <v>3.0000000000000001E-3</v>
      </c>
      <c r="AB10" s="143">
        <v>0</v>
      </c>
      <c r="AC10" s="143">
        <v>0</v>
      </c>
      <c r="AD10" s="143">
        <v>0</v>
      </c>
      <c r="AE10" s="143">
        <v>0</v>
      </c>
      <c r="AF10" s="143">
        <v>0</v>
      </c>
      <c r="AG10" s="143">
        <v>0</v>
      </c>
      <c r="AH10" s="143">
        <v>6.9999999999999999E-4</v>
      </c>
      <c r="AI10" s="143">
        <v>1.9E-3</v>
      </c>
      <c r="AJ10" s="143">
        <v>2.2000000000000001E-3</v>
      </c>
      <c r="AK10" s="143">
        <v>0</v>
      </c>
      <c r="AL10" s="143">
        <v>0</v>
      </c>
      <c r="AM10" s="143">
        <v>0</v>
      </c>
      <c r="AN10" s="143">
        <v>0</v>
      </c>
      <c r="AO10" s="143">
        <v>0</v>
      </c>
      <c r="AP10" s="143">
        <v>0</v>
      </c>
    </row>
    <row r="11" spans="1:42" customFormat="1" x14ac:dyDescent="0.15">
      <c r="A11" s="147" t="s">
        <v>202</v>
      </c>
      <c r="B11" s="143">
        <v>0</v>
      </c>
      <c r="C11" s="143">
        <v>0</v>
      </c>
      <c r="D11" s="143">
        <v>0</v>
      </c>
      <c r="E11" s="143">
        <v>0</v>
      </c>
      <c r="F11" s="143">
        <v>0</v>
      </c>
      <c r="G11" s="143">
        <v>0</v>
      </c>
      <c r="H11" s="143">
        <v>0</v>
      </c>
      <c r="I11" s="143">
        <v>0</v>
      </c>
      <c r="J11" s="143">
        <v>0</v>
      </c>
      <c r="K11" s="143">
        <v>0</v>
      </c>
      <c r="L11" s="143">
        <v>4.6300000000000008E-2</v>
      </c>
      <c r="M11" s="143">
        <v>1.6799999999999999E-2</v>
      </c>
      <c r="N11" s="143">
        <v>1.37E-2</v>
      </c>
      <c r="O11" s="143">
        <v>7.6E-3</v>
      </c>
      <c r="P11" s="143">
        <v>1.09E-2</v>
      </c>
      <c r="Q11" s="143">
        <v>8.6E-3</v>
      </c>
      <c r="R11" s="143">
        <v>4.2999999999999997E-2</v>
      </c>
      <c r="S11" s="143">
        <v>5.000000000000001E-2</v>
      </c>
      <c r="T11" s="143">
        <v>2.0600000000000004E-2</v>
      </c>
      <c r="U11" s="143">
        <v>3.2899999999999992E-2</v>
      </c>
      <c r="V11" s="143">
        <v>7.7000000000000002E-3</v>
      </c>
      <c r="W11" s="143">
        <v>8.0000000000000019E-3</v>
      </c>
      <c r="X11" s="143">
        <v>3.4000000000000011E-3</v>
      </c>
      <c r="Y11" s="143">
        <v>7.6100000000000015E-2</v>
      </c>
      <c r="Z11" s="143">
        <v>2.0000000000000004E-4</v>
      </c>
      <c r="AA11" s="143">
        <v>1.1000000000000001E-3</v>
      </c>
      <c r="AB11" s="143">
        <v>0</v>
      </c>
      <c r="AC11" s="143">
        <v>0</v>
      </c>
      <c r="AD11" s="143">
        <v>0</v>
      </c>
      <c r="AE11" s="143">
        <v>6.2000000000000015E-3</v>
      </c>
      <c r="AF11" s="143">
        <v>4.0000000000000013E-4</v>
      </c>
      <c r="AG11" s="143">
        <v>0</v>
      </c>
      <c r="AH11" s="143">
        <v>0</v>
      </c>
      <c r="AI11" s="143">
        <v>5.0000000000000001E-4</v>
      </c>
      <c r="AJ11" s="143">
        <v>1.26E-2</v>
      </c>
      <c r="AK11" s="143">
        <v>0</v>
      </c>
      <c r="AL11" s="143">
        <v>0</v>
      </c>
      <c r="AM11" s="143">
        <v>0</v>
      </c>
      <c r="AN11" s="143">
        <v>0</v>
      </c>
      <c r="AO11" s="143">
        <v>0</v>
      </c>
      <c r="AP11" s="143">
        <v>0</v>
      </c>
    </row>
    <row r="12" spans="1:42" customFormat="1" x14ac:dyDescent="0.15">
      <c r="A12" s="147" t="s">
        <v>203</v>
      </c>
      <c r="B12" s="143">
        <v>0</v>
      </c>
      <c r="C12" s="143">
        <v>0</v>
      </c>
      <c r="D12" s="143">
        <v>0</v>
      </c>
      <c r="E12" s="143">
        <v>0</v>
      </c>
      <c r="F12" s="143">
        <v>0</v>
      </c>
      <c r="G12" s="143">
        <v>0</v>
      </c>
      <c r="H12" s="143">
        <v>0</v>
      </c>
      <c r="I12" s="143">
        <v>0</v>
      </c>
      <c r="J12" s="143">
        <v>0</v>
      </c>
      <c r="K12" s="143">
        <v>0</v>
      </c>
      <c r="L12" s="143">
        <v>1.0300000000000002E-2</v>
      </c>
      <c r="M12" s="143">
        <v>6.7999999999999996E-3</v>
      </c>
      <c r="N12" s="143">
        <v>5.0000000000000001E-4</v>
      </c>
      <c r="O12" s="143">
        <v>0</v>
      </c>
      <c r="P12" s="143">
        <v>0</v>
      </c>
      <c r="Q12" s="143">
        <v>0</v>
      </c>
      <c r="R12" s="143">
        <v>5.9999999999999995E-4</v>
      </c>
      <c r="S12" s="143">
        <v>2.2000000000000006E-3</v>
      </c>
      <c r="T12" s="143">
        <v>0</v>
      </c>
      <c r="U12" s="143">
        <v>0</v>
      </c>
      <c r="V12" s="143">
        <v>2.3999999999999998E-3</v>
      </c>
      <c r="W12" s="143">
        <v>1.4200000000000003E-2</v>
      </c>
      <c r="X12" s="143">
        <v>1.8000000000000006E-3</v>
      </c>
      <c r="Y12" s="143">
        <v>4.4000000000000004E-2</v>
      </c>
      <c r="Z12" s="143">
        <v>1.0000000000000002E-4</v>
      </c>
      <c r="AA12" s="143">
        <v>0</v>
      </c>
      <c r="AB12" s="143">
        <v>0</v>
      </c>
      <c r="AC12" s="143">
        <v>0</v>
      </c>
      <c r="AD12" s="143">
        <v>1E-3</v>
      </c>
      <c r="AE12" s="143">
        <v>3.4000000000000007E-3</v>
      </c>
      <c r="AF12" s="143">
        <v>0</v>
      </c>
      <c r="AG12" s="143">
        <v>0</v>
      </c>
      <c r="AH12" s="143">
        <v>0</v>
      </c>
      <c r="AI12" s="143">
        <v>3.0000000000000001E-3</v>
      </c>
      <c r="AJ12" s="143">
        <v>8.9999999999999998E-4</v>
      </c>
      <c r="AK12" s="143">
        <v>0</v>
      </c>
      <c r="AL12" s="143">
        <v>0.32600000000000001</v>
      </c>
      <c r="AM12" s="143">
        <v>0</v>
      </c>
      <c r="AN12" s="143">
        <v>0</v>
      </c>
      <c r="AO12" s="143">
        <v>0</v>
      </c>
      <c r="AP12" s="143">
        <v>0</v>
      </c>
    </row>
    <row r="13" spans="1:42" customFormat="1" x14ac:dyDescent="0.15">
      <c r="A13" s="147" t="s">
        <v>204</v>
      </c>
      <c r="B13" s="143">
        <v>0</v>
      </c>
      <c r="C13" s="143">
        <v>0</v>
      </c>
      <c r="D13" s="143">
        <v>0</v>
      </c>
      <c r="E13" s="143">
        <v>0</v>
      </c>
      <c r="F13" s="143">
        <v>0</v>
      </c>
      <c r="G13" s="143">
        <v>0</v>
      </c>
      <c r="H13" s="143">
        <v>0</v>
      </c>
      <c r="I13" s="143">
        <v>0</v>
      </c>
      <c r="J13" s="143">
        <v>0</v>
      </c>
      <c r="K13" s="143">
        <v>0</v>
      </c>
      <c r="L13" s="143">
        <v>2.3000000000000004E-3</v>
      </c>
      <c r="M13" s="143">
        <v>8.3999999999999995E-3</v>
      </c>
      <c r="N13" s="143">
        <v>0</v>
      </c>
      <c r="O13" s="143">
        <v>0</v>
      </c>
      <c r="P13" s="143">
        <v>0</v>
      </c>
      <c r="Q13" s="143">
        <v>0</v>
      </c>
      <c r="R13" s="143">
        <v>0</v>
      </c>
      <c r="S13" s="143">
        <v>1.1000000000000001E-2</v>
      </c>
      <c r="T13" s="143">
        <v>0</v>
      </c>
      <c r="U13" s="143">
        <v>0</v>
      </c>
      <c r="V13" s="143">
        <v>0</v>
      </c>
      <c r="W13" s="143">
        <v>3.6900000000000009E-2</v>
      </c>
      <c r="X13" s="143">
        <v>4.0000000000000013E-4</v>
      </c>
      <c r="Y13" s="143">
        <v>5.7000000000000011E-3</v>
      </c>
      <c r="Z13" s="143">
        <v>2.0000000000000004E-4</v>
      </c>
      <c r="AA13" s="143">
        <v>0</v>
      </c>
      <c r="AB13" s="143">
        <v>0</v>
      </c>
      <c r="AC13" s="143">
        <v>0</v>
      </c>
      <c r="AD13" s="143">
        <v>2.5999999999999999E-3</v>
      </c>
      <c r="AE13" s="143">
        <v>4.3000000000000009E-3</v>
      </c>
      <c r="AF13" s="143">
        <v>5.0000000000000012E-4</v>
      </c>
      <c r="AG13" s="143">
        <v>0</v>
      </c>
      <c r="AH13" s="143">
        <v>0</v>
      </c>
      <c r="AI13" s="143">
        <v>6.7000000000000002E-3</v>
      </c>
      <c r="AJ13" s="143">
        <v>0</v>
      </c>
      <c r="AK13" s="143">
        <v>0.10100000000000001</v>
      </c>
      <c r="AL13" s="143">
        <v>0.03</v>
      </c>
      <c r="AM13" s="143">
        <v>0</v>
      </c>
      <c r="AN13" s="143">
        <v>0</v>
      </c>
      <c r="AO13" s="143">
        <v>0</v>
      </c>
      <c r="AP13" s="143">
        <v>0</v>
      </c>
    </row>
    <row r="14" spans="1:42" customFormat="1" x14ac:dyDescent="0.15">
      <c r="A14" s="147" t="s">
        <v>205</v>
      </c>
      <c r="B14" s="143">
        <v>0</v>
      </c>
      <c r="C14" s="143">
        <v>0</v>
      </c>
      <c r="D14" s="143">
        <v>0</v>
      </c>
      <c r="E14" s="143">
        <v>0</v>
      </c>
      <c r="F14" s="143">
        <v>0</v>
      </c>
      <c r="G14" s="143">
        <v>0</v>
      </c>
      <c r="H14" s="143">
        <v>0</v>
      </c>
      <c r="I14" s="143">
        <v>0</v>
      </c>
      <c r="J14" s="143">
        <v>0</v>
      </c>
      <c r="K14" s="143">
        <v>0</v>
      </c>
      <c r="L14" s="143">
        <v>1.0000000000000002E-3</v>
      </c>
      <c r="M14" s="143">
        <v>4.53E-2</v>
      </c>
      <c r="N14" s="143">
        <v>1.1599999999999999E-2</v>
      </c>
      <c r="O14" s="143">
        <v>0</v>
      </c>
      <c r="P14" s="143">
        <v>0</v>
      </c>
      <c r="Q14" s="143">
        <v>1.4E-3</v>
      </c>
      <c r="R14" s="143">
        <v>2.0999999999999999E-3</v>
      </c>
      <c r="S14" s="143">
        <v>3.0000000000000005E-3</v>
      </c>
      <c r="T14" s="143">
        <v>0</v>
      </c>
      <c r="U14" s="143">
        <v>5.3799999999999987E-2</v>
      </c>
      <c r="V14" s="143">
        <v>6.08E-2</v>
      </c>
      <c r="W14" s="143">
        <v>7.9000000000000025E-3</v>
      </c>
      <c r="X14" s="143">
        <v>1.1000000000000003E-2</v>
      </c>
      <c r="Y14" s="143">
        <v>0.24560000000000004</v>
      </c>
      <c r="Z14" s="143">
        <v>0</v>
      </c>
      <c r="AA14" s="143">
        <v>8.8000000000000005E-3</v>
      </c>
      <c r="AB14" s="143">
        <v>0</v>
      </c>
      <c r="AC14" s="143">
        <v>6.5299999999999997E-2</v>
      </c>
      <c r="AD14" s="143">
        <v>2.4299999999999999E-2</v>
      </c>
      <c r="AE14" s="143">
        <v>0</v>
      </c>
      <c r="AF14" s="143">
        <v>0</v>
      </c>
      <c r="AG14" s="143">
        <v>0</v>
      </c>
      <c r="AH14" s="143">
        <v>0</v>
      </c>
      <c r="AI14" s="143">
        <v>1.38E-2</v>
      </c>
      <c r="AJ14" s="143">
        <v>2.0000000000000001E-4</v>
      </c>
      <c r="AK14" s="143">
        <v>3.8899999999999997E-2</v>
      </c>
      <c r="AL14" s="143">
        <v>1.4500000000000001E-2</v>
      </c>
      <c r="AM14" s="143">
        <v>0</v>
      </c>
      <c r="AN14" s="143">
        <v>0</v>
      </c>
      <c r="AO14" s="143">
        <v>0</v>
      </c>
      <c r="AP14" s="143">
        <v>0</v>
      </c>
    </row>
    <row r="15" spans="1:42" customFormat="1" x14ac:dyDescent="0.15">
      <c r="A15" s="147" t="s">
        <v>206</v>
      </c>
      <c r="B15" s="143">
        <v>0</v>
      </c>
      <c r="C15" s="143">
        <v>0</v>
      </c>
      <c r="D15" s="143">
        <v>0</v>
      </c>
      <c r="E15" s="143">
        <v>0</v>
      </c>
      <c r="F15" s="143">
        <v>0</v>
      </c>
      <c r="G15" s="143">
        <v>0</v>
      </c>
      <c r="H15" s="143">
        <v>0</v>
      </c>
      <c r="I15" s="143">
        <v>0</v>
      </c>
      <c r="J15" s="143">
        <v>0</v>
      </c>
      <c r="K15" s="143">
        <v>0</v>
      </c>
      <c r="L15" s="143">
        <v>2.0000000000000006E-4</v>
      </c>
      <c r="M15" s="143">
        <v>1.29E-2</v>
      </c>
      <c r="N15" s="143">
        <v>1.4E-3</v>
      </c>
      <c r="O15" s="143">
        <v>0</v>
      </c>
      <c r="P15" s="143">
        <v>0</v>
      </c>
      <c r="Q15" s="143">
        <v>2.9999999999999997E-4</v>
      </c>
      <c r="R15" s="143">
        <v>0</v>
      </c>
      <c r="S15" s="143">
        <v>3.1900000000000005E-2</v>
      </c>
      <c r="T15" s="143">
        <v>0</v>
      </c>
      <c r="U15" s="143">
        <v>1.2799999999999997E-2</v>
      </c>
      <c r="V15" s="143">
        <v>1.66E-2</v>
      </c>
      <c r="W15" s="143">
        <v>2.4000000000000004E-2</v>
      </c>
      <c r="X15" s="143">
        <v>1.2000000000000003E-3</v>
      </c>
      <c r="Y15" s="143">
        <v>7.2000000000000008E-2</v>
      </c>
      <c r="Z15" s="143">
        <v>0</v>
      </c>
      <c r="AA15" s="143">
        <v>1E-3</v>
      </c>
      <c r="AB15" s="143">
        <v>0</v>
      </c>
      <c r="AC15" s="143">
        <v>1.55E-2</v>
      </c>
      <c r="AD15" s="143">
        <v>6.1000000000000004E-3</v>
      </c>
      <c r="AE15" s="143">
        <v>1.3000000000000002E-3</v>
      </c>
      <c r="AF15" s="143">
        <v>0</v>
      </c>
      <c r="AG15" s="143">
        <v>0</v>
      </c>
      <c r="AH15" s="143">
        <v>0</v>
      </c>
      <c r="AI15" s="143">
        <v>5.1000000000000004E-3</v>
      </c>
      <c r="AJ15" s="143">
        <v>0</v>
      </c>
      <c r="AK15" s="143">
        <v>7.7999999999999996E-3</v>
      </c>
      <c r="AL15" s="143">
        <v>4.4000000000000003E-3</v>
      </c>
      <c r="AM15" s="143">
        <v>0</v>
      </c>
      <c r="AN15" s="143">
        <v>0</v>
      </c>
      <c r="AO15" s="143">
        <v>0</v>
      </c>
      <c r="AP15" s="143">
        <v>0</v>
      </c>
    </row>
    <row r="16" spans="1:42" customFormat="1" x14ac:dyDescent="0.15">
      <c r="A16" s="147" t="s">
        <v>207</v>
      </c>
      <c r="B16" s="143">
        <v>0</v>
      </c>
      <c r="C16" s="143">
        <v>0</v>
      </c>
      <c r="D16" s="143">
        <v>0</v>
      </c>
      <c r="E16" s="143">
        <v>0</v>
      </c>
      <c r="F16" s="143">
        <v>0</v>
      </c>
      <c r="G16" s="143">
        <v>0</v>
      </c>
      <c r="H16" s="143">
        <v>0</v>
      </c>
      <c r="I16" s="143">
        <v>0</v>
      </c>
      <c r="J16" s="143">
        <v>0</v>
      </c>
      <c r="K16" s="143">
        <v>0</v>
      </c>
      <c r="L16" s="143">
        <v>2.0000000000000006E-4</v>
      </c>
      <c r="M16" s="143">
        <v>1.01E-2</v>
      </c>
      <c r="N16" s="143">
        <v>1.2999999999999999E-3</v>
      </c>
      <c r="O16" s="143">
        <v>0</v>
      </c>
      <c r="P16" s="143">
        <v>0</v>
      </c>
      <c r="Q16" s="143">
        <v>2.9999999999999997E-4</v>
      </c>
      <c r="R16" s="143">
        <v>0</v>
      </c>
      <c r="S16" s="143">
        <v>3.0200000000000005E-2</v>
      </c>
      <c r="T16" s="143">
        <v>0</v>
      </c>
      <c r="U16" s="143">
        <v>1.2099999999999996E-2</v>
      </c>
      <c r="V16" s="143">
        <v>1.6500000000000001E-2</v>
      </c>
      <c r="W16" s="143">
        <v>4.3000000000000003E-2</v>
      </c>
      <c r="X16" s="143">
        <v>1.1000000000000005E-3</v>
      </c>
      <c r="Y16" s="143">
        <v>6.7800000000000013E-2</v>
      </c>
      <c r="Z16" s="143">
        <v>0</v>
      </c>
      <c r="AA16" s="143">
        <v>1E-3</v>
      </c>
      <c r="AB16" s="143">
        <v>0</v>
      </c>
      <c r="AC16" s="143">
        <v>1.47E-2</v>
      </c>
      <c r="AD16" s="143">
        <v>5.7000000000000002E-3</v>
      </c>
      <c r="AE16" s="143">
        <v>1.2000000000000001E-3</v>
      </c>
      <c r="AF16" s="143">
        <v>0</v>
      </c>
      <c r="AG16" s="143">
        <v>0</v>
      </c>
      <c r="AH16" s="143">
        <v>0</v>
      </c>
      <c r="AI16" s="143">
        <v>4.7999999999999996E-3</v>
      </c>
      <c r="AJ16" s="143">
        <v>0</v>
      </c>
      <c r="AK16" s="143">
        <v>7.4000000000000003E-3</v>
      </c>
      <c r="AL16" s="143">
        <v>4.1000000000000003E-3</v>
      </c>
      <c r="AM16" s="143">
        <v>0</v>
      </c>
      <c r="AN16" s="143">
        <v>0</v>
      </c>
      <c r="AO16" s="143">
        <v>0</v>
      </c>
      <c r="AP16" s="143">
        <v>0</v>
      </c>
    </row>
    <row r="17" spans="1:42" customFormat="1" x14ac:dyDescent="0.15">
      <c r="A17" s="147" t="s">
        <v>208</v>
      </c>
      <c r="B17" s="143">
        <v>0</v>
      </c>
      <c r="C17" s="143">
        <v>0</v>
      </c>
      <c r="D17" s="143">
        <v>0</v>
      </c>
      <c r="E17" s="143">
        <v>0</v>
      </c>
      <c r="F17" s="143">
        <v>0</v>
      </c>
      <c r="G17" s="143">
        <v>0</v>
      </c>
      <c r="H17" s="143">
        <v>0</v>
      </c>
      <c r="I17" s="143">
        <v>0</v>
      </c>
      <c r="J17" s="143">
        <v>0</v>
      </c>
      <c r="K17" s="143">
        <v>0</v>
      </c>
      <c r="L17" s="143">
        <v>3.3000000000000008E-3</v>
      </c>
      <c r="M17" s="143">
        <v>2.2000000000000001E-3</v>
      </c>
      <c r="N17" s="143">
        <v>5.9999999999999995E-4</v>
      </c>
      <c r="O17" s="143">
        <v>0</v>
      </c>
      <c r="P17" s="143">
        <v>0</v>
      </c>
      <c r="Q17" s="143">
        <v>1E-4</v>
      </c>
      <c r="R17" s="143">
        <v>1E-4</v>
      </c>
      <c r="S17" s="143">
        <v>7.1000000000000013E-3</v>
      </c>
      <c r="T17" s="143">
        <v>0</v>
      </c>
      <c r="U17" s="143">
        <v>2.6999999999999997E-3</v>
      </c>
      <c r="V17" s="143">
        <v>8.9999999999999998E-4</v>
      </c>
      <c r="W17" s="143">
        <v>6.0000000000000006E-4</v>
      </c>
      <c r="X17" s="143">
        <v>4.0000000000000013E-4</v>
      </c>
      <c r="Y17" s="143">
        <v>1.8600000000000002E-2</v>
      </c>
      <c r="Z17" s="143">
        <v>0</v>
      </c>
      <c r="AA17" s="143">
        <v>2.0000000000000001E-4</v>
      </c>
      <c r="AB17" s="143">
        <v>0</v>
      </c>
      <c r="AC17" s="143">
        <v>0</v>
      </c>
      <c r="AD17" s="143">
        <v>0</v>
      </c>
      <c r="AE17" s="143">
        <v>0</v>
      </c>
      <c r="AF17" s="143">
        <v>0</v>
      </c>
      <c r="AG17" s="143">
        <v>0</v>
      </c>
      <c r="AH17" s="143">
        <v>0</v>
      </c>
      <c r="AI17" s="143">
        <v>8.0000000000000004E-4</v>
      </c>
      <c r="AJ17" s="143">
        <v>0</v>
      </c>
      <c r="AK17" s="143">
        <v>5.5999999999999999E-3</v>
      </c>
      <c r="AL17" s="143">
        <v>2.8999999999999998E-3</v>
      </c>
      <c r="AM17" s="143">
        <v>3.5000000000000001E-3</v>
      </c>
      <c r="AN17" s="143">
        <v>0</v>
      </c>
      <c r="AO17" s="143">
        <v>0</v>
      </c>
      <c r="AP17" s="143">
        <v>0</v>
      </c>
    </row>
    <row r="18" spans="1:42" customFormat="1" x14ac:dyDescent="0.15">
      <c r="A18" s="147" t="s">
        <v>209</v>
      </c>
      <c r="B18" s="143">
        <v>0</v>
      </c>
      <c r="C18" s="143">
        <v>0</v>
      </c>
      <c r="D18" s="143">
        <v>0</v>
      </c>
      <c r="E18" s="143">
        <v>0</v>
      </c>
      <c r="F18" s="143">
        <v>0</v>
      </c>
      <c r="G18" s="143">
        <v>0</v>
      </c>
      <c r="H18" s="143">
        <v>0</v>
      </c>
      <c r="I18" s="143">
        <v>0</v>
      </c>
      <c r="J18" s="143">
        <v>0</v>
      </c>
      <c r="K18" s="143">
        <v>0</v>
      </c>
      <c r="L18" s="143">
        <v>0.12940000000000002</v>
      </c>
      <c r="M18" s="143">
        <v>0.10299999999999999</v>
      </c>
      <c r="N18" s="143">
        <v>5.5999999999999999E-3</v>
      </c>
      <c r="O18" s="143">
        <v>0</v>
      </c>
      <c r="P18" s="143">
        <v>0</v>
      </c>
      <c r="Q18" s="143">
        <v>0</v>
      </c>
      <c r="R18" s="143">
        <v>3.3999999999999998E-3</v>
      </c>
      <c r="S18" s="143">
        <v>0.37820000000000004</v>
      </c>
      <c r="T18" s="143">
        <v>5.290000000000001E-2</v>
      </c>
      <c r="U18" s="143">
        <v>4.2199999999999994E-2</v>
      </c>
      <c r="V18" s="143">
        <v>2.6599999999999999E-2</v>
      </c>
      <c r="W18" s="143">
        <v>5.3500000000000006E-2</v>
      </c>
      <c r="X18" s="143">
        <v>5.0000000000000018E-3</v>
      </c>
      <c r="Y18" s="143">
        <v>0</v>
      </c>
      <c r="Z18" s="143">
        <v>0</v>
      </c>
      <c r="AA18" s="143">
        <v>0</v>
      </c>
      <c r="AB18" s="143">
        <v>0</v>
      </c>
      <c r="AC18" s="143">
        <v>3.6700000000000003E-2</v>
      </c>
      <c r="AD18" s="143">
        <v>1.17E-2</v>
      </c>
      <c r="AE18" s="143">
        <v>4.1000000000000012E-3</v>
      </c>
      <c r="AF18" s="143">
        <v>0</v>
      </c>
      <c r="AG18" s="143">
        <v>0</v>
      </c>
      <c r="AH18" s="143">
        <v>1E-4</v>
      </c>
      <c r="AI18" s="143">
        <v>3.0999999999999999E-3</v>
      </c>
      <c r="AJ18" s="143">
        <v>0</v>
      </c>
      <c r="AK18" s="143">
        <v>0</v>
      </c>
      <c r="AL18" s="143">
        <v>1.32E-2</v>
      </c>
      <c r="AM18" s="143">
        <v>4.0399999999999998E-2</v>
      </c>
      <c r="AN18" s="143">
        <v>0</v>
      </c>
      <c r="AO18" s="143">
        <v>0</v>
      </c>
      <c r="AP18" s="143">
        <v>0</v>
      </c>
    </row>
    <row r="19" spans="1:42" customFormat="1" x14ac:dyDescent="0.15">
      <c r="A19" s="147" t="s">
        <v>210</v>
      </c>
      <c r="B19" s="143">
        <v>0</v>
      </c>
      <c r="C19" s="143">
        <v>0</v>
      </c>
      <c r="D19" s="143">
        <v>0</v>
      </c>
      <c r="E19" s="143">
        <v>0</v>
      </c>
      <c r="F19" s="143">
        <v>0</v>
      </c>
      <c r="G19" s="143">
        <v>0</v>
      </c>
      <c r="H19" s="143">
        <v>0</v>
      </c>
      <c r="I19" s="143">
        <v>0</v>
      </c>
      <c r="J19" s="143">
        <v>0</v>
      </c>
      <c r="K19" s="143">
        <v>0</v>
      </c>
      <c r="L19" s="143">
        <v>0</v>
      </c>
      <c r="M19" s="143">
        <v>0</v>
      </c>
      <c r="N19" s="143">
        <v>0</v>
      </c>
      <c r="O19" s="143">
        <v>0</v>
      </c>
      <c r="P19" s="143">
        <v>0</v>
      </c>
      <c r="Q19" s="143">
        <v>0</v>
      </c>
      <c r="R19" s="143">
        <v>0</v>
      </c>
      <c r="S19" s="143">
        <v>0</v>
      </c>
      <c r="T19" s="143">
        <v>0</v>
      </c>
      <c r="U19" s="143">
        <v>0</v>
      </c>
      <c r="V19" s="143">
        <v>1E-3</v>
      </c>
      <c r="W19" s="143">
        <v>1.0000000000000002E-3</v>
      </c>
      <c r="X19" s="143">
        <v>0</v>
      </c>
      <c r="Y19" s="143">
        <v>0</v>
      </c>
      <c r="Z19" s="143">
        <v>0</v>
      </c>
      <c r="AA19" s="143">
        <v>0</v>
      </c>
      <c r="AB19" s="143">
        <v>0</v>
      </c>
      <c r="AC19" s="143">
        <v>1E-3</v>
      </c>
      <c r="AD19" s="143">
        <v>0</v>
      </c>
      <c r="AE19" s="143">
        <v>0</v>
      </c>
      <c r="AF19" s="143">
        <v>0</v>
      </c>
      <c r="AG19" s="143">
        <v>0</v>
      </c>
      <c r="AH19" s="143">
        <v>0</v>
      </c>
      <c r="AI19" s="143">
        <v>0</v>
      </c>
      <c r="AJ19" s="143">
        <v>0</v>
      </c>
      <c r="AK19" s="143">
        <v>0</v>
      </c>
      <c r="AL19" s="143">
        <v>0</v>
      </c>
      <c r="AM19" s="143">
        <v>0</v>
      </c>
      <c r="AN19" s="143">
        <v>0</v>
      </c>
      <c r="AO19" s="143">
        <v>0</v>
      </c>
      <c r="AP19" s="143">
        <v>0</v>
      </c>
    </row>
    <row r="20" spans="1:42" customFormat="1" x14ac:dyDescent="0.15">
      <c r="A20" s="147" t="s">
        <v>211</v>
      </c>
      <c r="B20" s="143">
        <v>0</v>
      </c>
      <c r="C20" s="143">
        <v>0</v>
      </c>
      <c r="D20" s="143">
        <v>0</v>
      </c>
      <c r="E20" s="143">
        <v>0</v>
      </c>
      <c r="F20" s="143">
        <v>0</v>
      </c>
      <c r="G20" s="143">
        <v>0</v>
      </c>
      <c r="H20" s="143">
        <v>0</v>
      </c>
      <c r="I20" s="143">
        <v>0</v>
      </c>
      <c r="J20" s="143">
        <v>0</v>
      </c>
      <c r="K20" s="143">
        <v>0</v>
      </c>
      <c r="L20" s="143">
        <v>6.0000000000000019E-3</v>
      </c>
      <c r="M20" s="143">
        <v>6.7000000000000002E-3</v>
      </c>
      <c r="N20" s="143">
        <v>0</v>
      </c>
      <c r="O20" s="143">
        <v>0</v>
      </c>
      <c r="P20" s="143">
        <v>0</v>
      </c>
      <c r="Q20" s="143">
        <v>1.4E-3</v>
      </c>
      <c r="R20" s="143">
        <v>5.0000000000000001E-4</v>
      </c>
      <c r="S20" s="143">
        <v>3.1300000000000008E-2</v>
      </c>
      <c r="T20" s="143">
        <v>3.8000000000000004E-3</v>
      </c>
      <c r="U20" s="143">
        <v>2.9999999999999992E-3</v>
      </c>
      <c r="V20" s="143">
        <v>1.77E-2</v>
      </c>
      <c r="W20" s="143">
        <v>3.5000000000000005E-3</v>
      </c>
      <c r="X20" s="143">
        <v>0</v>
      </c>
      <c r="Y20" s="143">
        <v>0</v>
      </c>
      <c r="Z20" s="143">
        <v>0</v>
      </c>
      <c r="AA20" s="143">
        <v>0</v>
      </c>
      <c r="AB20" s="143">
        <v>0</v>
      </c>
      <c r="AC20" s="143">
        <v>1.3299999999999999E-2</v>
      </c>
      <c r="AD20" s="143">
        <v>0</v>
      </c>
      <c r="AE20" s="143">
        <v>6.0000000000000019E-3</v>
      </c>
      <c r="AF20" s="143">
        <v>0</v>
      </c>
      <c r="AG20" s="143">
        <v>0</v>
      </c>
      <c r="AH20" s="143">
        <v>0</v>
      </c>
      <c r="AI20" s="143">
        <v>2.9999999999999997E-4</v>
      </c>
      <c r="AJ20" s="143">
        <v>0</v>
      </c>
      <c r="AK20" s="143">
        <v>0</v>
      </c>
      <c r="AL20" s="143">
        <v>8.9999999999999998E-4</v>
      </c>
      <c r="AM20" s="143">
        <v>2.8999999999999998E-3</v>
      </c>
      <c r="AN20" s="143">
        <v>0</v>
      </c>
      <c r="AO20" s="143">
        <v>0</v>
      </c>
      <c r="AP20" s="143">
        <v>0</v>
      </c>
    </row>
    <row r="21" spans="1:42" customFormat="1" x14ac:dyDescent="0.15">
      <c r="A21" s="147" t="s">
        <v>212</v>
      </c>
      <c r="B21" s="143">
        <v>0</v>
      </c>
      <c r="C21" s="143">
        <v>0</v>
      </c>
      <c r="D21" s="143">
        <v>0</v>
      </c>
      <c r="E21" s="143">
        <v>0</v>
      </c>
      <c r="F21" s="143">
        <v>0</v>
      </c>
      <c r="G21" s="143">
        <v>0</v>
      </c>
      <c r="H21" s="143">
        <v>0</v>
      </c>
      <c r="I21" s="143">
        <v>0</v>
      </c>
      <c r="J21" s="143">
        <v>0</v>
      </c>
      <c r="K21" s="143">
        <v>0</v>
      </c>
      <c r="L21" s="143">
        <v>5.2000000000000006E-3</v>
      </c>
      <c r="M21" s="143">
        <v>6.4000000000000003E-3</v>
      </c>
      <c r="N21" s="143">
        <v>8.9999999999999998E-4</v>
      </c>
      <c r="O21" s="143">
        <v>0</v>
      </c>
      <c r="P21" s="143">
        <v>0</v>
      </c>
      <c r="Q21" s="143">
        <v>0</v>
      </c>
      <c r="R21" s="143">
        <v>2.0000000000000001E-4</v>
      </c>
      <c r="S21" s="143">
        <v>4.540000000000001E-2</v>
      </c>
      <c r="T21" s="143">
        <v>3.3000000000000004E-3</v>
      </c>
      <c r="U21" s="143">
        <v>2.5999999999999994E-3</v>
      </c>
      <c r="V21" s="143">
        <v>5.1000000000000004E-3</v>
      </c>
      <c r="W21" s="143">
        <v>2.9000000000000002E-3</v>
      </c>
      <c r="X21" s="143">
        <v>6.0000000000000016E-4</v>
      </c>
      <c r="Y21" s="143">
        <v>0</v>
      </c>
      <c r="Z21" s="143">
        <v>0</v>
      </c>
      <c r="AA21" s="143">
        <v>0</v>
      </c>
      <c r="AB21" s="143">
        <v>0</v>
      </c>
      <c r="AC21" s="143">
        <v>1.14E-2</v>
      </c>
      <c r="AD21" s="143">
        <v>0</v>
      </c>
      <c r="AE21" s="143">
        <v>5.1000000000000012E-3</v>
      </c>
      <c r="AF21" s="143">
        <v>0</v>
      </c>
      <c r="AG21" s="143">
        <v>0</v>
      </c>
      <c r="AH21" s="143">
        <v>0</v>
      </c>
      <c r="AI21" s="143">
        <v>2.9999999999999997E-4</v>
      </c>
      <c r="AJ21" s="143">
        <v>0</v>
      </c>
      <c r="AK21" s="143">
        <v>0</v>
      </c>
      <c r="AL21" s="143">
        <v>8.0000000000000004E-4</v>
      </c>
      <c r="AM21" s="143">
        <v>2.5000000000000001E-3</v>
      </c>
      <c r="AN21" s="143">
        <v>0</v>
      </c>
      <c r="AO21" s="143">
        <v>0</v>
      </c>
      <c r="AP21" s="143">
        <v>0</v>
      </c>
    </row>
    <row r="22" spans="1:42" customFormat="1" x14ac:dyDescent="0.15">
      <c r="A22" s="147" t="s">
        <v>213</v>
      </c>
      <c r="B22" s="143">
        <v>0</v>
      </c>
      <c r="C22" s="143">
        <v>0</v>
      </c>
      <c r="D22" s="143">
        <v>0</v>
      </c>
      <c r="E22" s="143">
        <v>0</v>
      </c>
      <c r="F22" s="143">
        <v>0</v>
      </c>
      <c r="G22" s="143">
        <v>0</v>
      </c>
      <c r="H22" s="143">
        <v>0</v>
      </c>
      <c r="I22" s="143">
        <v>0</v>
      </c>
      <c r="J22" s="143">
        <v>0</v>
      </c>
      <c r="K22" s="143">
        <v>0</v>
      </c>
      <c r="L22" s="143">
        <v>0</v>
      </c>
      <c r="M22" s="143">
        <v>0</v>
      </c>
      <c r="N22" s="143">
        <v>1.1000000000000001E-3</v>
      </c>
      <c r="O22" s="143">
        <v>0</v>
      </c>
      <c r="P22" s="143">
        <v>0</v>
      </c>
      <c r="Q22" s="143">
        <v>0</v>
      </c>
      <c r="R22" s="143">
        <v>0</v>
      </c>
      <c r="S22" s="143">
        <v>0</v>
      </c>
      <c r="T22" s="143">
        <v>0</v>
      </c>
      <c r="U22" s="143">
        <v>1.6699999999999996E-2</v>
      </c>
      <c r="V22" s="143">
        <v>1E-3</v>
      </c>
      <c r="W22" s="143">
        <v>6.000000000000001E-3</v>
      </c>
      <c r="X22" s="143">
        <v>1.0000000000000003E-4</v>
      </c>
      <c r="Y22" s="143">
        <v>0</v>
      </c>
      <c r="Z22" s="143">
        <v>0</v>
      </c>
      <c r="AA22" s="143">
        <v>0</v>
      </c>
      <c r="AB22" s="143">
        <v>0</v>
      </c>
      <c r="AC22" s="143">
        <v>0</v>
      </c>
      <c r="AD22" s="143">
        <v>0</v>
      </c>
      <c r="AE22" s="143">
        <v>0</v>
      </c>
      <c r="AF22" s="143">
        <v>0</v>
      </c>
      <c r="AG22" s="143">
        <v>0</v>
      </c>
      <c r="AH22" s="143">
        <v>0</v>
      </c>
      <c r="AI22" s="143">
        <v>0</v>
      </c>
      <c r="AJ22" s="143">
        <v>0</v>
      </c>
      <c r="AK22" s="143">
        <v>0</v>
      </c>
      <c r="AL22" s="143">
        <v>8.3000000000000004E-2</v>
      </c>
      <c r="AM22" s="143">
        <v>0</v>
      </c>
      <c r="AN22" s="143">
        <v>0</v>
      </c>
      <c r="AO22" s="143">
        <v>0</v>
      </c>
      <c r="AP22" s="143">
        <v>0</v>
      </c>
    </row>
    <row r="23" spans="1:42" customFormat="1" x14ac:dyDescent="0.15">
      <c r="A23" s="147" t="s">
        <v>214</v>
      </c>
      <c r="B23" s="143">
        <v>0</v>
      </c>
      <c r="C23" s="143">
        <v>0</v>
      </c>
      <c r="D23" s="143">
        <v>0</v>
      </c>
      <c r="E23" s="143">
        <v>0</v>
      </c>
      <c r="F23" s="143">
        <v>0</v>
      </c>
      <c r="G23" s="143">
        <v>0</v>
      </c>
      <c r="H23" s="143">
        <v>0</v>
      </c>
      <c r="I23" s="143">
        <v>0</v>
      </c>
      <c r="J23" s="143">
        <v>0</v>
      </c>
      <c r="K23" s="143">
        <v>0</v>
      </c>
      <c r="L23" s="143">
        <v>0</v>
      </c>
      <c r="M23" s="143">
        <v>0</v>
      </c>
      <c r="N23" s="143">
        <v>1E-4</v>
      </c>
      <c r="O23" s="143">
        <v>0</v>
      </c>
      <c r="P23" s="143">
        <v>0</v>
      </c>
      <c r="Q23" s="143">
        <v>0</v>
      </c>
      <c r="R23" s="143">
        <v>0</v>
      </c>
      <c r="S23" s="143">
        <v>0</v>
      </c>
      <c r="T23" s="143">
        <v>0</v>
      </c>
      <c r="U23" s="143">
        <v>0</v>
      </c>
      <c r="V23" s="143">
        <v>6.2E-2</v>
      </c>
      <c r="W23" s="143">
        <v>0</v>
      </c>
      <c r="X23" s="143">
        <v>0</v>
      </c>
      <c r="Y23" s="143">
        <v>0</v>
      </c>
      <c r="Z23" s="143">
        <v>0</v>
      </c>
      <c r="AA23" s="143">
        <v>0</v>
      </c>
      <c r="AB23" s="143">
        <v>0</v>
      </c>
      <c r="AC23" s="143">
        <v>0</v>
      </c>
      <c r="AD23" s="143">
        <v>0</v>
      </c>
      <c r="AE23" s="143">
        <v>0</v>
      </c>
      <c r="AF23" s="143">
        <v>0</v>
      </c>
      <c r="AG23" s="143">
        <v>0</v>
      </c>
      <c r="AH23" s="143">
        <v>0</v>
      </c>
      <c r="AI23" s="143">
        <v>0</v>
      </c>
      <c r="AJ23" s="143">
        <v>0</v>
      </c>
      <c r="AK23" s="143">
        <v>0</v>
      </c>
      <c r="AL23" s="143">
        <v>6.0000000000000001E-3</v>
      </c>
      <c r="AM23" s="143">
        <v>0</v>
      </c>
      <c r="AN23" s="143">
        <v>0</v>
      </c>
      <c r="AO23" s="143">
        <v>0</v>
      </c>
      <c r="AP23" s="143">
        <v>0</v>
      </c>
    </row>
    <row r="24" spans="1:42" customFormat="1" x14ac:dyDescent="0.15">
      <c r="A24" s="147" t="s">
        <v>215</v>
      </c>
      <c r="B24" s="143">
        <v>0</v>
      </c>
      <c r="C24" s="143">
        <v>0</v>
      </c>
      <c r="D24" s="143">
        <v>0</v>
      </c>
      <c r="E24" s="143">
        <v>0</v>
      </c>
      <c r="F24" s="143">
        <v>0</v>
      </c>
      <c r="G24" s="143">
        <v>0</v>
      </c>
      <c r="H24" s="143">
        <v>0</v>
      </c>
      <c r="I24" s="143">
        <v>0</v>
      </c>
      <c r="J24" s="143">
        <v>0</v>
      </c>
      <c r="K24" s="143">
        <v>0</v>
      </c>
      <c r="L24" s="143">
        <v>0</v>
      </c>
      <c r="M24" s="143">
        <v>0</v>
      </c>
      <c r="N24" s="143">
        <v>0</v>
      </c>
      <c r="O24" s="143">
        <v>0</v>
      </c>
      <c r="P24" s="143">
        <v>0</v>
      </c>
      <c r="Q24" s="143">
        <v>0</v>
      </c>
      <c r="R24" s="143">
        <v>0</v>
      </c>
      <c r="S24" s="143">
        <v>0</v>
      </c>
      <c r="T24" s="143">
        <v>0</v>
      </c>
      <c r="U24" s="143">
        <v>0</v>
      </c>
      <c r="V24" s="143">
        <v>0</v>
      </c>
      <c r="W24" s="143">
        <v>0</v>
      </c>
      <c r="X24" s="143">
        <v>0</v>
      </c>
      <c r="Y24" s="143">
        <v>7.8600000000000017E-2</v>
      </c>
      <c r="Z24" s="143">
        <v>0</v>
      </c>
      <c r="AA24" s="143">
        <v>0</v>
      </c>
      <c r="AB24" s="143">
        <v>0</v>
      </c>
      <c r="AC24" s="143">
        <v>0</v>
      </c>
      <c r="AD24" s="143">
        <v>0</v>
      </c>
      <c r="AE24" s="143">
        <v>0</v>
      </c>
      <c r="AF24" s="143">
        <v>0</v>
      </c>
      <c r="AG24" s="143">
        <v>0</v>
      </c>
      <c r="AH24" s="143">
        <v>0</v>
      </c>
      <c r="AI24" s="143">
        <v>0</v>
      </c>
      <c r="AJ24" s="143">
        <v>0</v>
      </c>
      <c r="AK24" s="143">
        <v>1.11E-2</v>
      </c>
      <c r="AL24" s="143">
        <v>0.32419999999999999</v>
      </c>
      <c r="AM24" s="143">
        <v>0</v>
      </c>
      <c r="AN24" s="143">
        <v>0</v>
      </c>
      <c r="AO24" s="143">
        <v>0</v>
      </c>
      <c r="AP24" s="143">
        <v>0</v>
      </c>
    </row>
    <row r="25" spans="1:42" customFormat="1" x14ac:dyDescent="0.15">
      <c r="A25" s="147" t="s">
        <v>216</v>
      </c>
      <c r="B25" s="143">
        <v>0</v>
      </c>
      <c r="C25" s="143">
        <v>0</v>
      </c>
      <c r="D25" s="143">
        <v>0</v>
      </c>
      <c r="E25" s="143">
        <v>0</v>
      </c>
      <c r="F25" s="143">
        <v>0</v>
      </c>
      <c r="G25" s="143">
        <v>0</v>
      </c>
      <c r="H25" s="143">
        <v>0</v>
      </c>
      <c r="I25" s="143">
        <v>0</v>
      </c>
      <c r="J25" s="143">
        <v>0</v>
      </c>
      <c r="K25" s="143">
        <v>0</v>
      </c>
      <c r="L25" s="143">
        <v>0</v>
      </c>
      <c r="M25" s="143">
        <v>0</v>
      </c>
      <c r="N25" s="143">
        <v>0</v>
      </c>
      <c r="O25" s="143">
        <v>0</v>
      </c>
      <c r="P25" s="143">
        <v>0</v>
      </c>
      <c r="Q25" s="143">
        <v>0</v>
      </c>
      <c r="R25" s="143">
        <v>0</v>
      </c>
      <c r="S25" s="143">
        <v>0</v>
      </c>
      <c r="T25" s="143">
        <v>0</v>
      </c>
      <c r="U25" s="143">
        <v>0</v>
      </c>
      <c r="V25" s="143">
        <v>0</v>
      </c>
      <c r="W25" s="143">
        <v>0</v>
      </c>
      <c r="X25" s="143">
        <v>0</v>
      </c>
      <c r="Y25" s="143">
        <v>3.0000000000000003E-4</v>
      </c>
      <c r="Z25" s="143">
        <v>0</v>
      </c>
      <c r="AA25" s="143">
        <v>0</v>
      </c>
      <c r="AB25" s="143">
        <v>0</v>
      </c>
      <c r="AC25" s="143">
        <v>0</v>
      </c>
      <c r="AD25" s="143">
        <v>0</v>
      </c>
      <c r="AE25" s="143">
        <v>0</v>
      </c>
      <c r="AF25" s="143">
        <v>0</v>
      </c>
      <c r="AG25" s="143">
        <v>0</v>
      </c>
      <c r="AH25" s="143">
        <v>0</v>
      </c>
      <c r="AI25" s="143">
        <v>0</v>
      </c>
      <c r="AJ25" s="143">
        <v>0</v>
      </c>
      <c r="AK25" s="143">
        <v>0</v>
      </c>
      <c r="AL25" s="143">
        <v>2E-3</v>
      </c>
      <c r="AM25" s="143">
        <v>0</v>
      </c>
      <c r="AN25" s="143">
        <v>0</v>
      </c>
      <c r="AO25" s="143">
        <v>0</v>
      </c>
      <c r="AP25" s="143">
        <v>0</v>
      </c>
    </row>
    <row r="26" spans="1:42" customFormat="1" x14ac:dyDescent="0.15">
      <c r="A26" s="147" t="s">
        <v>217</v>
      </c>
      <c r="B26" s="143">
        <v>0</v>
      </c>
      <c r="C26" s="143">
        <v>0</v>
      </c>
      <c r="D26" s="143">
        <v>0</v>
      </c>
      <c r="E26" s="143">
        <v>0</v>
      </c>
      <c r="F26" s="143">
        <v>0</v>
      </c>
      <c r="G26" s="143">
        <v>0</v>
      </c>
      <c r="H26" s="143">
        <v>0</v>
      </c>
      <c r="I26" s="143">
        <v>0</v>
      </c>
      <c r="J26" s="143">
        <v>0</v>
      </c>
      <c r="K26" s="143">
        <v>0</v>
      </c>
      <c r="L26" s="143">
        <v>7.1900000000000019E-2</v>
      </c>
      <c r="M26" s="143">
        <v>0.52510000000000001</v>
      </c>
      <c r="N26" s="143">
        <v>0.16189999999999999</v>
      </c>
      <c r="O26" s="143">
        <v>0</v>
      </c>
      <c r="P26" s="143">
        <v>0</v>
      </c>
      <c r="Q26" s="143">
        <v>0</v>
      </c>
      <c r="R26" s="143">
        <v>2.8899999999999999E-2</v>
      </c>
      <c r="S26" s="143">
        <v>0.13300000000000003</v>
      </c>
      <c r="T26" s="143">
        <v>0</v>
      </c>
      <c r="U26" s="143">
        <v>6.6599999999999993E-2</v>
      </c>
      <c r="V26" s="143">
        <v>0.3493</v>
      </c>
      <c r="W26" s="143">
        <v>0.65210000000000012</v>
      </c>
      <c r="X26" s="143">
        <v>3.9700000000000013E-2</v>
      </c>
      <c r="Y26" s="143">
        <v>0.18240000000000003</v>
      </c>
      <c r="Z26" s="143">
        <v>0</v>
      </c>
      <c r="AA26" s="143">
        <v>0.1179</v>
      </c>
      <c r="AB26" s="143">
        <v>0</v>
      </c>
      <c r="AC26" s="143">
        <v>0.76149999999999995</v>
      </c>
      <c r="AD26" s="143">
        <v>0.90180000000000005</v>
      </c>
      <c r="AE26" s="143">
        <v>2.8900000000000006E-2</v>
      </c>
      <c r="AF26" s="143">
        <v>1.8600000000000002E-2</v>
      </c>
      <c r="AG26" s="143">
        <v>0</v>
      </c>
      <c r="AH26" s="143">
        <v>0.16520000000000001</v>
      </c>
      <c r="AI26" s="143">
        <v>0.1201</v>
      </c>
      <c r="AJ26" s="143">
        <v>0</v>
      </c>
      <c r="AK26" s="143">
        <v>0.35670000000000002</v>
      </c>
      <c r="AL26" s="143">
        <v>5.0000000000000001E-3</v>
      </c>
      <c r="AM26" s="143">
        <v>8.3000000000000001E-3</v>
      </c>
      <c r="AN26" s="143">
        <v>0</v>
      </c>
      <c r="AO26" s="143">
        <v>0</v>
      </c>
      <c r="AP26" s="143">
        <v>0</v>
      </c>
    </row>
    <row r="27" spans="1:42" customFormat="1" x14ac:dyDescent="0.15">
      <c r="A27" s="147" t="s">
        <v>218</v>
      </c>
      <c r="B27" s="143">
        <v>0</v>
      </c>
      <c r="C27" s="143">
        <v>0</v>
      </c>
      <c r="D27" s="143">
        <v>0</v>
      </c>
      <c r="E27" s="143">
        <v>0</v>
      </c>
      <c r="F27" s="143">
        <v>0</v>
      </c>
      <c r="G27" s="143">
        <v>0</v>
      </c>
      <c r="H27" s="143">
        <v>0</v>
      </c>
      <c r="I27" s="143">
        <v>0</v>
      </c>
      <c r="J27" s="143">
        <v>0</v>
      </c>
      <c r="K27" s="143">
        <v>0</v>
      </c>
      <c r="L27" s="143">
        <v>0</v>
      </c>
      <c r="M27" s="143">
        <v>1.6E-2</v>
      </c>
      <c r="N27" s="143">
        <v>5.5999999999999999E-3</v>
      </c>
      <c r="O27" s="143">
        <v>0</v>
      </c>
      <c r="P27" s="143">
        <v>0</v>
      </c>
      <c r="Q27" s="143">
        <v>0</v>
      </c>
      <c r="R27" s="143">
        <v>8.9999999999999998E-4</v>
      </c>
      <c r="S27" s="143">
        <v>1.5400000000000002E-2</v>
      </c>
      <c r="T27" s="143">
        <v>0</v>
      </c>
      <c r="U27" s="143">
        <v>0</v>
      </c>
      <c r="V27" s="143">
        <v>1.6799999999999999E-2</v>
      </c>
      <c r="W27" s="143">
        <v>6.8000000000000005E-3</v>
      </c>
      <c r="X27" s="143">
        <v>4.7000000000000019E-3</v>
      </c>
      <c r="Y27" s="143">
        <v>0</v>
      </c>
      <c r="Z27" s="143">
        <v>0</v>
      </c>
      <c r="AA27" s="143">
        <v>0</v>
      </c>
      <c r="AB27" s="143">
        <v>0</v>
      </c>
      <c r="AC27" s="143">
        <v>0</v>
      </c>
      <c r="AD27" s="143">
        <v>0</v>
      </c>
      <c r="AE27" s="143">
        <v>9.0000000000000019E-4</v>
      </c>
      <c r="AF27" s="143">
        <v>0</v>
      </c>
      <c r="AG27" s="143">
        <v>0</v>
      </c>
      <c r="AH27" s="143">
        <v>0</v>
      </c>
      <c r="AI27" s="143">
        <v>8.7800000000000003E-2</v>
      </c>
      <c r="AJ27" s="143">
        <v>0</v>
      </c>
      <c r="AK27" s="143">
        <v>1.3599999999999999E-2</v>
      </c>
      <c r="AL27" s="143">
        <v>5.3100000000000001E-2</v>
      </c>
      <c r="AM27" s="143">
        <v>5.3E-3</v>
      </c>
      <c r="AN27" s="143">
        <v>0</v>
      </c>
      <c r="AO27" s="143">
        <v>0</v>
      </c>
      <c r="AP27" s="143">
        <v>0</v>
      </c>
    </row>
    <row r="28" spans="1:42" customFormat="1" x14ac:dyDescent="0.15">
      <c r="A28" s="147" t="s">
        <v>219</v>
      </c>
      <c r="B28" s="143">
        <v>0</v>
      </c>
      <c r="C28" s="143">
        <v>0</v>
      </c>
      <c r="D28" s="143">
        <v>0</v>
      </c>
      <c r="E28" s="143">
        <v>0</v>
      </c>
      <c r="F28" s="143">
        <v>0</v>
      </c>
      <c r="G28" s="143">
        <v>0</v>
      </c>
      <c r="H28" s="143">
        <v>0</v>
      </c>
      <c r="I28" s="143">
        <v>0</v>
      </c>
      <c r="J28" s="143">
        <v>0</v>
      </c>
      <c r="K28" s="143">
        <v>0</v>
      </c>
      <c r="L28" s="143">
        <v>0</v>
      </c>
      <c r="M28" s="143">
        <v>2.8899999999999999E-2</v>
      </c>
      <c r="N28" s="143">
        <v>2E-3</v>
      </c>
      <c r="O28" s="143">
        <v>0</v>
      </c>
      <c r="P28" s="143">
        <v>0</v>
      </c>
      <c r="Q28" s="143">
        <v>0</v>
      </c>
      <c r="R28" s="143">
        <v>0</v>
      </c>
      <c r="S28" s="143">
        <v>2.7800000000000002E-2</v>
      </c>
      <c r="T28" s="143">
        <v>0</v>
      </c>
      <c r="U28" s="143">
        <v>0</v>
      </c>
      <c r="V28" s="143">
        <v>6.0600000000000001E-2</v>
      </c>
      <c r="W28" s="143">
        <v>1.2200000000000003E-2</v>
      </c>
      <c r="X28" s="143">
        <v>8.5000000000000041E-3</v>
      </c>
      <c r="Y28" s="143">
        <v>0</v>
      </c>
      <c r="Z28" s="143">
        <v>0</v>
      </c>
      <c r="AA28" s="143">
        <v>0</v>
      </c>
      <c r="AB28" s="143">
        <v>0</v>
      </c>
      <c r="AC28" s="143">
        <v>3.44E-2</v>
      </c>
      <c r="AD28" s="143">
        <v>0</v>
      </c>
      <c r="AE28" s="143">
        <v>2.7000000000000006E-3</v>
      </c>
      <c r="AF28" s="143">
        <v>0</v>
      </c>
      <c r="AG28" s="143">
        <v>0</v>
      </c>
      <c r="AH28" s="143">
        <v>0</v>
      </c>
      <c r="AI28" s="143">
        <v>1.9900000000000001E-2</v>
      </c>
      <c r="AJ28" s="143">
        <v>0</v>
      </c>
      <c r="AK28" s="143">
        <v>4.65E-2</v>
      </c>
      <c r="AL28" s="143">
        <v>7.6200000000000004E-2</v>
      </c>
      <c r="AM28" s="143">
        <v>7.6E-3</v>
      </c>
      <c r="AN28" s="143">
        <v>0</v>
      </c>
      <c r="AO28" s="143">
        <v>0</v>
      </c>
      <c r="AP28" s="143">
        <v>0</v>
      </c>
    </row>
    <row r="29" spans="1:42" customFormat="1" x14ac:dyDescent="0.15">
      <c r="A29" s="147" t="s">
        <v>220</v>
      </c>
      <c r="B29" s="143">
        <v>0</v>
      </c>
      <c r="C29" s="143">
        <v>0</v>
      </c>
      <c r="D29" s="143">
        <v>0</v>
      </c>
      <c r="E29" s="143">
        <v>0</v>
      </c>
      <c r="F29" s="143">
        <v>0</v>
      </c>
      <c r="G29" s="143">
        <v>0</v>
      </c>
      <c r="H29" s="143">
        <v>0</v>
      </c>
      <c r="I29" s="143">
        <v>0</v>
      </c>
      <c r="J29" s="143">
        <v>0</v>
      </c>
      <c r="K29" s="143">
        <v>0</v>
      </c>
      <c r="L29" s="143">
        <v>0</v>
      </c>
      <c r="M29" s="143">
        <v>0</v>
      </c>
      <c r="N29" s="143">
        <v>6.9999999999999999E-4</v>
      </c>
      <c r="O29" s="143">
        <v>0</v>
      </c>
      <c r="P29" s="143">
        <v>0</v>
      </c>
      <c r="Q29" s="143">
        <v>0</v>
      </c>
      <c r="R29" s="143">
        <v>0</v>
      </c>
      <c r="S29" s="143">
        <v>5.0000000000000012E-4</v>
      </c>
      <c r="T29" s="143">
        <v>0</v>
      </c>
      <c r="U29" s="143">
        <v>0</v>
      </c>
      <c r="V29" s="143">
        <v>0</v>
      </c>
      <c r="W29" s="143">
        <v>0</v>
      </c>
      <c r="X29" s="143">
        <v>4.400000000000002E-3</v>
      </c>
      <c r="Y29" s="143">
        <v>0</v>
      </c>
      <c r="Z29" s="143">
        <v>0</v>
      </c>
      <c r="AA29" s="143">
        <v>0</v>
      </c>
      <c r="AB29" s="143">
        <v>0</v>
      </c>
      <c r="AC29" s="143">
        <v>0</v>
      </c>
      <c r="AD29" s="143">
        <v>0</v>
      </c>
      <c r="AE29" s="143">
        <v>0</v>
      </c>
      <c r="AF29" s="143">
        <v>0</v>
      </c>
      <c r="AG29" s="143">
        <v>0</v>
      </c>
      <c r="AH29" s="143">
        <v>0</v>
      </c>
      <c r="AI29" s="143">
        <v>4.7800000000000002E-2</v>
      </c>
      <c r="AJ29" s="143">
        <v>0</v>
      </c>
      <c r="AK29" s="143">
        <v>6.4999999999999997E-3</v>
      </c>
      <c r="AL29" s="143">
        <v>1.1000000000000001E-3</v>
      </c>
      <c r="AM29" s="143">
        <v>0</v>
      </c>
      <c r="AN29" s="143">
        <v>0</v>
      </c>
      <c r="AO29" s="143">
        <v>0</v>
      </c>
      <c r="AP29" s="143">
        <v>0</v>
      </c>
    </row>
    <row r="30" spans="1:42" customFormat="1" x14ac:dyDescent="0.15">
      <c r="A30" s="147" t="s">
        <v>221</v>
      </c>
      <c r="B30" s="143">
        <v>0</v>
      </c>
      <c r="C30" s="143">
        <v>0</v>
      </c>
      <c r="D30" s="143">
        <v>0</v>
      </c>
      <c r="E30" s="143">
        <v>0</v>
      </c>
      <c r="F30" s="143">
        <v>0</v>
      </c>
      <c r="G30" s="143">
        <v>0</v>
      </c>
      <c r="H30" s="143">
        <v>0</v>
      </c>
      <c r="I30" s="143">
        <v>0</v>
      </c>
      <c r="J30" s="143">
        <v>0</v>
      </c>
      <c r="K30" s="143">
        <v>0</v>
      </c>
      <c r="L30" s="143">
        <v>0</v>
      </c>
      <c r="M30" s="143">
        <v>1.8100000000000002E-2</v>
      </c>
      <c r="N30" s="143">
        <v>6.3E-3</v>
      </c>
      <c r="O30" s="143">
        <v>0</v>
      </c>
      <c r="P30" s="143">
        <v>0</v>
      </c>
      <c r="Q30" s="143">
        <v>0</v>
      </c>
      <c r="R30" s="143">
        <v>0</v>
      </c>
      <c r="S30" s="143">
        <v>1.7500000000000005E-2</v>
      </c>
      <c r="T30" s="143">
        <v>0</v>
      </c>
      <c r="U30" s="143">
        <v>0</v>
      </c>
      <c r="V30" s="143">
        <v>2.7300000000000001E-2</v>
      </c>
      <c r="W30" s="143">
        <v>7.7000000000000011E-3</v>
      </c>
      <c r="X30" s="143">
        <v>5.3000000000000018E-3</v>
      </c>
      <c r="Y30" s="143">
        <v>0</v>
      </c>
      <c r="Z30" s="143">
        <v>0</v>
      </c>
      <c r="AA30" s="143">
        <v>0</v>
      </c>
      <c r="AB30" s="143">
        <v>0</v>
      </c>
      <c r="AC30" s="143">
        <v>0</v>
      </c>
      <c r="AD30" s="143">
        <v>0</v>
      </c>
      <c r="AE30" s="143">
        <v>7.4000000000000021E-3</v>
      </c>
      <c r="AF30" s="143">
        <v>0</v>
      </c>
      <c r="AG30" s="143">
        <v>0</v>
      </c>
      <c r="AH30" s="143">
        <v>0</v>
      </c>
      <c r="AI30" s="143">
        <v>2.4899999999999999E-2</v>
      </c>
      <c r="AJ30" s="143">
        <v>0</v>
      </c>
      <c r="AK30" s="143">
        <v>8.7400000000000005E-2</v>
      </c>
      <c r="AL30" s="143">
        <v>4.7699999999999999E-2</v>
      </c>
      <c r="AM30" s="143">
        <v>4.7999999999999996E-3</v>
      </c>
      <c r="AN30" s="143">
        <v>0</v>
      </c>
      <c r="AO30" s="143">
        <v>0</v>
      </c>
      <c r="AP30" s="143">
        <v>0</v>
      </c>
    </row>
    <row r="31" spans="1:42" customFormat="1" x14ac:dyDescent="0.15">
      <c r="A31" s="147" t="s">
        <v>222</v>
      </c>
      <c r="B31" s="143">
        <v>0</v>
      </c>
      <c r="C31" s="143">
        <v>0</v>
      </c>
      <c r="D31" s="143">
        <v>0</v>
      </c>
      <c r="E31" s="143">
        <v>0</v>
      </c>
      <c r="F31" s="143">
        <v>0</v>
      </c>
      <c r="G31" s="143">
        <v>0</v>
      </c>
      <c r="H31" s="143">
        <v>0</v>
      </c>
      <c r="I31" s="143">
        <v>0</v>
      </c>
      <c r="J31" s="143">
        <v>0</v>
      </c>
      <c r="K31" s="143">
        <v>0</v>
      </c>
      <c r="L31" s="143">
        <v>0</v>
      </c>
      <c r="M31" s="143">
        <v>0</v>
      </c>
      <c r="N31" s="143">
        <v>0</v>
      </c>
      <c r="O31" s="143">
        <v>0</v>
      </c>
      <c r="P31" s="143">
        <v>0</v>
      </c>
      <c r="Q31" s="143">
        <v>0</v>
      </c>
      <c r="R31" s="143">
        <v>0</v>
      </c>
      <c r="S31" s="143">
        <v>3.0000000000000005E-3</v>
      </c>
      <c r="T31" s="143">
        <v>0</v>
      </c>
      <c r="U31" s="143">
        <v>0</v>
      </c>
      <c r="V31" s="143">
        <v>0</v>
      </c>
      <c r="W31" s="143">
        <v>0</v>
      </c>
      <c r="X31" s="143">
        <v>0</v>
      </c>
      <c r="Y31" s="143">
        <v>0</v>
      </c>
      <c r="Z31" s="143">
        <v>0</v>
      </c>
      <c r="AA31" s="143">
        <v>0</v>
      </c>
      <c r="AB31" s="143">
        <v>0</v>
      </c>
      <c r="AC31" s="143">
        <v>0</v>
      </c>
      <c r="AD31" s="143">
        <v>0</v>
      </c>
      <c r="AE31" s="143">
        <v>4.2700000000000009E-2</v>
      </c>
      <c r="AF31" s="143">
        <v>0</v>
      </c>
      <c r="AG31" s="143">
        <v>0</v>
      </c>
      <c r="AH31" s="143">
        <v>0</v>
      </c>
      <c r="AI31" s="143">
        <v>0</v>
      </c>
      <c r="AJ31" s="143">
        <v>0</v>
      </c>
      <c r="AK31" s="143">
        <v>0</v>
      </c>
      <c r="AL31" s="143">
        <v>0</v>
      </c>
      <c r="AM31" s="143">
        <v>0</v>
      </c>
      <c r="AN31" s="143">
        <v>0</v>
      </c>
      <c r="AO31" s="143">
        <v>0</v>
      </c>
      <c r="AP31" s="143">
        <v>0</v>
      </c>
    </row>
    <row r="32" spans="1:42" customFormat="1" x14ac:dyDescent="0.15">
      <c r="A32" s="147" t="s">
        <v>223</v>
      </c>
      <c r="B32" s="143">
        <v>0</v>
      </c>
      <c r="C32" s="143">
        <v>0</v>
      </c>
      <c r="D32" s="143">
        <v>0</v>
      </c>
      <c r="E32" s="143">
        <v>0</v>
      </c>
      <c r="F32" s="143">
        <v>0</v>
      </c>
      <c r="G32" s="143">
        <v>0</v>
      </c>
      <c r="H32" s="143">
        <v>0</v>
      </c>
      <c r="I32" s="143">
        <v>0</v>
      </c>
      <c r="J32" s="143">
        <v>0</v>
      </c>
      <c r="K32" s="143">
        <v>0</v>
      </c>
      <c r="L32" s="143">
        <v>0</v>
      </c>
      <c r="M32" s="143">
        <v>6.25E-2</v>
      </c>
      <c r="N32" s="143">
        <v>2.3300000000000001E-2</v>
      </c>
      <c r="O32" s="143">
        <v>0</v>
      </c>
      <c r="P32" s="143">
        <v>0</v>
      </c>
      <c r="Q32" s="143">
        <v>0</v>
      </c>
      <c r="R32" s="143">
        <v>2.8E-3</v>
      </c>
      <c r="S32" s="143">
        <v>0</v>
      </c>
      <c r="T32" s="143">
        <v>0</v>
      </c>
      <c r="U32" s="143">
        <v>1.8799999999999997E-2</v>
      </c>
      <c r="V32" s="143">
        <v>9.1999999999999998E-3</v>
      </c>
      <c r="W32" s="143">
        <v>9.5000000000000015E-3</v>
      </c>
      <c r="X32" s="143">
        <v>6.400000000000002E-3</v>
      </c>
      <c r="Y32" s="143">
        <v>7.3100000000000012E-2</v>
      </c>
      <c r="Z32" s="143">
        <v>0</v>
      </c>
      <c r="AA32" s="143">
        <v>6.9999999999999999E-4</v>
      </c>
      <c r="AB32" s="143">
        <v>0</v>
      </c>
      <c r="AC32" s="143">
        <v>1.2999999999999999E-2</v>
      </c>
      <c r="AD32" s="143">
        <v>2.3400000000000001E-2</v>
      </c>
      <c r="AE32" s="143">
        <v>0</v>
      </c>
      <c r="AF32" s="143">
        <v>4.2000000000000006E-3</v>
      </c>
      <c r="AG32" s="143">
        <v>0</v>
      </c>
      <c r="AH32" s="143">
        <v>0.30480000000000002</v>
      </c>
      <c r="AI32" s="143">
        <v>6.7699999999999996E-2</v>
      </c>
      <c r="AJ32" s="143">
        <v>0</v>
      </c>
      <c r="AK32" s="143">
        <v>4.2099999999999999E-2</v>
      </c>
      <c r="AL32" s="143">
        <v>0</v>
      </c>
      <c r="AM32" s="143">
        <v>6.2399999999999997E-2</v>
      </c>
      <c r="AN32" s="143">
        <v>0</v>
      </c>
      <c r="AO32" s="143">
        <v>0</v>
      </c>
      <c r="AP32" s="143">
        <v>0</v>
      </c>
    </row>
    <row r="33" spans="1:42" customFormat="1" x14ac:dyDescent="0.15">
      <c r="A33" s="147" t="s">
        <v>224</v>
      </c>
      <c r="B33" s="143">
        <v>0</v>
      </c>
      <c r="C33" s="143">
        <v>0</v>
      </c>
      <c r="D33" s="143">
        <v>0</v>
      </c>
      <c r="E33" s="143">
        <v>0</v>
      </c>
      <c r="F33" s="143">
        <v>0</v>
      </c>
      <c r="G33" s="143">
        <v>0</v>
      </c>
      <c r="H33" s="143">
        <v>0</v>
      </c>
      <c r="I33" s="143">
        <v>0</v>
      </c>
      <c r="J33" s="143">
        <v>0</v>
      </c>
      <c r="K33" s="143">
        <v>0</v>
      </c>
      <c r="L33" s="143">
        <v>0</v>
      </c>
      <c r="M33" s="143">
        <v>6.25E-2</v>
      </c>
      <c r="N33" s="143">
        <v>2.3300000000000001E-2</v>
      </c>
      <c r="O33" s="143">
        <v>0</v>
      </c>
      <c r="P33" s="143">
        <v>0</v>
      </c>
      <c r="Q33" s="143">
        <v>0</v>
      </c>
      <c r="R33" s="143">
        <v>2.8E-3</v>
      </c>
      <c r="S33" s="143">
        <v>0</v>
      </c>
      <c r="T33" s="143">
        <v>0</v>
      </c>
      <c r="U33" s="143">
        <v>1.8799999999999997E-2</v>
      </c>
      <c r="V33" s="143">
        <v>9.1999999999999998E-3</v>
      </c>
      <c r="W33" s="143">
        <v>9.5000000000000015E-3</v>
      </c>
      <c r="X33" s="143">
        <v>6.400000000000002E-3</v>
      </c>
      <c r="Y33" s="143">
        <v>4.5600000000000009E-2</v>
      </c>
      <c r="Z33" s="143">
        <v>0</v>
      </c>
      <c r="AA33" s="143">
        <v>5.9999999999999995E-4</v>
      </c>
      <c r="AB33" s="143">
        <v>0</v>
      </c>
      <c r="AC33" s="143">
        <v>1.29E-2</v>
      </c>
      <c r="AD33" s="143">
        <v>2.3400000000000001E-2</v>
      </c>
      <c r="AE33" s="143">
        <v>0</v>
      </c>
      <c r="AF33" s="143">
        <v>4.2000000000000006E-3</v>
      </c>
      <c r="AG33" s="143">
        <v>0</v>
      </c>
      <c r="AH33" s="143">
        <v>0.30030000000000001</v>
      </c>
      <c r="AI33" s="143">
        <v>3.7499999999999999E-2</v>
      </c>
      <c r="AJ33" s="143">
        <v>0</v>
      </c>
      <c r="AK33" s="143">
        <v>4.2099999999999999E-2</v>
      </c>
      <c r="AL33" s="143">
        <v>0</v>
      </c>
      <c r="AM33" s="143">
        <v>6.2300000000000001E-2</v>
      </c>
      <c r="AN33" s="143">
        <v>0</v>
      </c>
      <c r="AO33" s="143">
        <v>0</v>
      </c>
      <c r="AP33" s="143">
        <v>0</v>
      </c>
    </row>
    <row r="34" spans="1:42" customFormat="1" x14ac:dyDescent="0.15">
      <c r="A34" s="147" t="s">
        <v>225</v>
      </c>
      <c r="B34" s="143">
        <v>0</v>
      </c>
      <c r="C34" s="143">
        <v>0</v>
      </c>
      <c r="D34" s="143">
        <v>0</v>
      </c>
      <c r="E34" s="143">
        <v>0</v>
      </c>
      <c r="F34" s="143">
        <v>0</v>
      </c>
      <c r="G34" s="143">
        <v>0</v>
      </c>
      <c r="H34" s="143">
        <v>0</v>
      </c>
      <c r="I34" s="143">
        <v>0</v>
      </c>
      <c r="J34" s="143">
        <v>0</v>
      </c>
      <c r="K34" s="143">
        <v>0</v>
      </c>
      <c r="L34" s="143">
        <v>0</v>
      </c>
      <c r="M34" s="143">
        <v>0</v>
      </c>
      <c r="N34" s="143">
        <v>3.0000000000000001E-3</v>
      </c>
      <c r="O34" s="143">
        <v>0</v>
      </c>
      <c r="P34" s="143">
        <v>0</v>
      </c>
      <c r="Q34" s="143">
        <v>0</v>
      </c>
      <c r="R34" s="143">
        <v>0</v>
      </c>
      <c r="S34" s="143">
        <v>2.5000000000000005E-3</v>
      </c>
      <c r="T34" s="143">
        <v>0</v>
      </c>
      <c r="U34" s="143">
        <v>0</v>
      </c>
      <c r="V34" s="143">
        <v>0</v>
      </c>
      <c r="W34" s="143">
        <v>0</v>
      </c>
      <c r="X34" s="143">
        <v>0</v>
      </c>
      <c r="Y34" s="143">
        <v>0</v>
      </c>
      <c r="Z34" s="143">
        <v>0</v>
      </c>
      <c r="AA34" s="143">
        <v>0</v>
      </c>
      <c r="AB34" s="143">
        <v>0</v>
      </c>
      <c r="AC34" s="143">
        <v>0</v>
      </c>
      <c r="AD34" s="143">
        <v>0</v>
      </c>
      <c r="AE34" s="143">
        <v>0</v>
      </c>
      <c r="AF34" s="143">
        <v>0</v>
      </c>
      <c r="AG34" s="143">
        <v>0</v>
      </c>
      <c r="AH34" s="143">
        <v>0</v>
      </c>
      <c r="AI34" s="143">
        <v>5.3999999999999999E-2</v>
      </c>
      <c r="AJ34" s="143">
        <v>0</v>
      </c>
      <c r="AK34" s="143">
        <v>6.8400000000000002E-2</v>
      </c>
      <c r="AL34" s="143">
        <v>4.8999999999999998E-3</v>
      </c>
      <c r="AM34" s="143">
        <v>0</v>
      </c>
      <c r="AN34" s="143">
        <v>0</v>
      </c>
      <c r="AO34" s="143">
        <v>0</v>
      </c>
      <c r="AP34" s="143">
        <v>0</v>
      </c>
    </row>
    <row r="35" spans="1:42" customFormat="1" x14ac:dyDescent="0.15">
      <c r="A35" s="147" t="s">
        <v>226</v>
      </c>
      <c r="B35" s="143">
        <v>0</v>
      </c>
      <c r="C35" s="143">
        <v>0</v>
      </c>
      <c r="D35" s="143">
        <v>0</v>
      </c>
      <c r="E35" s="143">
        <v>0</v>
      </c>
      <c r="F35" s="143">
        <v>0</v>
      </c>
      <c r="G35" s="143">
        <v>0</v>
      </c>
      <c r="H35" s="143">
        <v>0</v>
      </c>
      <c r="I35" s="143">
        <v>0</v>
      </c>
      <c r="J35" s="143">
        <v>0</v>
      </c>
      <c r="K35" s="143">
        <v>0</v>
      </c>
      <c r="L35" s="143">
        <v>0</v>
      </c>
      <c r="M35" s="143">
        <v>0</v>
      </c>
      <c r="N35" s="143">
        <v>0</v>
      </c>
      <c r="O35" s="143">
        <v>0</v>
      </c>
      <c r="P35" s="143">
        <v>0</v>
      </c>
      <c r="Q35" s="143">
        <v>0</v>
      </c>
      <c r="R35" s="143">
        <v>0</v>
      </c>
      <c r="S35" s="143">
        <v>0</v>
      </c>
      <c r="T35" s="143">
        <v>0</v>
      </c>
      <c r="U35" s="143">
        <v>0</v>
      </c>
      <c r="V35" s="143">
        <v>0</v>
      </c>
      <c r="W35" s="143">
        <v>0</v>
      </c>
      <c r="X35" s="143">
        <v>0</v>
      </c>
      <c r="Y35" s="143">
        <v>0</v>
      </c>
      <c r="Z35" s="143">
        <v>0</v>
      </c>
      <c r="AA35" s="143">
        <v>0</v>
      </c>
      <c r="AB35" s="143">
        <v>0</v>
      </c>
      <c r="AC35" s="143">
        <v>0</v>
      </c>
      <c r="AD35" s="143">
        <v>0</v>
      </c>
      <c r="AE35" s="143">
        <v>0</v>
      </c>
      <c r="AF35" s="143">
        <v>0</v>
      </c>
      <c r="AG35" s="143">
        <v>0</v>
      </c>
      <c r="AH35" s="143">
        <v>0</v>
      </c>
      <c r="AI35" s="143">
        <v>0</v>
      </c>
      <c r="AJ35" s="143">
        <v>0</v>
      </c>
      <c r="AK35" s="143">
        <v>3.8899999999999997E-2</v>
      </c>
      <c r="AL35" s="143">
        <v>0</v>
      </c>
      <c r="AM35" s="143">
        <v>0</v>
      </c>
      <c r="AN35" s="143">
        <v>0</v>
      </c>
      <c r="AO35" s="143">
        <v>0</v>
      </c>
      <c r="AP35" s="143">
        <v>0</v>
      </c>
    </row>
    <row r="36" spans="1:42" customFormat="1" x14ac:dyDescent="0.15">
      <c r="A36" s="147" t="s">
        <v>227</v>
      </c>
      <c r="B36" s="143">
        <v>0</v>
      </c>
      <c r="C36" s="143">
        <v>0</v>
      </c>
      <c r="D36" s="143">
        <v>0</v>
      </c>
      <c r="E36" s="143">
        <v>0</v>
      </c>
      <c r="F36" s="143">
        <v>0</v>
      </c>
      <c r="G36" s="143">
        <v>0</v>
      </c>
      <c r="H36" s="143">
        <v>0</v>
      </c>
      <c r="I36" s="143">
        <v>0</v>
      </c>
      <c r="J36" s="143">
        <v>0</v>
      </c>
      <c r="K36" s="143">
        <v>0</v>
      </c>
      <c r="L36" s="143">
        <v>0</v>
      </c>
      <c r="M36" s="143">
        <v>0</v>
      </c>
      <c r="N36" s="143">
        <v>0</v>
      </c>
      <c r="O36" s="143">
        <v>0</v>
      </c>
      <c r="P36" s="143">
        <v>0</v>
      </c>
      <c r="Q36" s="143">
        <v>0</v>
      </c>
      <c r="R36" s="143">
        <v>0</v>
      </c>
      <c r="S36" s="143">
        <v>0</v>
      </c>
      <c r="T36" s="143">
        <v>0</v>
      </c>
      <c r="U36" s="143">
        <v>0</v>
      </c>
      <c r="V36" s="143">
        <v>0</v>
      </c>
      <c r="W36" s="143">
        <v>0</v>
      </c>
      <c r="X36" s="143">
        <v>0</v>
      </c>
      <c r="Y36" s="143">
        <v>0</v>
      </c>
      <c r="Z36" s="143">
        <v>0</v>
      </c>
      <c r="AA36" s="143">
        <v>0</v>
      </c>
      <c r="AB36" s="143">
        <v>0</v>
      </c>
      <c r="AC36" s="143">
        <v>0</v>
      </c>
      <c r="AD36" s="143">
        <v>0</v>
      </c>
      <c r="AE36" s="143">
        <v>0</v>
      </c>
      <c r="AF36" s="143">
        <v>0</v>
      </c>
      <c r="AG36" s="143">
        <v>0</v>
      </c>
      <c r="AH36" s="143">
        <v>0</v>
      </c>
      <c r="AI36" s="143">
        <v>0</v>
      </c>
      <c r="AJ36" s="143">
        <v>0</v>
      </c>
      <c r="AK36" s="143">
        <v>0</v>
      </c>
      <c r="AL36" s="143">
        <v>0</v>
      </c>
      <c r="AM36" s="143">
        <v>0</v>
      </c>
      <c r="AN36" s="143">
        <v>0</v>
      </c>
      <c r="AO36" s="143">
        <v>0</v>
      </c>
      <c r="AP36" s="143">
        <v>0</v>
      </c>
    </row>
    <row r="37" spans="1:42" customFormat="1" x14ac:dyDescent="0.15">
      <c r="A37" s="147" t="s">
        <v>228</v>
      </c>
      <c r="B37" s="143">
        <v>0</v>
      </c>
      <c r="C37" s="143">
        <v>0</v>
      </c>
      <c r="D37" s="143">
        <v>0</v>
      </c>
      <c r="E37" s="143">
        <v>0</v>
      </c>
      <c r="F37" s="143">
        <v>0</v>
      </c>
      <c r="G37" s="143">
        <v>0</v>
      </c>
      <c r="H37" s="143">
        <v>0</v>
      </c>
      <c r="I37" s="143">
        <v>0</v>
      </c>
      <c r="J37" s="143">
        <v>0</v>
      </c>
      <c r="K37" s="143">
        <v>0</v>
      </c>
      <c r="L37" s="143">
        <v>0</v>
      </c>
      <c r="M37" s="143">
        <v>0</v>
      </c>
      <c r="N37" s="143">
        <v>0</v>
      </c>
      <c r="O37" s="143">
        <v>0</v>
      </c>
      <c r="P37" s="143">
        <v>0</v>
      </c>
      <c r="Q37" s="143">
        <v>0</v>
      </c>
      <c r="R37" s="143">
        <v>0</v>
      </c>
      <c r="S37" s="143">
        <v>0</v>
      </c>
      <c r="T37" s="143">
        <v>0</v>
      </c>
      <c r="U37" s="143">
        <v>0</v>
      </c>
      <c r="V37" s="143">
        <v>0</v>
      </c>
      <c r="W37" s="143">
        <v>0</v>
      </c>
      <c r="X37" s="143">
        <v>0</v>
      </c>
      <c r="Y37" s="143">
        <v>0</v>
      </c>
      <c r="Z37" s="143">
        <v>0</v>
      </c>
      <c r="AA37" s="143">
        <v>0</v>
      </c>
      <c r="AB37" s="143">
        <v>0</v>
      </c>
      <c r="AC37" s="143">
        <v>0</v>
      </c>
      <c r="AD37" s="143">
        <v>0</v>
      </c>
      <c r="AE37" s="143">
        <v>0</v>
      </c>
      <c r="AF37" s="143">
        <v>0</v>
      </c>
      <c r="AG37" s="143">
        <v>0</v>
      </c>
      <c r="AH37" s="143">
        <v>0</v>
      </c>
      <c r="AI37" s="143">
        <v>0</v>
      </c>
      <c r="AJ37" s="143">
        <v>0</v>
      </c>
      <c r="AK37" s="143">
        <v>0</v>
      </c>
      <c r="AL37" s="143">
        <v>0</v>
      </c>
      <c r="AM37" s="143">
        <v>0</v>
      </c>
      <c r="AN37" s="143">
        <v>0</v>
      </c>
      <c r="AO37" s="143">
        <v>0</v>
      </c>
      <c r="AP37" s="143">
        <v>0</v>
      </c>
    </row>
    <row r="38" spans="1:42" customFormat="1" x14ac:dyDescent="0.15">
      <c r="A38" s="147" t="s">
        <v>229</v>
      </c>
      <c r="B38" s="143">
        <v>0</v>
      </c>
      <c r="C38" s="143">
        <v>0</v>
      </c>
      <c r="D38" s="143">
        <v>0</v>
      </c>
      <c r="E38" s="143">
        <v>0</v>
      </c>
      <c r="F38" s="143">
        <v>0</v>
      </c>
      <c r="G38" s="143">
        <v>0</v>
      </c>
      <c r="H38" s="143">
        <v>0</v>
      </c>
      <c r="I38" s="143">
        <v>0</v>
      </c>
      <c r="J38" s="143">
        <v>0</v>
      </c>
      <c r="K38" s="143">
        <v>0</v>
      </c>
      <c r="L38" s="143">
        <v>0</v>
      </c>
      <c r="M38" s="143">
        <v>0</v>
      </c>
      <c r="N38" s="143">
        <v>0</v>
      </c>
      <c r="O38" s="143">
        <v>0</v>
      </c>
      <c r="P38" s="143">
        <v>0</v>
      </c>
      <c r="Q38" s="143">
        <v>0</v>
      </c>
      <c r="R38" s="143">
        <v>0</v>
      </c>
      <c r="S38" s="143">
        <v>0</v>
      </c>
      <c r="T38" s="143">
        <v>0</v>
      </c>
      <c r="U38" s="143">
        <v>0</v>
      </c>
      <c r="V38" s="143">
        <v>0</v>
      </c>
      <c r="W38" s="143">
        <v>0</v>
      </c>
      <c r="X38" s="143">
        <v>0</v>
      </c>
      <c r="Y38" s="143">
        <v>0</v>
      </c>
      <c r="Z38" s="143">
        <v>0</v>
      </c>
      <c r="AA38" s="143">
        <v>0</v>
      </c>
      <c r="AB38" s="143">
        <v>0</v>
      </c>
      <c r="AC38" s="143">
        <v>0</v>
      </c>
      <c r="AD38" s="143">
        <v>0</v>
      </c>
      <c r="AE38" s="143">
        <v>0</v>
      </c>
      <c r="AF38" s="143">
        <v>0</v>
      </c>
      <c r="AG38" s="143">
        <v>0</v>
      </c>
      <c r="AH38" s="143">
        <v>0</v>
      </c>
      <c r="AI38" s="143">
        <v>0</v>
      </c>
      <c r="AJ38" s="143">
        <v>0</v>
      </c>
      <c r="AK38" s="143">
        <v>0</v>
      </c>
      <c r="AL38" s="143">
        <v>0</v>
      </c>
      <c r="AM38" s="143">
        <v>0</v>
      </c>
      <c r="AN38" s="143">
        <v>0</v>
      </c>
      <c r="AO38" s="143">
        <v>0</v>
      </c>
      <c r="AP38" s="143">
        <v>0</v>
      </c>
    </row>
    <row r="39" spans="1:42" x14ac:dyDescent="0.15">
      <c r="A39" s="147" t="s">
        <v>230</v>
      </c>
      <c r="B39" s="143">
        <v>0</v>
      </c>
      <c r="C39" s="143">
        <v>0</v>
      </c>
      <c r="D39" s="143">
        <v>0</v>
      </c>
      <c r="E39" s="143">
        <v>0</v>
      </c>
      <c r="F39" s="143">
        <v>0</v>
      </c>
      <c r="G39" s="143">
        <v>0</v>
      </c>
      <c r="H39" s="143">
        <v>0</v>
      </c>
      <c r="I39" s="143">
        <v>0</v>
      </c>
      <c r="J39" s="143">
        <v>0</v>
      </c>
      <c r="K39" s="143">
        <v>0</v>
      </c>
      <c r="L39" s="143">
        <v>0</v>
      </c>
      <c r="M39" s="143">
        <v>0</v>
      </c>
      <c r="N39" s="143">
        <v>0</v>
      </c>
      <c r="O39" s="143">
        <v>0</v>
      </c>
      <c r="P39" s="143">
        <v>0</v>
      </c>
      <c r="Q39" s="143">
        <v>0</v>
      </c>
      <c r="R39" s="143">
        <v>0</v>
      </c>
      <c r="S39" s="143">
        <v>0</v>
      </c>
      <c r="T39" s="143">
        <v>0</v>
      </c>
      <c r="U39" s="143">
        <v>0</v>
      </c>
      <c r="V39" s="143">
        <v>0</v>
      </c>
      <c r="W39" s="143">
        <v>0</v>
      </c>
      <c r="X39" s="143">
        <v>0</v>
      </c>
      <c r="Y39" s="143">
        <v>0</v>
      </c>
      <c r="Z39" s="143">
        <v>0</v>
      </c>
      <c r="AA39" s="143">
        <v>0</v>
      </c>
      <c r="AB39" s="143">
        <v>0</v>
      </c>
      <c r="AC39" s="143">
        <v>0</v>
      </c>
      <c r="AD39" s="143">
        <v>0</v>
      </c>
      <c r="AE39" s="143">
        <v>0</v>
      </c>
      <c r="AF39" s="143">
        <v>0</v>
      </c>
      <c r="AG39" s="143">
        <v>0</v>
      </c>
      <c r="AH39" s="143">
        <v>0</v>
      </c>
      <c r="AI39" s="143">
        <v>0</v>
      </c>
      <c r="AJ39" s="143">
        <v>0</v>
      </c>
      <c r="AK39" s="143">
        <v>0</v>
      </c>
      <c r="AL39" s="143">
        <v>0</v>
      </c>
      <c r="AM39" s="143">
        <v>0</v>
      </c>
      <c r="AN39" s="143">
        <v>0</v>
      </c>
      <c r="AO39" s="143">
        <v>0</v>
      </c>
      <c r="AP39" s="143">
        <v>0</v>
      </c>
    </row>
    <row r="40" spans="1:42" x14ac:dyDescent="0.15">
      <c r="A40" s="147" t="s">
        <v>231</v>
      </c>
      <c r="B40" s="143">
        <v>0</v>
      </c>
      <c r="C40" s="143">
        <v>0</v>
      </c>
      <c r="D40" s="143">
        <v>0.25</v>
      </c>
      <c r="E40" s="143">
        <v>0.1</v>
      </c>
      <c r="F40" s="143">
        <v>0.1</v>
      </c>
      <c r="G40" s="238">
        <f>0.504+0.126</f>
        <v>0.63</v>
      </c>
      <c r="H40" s="238">
        <f>0.64+0.16</f>
        <v>0.8</v>
      </c>
      <c r="I40" s="238">
        <f>0.608+0.152</f>
        <v>0.76</v>
      </c>
      <c r="J40" s="143">
        <v>0.27200000000000002</v>
      </c>
      <c r="K40" s="238">
        <f>0.224+0.028</f>
        <v>0.252</v>
      </c>
      <c r="L40" s="238">
        <f>0+0.1057</f>
        <v>0.1057</v>
      </c>
      <c r="M40" s="143">
        <v>0</v>
      </c>
      <c r="N40" s="238">
        <f>0.0388+0.0026</f>
        <v>4.1399999999999999E-2</v>
      </c>
      <c r="O40" s="143">
        <v>0.1178</v>
      </c>
      <c r="P40" s="143">
        <v>0.12230000000000001</v>
      </c>
      <c r="Q40" s="143">
        <v>5.8999999999999997E-2</v>
      </c>
      <c r="R40" s="143">
        <v>3.3799999999999997E-2</v>
      </c>
      <c r="S40" s="143">
        <v>0</v>
      </c>
      <c r="T40" s="143">
        <v>0</v>
      </c>
      <c r="U40" s="143">
        <v>4.6599999999999996E-2</v>
      </c>
      <c r="V40" s="238">
        <f>0+0.1566</f>
        <v>0.15659999999999999</v>
      </c>
      <c r="W40" s="143">
        <v>0</v>
      </c>
      <c r="X40" s="143">
        <v>0</v>
      </c>
      <c r="Y40" s="143">
        <v>0</v>
      </c>
      <c r="Z40" s="143">
        <v>2.9000000000000002E-3</v>
      </c>
      <c r="AA40" s="143">
        <v>7.1199999999999999E-2</v>
      </c>
      <c r="AB40" s="143">
        <v>8.3299999999999999E-2</v>
      </c>
      <c r="AC40" s="143">
        <v>0</v>
      </c>
      <c r="AD40" s="143">
        <v>0</v>
      </c>
      <c r="AE40" s="238">
        <f>0.0053+0.0107</f>
        <v>1.6E-2</v>
      </c>
      <c r="AF40" s="143">
        <v>0</v>
      </c>
      <c r="AG40" s="143">
        <v>0</v>
      </c>
      <c r="AH40" s="143">
        <v>6.0000000000000001E-3</v>
      </c>
      <c r="AI40" s="143">
        <v>0</v>
      </c>
      <c r="AJ40" s="238">
        <f>0.0247+0.24</f>
        <v>0.26469999999999999</v>
      </c>
      <c r="AK40" s="238">
        <f>0+0.026</f>
        <v>2.5999999999999999E-2</v>
      </c>
      <c r="AL40" s="143">
        <v>0</v>
      </c>
      <c r="AM40" s="143">
        <v>0</v>
      </c>
      <c r="AN40" s="143">
        <v>0</v>
      </c>
      <c r="AO40" s="143">
        <v>0</v>
      </c>
      <c r="AP40" s="143">
        <v>0</v>
      </c>
    </row>
    <row r="41" spans="1:42" x14ac:dyDescent="0.15">
      <c r="A41" s="147" t="s">
        <v>232</v>
      </c>
      <c r="B41" s="143">
        <v>0</v>
      </c>
      <c r="C41" s="143">
        <v>0</v>
      </c>
      <c r="D41" s="143">
        <v>0</v>
      </c>
      <c r="E41" s="143">
        <v>0</v>
      </c>
      <c r="F41" s="143">
        <v>0</v>
      </c>
      <c r="G41" s="238">
        <f>0.126-0.126</f>
        <v>0</v>
      </c>
      <c r="H41" s="238">
        <f>0.16-0.16</f>
        <v>0</v>
      </c>
      <c r="I41" s="238">
        <f>0.152-0.152</f>
        <v>0</v>
      </c>
      <c r="J41" s="143">
        <v>0</v>
      </c>
      <c r="K41" s="238">
        <f>0.028-0.028</f>
        <v>0</v>
      </c>
      <c r="L41" s="238">
        <f>0.1057-0.1057</f>
        <v>0</v>
      </c>
      <c r="M41" s="143">
        <v>0</v>
      </c>
      <c r="N41" s="238">
        <f>0.0026-0.0026</f>
        <v>0</v>
      </c>
      <c r="O41" s="143">
        <v>0</v>
      </c>
      <c r="P41" s="143">
        <v>0</v>
      </c>
      <c r="Q41" s="143">
        <v>0</v>
      </c>
      <c r="R41" s="143">
        <v>0</v>
      </c>
      <c r="S41" s="143">
        <v>0</v>
      </c>
      <c r="T41" s="143">
        <v>0</v>
      </c>
      <c r="U41" s="143">
        <v>0</v>
      </c>
      <c r="V41" s="238">
        <f>0.1566-0.1566</f>
        <v>0</v>
      </c>
      <c r="W41" s="143">
        <v>0</v>
      </c>
      <c r="X41" s="143">
        <v>0</v>
      </c>
      <c r="Y41" s="143">
        <v>0</v>
      </c>
      <c r="Z41" s="143">
        <v>0</v>
      </c>
      <c r="AA41" s="143">
        <v>0</v>
      </c>
      <c r="AB41" s="143">
        <v>0</v>
      </c>
      <c r="AC41" s="143">
        <v>0</v>
      </c>
      <c r="AD41" s="143">
        <v>0</v>
      </c>
      <c r="AE41" s="238">
        <f>0.0107-0.0107</f>
        <v>0</v>
      </c>
      <c r="AF41" s="143">
        <v>0</v>
      </c>
      <c r="AG41" s="143">
        <v>0</v>
      </c>
      <c r="AH41" s="143">
        <v>0</v>
      </c>
      <c r="AI41" s="143">
        <v>0</v>
      </c>
      <c r="AJ41" s="238">
        <f>0.24-0.24</f>
        <v>0</v>
      </c>
      <c r="AK41" s="238">
        <f>0.026-0.026</f>
        <v>0</v>
      </c>
      <c r="AL41" s="143">
        <v>0</v>
      </c>
      <c r="AM41" s="143">
        <v>0.3</v>
      </c>
      <c r="AN41" s="143">
        <v>0</v>
      </c>
      <c r="AO41" s="143">
        <v>0</v>
      </c>
      <c r="AP41" s="143">
        <v>0</v>
      </c>
    </row>
    <row r="42" spans="1:42" x14ac:dyDescent="0.15">
      <c r="A42" s="147" t="s">
        <v>233</v>
      </c>
      <c r="B42" s="143">
        <v>0</v>
      </c>
      <c r="C42" s="143">
        <v>0</v>
      </c>
      <c r="D42" s="143">
        <v>0</v>
      </c>
      <c r="E42" s="143">
        <v>0</v>
      </c>
      <c r="F42" s="143">
        <v>0</v>
      </c>
      <c r="G42" s="143">
        <v>0</v>
      </c>
      <c r="H42" s="143">
        <v>0</v>
      </c>
      <c r="I42" s="143">
        <v>0</v>
      </c>
      <c r="J42" s="143">
        <v>0</v>
      </c>
      <c r="K42" s="143">
        <v>0</v>
      </c>
      <c r="L42" s="143">
        <v>0</v>
      </c>
      <c r="M42" s="143">
        <v>0</v>
      </c>
      <c r="N42" s="143">
        <v>0</v>
      </c>
      <c r="O42" s="143">
        <v>0</v>
      </c>
      <c r="P42" s="143">
        <v>0</v>
      </c>
      <c r="Q42" s="143">
        <v>0</v>
      </c>
      <c r="R42" s="143">
        <v>0</v>
      </c>
      <c r="S42" s="143">
        <v>0</v>
      </c>
      <c r="T42" s="143">
        <v>0</v>
      </c>
      <c r="U42" s="143">
        <v>0</v>
      </c>
      <c r="V42" s="143">
        <v>0</v>
      </c>
      <c r="W42" s="143">
        <v>0</v>
      </c>
      <c r="X42" s="143">
        <v>0</v>
      </c>
      <c r="Y42" s="143">
        <v>0</v>
      </c>
      <c r="Z42" s="143">
        <v>0</v>
      </c>
      <c r="AA42" s="143">
        <v>0</v>
      </c>
      <c r="AB42" s="143">
        <v>0</v>
      </c>
      <c r="AC42" s="143">
        <v>0</v>
      </c>
      <c r="AD42" s="143">
        <v>0</v>
      </c>
      <c r="AE42" s="143">
        <v>0</v>
      </c>
      <c r="AF42" s="143">
        <v>0</v>
      </c>
      <c r="AG42" s="143">
        <v>0</v>
      </c>
      <c r="AH42" s="143">
        <v>0</v>
      </c>
      <c r="AI42" s="143">
        <v>0</v>
      </c>
      <c r="AJ42" s="143">
        <v>0</v>
      </c>
      <c r="AK42" s="143">
        <v>0</v>
      </c>
      <c r="AL42" s="143">
        <v>0</v>
      </c>
      <c r="AM42" s="143">
        <v>0</v>
      </c>
      <c r="AN42" s="143">
        <v>0</v>
      </c>
      <c r="AO42" s="143">
        <v>0</v>
      </c>
      <c r="AP42" s="143">
        <v>0</v>
      </c>
    </row>
    <row r="43" spans="1:42" x14ac:dyDescent="0.15">
      <c r="A43" s="147" t="s">
        <v>239</v>
      </c>
      <c r="B43" s="143">
        <v>0</v>
      </c>
      <c r="C43" s="143">
        <v>0</v>
      </c>
      <c r="D43" s="143">
        <v>0</v>
      </c>
      <c r="E43" s="143">
        <v>0</v>
      </c>
      <c r="F43" s="143">
        <v>0</v>
      </c>
      <c r="G43" s="143">
        <v>0</v>
      </c>
      <c r="H43" s="143">
        <v>0</v>
      </c>
      <c r="I43" s="143">
        <v>0</v>
      </c>
      <c r="J43" s="143">
        <v>0</v>
      </c>
      <c r="K43" s="143">
        <v>0</v>
      </c>
      <c r="L43" s="143">
        <v>0</v>
      </c>
      <c r="M43" s="143">
        <v>0</v>
      </c>
      <c r="N43" s="143">
        <v>0</v>
      </c>
      <c r="O43" s="143">
        <v>0</v>
      </c>
      <c r="P43" s="143">
        <v>0</v>
      </c>
      <c r="Q43" s="143">
        <v>0</v>
      </c>
      <c r="R43" s="143">
        <v>0</v>
      </c>
      <c r="S43" s="143">
        <v>0</v>
      </c>
      <c r="T43" s="143">
        <v>0</v>
      </c>
      <c r="U43" s="143">
        <v>0</v>
      </c>
      <c r="V43" s="143">
        <v>0</v>
      </c>
      <c r="W43" s="143">
        <v>0</v>
      </c>
      <c r="X43" s="143">
        <v>0</v>
      </c>
      <c r="Y43" s="143">
        <v>0</v>
      </c>
      <c r="Z43" s="143">
        <v>0</v>
      </c>
      <c r="AA43" s="143">
        <v>0</v>
      </c>
      <c r="AB43" s="143">
        <v>0</v>
      </c>
      <c r="AC43" s="143">
        <v>0</v>
      </c>
      <c r="AD43" s="143">
        <v>0</v>
      </c>
      <c r="AE43" s="143">
        <v>0</v>
      </c>
      <c r="AF43" s="143">
        <v>0</v>
      </c>
      <c r="AG43" s="143">
        <v>0</v>
      </c>
      <c r="AH43" s="143">
        <v>0.2</v>
      </c>
      <c r="AI43" s="143">
        <v>0.5</v>
      </c>
      <c r="AJ43" s="143">
        <v>0.3</v>
      </c>
      <c r="AK43" s="143">
        <v>0.1</v>
      </c>
      <c r="AL43" s="143">
        <v>0</v>
      </c>
      <c r="AM43" s="143">
        <v>0.5</v>
      </c>
      <c r="AN43" s="143">
        <v>0</v>
      </c>
      <c r="AO43" s="143">
        <v>0</v>
      </c>
      <c r="AP43" s="143">
        <v>0</v>
      </c>
    </row>
    <row r="47" spans="1:42" x14ac:dyDescent="0.15">
      <c r="A47" s="235" t="s">
        <v>248</v>
      </c>
      <c r="B47" s="143">
        <f>SUM(B2:B43)</f>
        <v>0</v>
      </c>
      <c r="C47" s="143">
        <f t="shared" ref="C47:AP47" si="0">SUM(C2:C43)</f>
        <v>0</v>
      </c>
      <c r="D47" s="143">
        <f t="shared" si="0"/>
        <v>1</v>
      </c>
      <c r="E47" s="143">
        <f t="shared" si="0"/>
        <v>1</v>
      </c>
      <c r="F47" s="143">
        <f t="shared" si="0"/>
        <v>1</v>
      </c>
      <c r="G47" s="143">
        <f t="shared" si="0"/>
        <v>1</v>
      </c>
      <c r="H47" s="143">
        <f t="shared" si="0"/>
        <v>1</v>
      </c>
      <c r="I47" s="143">
        <f t="shared" si="0"/>
        <v>1</v>
      </c>
      <c r="J47" s="143">
        <f t="shared" si="0"/>
        <v>1</v>
      </c>
      <c r="K47" s="143">
        <f t="shared" si="0"/>
        <v>1</v>
      </c>
      <c r="L47" s="143">
        <f t="shared" si="0"/>
        <v>0.99999999999999989</v>
      </c>
      <c r="M47" s="143">
        <f t="shared" si="0"/>
        <v>1</v>
      </c>
      <c r="N47" s="143">
        <f t="shared" si="0"/>
        <v>1.0000000000000002</v>
      </c>
      <c r="O47" s="143">
        <f t="shared" si="0"/>
        <v>1</v>
      </c>
      <c r="P47" s="143">
        <f t="shared" si="0"/>
        <v>1</v>
      </c>
      <c r="Q47" s="143">
        <f t="shared" si="0"/>
        <v>1</v>
      </c>
      <c r="R47" s="143">
        <f t="shared" si="0"/>
        <v>1</v>
      </c>
      <c r="S47" s="143">
        <f t="shared" si="0"/>
        <v>0.99999999999999989</v>
      </c>
      <c r="T47" s="143">
        <f t="shared" si="0"/>
        <v>1.0000000000000002</v>
      </c>
      <c r="U47" s="143">
        <f t="shared" si="0"/>
        <v>1</v>
      </c>
      <c r="V47" s="143">
        <f t="shared" si="0"/>
        <v>1</v>
      </c>
      <c r="W47" s="143">
        <f t="shared" si="0"/>
        <v>1.0000000000000002</v>
      </c>
      <c r="X47" s="143">
        <f t="shared" si="0"/>
        <v>1.0000000000000002</v>
      </c>
      <c r="Y47" s="143">
        <f t="shared" si="0"/>
        <v>1</v>
      </c>
      <c r="Z47" s="143">
        <f t="shared" si="0"/>
        <v>1</v>
      </c>
      <c r="AA47" s="143">
        <f t="shared" si="0"/>
        <v>1</v>
      </c>
      <c r="AB47" s="143">
        <f t="shared" si="0"/>
        <v>1</v>
      </c>
      <c r="AC47" s="143">
        <f t="shared" si="0"/>
        <v>1</v>
      </c>
      <c r="AD47" s="143">
        <f t="shared" si="0"/>
        <v>1</v>
      </c>
      <c r="AE47" s="143">
        <f t="shared" si="0"/>
        <v>1</v>
      </c>
      <c r="AF47" s="143">
        <f t="shared" si="0"/>
        <v>1</v>
      </c>
      <c r="AG47" s="143">
        <f t="shared" si="0"/>
        <v>1</v>
      </c>
      <c r="AH47" s="143">
        <f t="shared" si="0"/>
        <v>1</v>
      </c>
      <c r="AI47" s="143">
        <f t="shared" si="0"/>
        <v>1</v>
      </c>
      <c r="AJ47" s="143">
        <f t="shared" si="0"/>
        <v>1</v>
      </c>
      <c r="AK47" s="143">
        <f t="shared" si="0"/>
        <v>1</v>
      </c>
      <c r="AL47" s="143">
        <f t="shared" si="0"/>
        <v>1</v>
      </c>
      <c r="AM47" s="143">
        <f t="shared" si="0"/>
        <v>1</v>
      </c>
      <c r="AN47" s="143">
        <f t="shared" si="0"/>
        <v>0</v>
      </c>
      <c r="AO47" s="143">
        <f t="shared" si="0"/>
        <v>0</v>
      </c>
      <c r="AP47" s="143">
        <f t="shared" si="0"/>
        <v>0</v>
      </c>
    </row>
    <row r="48" spans="1:42" x14ac:dyDescent="0.15">
      <c r="G48" s="236" t="s">
        <v>250</v>
      </c>
      <c r="H48" s="236" t="s">
        <v>250</v>
      </c>
      <c r="I48" s="236" t="s">
        <v>250</v>
      </c>
      <c r="K48" s="236" t="s">
        <v>250</v>
      </c>
      <c r="L48" s="236" t="s">
        <v>250</v>
      </c>
      <c r="N48" s="236" t="s">
        <v>250</v>
      </c>
      <c r="V48" s="236" t="s">
        <v>250</v>
      </c>
      <c r="AE48" s="236" t="s">
        <v>250</v>
      </c>
      <c r="AJ48" s="236" t="s">
        <v>250</v>
      </c>
      <c r="AK48" s="236" t="s">
        <v>250</v>
      </c>
    </row>
    <row r="50" spans="1:37" x14ac:dyDescent="0.15">
      <c r="A50" s="236" t="s">
        <v>249</v>
      </c>
    </row>
    <row r="51" spans="1:37" x14ac:dyDescent="0.15">
      <c r="A51" s="147" t="s">
        <v>231</v>
      </c>
      <c r="G51" s="238">
        <v>0.504</v>
      </c>
      <c r="H51" s="238">
        <v>0.64</v>
      </c>
      <c r="I51" s="238">
        <v>0.60799999999999998</v>
      </c>
      <c r="K51" s="238">
        <v>0.224</v>
      </c>
      <c r="L51" s="238">
        <v>0</v>
      </c>
      <c r="N51" s="238">
        <v>3.8800000000000001E-2</v>
      </c>
      <c r="V51" s="238">
        <v>0</v>
      </c>
      <c r="AE51" s="238">
        <v>5.3000000000000009E-3</v>
      </c>
      <c r="AJ51" s="238">
        <v>2.47E-2</v>
      </c>
      <c r="AK51" s="238">
        <v>0</v>
      </c>
    </row>
    <row r="52" spans="1:37" x14ac:dyDescent="0.15">
      <c r="A52" s="147" t="s">
        <v>232</v>
      </c>
      <c r="G52" s="238">
        <v>0.126</v>
      </c>
      <c r="H52" s="238">
        <v>0.16</v>
      </c>
      <c r="I52" s="238">
        <v>0.152</v>
      </c>
      <c r="K52" s="238">
        <v>2.8000000000000001E-2</v>
      </c>
      <c r="L52" s="238">
        <v>0.10570000000000003</v>
      </c>
      <c r="N52" s="238">
        <v>2.5999999999999999E-3</v>
      </c>
      <c r="V52" s="238">
        <v>0.15659999999999999</v>
      </c>
      <c r="AE52" s="238">
        <v>1.0700000000000001E-2</v>
      </c>
      <c r="AJ52" s="238">
        <v>0.24</v>
      </c>
      <c r="AK52" s="238">
        <v>2.5999999999999999E-2</v>
      </c>
    </row>
    <row r="180" ht="15" customHeight="1" x14ac:dyDescent="0.15"/>
    <row r="181" ht="15" customHeight="1" x14ac:dyDescent="0.15"/>
    <row r="182" ht="15" customHeight="1" x14ac:dyDescent="0.15"/>
    <row r="183" ht="15" customHeight="1" x14ac:dyDescent="0.15"/>
    <row r="184" ht="15" customHeight="1" x14ac:dyDescent="0.15"/>
    <row r="185" ht="15" customHeight="1" x14ac:dyDescent="0.15"/>
    <row r="186" ht="15" customHeight="1" x14ac:dyDescent="0.15"/>
    <row r="187" ht="15" customHeight="1" x14ac:dyDescent="0.15"/>
    <row r="188" ht="15" customHeight="1" x14ac:dyDescent="0.15"/>
    <row r="189" ht="15" customHeight="1" x14ac:dyDescent="0.15"/>
    <row r="190" ht="15" customHeight="1" x14ac:dyDescent="0.15"/>
    <row r="191" ht="15" customHeight="1" x14ac:dyDescent="0.15"/>
    <row r="192" ht="15" customHeight="1" x14ac:dyDescent="0.15"/>
    <row r="193" ht="15" customHeight="1" x14ac:dyDescent="0.15"/>
    <row r="194" ht="15" customHeight="1" x14ac:dyDescent="0.15"/>
    <row r="195" ht="15" customHeight="1" x14ac:dyDescent="0.15"/>
    <row r="196" ht="15" customHeight="1" x14ac:dyDescent="0.15"/>
    <row r="197" ht="15" customHeight="1" x14ac:dyDescent="0.15"/>
    <row r="198" ht="15" customHeight="1" x14ac:dyDescent="0.15"/>
    <row r="199" ht="15" customHeight="1" x14ac:dyDescent="0.15"/>
    <row r="200" ht="15" customHeight="1" x14ac:dyDescent="0.15"/>
    <row r="201" ht="15" customHeight="1" x14ac:dyDescent="0.15"/>
    <row r="202" ht="15" customHeight="1" x14ac:dyDescent="0.15"/>
    <row r="203" ht="15" customHeight="1" x14ac:dyDescent="0.15"/>
    <row r="204" ht="15" customHeight="1" x14ac:dyDescent="0.15"/>
    <row r="205" ht="15" customHeight="1" x14ac:dyDescent="0.15"/>
    <row r="206" ht="15" customHeight="1" x14ac:dyDescent="0.15"/>
    <row r="207" ht="15" customHeight="1" x14ac:dyDescent="0.15"/>
    <row r="208" ht="15" customHeight="1" x14ac:dyDescent="0.15"/>
    <row r="209" ht="15" customHeight="1" x14ac:dyDescent="0.15"/>
    <row r="210" ht="15" customHeight="1" x14ac:dyDescent="0.15"/>
    <row r="211" ht="15" customHeight="1" x14ac:dyDescent="0.15"/>
    <row r="212" ht="15" customHeight="1" x14ac:dyDescent="0.15"/>
    <row r="213" ht="15" customHeight="1" x14ac:dyDescent="0.15"/>
    <row r="214" ht="15" customHeight="1" x14ac:dyDescent="0.15"/>
    <row r="215" ht="15" customHeight="1" x14ac:dyDescent="0.15"/>
    <row r="216" ht="15" customHeight="1" x14ac:dyDescent="0.15"/>
    <row r="217" ht="15" customHeight="1" x14ac:dyDescent="0.15"/>
    <row r="218" ht="15" customHeight="1" x14ac:dyDescent="0.15"/>
    <row r="219" ht="15" customHeight="1" x14ac:dyDescent="0.15"/>
    <row r="220" ht="15" customHeight="1" x14ac:dyDescent="0.15"/>
    <row r="221" ht="15" customHeight="1" x14ac:dyDescent="0.15"/>
    <row r="222" ht="15" customHeight="1" x14ac:dyDescent="0.15"/>
    <row r="223" ht="15" customHeight="1" x14ac:dyDescent="0.15"/>
    <row r="224" ht="15" customHeight="1" x14ac:dyDescent="0.15"/>
    <row r="225" ht="15" customHeight="1" x14ac:dyDescent="0.15"/>
    <row r="226" ht="15" customHeight="1" x14ac:dyDescent="0.15"/>
    <row r="227" ht="15" customHeight="1" x14ac:dyDescent="0.15"/>
    <row r="228" ht="15" customHeight="1" x14ac:dyDescent="0.15"/>
    <row r="229" ht="15" customHeight="1" x14ac:dyDescent="0.15"/>
    <row r="230" ht="15" customHeight="1" x14ac:dyDescent="0.15"/>
    <row r="231" ht="15" customHeight="1" x14ac:dyDescent="0.15"/>
    <row r="232" ht="15" customHeight="1" x14ac:dyDescent="0.15"/>
    <row r="233" ht="15" customHeight="1" x14ac:dyDescent="0.15"/>
    <row r="234" ht="15" customHeight="1" x14ac:dyDescent="0.15"/>
    <row r="235" ht="15" customHeight="1" x14ac:dyDescent="0.15"/>
    <row r="236" ht="15" customHeight="1" x14ac:dyDescent="0.15"/>
    <row r="237" ht="15" customHeight="1" x14ac:dyDescent="0.15"/>
    <row r="238" ht="15" customHeight="1" x14ac:dyDescent="0.15"/>
    <row r="239" ht="15" customHeight="1" x14ac:dyDescent="0.15"/>
    <row r="240" ht="15" customHeight="1" x14ac:dyDescent="0.15"/>
    <row r="241" ht="15" customHeight="1" x14ac:dyDescent="0.15"/>
    <row r="242" ht="15" customHeight="1" x14ac:dyDescent="0.15"/>
    <row r="243" ht="15" customHeight="1" x14ac:dyDescent="0.15"/>
    <row r="244" ht="15" customHeight="1" x14ac:dyDescent="0.15"/>
    <row r="245" ht="15" customHeight="1" x14ac:dyDescent="0.15"/>
    <row r="246" ht="15" customHeight="1" x14ac:dyDescent="0.15"/>
    <row r="247" ht="15" customHeight="1" x14ac:dyDescent="0.15"/>
    <row r="248" ht="15" customHeight="1" x14ac:dyDescent="0.15"/>
    <row r="249" ht="15" customHeight="1" x14ac:dyDescent="0.15"/>
    <row r="250" ht="15" customHeight="1" x14ac:dyDescent="0.15"/>
    <row r="251" ht="15" customHeight="1" x14ac:dyDescent="0.15"/>
    <row r="252" ht="15" customHeight="1" x14ac:dyDescent="0.15"/>
    <row r="253" ht="15" customHeight="1" x14ac:dyDescent="0.15"/>
    <row r="254" ht="15" customHeight="1" x14ac:dyDescent="0.15"/>
    <row r="255" ht="15" customHeight="1" x14ac:dyDescent="0.15"/>
    <row r="256" ht="15" customHeight="1" x14ac:dyDescent="0.15"/>
    <row r="257" ht="15" customHeight="1" x14ac:dyDescent="0.15"/>
    <row r="258" ht="15" customHeight="1" x14ac:dyDescent="0.15"/>
    <row r="259" ht="15" customHeight="1" x14ac:dyDescent="0.15"/>
    <row r="260" ht="15" customHeight="1" x14ac:dyDescent="0.15"/>
    <row r="261" ht="15" customHeight="1" x14ac:dyDescent="0.15"/>
    <row r="262" ht="15" customHeight="1" x14ac:dyDescent="0.15"/>
    <row r="263" ht="15" customHeight="1" x14ac:dyDescent="0.15"/>
    <row r="264" ht="15" customHeight="1" x14ac:dyDescent="0.15"/>
    <row r="265" ht="15" customHeight="1" x14ac:dyDescent="0.15"/>
    <row r="266" ht="15" customHeight="1" x14ac:dyDescent="0.15"/>
    <row r="267" ht="15" customHeight="1" x14ac:dyDescent="0.15"/>
    <row r="268" ht="15" customHeight="1" x14ac:dyDescent="0.15"/>
    <row r="269" ht="15" customHeight="1" x14ac:dyDescent="0.15"/>
    <row r="270" ht="15" customHeight="1" x14ac:dyDescent="0.15"/>
    <row r="271" ht="15" customHeight="1" x14ac:dyDescent="0.15"/>
    <row r="272" ht="15" customHeight="1" x14ac:dyDescent="0.15"/>
    <row r="273" ht="15" customHeight="1" x14ac:dyDescent="0.15"/>
    <row r="274" ht="15" customHeight="1" x14ac:dyDescent="0.15"/>
    <row r="275" ht="15" customHeight="1" x14ac:dyDescent="0.15"/>
    <row r="276" ht="15" customHeight="1" x14ac:dyDescent="0.15"/>
    <row r="277" ht="15" customHeight="1" x14ac:dyDescent="0.15"/>
    <row r="278" ht="15" customHeight="1" x14ac:dyDescent="0.15"/>
    <row r="279" ht="15" customHeight="1" x14ac:dyDescent="0.15"/>
    <row r="280" ht="15" customHeight="1" x14ac:dyDescent="0.15"/>
    <row r="281" ht="15" customHeight="1" x14ac:dyDescent="0.15"/>
    <row r="282" ht="15" customHeight="1" x14ac:dyDescent="0.15"/>
    <row r="283" ht="15" customHeight="1" x14ac:dyDescent="0.15"/>
    <row r="284" ht="15" customHeight="1" x14ac:dyDescent="0.15"/>
    <row r="285" ht="15" customHeight="1" x14ac:dyDescent="0.15"/>
    <row r="286" ht="15" customHeight="1" x14ac:dyDescent="0.15"/>
    <row r="287" ht="15" customHeight="1" x14ac:dyDescent="0.15"/>
    <row r="288" ht="15" customHeight="1" x14ac:dyDescent="0.15"/>
    <row r="289" ht="15" customHeight="1" x14ac:dyDescent="0.15"/>
    <row r="290" ht="15" customHeight="1" x14ac:dyDescent="0.15"/>
    <row r="291" ht="15" customHeight="1" x14ac:dyDescent="0.15"/>
    <row r="292" ht="15" customHeight="1" x14ac:dyDescent="0.15"/>
    <row r="293" ht="15" customHeight="1" x14ac:dyDescent="0.15"/>
    <row r="294" ht="15" customHeight="1" x14ac:dyDescent="0.15"/>
    <row r="295" ht="15" customHeight="1" x14ac:dyDescent="0.15"/>
    <row r="296" ht="15" customHeight="1" x14ac:dyDescent="0.15"/>
    <row r="297" ht="15" customHeight="1" x14ac:dyDescent="0.15"/>
    <row r="298" ht="15" customHeight="1" x14ac:dyDescent="0.15"/>
    <row r="299" ht="15" customHeight="1" x14ac:dyDescent="0.15"/>
    <row r="300" ht="15" customHeight="1" x14ac:dyDescent="0.15"/>
    <row r="301" ht="15" customHeight="1" x14ac:dyDescent="0.15"/>
    <row r="302" ht="15" customHeight="1" x14ac:dyDescent="0.15"/>
    <row r="303" ht="15" customHeight="1" x14ac:dyDescent="0.15"/>
    <row r="304" ht="15" customHeight="1" x14ac:dyDescent="0.15"/>
    <row r="305" ht="15" customHeight="1" x14ac:dyDescent="0.15"/>
    <row r="306" ht="15" customHeight="1" x14ac:dyDescent="0.15"/>
    <row r="307" ht="15" customHeight="1" x14ac:dyDescent="0.15"/>
    <row r="308" ht="15" customHeight="1" x14ac:dyDescent="0.15"/>
    <row r="309" ht="15" customHeight="1" x14ac:dyDescent="0.15"/>
    <row r="310" ht="15" customHeight="1" x14ac:dyDescent="0.15"/>
    <row r="311" ht="15" customHeight="1" x14ac:dyDescent="0.15"/>
    <row r="312" ht="15" customHeight="1" x14ac:dyDescent="0.15"/>
    <row r="313" ht="15" customHeight="1" x14ac:dyDescent="0.15"/>
    <row r="314" ht="15" customHeight="1" x14ac:dyDescent="0.15"/>
    <row r="315" ht="15" customHeight="1" x14ac:dyDescent="0.15"/>
    <row r="316" ht="15" customHeight="1" x14ac:dyDescent="0.15"/>
    <row r="317" ht="15" customHeight="1" x14ac:dyDescent="0.15"/>
    <row r="318" ht="15" customHeight="1" x14ac:dyDescent="0.15"/>
    <row r="319" ht="15" customHeight="1" x14ac:dyDescent="0.15"/>
    <row r="320" ht="15" customHeight="1" x14ac:dyDescent="0.15"/>
    <row r="321" ht="15" customHeight="1" x14ac:dyDescent="0.15"/>
    <row r="322" ht="15" customHeight="1" x14ac:dyDescent="0.15"/>
    <row r="323" ht="15" customHeight="1" x14ac:dyDescent="0.15"/>
    <row r="324" ht="15" customHeight="1" x14ac:dyDescent="0.15"/>
    <row r="325" ht="15" customHeight="1" x14ac:dyDescent="0.15"/>
    <row r="326" ht="15" customHeight="1" x14ac:dyDescent="0.15"/>
    <row r="327" ht="15" customHeight="1" x14ac:dyDescent="0.15"/>
    <row r="328" ht="15" customHeight="1" x14ac:dyDescent="0.15"/>
    <row r="329" ht="15" customHeight="1" x14ac:dyDescent="0.15"/>
    <row r="330" ht="15" customHeight="1" x14ac:dyDescent="0.15"/>
    <row r="331" ht="15" customHeight="1" x14ac:dyDescent="0.15"/>
    <row r="332" ht="15" customHeight="1" x14ac:dyDescent="0.15"/>
    <row r="333" ht="15" customHeight="1" x14ac:dyDescent="0.15"/>
    <row r="334" ht="15" customHeight="1" x14ac:dyDescent="0.15"/>
    <row r="335" ht="15" customHeight="1" x14ac:dyDescent="0.15"/>
    <row r="336" ht="15" customHeight="1" x14ac:dyDescent="0.15"/>
    <row r="337" ht="15" customHeight="1" x14ac:dyDescent="0.15"/>
    <row r="338" ht="15" customHeight="1" x14ac:dyDescent="0.15"/>
    <row r="339" ht="15" customHeight="1" x14ac:dyDescent="0.15"/>
    <row r="340" ht="15" customHeight="1" x14ac:dyDescent="0.15"/>
    <row r="341" ht="15" customHeight="1" x14ac:dyDescent="0.15"/>
    <row r="342" ht="15" customHeight="1" x14ac:dyDescent="0.15"/>
    <row r="343" ht="15" customHeight="1" x14ac:dyDescent="0.15"/>
    <row r="344" ht="15" customHeight="1" x14ac:dyDescent="0.15"/>
    <row r="345" ht="15" customHeight="1" x14ac:dyDescent="0.15"/>
    <row r="346" ht="15" customHeight="1" x14ac:dyDescent="0.15"/>
    <row r="347" ht="15" customHeight="1" x14ac:dyDescent="0.15"/>
    <row r="348" ht="15" customHeight="1" x14ac:dyDescent="0.15"/>
    <row r="349" ht="15" customHeight="1" x14ac:dyDescent="0.15"/>
    <row r="350" ht="15" customHeight="1" x14ac:dyDescent="0.15"/>
    <row r="351" ht="15" customHeight="1" x14ac:dyDescent="0.15"/>
    <row r="352" ht="15" customHeight="1" x14ac:dyDescent="0.15"/>
    <row r="353" ht="15" customHeight="1" x14ac:dyDescent="0.15"/>
    <row r="354" ht="15" customHeight="1" x14ac:dyDescent="0.15"/>
    <row r="355" ht="15" customHeight="1" x14ac:dyDescent="0.15"/>
    <row r="356" ht="15" customHeight="1" x14ac:dyDescent="0.15"/>
    <row r="357" ht="15" customHeight="1" x14ac:dyDescent="0.15"/>
    <row r="358" ht="15" customHeight="1" x14ac:dyDescent="0.15"/>
    <row r="359" ht="15" customHeight="1" x14ac:dyDescent="0.15"/>
    <row r="360" ht="15" customHeight="1" x14ac:dyDescent="0.15"/>
    <row r="361" ht="15" customHeight="1" x14ac:dyDescent="0.15"/>
    <row r="362" ht="15" customHeight="1" x14ac:dyDescent="0.15"/>
    <row r="363" ht="15" customHeight="1" x14ac:dyDescent="0.15"/>
    <row r="364" ht="15" customHeight="1" x14ac:dyDescent="0.15"/>
    <row r="365" ht="15" customHeight="1" x14ac:dyDescent="0.15"/>
    <row r="366" ht="15" customHeight="1" x14ac:dyDescent="0.15"/>
    <row r="367" ht="15" customHeight="1" x14ac:dyDescent="0.15"/>
    <row r="368" ht="15" customHeight="1" x14ac:dyDescent="0.15"/>
    <row r="369" ht="15" customHeight="1" x14ac:dyDescent="0.15"/>
    <row r="370" ht="15" customHeight="1" x14ac:dyDescent="0.15"/>
    <row r="371" ht="15" customHeight="1" x14ac:dyDescent="0.15"/>
    <row r="372" ht="15" customHeight="1" x14ac:dyDescent="0.15"/>
    <row r="373" ht="15" customHeight="1" x14ac:dyDescent="0.15"/>
  </sheetData>
  <phoneticPr fontId="2" type="noConversion"/>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tabColor indexed="45"/>
  </sheetPr>
  <dimension ref="A1:H185"/>
  <sheetViews>
    <sheetView workbookViewId="0">
      <pane xSplit="2" ySplit="1" topLeftCell="C25" activePane="bottomRight" state="frozen"/>
      <selection pane="topRight" activeCell="C1" sqref="C1"/>
      <selection pane="bottomLeft" activeCell="A2" sqref="A2"/>
      <selection pane="bottomRight" activeCell="I45" sqref="I45"/>
    </sheetView>
  </sheetViews>
  <sheetFormatPr baseColWidth="10" defaultColWidth="8.83203125" defaultRowHeight="13" x14ac:dyDescent="0.15"/>
  <cols>
    <col min="1" max="1" width="3.33203125" customWidth="1"/>
    <col min="2" max="2" width="27.5" customWidth="1"/>
    <col min="3" max="4" width="21" style="113" customWidth="1"/>
    <col min="5" max="6" width="21" style="112" customWidth="1"/>
    <col min="7" max="7" width="21" style="113" customWidth="1"/>
    <col min="8" max="8" width="8.83203125" style="113"/>
  </cols>
  <sheetData>
    <row r="1" spans="1:8" ht="70" x14ac:dyDescent="0.15">
      <c r="A1" s="5" t="s">
        <v>20</v>
      </c>
      <c r="B1" s="1" t="s">
        <v>0</v>
      </c>
      <c r="C1" s="171" t="s">
        <v>231</v>
      </c>
      <c r="D1" s="171" t="s">
        <v>232</v>
      </c>
      <c r="E1" s="171" t="s">
        <v>233</v>
      </c>
      <c r="F1" s="171" t="s">
        <v>240</v>
      </c>
      <c r="G1" s="171" t="s">
        <v>241</v>
      </c>
      <c r="H1"/>
    </row>
    <row r="2" spans="1:8" x14ac:dyDescent="0.15">
      <c r="A2">
        <v>1</v>
      </c>
      <c r="B2" s="149" t="s">
        <v>193</v>
      </c>
      <c r="C2" s="113">
        <v>1</v>
      </c>
      <c r="D2" s="113">
        <v>0</v>
      </c>
      <c r="E2" s="112">
        <v>0</v>
      </c>
      <c r="F2" s="112">
        <v>0</v>
      </c>
      <c r="G2" s="113">
        <f>SUM(C2:F2)</f>
        <v>1</v>
      </c>
      <c r="H2"/>
    </row>
    <row r="3" spans="1:8" x14ac:dyDescent="0.15">
      <c r="A3">
        <v>2</v>
      </c>
      <c r="B3" s="149" t="s">
        <v>194</v>
      </c>
      <c r="C3" s="113">
        <v>1</v>
      </c>
      <c r="D3" s="113">
        <v>0</v>
      </c>
      <c r="E3" s="112">
        <v>0</v>
      </c>
      <c r="F3" s="112">
        <v>0</v>
      </c>
      <c r="G3" s="113">
        <f t="shared" ref="G3:G47" si="0">SUM(C3:F3)</f>
        <v>1</v>
      </c>
      <c r="H3"/>
    </row>
    <row r="4" spans="1:8" x14ac:dyDescent="0.15">
      <c r="A4">
        <v>3</v>
      </c>
      <c r="B4" s="149" t="s">
        <v>195</v>
      </c>
      <c r="C4" s="113">
        <v>1</v>
      </c>
      <c r="D4" s="113">
        <v>0</v>
      </c>
      <c r="E4" s="112">
        <v>0</v>
      </c>
      <c r="F4" s="112">
        <v>0</v>
      </c>
      <c r="G4" s="113">
        <f t="shared" si="0"/>
        <v>1</v>
      </c>
      <c r="H4"/>
    </row>
    <row r="5" spans="1:8" x14ac:dyDescent="0.15">
      <c r="A5">
        <v>4</v>
      </c>
      <c r="B5" s="149" t="s">
        <v>196</v>
      </c>
      <c r="C5" s="113">
        <v>1</v>
      </c>
      <c r="D5" s="113">
        <v>0</v>
      </c>
      <c r="E5" s="112">
        <v>0</v>
      </c>
      <c r="F5" s="112">
        <v>0</v>
      </c>
      <c r="G5" s="113">
        <f t="shared" si="0"/>
        <v>1</v>
      </c>
      <c r="H5"/>
    </row>
    <row r="6" spans="1:8" x14ac:dyDescent="0.15">
      <c r="A6">
        <v>5</v>
      </c>
      <c r="B6" s="149" t="s">
        <v>197</v>
      </c>
      <c r="C6" s="113">
        <v>1</v>
      </c>
      <c r="D6" s="113">
        <v>0</v>
      </c>
      <c r="E6" s="112">
        <v>0</v>
      </c>
      <c r="F6" s="112">
        <v>0</v>
      </c>
      <c r="G6" s="113">
        <f t="shared" si="0"/>
        <v>1</v>
      </c>
      <c r="H6"/>
    </row>
    <row r="7" spans="1:8" x14ac:dyDescent="0.15">
      <c r="A7">
        <v>6</v>
      </c>
      <c r="B7" s="149" t="s">
        <v>198</v>
      </c>
      <c r="C7" s="113">
        <v>1</v>
      </c>
      <c r="D7" s="113">
        <v>0</v>
      </c>
      <c r="E7" s="112">
        <v>0</v>
      </c>
      <c r="F7" s="112">
        <v>0</v>
      </c>
      <c r="G7" s="113">
        <f t="shared" si="0"/>
        <v>1</v>
      </c>
      <c r="H7"/>
    </row>
    <row r="8" spans="1:8" x14ac:dyDescent="0.15">
      <c r="A8">
        <v>7</v>
      </c>
      <c r="B8" s="149" t="s">
        <v>199</v>
      </c>
      <c r="C8" s="113">
        <v>1</v>
      </c>
      <c r="D8" s="113">
        <v>0</v>
      </c>
      <c r="E8" s="112">
        <v>0</v>
      </c>
      <c r="F8" s="112">
        <v>0</v>
      </c>
      <c r="G8" s="113">
        <f t="shared" si="0"/>
        <v>1</v>
      </c>
      <c r="H8"/>
    </row>
    <row r="9" spans="1:8" x14ac:dyDescent="0.15">
      <c r="A9">
        <v>8</v>
      </c>
      <c r="B9" s="149" t="s">
        <v>200</v>
      </c>
      <c r="C9" s="113">
        <v>1</v>
      </c>
      <c r="D9" s="113">
        <v>0</v>
      </c>
      <c r="E9" s="112">
        <v>0</v>
      </c>
      <c r="F9" s="112">
        <v>0</v>
      </c>
      <c r="G9" s="113">
        <f t="shared" si="0"/>
        <v>1</v>
      </c>
      <c r="H9"/>
    </row>
    <row r="10" spans="1:8" x14ac:dyDescent="0.15">
      <c r="A10">
        <v>9</v>
      </c>
      <c r="B10" s="149" t="s">
        <v>201</v>
      </c>
      <c r="C10" s="113">
        <v>1</v>
      </c>
      <c r="D10" s="113">
        <v>0</v>
      </c>
      <c r="E10" s="112">
        <v>0</v>
      </c>
      <c r="F10" s="112">
        <v>0</v>
      </c>
      <c r="G10" s="113">
        <f t="shared" si="0"/>
        <v>1</v>
      </c>
      <c r="H10"/>
    </row>
    <row r="11" spans="1:8" x14ac:dyDescent="0.15">
      <c r="A11">
        <v>10</v>
      </c>
      <c r="B11" s="149" t="s">
        <v>202</v>
      </c>
      <c r="C11" s="113">
        <v>1</v>
      </c>
      <c r="D11" s="113">
        <v>0</v>
      </c>
      <c r="E11" s="112">
        <v>0</v>
      </c>
      <c r="F11" s="112">
        <v>0</v>
      </c>
      <c r="G11" s="113">
        <f t="shared" si="0"/>
        <v>1</v>
      </c>
      <c r="H11"/>
    </row>
    <row r="12" spans="1:8" x14ac:dyDescent="0.15">
      <c r="A12">
        <v>11</v>
      </c>
      <c r="B12" s="149" t="s">
        <v>203</v>
      </c>
      <c r="C12" s="113">
        <v>1</v>
      </c>
      <c r="D12" s="113">
        <v>0</v>
      </c>
      <c r="E12" s="112">
        <v>0</v>
      </c>
      <c r="F12" s="112">
        <v>0</v>
      </c>
      <c r="G12" s="113">
        <f t="shared" si="0"/>
        <v>1</v>
      </c>
      <c r="H12"/>
    </row>
    <row r="13" spans="1:8" x14ac:dyDescent="0.15">
      <c r="A13">
        <v>12</v>
      </c>
      <c r="B13" s="149" t="s">
        <v>204</v>
      </c>
      <c r="C13" s="113">
        <v>1</v>
      </c>
      <c r="D13" s="113">
        <v>0</v>
      </c>
      <c r="E13" s="112">
        <v>0</v>
      </c>
      <c r="F13" s="112">
        <v>0</v>
      </c>
      <c r="G13" s="113">
        <f t="shared" si="0"/>
        <v>1</v>
      </c>
      <c r="H13"/>
    </row>
    <row r="14" spans="1:8" x14ac:dyDescent="0.15">
      <c r="A14">
        <v>13</v>
      </c>
      <c r="B14" s="149" t="s">
        <v>205</v>
      </c>
      <c r="C14" s="113">
        <v>1</v>
      </c>
      <c r="D14" s="113">
        <v>0</v>
      </c>
      <c r="E14" s="112">
        <v>0</v>
      </c>
      <c r="F14" s="112">
        <v>0</v>
      </c>
      <c r="G14" s="113">
        <f t="shared" si="0"/>
        <v>1</v>
      </c>
      <c r="H14"/>
    </row>
    <row r="15" spans="1:8" x14ac:dyDescent="0.15">
      <c r="A15">
        <v>14</v>
      </c>
      <c r="B15" s="149" t="s">
        <v>206</v>
      </c>
      <c r="C15" s="113">
        <v>1</v>
      </c>
      <c r="D15" s="113">
        <v>0</v>
      </c>
      <c r="E15" s="112">
        <v>0</v>
      </c>
      <c r="F15" s="112">
        <v>0</v>
      </c>
      <c r="G15" s="113">
        <f t="shared" si="0"/>
        <v>1</v>
      </c>
      <c r="H15"/>
    </row>
    <row r="16" spans="1:8" x14ac:dyDescent="0.15">
      <c r="A16">
        <v>15</v>
      </c>
      <c r="B16" s="149" t="s">
        <v>207</v>
      </c>
      <c r="C16" s="113">
        <v>1</v>
      </c>
      <c r="D16" s="113">
        <v>0</v>
      </c>
      <c r="E16" s="112">
        <v>0</v>
      </c>
      <c r="F16" s="112">
        <v>0</v>
      </c>
      <c r="G16" s="113">
        <f t="shared" si="0"/>
        <v>1</v>
      </c>
      <c r="H16"/>
    </row>
    <row r="17" spans="1:8" ht="15" customHeight="1" x14ac:dyDescent="0.15">
      <c r="A17">
        <v>16</v>
      </c>
      <c r="B17" s="149" t="s">
        <v>208</v>
      </c>
      <c r="C17" s="113">
        <v>1</v>
      </c>
      <c r="D17" s="113">
        <v>0</v>
      </c>
      <c r="E17" s="112">
        <v>0</v>
      </c>
      <c r="F17" s="112">
        <v>0</v>
      </c>
      <c r="G17" s="113">
        <f t="shared" si="0"/>
        <v>1</v>
      </c>
      <c r="H17"/>
    </row>
    <row r="18" spans="1:8" ht="15" customHeight="1" x14ac:dyDescent="0.15">
      <c r="A18">
        <v>17</v>
      </c>
      <c r="B18" s="149" t="s">
        <v>209</v>
      </c>
      <c r="C18" s="113">
        <v>1</v>
      </c>
      <c r="D18" s="113">
        <v>0</v>
      </c>
      <c r="E18" s="112">
        <v>0</v>
      </c>
      <c r="F18" s="112">
        <v>0</v>
      </c>
      <c r="G18" s="113">
        <f t="shared" si="0"/>
        <v>1</v>
      </c>
      <c r="H18"/>
    </row>
    <row r="19" spans="1:8" ht="15" customHeight="1" x14ac:dyDescent="0.15">
      <c r="A19">
        <v>18</v>
      </c>
      <c r="B19" s="149" t="s">
        <v>210</v>
      </c>
      <c r="C19" s="113">
        <v>1</v>
      </c>
      <c r="D19" s="113">
        <v>0</v>
      </c>
      <c r="E19" s="112">
        <v>0</v>
      </c>
      <c r="F19" s="112">
        <v>0</v>
      </c>
      <c r="G19" s="113">
        <f t="shared" si="0"/>
        <v>1</v>
      </c>
      <c r="H19"/>
    </row>
    <row r="20" spans="1:8" ht="15" customHeight="1" x14ac:dyDescent="0.15">
      <c r="A20">
        <v>19</v>
      </c>
      <c r="B20" s="149" t="s">
        <v>211</v>
      </c>
      <c r="C20" s="113">
        <v>1</v>
      </c>
      <c r="D20" s="113">
        <v>0</v>
      </c>
      <c r="E20" s="112">
        <v>0</v>
      </c>
      <c r="F20" s="112">
        <v>0</v>
      </c>
      <c r="G20" s="113">
        <f t="shared" si="0"/>
        <v>1</v>
      </c>
      <c r="H20"/>
    </row>
    <row r="21" spans="1:8" ht="15" customHeight="1" x14ac:dyDescent="0.15">
      <c r="A21">
        <v>20</v>
      </c>
      <c r="B21" s="149" t="s">
        <v>212</v>
      </c>
      <c r="C21" s="113">
        <v>1</v>
      </c>
      <c r="D21" s="113">
        <v>0</v>
      </c>
      <c r="E21" s="112">
        <v>0</v>
      </c>
      <c r="F21" s="112">
        <v>0</v>
      </c>
      <c r="G21" s="113">
        <f t="shared" si="0"/>
        <v>1</v>
      </c>
      <c r="H21"/>
    </row>
    <row r="22" spans="1:8" ht="15" customHeight="1" x14ac:dyDescent="0.15">
      <c r="A22">
        <v>21</v>
      </c>
      <c r="B22" s="149" t="s">
        <v>213</v>
      </c>
      <c r="C22" s="113">
        <v>1</v>
      </c>
      <c r="D22" s="113">
        <v>0</v>
      </c>
      <c r="E22" s="112">
        <v>0</v>
      </c>
      <c r="F22" s="112">
        <v>0</v>
      </c>
      <c r="G22" s="113">
        <f t="shared" si="0"/>
        <v>1</v>
      </c>
      <c r="H22"/>
    </row>
    <row r="23" spans="1:8" ht="15" customHeight="1" x14ac:dyDescent="0.15">
      <c r="A23">
        <v>22</v>
      </c>
      <c r="B23" s="149" t="s">
        <v>214</v>
      </c>
      <c r="C23" s="113">
        <v>1</v>
      </c>
      <c r="D23" s="113">
        <v>0</v>
      </c>
      <c r="E23" s="112">
        <v>0</v>
      </c>
      <c r="F23" s="112">
        <v>0</v>
      </c>
      <c r="G23" s="113">
        <f t="shared" si="0"/>
        <v>1</v>
      </c>
      <c r="H23"/>
    </row>
    <row r="24" spans="1:8" ht="15" customHeight="1" x14ac:dyDescent="0.15">
      <c r="A24">
        <v>23</v>
      </c>
      <c r="B24" s="149" t="s">
        <v>215</v>
      </c>
      <c r="C24" s="113">
        <v>1</v>
      </c>
      <c r="D24" s="113">
        <v>0</v>
      </c>
      <c r="E24" s="112">
        <v>0</v>
      </c>
      <c r="F24" s="112">
        <v>0</v>
      </c>
      <c r="G24" s="113">
        <f t="shared" si="0"/>
        <v>1</v>
      </c>
      <c r="H24"/>
    </row>
    <row r="25" spans="1:8" ht="15" customHeight="1" x14ac:dyDescent="0.15">
      <c r="A25">
        <v>24</v>
      </c>
      <c r="B25" s="149" t="s">
        <v>216</v>
      </c>
      <c r="C25" s="113">
        <v>1</v>
      </c>
      <c r="D25" s="113">
        <v>0</v>
      </c>
      <c r="E25" s="112">
        <v>0</v>
      </c>
      <c r="F25" s="112">
        <v>0</v>
      </c>
      <c r="G25" s="113">
        <f t="shared" si="0"/>
        <v>1</v>
      </c>
      <c r="H25"/>
    </row>
    <row r="26" spans="1:8" ht="15" customHeight="1" x14ac:dyDescent="0.15">
      <c r="A26">
        <v>25</v>
      </c>
      <c r="B26" s="149" t="s">
        <v>217</v>
      </c>
      <c r="C26" s="113">
        <v>1</v>
      </c>
      <c r="D26" s="113">
        <v>0</v>
      </c>
      <c r="E26" s="112">
        <v>0</v>
      </c>
      <c r="F26" s="112">
        <v>0</v>
      </c>
      <c r="G26" s="113">
        <f t="shared" si="0"/>
        <v>1</v>
      </c>
      <c r="H26"/>
    </row>
    <row r="27" spans="1:8" ht="15" customHeight="1" x14ac:dyDescent="0.15">
      <c r="A27">
        <v>26</v>
      </c>
      <c r="B27" s="149" t="s">
        <v>218</v>
      </c>
      <c r="C27" s="113">
        <v>1</v>
      </c>
      <c r="D27" s="113">
        <v>0</v>
      </c>
      <c r="E27" s="112">
        <v>0</v>
      </c>
      <c r="F27" s="112">
        <v>0</v>
      </c>
      <c r="G27" s="113">
        <f t="shared" si="0"/>
        <v>1</v>
      </c>
      <c r="H27"/>
    </row>
    <row r="28" spans="1:8" ht="15" customHeight="1" x14ac:dyDescent="0.15">
      <c r="A28">
        <v>27</v>
      </c>
      <c r="B28" s="149" t="s">
        <v>219</v>
      </c>
      <c r="C28" s="113">
        <v>1</v>
      </c>
      <c r="D28" s="113">
        <v>0</v>
      </c>
      <c r="E28" s="112">
        <v>0</v>
      </c>
      <c r="F28" s="112">
        <v>0</v>
      </c>
      <c r="G28" s="113">
        <f t="shared" si="0"/>
        <v>1</v>
      </c>
      <c r="H28"/>
    </row>
    <row r="29" spans="1:8" ht="15" customHeight="1" x14ac:dyDescent="0.15">
      <c r="A29">
        <v>28</v>
      </c>
      <c r="B29" s="149" t="s">
        <v>220</v>
      </c>
      <c r="C29" s="113">
        <v>1</v>
      </c>
      <c r="D29" s="113">
        <v>0</v>
      </c>
      <c r="E29" s="112">
        <v>0</v>
      </c>
      <c r="F29" s="112">
        <v>0</v>
      </c>
      <c r="G29" s="113">
        <f t="shared" si="0"/>
        <v>1</v>
      </c>
      <c r="H29"/>
    </row>
    <row r="30" spans="1:8" ht="15" customHeight="1" x14ac:dyDescent="0.15">
      <c r="A30">
        <v>29</v>
      </c>
      <c r="B30" s="149" t="s">
        <v>221</v>
      </c>
      <c r="C30" s="113">
        <v>1</v>
      </c>
      <c r="D30" s="113">
        <v>0</v>
      </c>
      <c r="E30" s="112">
        <v>0</v>
      </c>
      <c r="F30" s="112">
        <v>0</v>
      </c>
      <c r="G30" s="113">
        <f t="shared" si="0"/>
        <v>1</v>
      </c>
      <c r="H30"/>
    </row>
    <row r="31" spans="1:8" ht="15" customHeight="1" x14ac:dyDescent="0.15">
      <c r="A31">
        <v>30</v>
      </c>
      <c r="B31" s="149" t="s">
        <v>222</v>
      </c>
      <c r="C31" s="113">
        <v>1</v>
      </c>
      <c r="D31" s="113">
        <v>0</v>
      </c>
      <c r="E31" s="112">
        <v>0</v>
      </c>
      <c r="F31" s="112">
        <v>0</v>
      </c>
      <c r="G31" s="113">
        <f t="shared" si="0"/>
        <v>1</v>
      </c>
      <c r="H31"/>
    </row>
    <row r="32" spans="1:8" ht="15" customHeight="1" x14ac:dyDescent="0.15">
      <c r="A32">
        <v>31</v>
      </c>
      <c r="B32" s="149" t="s">
        <v>223</v>
      </c>
      <c r="C32" s="113">
        <v>1</v>
      </c>
      <c r="D32" s="113">
        <v>0</v>
      </c>
      <c r="E32" s="112">
        <v>0</v>
      </c>
      <c r="F32" s="112">
        <v>0</v>
      </c>
      <c r="G32" s="113">
        <f t="shared" si="0"/>
        <v>1</v>
      </c>
    </row>
    <row r="33" spans="1:8" ht="15" customHeight="1" x14ac:dyDescent="0.15">
      <c r="A33">
        <v>32</v>
      </c>
      <c r="B33" s="149" t="s">
        <v>224</v>
      </c>
      <c r="C33" s="113">
        <v>1</v>
      </c>
      <c r="D33" s="113">
        <v>0</v>
      </c>
      <c r="E33" s="112">
        <v>0</v>
      </c>
      <c r="F33" s="112">
        <v>0</v>
      </c>
      <c r="G33" s="113">
        <f t="shared" si="0"/>
        <v>1</v>
      </c>
    </row>
    <row r="34" spans="1:8" ht="15" customHeight="1" x14ac:dyDescent="0.15">
      <c r="A34">
        <v>33</v>
      </c>
      <c r="B34" s="149" t="s">
        <v>225</v>
      </c>
      <c r="C34" s="113">
        <v>1</v>
      </c>
      <c r="D34" s="113">
        <v>0</v>
      </c>
      <c r="E34" s="112">
        <v>0</v>
      </c>
      <c r="F34" s="112">
        <v>0</v>
      </c>
      <c r="G34" s="113">
        <f t="shared" si="0"/>
        <v>1</v>
      </c>
    </row>
    <row r="35" spans="1:8" ht="15" customHeight="1" x14ac:dyDescent="0.15">
      <c r="A35">
        <v>34</v>
      </c>
      <c r="B35" s="149" t="s">
        <v>226</v>
      </c>
      <c r="C35" s="113">
        <v>1</v>
      </c>
      <c r="D35" s="113">
        <v>0</v>
      </c>
      <c r="E35" s="112">
        <v>0</v>
      </c>
      <c r="F35" s="112">
        <v>0</v>
      </c>
      <c r="G35" s="113">
        <f t="shared" si="0"/>
        <v>1</v>
      </c>
    </row>
    <row r="36" spans="1:8" ht="15" customHeight="1" x14ac:dyDescent="0.15">
      <c r="A36">
        <v>35</v>
      </c>
      <c r="B36" s="149" t="s">
        <v>227</v>
      </c>
      <c r="C36" s="113">
        <v>1</v>
      </c>
      <c r="D36" s="113">
        <v>0</v>
      </c>
      <c r="E36" s="113">
        <v>0</v>
      </c>
      <c r="F36" s="113">
        <v>0</v>
      </c>
      <c r="G36" s="113">
        <f t="shared" si="0"/>
        <v>1</v>
      </c>
      <c r="H36"/>
    </row>
    <row r="37" spans="1:8" ht="15" customHeight="1" x14ac:dyDescent="0.15">
      <c r="A37">
        <v>36</v>
      </c>
      <c r="B37" s="149" t="s">
        <v>228</v>
      </c>
      <c r="C37" s="113">
        <v>1</v>
      </c>
      <c r="D37" s="113">
        <v>0</v>
      </c>
      <c r="E37" s="113">
        <v>0</v>
      </c>
      <c r="F37" s="113">
        <v>0</v>
      </c>
      <c r="G37" s="113">
        <f t="shared" si="0"/>
        <v>1</v>
      </c>
      <c r="H37"/>
    </row>
    <row r="38" spans="1:8" ht="15" customHeight="1" x14ac:dyDescent="0.15">
      <c r="A38">
        <v>37</v>
      </c>
      <c r="B38" s="149" t="s">
        <v>229</v>
      </c>
      <c r="C38" s="113">
        <v>1</v>
      </c>
      <c r="D38" s="113">
        <v>0</v>
      </c>
      <c r="E38" s="113">
        <v>0</v>
      </c>
      <c r="F38" s="113">
        <v>0</v>
      </c>
      <c r="G38" s="113">
        <f t="shared" si="0"/>
        <v>1</v>
      </c>
      <c r="H38"/>
    </row>
    <row r="39" spans="1:8" ht="15" customHeight="1" x14ac:dyDescent="0.15">
      <c r="A39">
        <v>38</v>
      </c>
      <c r="B39" s="149" t="s">
        <v>230</v>
      </c>
      <c r="C39" s="113">
        <v>1</v>
      </c>
      <c r="D39" s="113">
        <v>0</v>
      </c>
      <c r="E39" s="113">
        <v>0</v>
      </c>
      <c r="F39" s="113">
        <v>0</v>
      </c>
      <c r="G39" s="113">
        <f t="shared" si="0"/>
        <v>1</v>
      </c>
      <c r="H39"/>
    </row>
    <row r="40" spans="1:8" ht="15" customHeight="1" x14ac:dyDescent="0.15">
      <c r="A40">
        <v>39</v>
      </c>
      <c r="B40" s="149" t="s">
        <v>231</v>
      </c>
      <c r="C40" s="113">
        <v>0</v>
      </c>
      <c r="D40" s="113">
        <v>0</v>
      </c>
      <c r="E40" s="113">
        <v>1</v>
      </c>
      <c r="F40" s="113">
        <v>0</v>
      </c>
      <c r="G40" s="113">
        <f t="shared" si="0"/>
        <v>1</v>
      </c>
      <c r="H40"/>
    </row>
    <row r="41" spans="1:8" ht="15" customHeight="1" x14ac:dyDescent="0.15">
      <c r="A41">
        <v>40</v>
      </c>
      <c r="B41" s="149" t="s">
        <v>232</v>
      </c>
      <c r="C41" s="113">
        <v>1</v>
      </c>
      <c r="D41" s="113">
        <v>0</v>
      </c>
      <c r="E41" s="113">
        <v>0</v>
      </c>
      <c r="F41" s="113">
        <v>0</v>
      </c>
      <c r="G41" s="113">
        <f t="shared" si="0"/>
        <v>1</v>
      </c>
      <c r="H41"/>
    </row>
    <row r="42" spans="1:8" ht="15" customHeight="1" x14ac:dyDescent="0.15">
      <c r="A42">
        <v>41</v>
      </c>
      <c r="B42" s="149" t="s">
        <v>233</v>
      </c>
      <c r="C42" s="113">
        <v>0</v>
      </c>
      <c r="D42" s="113">
        <v>0</v>
      </c>
      <c r="E42" s="113">
        <v>0</v>
      </c>
      <c r="F42" s="113">
        <v>1</v>
      </c>
      <c r="G42" s="113">
        <f t="shared" si="0"/>
        <v>1</v>
      </c>
      <c r="H42"/>
    </row>
    <row r="43" spans="1:8" ht="15" customHeight="1" x14ac:dyDescent="0.15">
      <c r="A43">
        <v>42</v>
      </c>
      <c r="B43" s="149" t="s">
        <v>234</v>
      </c>
      <c r="C43" s="113">
        <v>0</v>
      </c>
      <c r="D43" s="172">
        <v>1</v>
      </c>
      <c r="E43" s="172">
        <v>0</v>
      </c>
      <c r="F43" s="113">
        <v>0</v>
      </c>
      <c r="G43" s="113">
        <f t="shared" si="0"/>
        <v>1</v>
      </c>
      <c r="H43"/>
    </row>
    <row r="44" spans="1:8" ht="15" customHeight="1" x14ac:dyDescent="0.15">
      <c r="A44">
        <v>43</v>
      </c>
      <c r="B44" s="149" t="s">
        <v>235</v>
      </c>
      <c r="C44" s="113">
        <v>0</v>
      </c>
      <c r="D44" s="172">
        <v>1</v>
      </c>
      <c r="E44" s="172">
        <v>0</v>
      </c>
      <c r="F44" s="112">
        <v>0</v>
      </c>
      <c r="G44" s="113">
        <f>SUM(C44:F44)</f>
        <v>1</v>
      </c>
      <c r="H44"/>
    </row>
    <row r="45" spans="1:8" ht="15" customHeight="1" x14ac:dyDescent="0.15">
      <c r="A45">
        <v>44</v>
      </c>
      <c r="B45" s="149" t="s">
        <v>236</v>
      </c>
      <c r="C45" s="113">
        <v>0</v>
      </c>
      <c r="D45" s="172">
        <v>1</v>
      </c>
      <c r="E45" s="172">
        <v>0</v>
      </c>
      <c r="F45" s="112">
        <v>0</v>
      </c>
      <c r="G45" s="113">
        <f t="shared" si="0"/>
        <v>1</v>
      </c>
      <c r="H45"/>
    </row>
    <row r="46" spans="1:8" ht="15" customHeight="1" x14ac:dyDescent="0.15">
      <c r="A46">
        <v>45</v>
      </c>
      <c r="B46" s="149" t="s">
        <v>237</v>
      </c>
      <c r="C46" s="113">
        <v>0</v>
      </c>
      <c r="D46" s="172">
        <v>1</v>
      </c>
      <c r="E46" s="172">
        <v>0</v>
      </c>
      <c r="F46" s="113">
        <v>0</v>
      </c>
      <c r="G46" s="113">
        <f t="shared" si="0"/>
        <v>1</v>
      </c>
      <c r="H46"/>
    </row>
    <row r="47" spans="1:8" ht="15" customHeight="1" x14ac:dyDescent="0.15">
      <c r="A47">
        <v>46</v>
      </c>
      <c r="B47" s="149" t="s">
        <v>238</v>
      </c>
      <c r="C47" s="113">
        <v>0</v>
      </c>
      <c r="D47" s="172">
        <v>1</v>
      </c>
      <c r="E47" s="172">
        <v>0</v>
      </c>
      <c r="F47" s="112">
        <v>0</v>
      </c>
      <c r="G47" s="113">
        <f t="shared" si="0"/>
        <v>1</v>
      </c>
      <c r="H47"/>
    </row>
    <row r="48" spans="1:8" ht="15" customHeight="1" x14ac:dyDescent="0.15">
      <c r="C48"/>
      <c r="D48"/>
      <c r="G48"/>
      <c r="H48"/>
    </row>
    <row r="49" spans="3:8" ht="15" customHeight="1" x14ac:dyDescent="0.15">
      <c r="C49"/>
      <c r="D49"/>
      <c r="G49"/>
      <c r="H49"/>
    </row>
    <row r="50" spans="3:8" ht="15" customHeight="1" x14ac:dyDescent="0.15">
      <c r="C50"/>
      <c r="D50"/>
      <c r="G50"/>
      <c r="H50"/>
    </row>
    <row r="51" spans="3:8" ht="15" customHeight="1" x14ac:dyDescent="0.15">
      <c r="C51"/>
      <c r="D51"/>
      <c r="G51"/>
      <c r="H51"/>
    </row>
    <row r="52" spans="3:8" ht="15" customHeight="1" x14ac:dyDescent="0.15">
      <c r="C52"/>
      <c r="D52"/>
      <c r="E52"/>
      <c r="F52"/>
      <c r="G52"/>
      <c r="H52"/>
    </row>
    <row r="53" spans="3:8" ht="15" customHeight="1" x14ac:dyDescent="0.15">
      <c r="C53"/>
      <c r="D53"/>
      <c r="E53"/>
      <c r="F53"/>
      <c r="G53"/>
      <c r="H53"/>
    </row>
    <row r="54" spans="3:8" ht="15" customHeight="1" x14ac:dyDescent="0.15">
      <c r="C54"/>
      <c r="D54"/>
      <c r="E54"/>
      <c r="F54"/>
      <c r="G54"/>
      <c r="H54"/>
    </row>
    <row r="55" spans="3:8" ht="15" customHeight="1" x14ac:dyDescent="0.15">
      <c r="C55"/>
      <c r="D55"/>
      <c r="E55"/>
      <c r="F55"/>
      <c r="G55"/>
      <c r="H55"/>
    </row>
    <row r="56" spans="3:8" ht="15" customHeight="1" x14ac:dyDescent="0.15">
      <c r="C56"/>
      <c r="D56"/>
      <c r="E56"/>
      <c r="F56"/>
      <c r="G56"/>
      <c r="H56"/>
    </row>
    <row r="57" spans="3:8" ht="15" customHeight="1" x14ac:dyDescent="0.15">
      <c r="C57"/>
      <c r="D57"/>
      <c r="E57"/>
      <c r="F57"/>
      <c r="G57"/>
      <c r="H57"/>
    </row>
    <row r="58" spans="3:8" ht="15" customHeight="1" x14ac:dyDescent="0.15">
      <c r="C58"/>
      <c r="D58"/>
      <c r="E58"/>
      <c r="F58"/>
      <c r="G58"/>
      <c r="H58"/>
    </row>
    <row r="59" spans="3:8" ht="15" customHeight="1" x14ac:dyDescent="0.15">
      <c r="C59"/>
      <c r="D59"/>
      <c r="E59"/>
      <c r="F59"/>
      <c r="G59"/>
      <c r="H59"/>
    </row>
    <row r="60" spans="3:8" ht="15" customHeight="1" x14ac:dyDescent="0.15">
      <c r="C60"/>
      <c r="D60"/>
      <c r="E60"/>
      <c r="F60"/>
      <c r="G60"/>
      <c r="H60"/>
    </row>
    <row r="61" spans="3:8" ht="15" customHeight="1" x14ac:dyDescent="0.15">
      <c r="C61"/>
      <c r="D61"/>
      <c r="E61"/>
      <c r="F61"/>
      <c r="G61"/>
      <c r="H61"/>
    </row>
    <row r="62" spans="3:8" ht="15" customHeight="1" x14ac:dyDescent="0.15">
      <c r="C62"/>
      <c r="D62"/>
      <c r="E62"/>
      <c r="F62"/>
      <c r="G62"/>
      <c r="H62"/>
    </row>
    <row r="63" spans="3:8" ht="15" customHeight="1" x14ac:dyDescent="0.15">
      <c r="C63"/>
      <c r="D63"/>
      <c r="E63"/>
      <c r="F63"/>
      <c r="G63"/>
      <c r="H63"/>
    </row>
    <row r="64" spans="3:8" ht="15" customHeight="1" x14ac:dyDescent="0.15">
      <c r="C64"/>
      <c r="D64"/>
      <c r="E64"/>
      <c r="F64"/>
      <c r="G64"/>
      <c r="H64"/>
    </row>
    <row r="65" spans="3:8" ht="15" customHeight="1" x14ac:dyDescent="0.15">
      <c r="C65"/>
      <c r="D65"/>
      <c r="E65"/>
      <c r="F65"/>
      <c r="G65"/>
      <c r="H65"/>
    </row>
    <row r="66" spans="3:8" ht="15" customHeight="1" x14ac:dyDescent="0.15">
      <c r="C66"/>
      <c r="D66"/>
      <c r="E66"/>
      <c r="F66"/>
      <c r="G66"/>
      <c r="H66"/>
    </row>
    <row r="67" spans="3:8" ht="15" customHeight="1" x14ac:dyDescent="0.15">
      <c r="C67"/>
      <c r="D67"/>
      <c r="E67"/>
      <c r="F67"/>
      <c r="G67"/>
      <c r="H67"/>
    </row>
    <row r="68" spans="3:8" ht="15" customHeight="1" x14ac:dyDescent="0.15">
      <c r="C68"/>
      <c r="D68"/>
      <c r="E68"/>
      <c r="F68"/>
      <c r="G68"/>
      <c r="H68"/>
    </row>
    <row r="69" spans="3:8" ht="15" customHeight="1" x14ac:dyDescent="0.15">
      <c r="C69"/>
      <c r="D69"/>
      <c r="E69"/>
      <c r="F69"/>
      <c r="G69"/>
      <c r="H69"/>
    </row>
    <row r="70" spans="3:8" ht="15" customHeight="1" x14ac:dyDescent="0.15">
      <c r="C70"/>
      <c r="D70"/>
      <c r="E70"/>
      <c r="F70"/>
      <c r="G70"/>
      <c r="H70"/>
    </row>
    <row r="71" spans="3:8" ht="15" customHeight="1" x14ac:dyDescent="0.15">
      <c r="C71"/>
      <c r="D71"/>
      <c r="E71"/>
      <c r="F71"/>
      <c r="G71"/>
      <c r="H71"/>
    </row>
    <row r="72" spans="3:8" ht="15" customHeight="1" x14ac:dyDescent="0.15">
      <c r="C72"/>
      <c r="D72"/>
      <c r="E72"/>
      <c r="F72"/>
      <c r="G72"/>
      <c r="H72"/>
    </row>
    <row r="73" spans="3:8" ht="15" customHeight="1" x14ac:dyDescent="0.15">
      <c r="C73"/>
      <c r="D73"/>
      <c r="E73"/>
      <c r="F73"/>
      <c r="G73"/>
      <c r="H73"/>
    </row>
    <row r="74" spans="3:8" ht="15" customHeight="1" x14ac:dyDescent="0.15">
      <c r="C74"/>
      <c r="D74"/>
      <c r="E74"/>
      <c r="F74"/>
      <c r="G74"/>
      <c r="H74"/>
    </row>
    <row r="75" spans="3:8" ht="15" customHeight="1" x14ac:dyDescent="0.15">
      <c r="C75"/>
      <c r="D75"/>
      <c r="E75"/>
      <c r="F75"/>
      <c r="G75"/>
      <c r="H75"/>
    </row>
    <row r="76" spans="3:8" ht="15" customHeight="1" x14ac:dyDescent="0.15">
      <c r="C76"/>
      <c r="D76"/>
      <c r="E76"/>
      <c r="F76"/>
      <c r="G76"/>
      <c r="H76"/>
    </row>
    <row r="77" spans="3:8" ht="15" customHeight="1" x14ac:dyDescent="0.15">
      <c r="C77"/>
      <c r="D77"/>
      <c r="E77"/>
      <c r="F77"/>
      <c r="G77"/>
      <c r="H77"/>
    </row>
    <row r="78" spans="3:8" ht="15" customHeight="1" x14ac:dyDescent="0.15">
      <c r="C78"/>
      <c r="D78"/>
      <c r="E78"/>
      <c r="F78"/>
      <c r="G78"/>
      <c r="H78"/>
    </row>
    <row r="79" spans="3:8" ht="15" customHeight="1" x14ac:dyDescent="0.15">
      <c r="C79"/>
      <c r="D79"/>
      <c r="E79"/>
      <c r="F79"/>
      <c r="G79"/>
      <c r="H79"/>
    </row>
    <row r="80" spans="3:8" ht="15" customHeight="1" x14ac:dyDescent="0.15">
      <c r="C80"/>
      <c r="D80"/>
      <c r="E80"/>
      <c r="F80"/>
      <c r="G80"/>
      <c r="H80"/>
    </row>
    <row r="81" spans="3:8" ht="15" customHeight="1" x14ac:dyDescent="0.15">
      <c r="C81"/>
      <c r="D81"/>
      <c r="E81"/>
      <c r="F81"/>
      <c r="G81"/>
      <c r="H81"/>
    </row>
    <row r="82" spans="3:8" ht="15" customHeight="1" x14ac:dyDescent="0.15">
      <c r="C82"/>
      <c r="D82"/>
      <c r="E82"/>
      <c r="F82"/>
      <c r="G82"/>
      <c r="H82"/>
    </row>
    <row r="83" spans="3:8" ht="15" customHeight="1" x14ac:dyDescent="0.15">
      <c r="C83"/>
      <c r="D83"/>
      <c r="E83"/>
      <c r="F83"/>
      <c r="G83"/>
      <c r="H83"/>
    </row>
    <row r="84" spans="3:8" ht="15" customHeight="1" x14ac:dyDescent="0.15">
      <c r="C84"/>
      <c r="D84"/>
      <c r="E84"/>
      <c r="F84"/>
      <c r="G84"/>
      <c r="H84"/>
    </row>
    <row r="85" spans="3:8" ht="15" customHeight="1" x14ac:dyDescent="0.15">
      <c r="C85"/>
      <c r="D85"/>
      <c r="E85"/>
      <c r="F85"/>
      <c r="G85"/>
      <c r="H85"/>
    </row>
    <row r="86" spans="3:8" ht="15" customHeight="1" x14ac:dyDescent="0.15">
      <c r="C86"/>
      <c r="D86"/>
      <c r="E86"/>
      <c r="F86"/>
      <c r="G86"/>
      <c r="H86"/>
    </row>
    <row r="87" spans="3:8" ht="15" customHeight="1" x14ac:dyDescent="0.15">
      <c r="C87"/>
      <c r="D87"/>
      <c r="E87"/>
      <c r="F87"/>
      <c r="G87"/>
      <c r="H87"/>
    </row>
    <row r="88" spans="3:8" ht="15" customHeight="1" x14ac:dyDescent="0.15">
      <c r="C88"/>
      <c r="D88"/>
      <c r="E88"/>
      <c r="F88"/>
      <c r="G88"/>
      <c r="H88"/>
    </row>
    <row r="89" spans="3:8" ht="15" customHeight="1" x14ac:dyDescent="0.15">
      <c r="C89"/>
      <c r="D89"/>
      <c r="E89"/>
      <c r="F89"/>
      <c r="G89"/>
      <c r="H89"/>
    </row>
    <row r="90" spans="3:8" ht="15" customHeight="1" x14ac:dyDescent="0.15">
      <c r="C90"/>
      <c r="D90"/>
      <c r="E90"/>
      <c r="F90"/>
      <c r="G90"/>
      <c r="H90"/>
    </row>
    <row r="91" spans="3:8" ht="15" customHeight="1" x14ac:dyDescent="0.15">
      <c r="C91"/>
      <c r="D91"/>
      <c r="E91"/>
      <c r="F91"/>
      <c r="G91"/>
      <c r="H91"/>
    </row>
    <row r="92" spans="3:8" ht="15" customHeight="1" x14ac:dyDescent="0.15">
      <c r="C92"/>
      <c r="D92"/>
      <c r="E92"/>
      <c r="F92"/>
      <c r="G92"/>
      <c r="H92"/>
    </row>
    <row r="93" spans="3:8" ht="15" customHeight="1" x14ac:dyDescent="0.15">
      <c r="C93"/>
      <c r="D93"/>
      <c r="E93"/>
      <c r="F93"/>
      <c r="G93"/>
      <c r="H93"/>
    </row>
    <row r="94" spans="3:8" ht="15" customHeight="1" x14ac:dyDescent="0.15">
      <c r="C94"/>
      <c r="D94"/>
      <c r="E94"/>
      <c r="F94"/>
      <c r="G94"/>
      <c r="H94"/>
    </row>
    <row r="95" spans="3:8" ht="15" customHeight="1" x14ac:dyDescent="0.15">
      <c r="C95"/>
      <c r="D95"/>
      <c r="E95"/>
      <c r="F95"/>
      <c r="G95"/>
      <c r="H95"/>
    </row>
    <row r="96" spans="3:8" ht="15" customHeight="1" x14ac:dyDescent="0.15">
      <c r="C96"/>
      <c r="D96"/>
      <c r="E96"/>
      <c r="F96"/>
      <c r="G96"/>
      <c r="H96"/>
    </row>
    <row r="97" spans="3:8" ht="15" customHeight="1" x14ac:dyDescent="0.15">
      <c r="C97"/>
      <c r="D97"/>
      <c r="E97"/>
      <c r="F97"/>
      <c r="G97"/>
      <c r="H97"/>
    </row>
    <row r="98" spans="3:8" ht="15" customHeight="1" x14ac:dyDescent="0.15">
      <c r="C98"/>
      <c r="D98"/>
      <c r="E98"/>
      <c r="F98"/>
      <c r="G98"/>
      <c r="H98"/>
    </row>
    <row r="99" spans="3:8" ht="15" customHeight="1" x14ac:dyDescent="0.15">
      <c r="C99"/>
      <c r="D99"/>
      <c r="E99"/>
      <c r="F99"/>
      <c r="G99"/>
      <c r="H99"/>
    </row>
    <row r="100" spans="3:8" ht="15" customHeight="1" x14ac:dyDescent="0.15">
      <c r="C100"/>
      <c r="D100"/>
      <c r="E100"/>
      <c r="F100"/>
      <c r="G100"/>
      <c r="H100"/>
    </row>
    <row r="101" spans="3:8" ht="15" customHeight="1" x14ac:dyDescent="0.15">
      <c r="C101"/>
      <c r="D101"/>
      <c r="E101"/>
      <c r="F101"/>
      <c r="G101"/>
      <c r="H101"/>
    </row>
    <row r="102" spans="3:8" ht="15" customHeight="1" x14ac:dyDescent="0.15">
      <c r="C102"/>
      <c r="D102"/>
      <c r="E102"/>
      <c r="F102"/>
      <c r="G102"/>
      <c r="H102"/>
    </row>
    <row r="103" spans="3:8" ht="15" customHeight="1" x14ac:dyDescent="0.15">
      <c r="C103"/>
      <c r="D103"/>
      <c r="E103"/>
      <c r="F103"/>
      <c r="G103"/>
      <c r="H103"/>
    </row>
    <row r="104" spans="3:8" ht="15" customHeight="1" x14ac:dyDescent="0.15">
      <c r="C104"/>
      <c r="D104"/>
      <c r="E104"/>
      <c r="F104"/>
      <c r="G104"/>
      <c r="H104"/>
    </row>
    <row r="105" spans="3:8" ht="15" customHeight="1" x14ac:dyDescent="0.15"/>
    <row r="106" spans="3:8" ht="15" customHeight="1" x14ac:dyDescent="0.15"/>
    <row r="107" spans="3:8" ht="15" customHeight="1" x14ac:dyDescent="0.15"/>
    <row r="108" spans="3:8" ht="15" customHeight="1" x14ac:dyDescent="0.15"/>
    <row r="109" spans="3:8" ht="15" customHeight="1" x14ac:dyDescent="0.15"/>
    <row r="110" spans="3:8" ht="15" customHeight="1" x14ac:dyDescent="0.15"/>
    <row r="111" spans="3:8" ht="15" customHeight="1" x14ac:dyDescent="0.15"/>
    <row r="112" spans="3:8" ht="15" customHeight="1" x14ac:dyDescent="0.15"/>
    <row r="113" spans="3:8" ht="15" customHeight="1" x14ac:dyDescent="0.15"/>
    <row r="114" spans="3:8" ht="15" customHeight="1" x14ac:dyDescent="0.15"/>
    <row r="115" spans="3:8" ht="15" customHeight="1" x14ac:dyDescent="0.15"/>
    <row r="116" spans="3:8" ht="15" customHeight="1" x14ac:dyDescent="0.15">
      <c r="C116"/>
      <c r="D116"/>
      <c r="E116"/>
      <c r="F116"/>
      <c r="G116"/>
      <c r="H116"/>
    </row>
    <row r="117" spans="3:8" ht="15" customHeight="1" x14ac:dyDescent="0.15">
      <c r="C117"/>
      <c r="D117"/>
      <c r="E117"/>
      <c r="F117"/>
      <c r="G117"/>
      <c r="H117"/>
    </row>
    <row r="118" spans="3:8" ht="15" customHeight="1" x14ac:dyDescent="0.15">
      <c r="C118"/>
      <c r="D118"/>
      <c r="E118"/>
      <c r="F118"/>
      <c r="G118"/>
      <c r="H118"/>
    </row>
    <row r="119" spans="3:8" ht="15" customHeight="1" x14ac:dyDescent="0.15">
      <c r="C119"/>
      <c r="D119"/>
      <c r="E119"/>
      <c r="F119"/>
      <c r="G119"/>
      <c r="H119"/>
    </row>
    <row r="120" spans="3:8" ht="15" customHeight="1" x14ac:dyDescent="0.15">
      <c r="C120"/>
      <c r="D120"/>
      <c r="E120"/>
      <c r="F120"/>
      <c r="G120"/>
      <c r="H120"/>
    </row>
    <row r="121" spans="3:8" ht="15" customHeight="1" x14ac:dyDescent="0.15">
      <c r="C121"/>
      <c r="D121"/>
      <c r="E121"/>
      <c r="F121"/>
      <c r="G121"/>
      <c r="H121"/>
    </row>
    <row r="122" spans="3:8" ht="15" customHeight="1" x14ac:dyDescent="0.15">
      <c r="C122"/>
      <c r="D122"/>
      <c r="E122"/>
      <c r="F122"/>
      <c r="G122"/>
      <c r="H122"/>
    </row>
    <row r="123" spans="3:8" ht="15" customHeight="1" x14ac:dyDescent="0.15">
      <c r="C123"/>
      <c r="D123"/>
      <c r="E123"/>
      <c r="F123"/>
      <c r="G123"/>
      <c r="H123"/>
    </row>
    <row r="124" spans="3:8" ht="15" customHeight="1" x14ac:dyDescent="0.15">
      <c r="C124"/>
      <c r="D124"/>
      <c r="E124"/>
      <c r="F124"/>
      <c r="G124"/>
      <c r="H124"/>
    </row>
    <row r="125" spans="3:8" ht="15" customHeight="1" x14ac:dyDescent="0.15">
      <c r="C125"/>
      <c r="D125"/>
      <c r="E125"/>
      <c r="F125"/>
      <c r="G125"/>
      <c r="H125"/>
    </row>
    <row r="126" spans="3:8" ht="15" customHeight="1" x14ac:dyDescent="0.15">
      <c r="C126"/>
      <c r="D126"/>
      <c r="E126"/>
      <c r="F126"/>
      <c r="G126"/>
      <c r="H126"/>
    </row>
    <row r="127" spans="3:8" ht="15" customHeight="1" x14ac:dyDescent="0.15">
      <c r="C127"/>
      <c r="D127"/>
      <c r="E127"/>
      <c r="F127"/>
      <c r="G127"/>
      <c r="H127"/>
    </row>
    <row r="128" spans="3:8" ht="15" customHeight="1" x14ac:dyDescent="0.15">
      <c r="C128"/>
      <c r="D128"/>
      <c r="E128"/>
      <c r="F128"/>
      <c r="G128"/>
      <c r="H128"/>
    </row>
    <row r="129" spans="3:8" ht="15" customHeight="1" x14ac:dyDescent="0.15">
      <c r="C129"/>
      <c r="D129"/>
      <c r="E129"/>
      <c r="F129"/>
      <c r="G129"/>
      <c r="H129"/>
    </row>
    <row r="130" spans="3:8" ht="15" customHeight="1" x14ac:dyDescent="0.15">
      <c r="C130"/>
      <c r="D130"/>
      <c r="E130"/>
      <c r="F130"/>
      <c r="G130"/>
      <c r="H130"/>
    </row>
    <row r="131" spans="3:8" ht="15" customHeight="1" x14ac:dyDescent="0.15">
      <c r="C131"/>
      <c r="D131"/>
      <c r="E131"/>
      <c r="F131"/>
      <c r="G131"/>
      <c r="H131"/>
    </row>
    <row r="132" spans="3:8" ht="15" customHeight="1" x14ac:dyDescent="0.15">
      <c r="C132"/>
      <c r="D132"/>
      <c r="E132"/>
      <c r="F132"/>
      <c r="G132"/>
      <c r="H132"/>
    </row>
    <row r="133" spans="3:8" ht="15" customHeight="1" x14ac:dyDescent="0.15">
      <c r="C133"/>
      <c r="D133"/>
      <c r="E133"/>
      <c r="F133"/>
      <c r="G133"/>
      <c r="H133"/>
    </row>
    <row r="134" spans="3:8" ht="15" customHeight="1" x14ac:dyDescent="0.15">
      <c r="C134"/>
      <c r="D134"/>
      <c r="E134"/>
      <c r="F134"/>
      <c r="G134"/>
      <c r="H134"/>
    </row>
    <row r="135" spans="3:8" ht="15" customHeight="1" x14ac:dyDescent="0.15">
      <c r="C135"/>
      <c r="D135"/>
      <c r="E135"/>
      <c r="F135"/>
      <c r="G135"/>
      <c r="H135"/>
    </row>
    <row r="136" spans="3:8" ht="15" customHeight="1" x14ac:dyDescent="0.15">
      <c r="C136"/>
      <c r="D136"/>
      <c r="E136"/>
      <c r="F136"/>
      <c r="G136"/>
      <c r="H136"/>
    </row>
    <row r="137" spans="3:8" ht="15" customHeight="1" x14ac:dyDescent="0.15">
      <c r="C137"/>
      <c r="D137"/>
      <c r="E137"/>
      <c r="F137"/>
      <c r="G137"/>
      <c r="H137"/>
    </row>
    <row r="138" spans="3:8" ht="15" customHeight="1" x14ac:dyDescent="0.15">
      <c r="C138"/>
      <c r="D138"/>
      <c r="E138"/>
      <c r="F138"/>
      <c r="G138"/>
      <c r="H138"/>
    </row>
    <row r="139" spans="3:8" ht="15" customHeight="1" x14ac:dyDescent="0.15">
      <c r="C139"/>
      <c r="D139"/>
      <c r="E139"/>
      <c r="F139"/>
      <c r="G139"/>
      <c r="H139"/>
    </row>
    <row r="140" spans="3:8" ht="15" customHeight="1" x14ac:dyDescent="0.15">
      <c r="C140"/>
      <c r="D140"/>
      <c r="E140"/>
      <c r="F140"/>
      <c r="G140"/>
      <c r="H140"/>
    </row>
    <row r="141" spans="3:8" ht="15" customHeight="1" x14ac:dyDescent="0.15">
      <c r="C141"/>
      <c r="D141"/>
      <c r="E141"/>
      <c r="F141"/>
      <c r="G141"/>
      <c r="H141"/>
    </row>
    <row r="142" spans="3:8" ht="15" customHeight="1" x14ac:dyDescent="0.15">
      <c r="C142"/>
      <c r="D142"/>
      <c r="E142"/>
      <c r="F142"/>
      <c r="G142"/>
      <c r="H142"/>
    </row>
    <row r="143" spans="3:8" ht="15" customHeight="1" x14ac:dyDescent="0.15">
      <c r="C143"/>
      <c r="D143"/>
      <c r="E143"/>
      <c r="F143"/>
      <c r="G143"/>
      <c r="H143"/>
    </row>
    <row r="144" spans="3:8" ht="15" customHeight="1" x14ac:dyDescent="0.15">
      <c r="C144"/>
      <c r="D144"/>
      <c r="E144"/>
      <c r="F144"/>
      <c r="G144"/>
      <c r="H144"/>
    </row>
    <row r="145" spans="3:8" ht="15" customHeight="1" x14ac:dyDescent="0.15">
      <c r="C145"/>
      <c r="D145"/>
      <c r="E145"/>
      <c r="F145"/>
      <c r="G145"/>
      <c r="H145"/>
    </row>
    <row r="146" spans="3:8" ht="15" customHeight="1" x14ac:dyDescent="0.15">
      <c r="C146"/>
      <c r="D146"/>
      <c r="E146"/>
      <c r="F146"/>
      <c r="G146"/>
      <c r="H146"/>
    </row>
    <row r="147" spans="3:8" ht="15" customHeight="1" x14ac:dyDescent="0.15">
      <c r="C147"/>
      <c r="D147"/>
      <c r="E147"/>
      <c r="F147"/>
      <c r="G147"/>
      <c r="H147"/>
    </row>
    <row r="148" spans="3:8" ht="15" customHeight="1" x14ac:dyDescent="0.15">
      <c r="C148"/>
      <c r="D148"/>
      <c r="E148"/>
      <c r="F148"/>
      <c r="G148"/>
      <c r="H148"/>
    </row>
    <row r="149" spans="3:8" ht="15" customHeight="1" x14ac:dyDescent="0.15">
      <c r="C149"/>
      <c r="D149"/>
      <c r="E149"/>
      <c r="F149"/>
      <c r="G149"/>
      <c r="H149"/>
    </row>
    <row r="150" spans="3:8" ht="15" customHeight="1" x14ac:dyDescent="0.15">
      <c r="C150"/>
      <c r="D150"/>
      <c r="E150"/>
      <c r="F150"/>
      <c r="G150"/>
      <c r="H150"/>
    </row>
    <row r="151" spans="3:8" ht="15" customHeight="1" x14ac:dyDescent="0.15">
      <c r="C151"/>
      <c r="D151"/>
      <c r="E151"/>
      <c r="F151"/>
      <c r="G151"/>
      <c r="H151"/>
    </row>
    <row r="152" spans="3:8" ht="15" customHeight="1" x14ac:dyDescent="0.15">
      <c r="C152"/>
      <c r="D152"/>
      <c r="E152"/>
      <c r="F152"/>
      <c r="G152"/>
      <c r="H152"/>
    </row>
    <row r="153" spans="3:8" ht="15" customHeight="1" x14ac:dyDescent="0.15">
      <c r="C153"/>
      <c r="D153"/>
      <c r="E153"/>
      <c r="F153"/>
      <c r="G153"/>
      <c r="H153"/>
    </row>
    <row r="154" spans="3:8" ht="15" customHeight="1" x14ac:dyDescent="0.15">
      <c r="C154"/>
      <c r="D154"/>
      <c r="E154"/>
      <c r="F154"/>
      <c r="G154"/>
      <c r="H154"/>
    </row>
    <row r="155" spans="3:8" ht="15" customHeight="1" x14ac:dyDescent="0.15">
      <c r="C155"/>
      <c r="D155"/>
      <c r="E155"/>
      <c r="F155"/>
      <c r="G155"/>
      <c r="H155"/>
    </row>
    <row r="156" spans="3:8" ht="15" customHeight="1" x14ac:dyDescent="0.15">
      <c r="C156"/>
      <c r="D156"/>
      <c r="E156"/>
      <c r="F156"/>
      <c r="G156"/>
      <c r="H156"/>
    </row>
    <row r="157" spans="3:8" ht="15" customHeight="1" x14ac:dyDescent="0.15">
      <c r="C157"/>
      <c r="D157"/>
      <c r="E157"/>
      <c r="F157"/>
      <c r="G157"/>
      <c r="H157"/>
    </row>
    <row r="158" spans="3:8" ht="15" customHeight="1" x14ac:dyDescent="0.15">
      <c r="C158"/>
      <c r="D158"/>
      <c r="E158"/>
      <c r="F158"/>
      <c r="G158"/>
      <c r="H158"/>
    </row>
    <row r="159" spans="3:8" ht="15" customHeight="1" x14ac:dyDescent="0.15">
      <c r="C159"/>
      <c r="D159"/>
      <c r="E159"/>
      <c r="F159"/>
      <c r="G159"/>
      <c r="H159"/>
    </row>
    <row r="160" spans="3:8" ht="15" customHeight="1" x14ac:dyDescent="0.15">
      <c r="C160"/>
      <c r="D160"/>
      <c r="E160"/>
      <c r="F160"/>
      <c r="G160"/>
      <c r="H160"/>
    </row>
    <row r="161" spans="3:8" ht="15" customHeight="1" x14ac:dyDescent="0.15">
      <c r="C161"/>
      <c r="D161"/>
      <c r="E161"/>
      <c r="F161"/>
      <c r="G161"/>
      <c r="H161"/>
    </row>
    <row r="162" spans="3:8" ht="15" customHeight="1" x14ac:dyDescent="0.15">
      <c r="C162"/>
      <c r="D162"/>
      <c r="E162"/>
      <c r="F162"/>
      <c r="G162"/>
      <c r="H162"/>
    </row>
    <row r="163" spans="3:8" ht="15" customHeight="1" x14ac:dyDescent="0.15">
      <c r="C163"/>
      <c r="D163"/>
      <c r="E163"/>
      <c r="F163"/>
      <c r="G163"/>
      <c r="H163"/>
    </row>
    <row r="164" spans="3:8" ht="15" customHeight="1" x14ac:dyDescent="0.15">
      <c r="C164"/>
      <c r="D164"/>
      <c r="E164"/>
      <c r="F164"/>
      <c r="G164"/>
      <c r="H164"/>
    </row>
    <row r="165" spans="3:8" ht="15" customHeight="1" x14ac:dyDescent="0.15">
      <c r="C165"/>
      <c r="D165"/>
      <c r="E165"/>
      <c r="F165"/>
      <c r="G165"/>
      <c r="H165"/>
    </row>
    <row r="166" spans="3:8" ht="15" customHeight="1" x14ac:dyDescent="0.15">
      <c r="C166"/>
      <c r="D166"/>
      <c r="E166"/>
      <c r="F166"/>
      <c r="G166"/>
      <c r="H166"/>
    </row>
    <row r="167" spans="3:8" ht="15" customHeight="1" x14ac:dyDescent="0.15">
      <c r="C167"/>
      <c r="D167"/>
      <c r="E167"/>
      <c r="F167"/>
      <c r="G167"/>
      <c r="H167"/>
    </row>
    <row r="168" spans="3:8" ht="15" customHeight="1" x14ac:dyDescent="0.15">
      <c r="C168"/>
      <c r="D168"/>
      <c r="E168"/>
      <c r="F168"/>
      <c r="G168"/>
      <c r="H168"/>
    </row>
    <row r="169" spans="3:8" ht="15" customHeight="1" x14ac:dyDescent="0.15">
      <c r="C169"/>
      <c r="D169"/>
      <c r="E169"/>
      <c r="F169"/>
      <c r="G169"/>
      <c r="H169"/>
    </row>
    <row r="170" spans="3:8" ht="15" customHeight="1" x14ac:dyDescent="0.15">
      <c r="C170"/>
      <c r="D170"/>
      <c r="E170"/>
      <c r="F170"/>
      <c r="G170"/>
      <c r="H170"/>
    </row>
    <row r="171" spans="3:8" ht="15" customHeight="1" x14ac:dyDescent="0.15">
      <c r="C171"/>
      <c r="D171"/>
      <c r="E171"/>
      <c r="F171"/>
      <c r="G171"/>
      <c r="H171"/>
    </row>
    <row r="172" spans="3:8" ht="15" customHeight="1" x14ac:dyDescent="0.15">
      <c r="C172"/>
      <c r="D172"/>
      <c r="E172"/>
      <c r="F172"/>
      <c r="G172"/>
      <c r="H172"/>
    </row>
    <row r="173" spans="3:8" ht="15" customHeight="1" x14ac:dyDescent="0.15">
      <c r="C173"/>
      <c r="D173"/>
      <c r="E173"/>
      <c r="F173"/>
      <c r="G173"/>
      <c r="H173"/>
    </row>
    <row r="174" spans="3:8" ht="15" customHeight="1" x14ac:dyDescent="0.15">
      <c r="C174"/>
      <c r="D174"/>
      <c r="E174"/>
      <c r="F174"/>
      <c r="G174"/>
      <c r="H174"/>
    </row>
    <row r="175" spans="3:8" ht="15" customHeight="1" x14ac:dyDescent="0.15">
      <c r="C175"/>
      <c r="D175"/>
      <c r="E175"/>
      <c r="F175"/>
      <c r="G175"/>
      <c r="H175"/>
    </row>
    <row r="176" spans="3:8" ht="15" customHeight="1" x14ac:dyDescent="0.15">
      <c r="C176"/>
      <c r="D176"/>
      <c r="E176"/>
      <c r="F176"/>
      <c r="G176"/>
      <c r="H176"/>
    </row>
    <row r="177" spans="3:8" ht="15" customHeight="1" x14ac:dyDescent="0.15">
      <c r="C177"/>
      <c r="D177"/>
      <c r="E177"/>
      <c r="F177"/>
      <c r="G177"/>
      <c r="H177"/>
    </row>
    <row r="178" spans="3:8" ht="15" customHeight="1" x14ac:dyDescent="0.15">
      <c r="C178"/>
      <c r="D178"/>
      <c r="E178"/>
      <c r="F178"/>
      <c r="G178"/>
      <c r="H178"/>
    </row>
    <row r="179" spans="3:8" ht="15" customHeight="1" x14ac:dyDescent="0.15">
      <c r="C179"/>
      <c r="D179"/>
      <c r="E179"/>
      <c r="F179"/>
      <c r="G179"/>
      <c r="H179"/>
    </row>
    <row r="180" spans="3:8" ht="15" customHeight="1" x14ac:dyDescent="0.15">
      <c r="C180"/>
      <c r="D180"/>
      <c r="E180"/>
      <c r="F180"/>
      <c r="G180"/>
      <c r="H180"/>
    </row>
    <row r="181" spans="3:8" ht="15" customHeight="1" x14ac:dyDescent="0.15">
      <c r="C181"/>
      <c r="D181"/>
      <c r="E181"/>
      <c r="F181"/>
      <c r="G181"/>
      <c r="H181"/>
    </row>
    <row r="182" spans="3:8" ht="15" customHeight="1" x14ac:dyDescent="0.15">
      <c r="C182"/>
      <c r="D182"/>
      <c r="E182"/>
      <c r="F182"/>
      <c r="G182"/>
      <c r="H182"/>
    </row>
    <row r="183" spans="3:8" ht="15" customHeight="1" x14ac:dyDescent="0.15">
      <c r="C183"/>
      <c r="D183"/>
      <c r="E183"/>
      <c r="F183"/>
      <c r="G183"/>
      <c r="H183"/>
    </row>
    <row r="184" spans="3:8" ht="15" customHeight="1" x14ac:dyDescent="0.15">
      <c r="C184"/>
      <c r="D184"/>
      <c r="E184"/>
      <c r="F184"/>
      <c r="G184"/>
      <c r="H184"/>
    </row>
    <row r="185" spans="3:8" ht="15" customHeight="1" x14ac:dyDescent="0.15">
      <c r="C185"/>
      <c r="D185"/>
      <c r="E185"/>
      <c r="F185"/>
      <c r="G185"/>
      <c r="H185"/>
    </row>
  </sheetData>
  <phoneticPr fontId="2" type="noConversion"/>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indexed="45"/>
  </sheetPr>
  <dimension ref="A1:H174"/>
  <sheetViews>
    <sheetView workbookViewId="0">
      <pane xSplit="2" ySplit="1" topLeftCell="C21" activePane="bottomRight" state="frozen"/>
      <selection pane="topRight" activeCell="D1" sqref="D1"/>
      <selection pane="bottomLeft" activeCell="A2" sqref="A2"/>
      <selection pane="bottomRight" activeCell="A3" sqref="A3"/>
    </sheetView>
  </sheetViews>
  <sheetFormatPr baseColWidth="10" defaultColWidth="8.83203125" defaultRowHeight="13" x14ac:dyDescent="0.15"/>
  <cols>
    <col min="1" max="1" width="3.33203125" customWidth="1"/>
    <col min="2" max="2" width="27.5" bestFit="1" customWidth="1"/>
    <col min="3" max="5" width="13.83203125" bestFit="1" customWidth="1"/>
    <col min="6" max="8" width="13.83203125" customWidth="1"/>
  </cols>
  <sheetData>
    <row r="1" spans="1:8" s="114" customFormat="1" ht="112" x14ac:dyDescent="0.15">
      <c r="A1" s="5" t="s">
        <v>21</v>
      </c>
      <c r="B1" s="3" t="s">
        <v>0</v>
      </c>
      <c r="C1" s="151" t="s">
        <v>234</v>
      </c>
      <c r="D1" s="151" t="s">
        <v>235</v>
      </c>
      <c r="E1" s="151" t="s">
        <v>236</v>
      </c>
      <c r="F1" s="151" t="s">
        <v>237</v>
      </c>
      <c r="G1" s="151" t="s">
        <v>238</v>
      </c>
      <c r="H1" s="151" t="s">
        <v>242</v>
      </c>
    </row>
    <row r="2" spans="1:8" ht="15" customHeight="1" x14ac:dyDescent="0.15">
      <c r="A2">
        <v>1</v>
      </c>
      <c r="B2" s="150" t="s">
        <v>193</v>
      </c>
      <c r="C2">
        <v>0</v>
      </c>
      <c r="D2">
        <v>0</v>
      </c>
      <c r="E2">
        <v>0</v>
      </c>
      <c r="F2">
        <v>0</v>
      </c>
      <c r="G2">
        <v>0</v>
      </c>
      <c r="H2">
        <v>0</v>
      </c>
    </row>
    <row r="3" spans="1:8" ht="15" customHeight="1" x14ac:dyDescent="0.15">
      <c r="A3">
        <v>2</v>
      </c>
      <c r="B3" s="150" t="s">
        <v>194</v>
      </c>
      <c r="C3">
        <v>0</v>
      </c>
      <c r="D3">
        <v>0</v>
      </c>
      <c r="E3">
        <v>0</v>
      </c>
      <c r="F3">
        <v>0</v>
      </c>
      <c r="G3">
        <v>0</v>
      </c>
      <c r="H3">
        <v>0</v>
      </c>
    </row>
    <row r="4" spans="1:8" ht="15" customHeight="1" x14ac:dyDescent="0.15">
      <c r="A4">
        <v>3</v>
      </c>
      <c r="B4" s="150" t="s">
        <v>195</v>
      </c>
      <c r="C4">
        <v>0</v>
      </c>
      <c r="D4">
        <v>0</v>
      </c>
      <c r="E4">
        <v>0</v>
      </c>
      <c r="F4">
        <v>0</v>
      </c>
      <c r="G4">
        <v>0</v>
      </c>
      <c r="H4">
        <v>0</v>
      </c>
    </row>
    <row r="5" spans="1:8" ht="15" customHeight="1" x14ac:dyDescent="0.15">
      <c r="A5">
        <v>4</v>
      </c>
      <c r="B5" s="150" t="s">
        <v>196</v>
      </c>
      <c r="C5">
        <v>0</v>
      </c>
      <c r="D5">
        <v>0</v>
      </c>
      <c r="E5">
        <v>0</v>
      </c>
      <c r="F5">
        <v>0</v>
      </c>
      <c r="G5">
        <v>0</v>
      </c>
      <c r="H5">
        <v>0</v>
      </c>
    </row>
    <row r="6" spans="1:8" ht="15" customHeight="1" x14ac:dyDescent="0.15">
      <c r="A6">
        <v>5</v>
      </c>
      <c r="B6" s="150" t="s">
        <v>197</v>
      </c>
      <c r="C6">
        <v>0</v>
      </c>
      <c r="D6">
        <v>0</v>
      </c>
      <c r="E6">
        <v>0</v>
      </c>
      <c r="F6">
        <v>0</v>
      </c>
      <c r="G6">
        <v>0</v>
      </c>
      <c r="H6">
        <v>0</v>
      </c>
    </row>
    <row r="7" spans="1:8" ht="15" customHeight="1" x14ac:dyDescent="0.15">
      <c r="A7">
        <v>6</v>
      </c>
      <c r="B7" s="150" t="s">
        <v>198</v>
      </c>
      <c r="C7">
        <v>0</v>
      </c>
      <c r="D7">
        <v>0</v>
      </c>
      <c r="E7">
        <v>0</v>
      </c>
      <c r="F7">
        <v>0</v>
      </c>
      <c r="G7">
        <v>0</v>
      </c>
      <c r="H7">
        <v>0</v>
      </c>
    </row>
    <row r="8" spans="1:8" ht="15" customHeight="1" x14ac:dyDescent="0.15">
      <c r="A8">
        <v>7</v>
      </c>
      <c r="B8" s="150" t="s">
        <v>199</v>
      </c>
      <c r="C8">
        <v>0</v>
      </c>
      <c r="D8">
        <v>0</v>
      </c>
      <c r="E8">
        <v>0</v>
      </c>
      <c r="F8">
        <v>0</v>
      </c>
      <c r="G8">
        <v>0</v>
      </c>
      <c r="H8">
        <v>0</v>
      </c>
    </row>
    <row r="9" spans="1:8" ht="15" customHeight="1" x14ac:dyDescent="0.15">
      <c r="A9">
        <v>8</v>
      </c>
      <c r="B9" s="150" t="s">
        <v>200</v>
      </c>
      <c r="C9">
        <v>0</v>
      </c>
      <c r="D9">
        <v>0</v>
      </c>
      <c r="E9">
        <v>0</v>
      </c>
      <c r="F9">
        <v>0</v>
      </c>
      <c r="G9">
        <v>0</v>
      </c>
      <c r="H9">
        <v>0</v>
      </c>
    </row>
    <row r="10" spans="1:8" ht="15" customHeight="1" x14ac:dyDescent="0.15">
      <c r="A10">
        <v>9</v>
      </c>
      <c r="B10" s="150" t="s">
        <v>201</v>
      </c>
      <c r="C10">
        <v>3.8668200000000001E-4</v>
      </c>
      <c r="D10">
        <v>1.0525730000000001E-4</v>
      </c>
      <c r="E10">
        <v>0</v>
      </c>
      <c r="F10">
        <v>0</v>
      </c>
      <c r="G10">
        <v>0</v>
      </c>
      <c r="H10">
        <v>4.9193930000000004E-4</v>
      </c>
    </row>
    <row r="11" spans="1:8" ht="15" customHeight="1" x14ac:dyDescent="0.15">
      <c r="A11">
        <v>10</v>
      </c>
      <c r="B11" s="150" t="s">
        <v>202</v>
      </c>
      <c r="C11">
        <v>1.01543486E-3</v>
      </c>
      <c r="D11">
        <v>1.8324800000000001E-5</v>
      </c>
      <c r="E11">
        <v>0</v>
      </c>
      <c r="F11">
        <v>0</v>
      </c>
      <c r="G11">
        <v>0</v>
      </c>
      <c r="H11">
        <v>1.0337596599999999E-3</v>
      </c>
    </row>
    <row r="12" spans="1:8" ht="15" customHeight="1" x14ac:dyDescent="0.15">
      <c r="A12">
        <v>11</v>
      </c>
      <c r="B12" s="150" t="s">
        <v>203</v>
      </c>
      <c r="C12">
        <v>2.22911667E-2</v>
      </c>
      <c r="D12">
        <v>1.0500590000000001E-3</v>
      </c>
      <c r="E12">
        <v>0</v>
      </c>
      <c r="F12">
        <v>2.1124213900000001E-2</v>
      </c>
      <c r="G12">
        <v>3.73023E-4</v>
      </c>
      <c r="H12">
        <v>4.4838462600000004E-2</v>
      </c>
    </row>
    <row r="13" spans="1:8" ht="15" customHeight="1" x14ac:dyDescent="0.15">
      <c r="A13">
        <v>12</v>
      </c>
      <c r="B13" s="150" t="s">
        <v>204</v>
      </c>
      <c r="C13">
        <v>2.4491934999999999E-3</v>
      </c>
      <c r="D13">
        <v>2.4168058299999999E-3</v>
      </c>
      <c r="E13">
        <v>3.1269999999999999E-7</v>
      </c>
      <c r="F13">
        <v>7.6877610000000004E-3</v>
      </c>
      <c r="G13">
        <v>0</v>
      </c>
      <c r="H13">
        <v>1.2554073030000001E-2</v>
      </c>
    </row>
    <row r="14" spans="1:8" ht="15" customHeight="1" x14ac:dyDescent="0.15">
      <c r="A14">
        <v>13</v>
      </c>
      <c r="B14" s="150" t="s">
        <v>205</v>
      </c>
      <c r="C14">
        <v>1.2952991800000001E-2</v>
      </c>
      <c r="D14">
        <v>5.0571723799999998E-3</v>
      </c>
      <c r="E14">
        <v>0</v>
      </c>
      <c r="F14">
        <v>6.5755400000000004E-3</v>
      </c>
      <c r="G14">
        <v>0</v>
      </c>
      <c r="H14">
        <v>2.4585704180000001E-2</v>
      </c>
    </row>
    <row r="15" spans="1:8" ht="15" customHeight="1" x14ac:dyDescent="0.15">
      <c r="A15">
        <v>14</v>
      </c>
      <c r="B15" s="150" t="s">
        <v>206</v>
      </c>
      <c r="C15">
        <v>1.21858E-2</v>
      </c>
      <c r="D15">
        <v>4.7592789999999999E-3</v>
      </c>
      <c r="E15">
        <v>0</v>
      </c>
      <c r="F15">
        <v>7.0102000000000001E-5</v>
      </c>
      <c r="G15">
        <v>0</v>
      </c>
      <c r="H15">
        <v>1.7015181000000001E-2</v>
      </c>
    </row>
    <row r="16" spans="1:8" ht="15" customHeight="1" x14ac:dyDescent="0.15">
      <c r="A16">
        <v>15</v>
      </c>
      <c r="B16" s="150" t="s">
        <v>207</v>
      </c>
      <c r="C16">
        <v>1.14735719E-2</v>
      </c>
      <c r="D16">
        <v>4.4811116500000003E-3</v>
      </c>
      <c r="E16">
        <v>0</v>
      </c>
      <c r="F16">
        <v>6.6004699999999995E-5</v>
      </c>
      <c r="G16">
        <v>0</v>
      </c>
      <c r="H16">
        <v>1.6020688250000002E-2</v>
      </c>
    </row>
    <row r="17" spans="1:8" ht="15" customHeight="1" x14ac:dyDescent="0.15">
      <c r="A17">
        <v>16</v>
      </c>
      <c r="B17" s="150" t="s">
        <v>208</v>
      </c>
      <c r="C17">
        <v>1.6798989999999999E-4</v>
      </c>
      <c r="D17">
        <v>6.3259999999999999E-7</v>
      </c>
      <c r="E17">
        <v>0</v>
      </c>
      <c r="F17">
        <v>0</v>
      </c>
      <c r="G17">
        <v>0</v>
      </c>
      <c r="H17">
        <v>1.6862249999999998E-4</v>
      </c>
    </row>
    <row r="18" spans="1:8" ht="15" customHeight="1" x14ac:dyDescent="0.15">
      <c r="A18">
        <v>17</v>
      </c>
      <c r="B18" s="150" t="s">
        <v>209</v>
      </c>
      <c r="C18">
        <v>5.6275699999999998E-2</v>
      </c>
      <c r="D18">
        <v>2.8685762099999999E-3</v>
      </c>
      <c r="E18">
        <v>0</v>
      </c>
      <c r="F18">
        <v>3.1155332899999999E-2</v>
      </c>
      <c r="G18">
        <v>2.9841839999999998E-4</v>
      </c>
      <c r="H18">
        <v>9.0598027509999998E-2</v>
      </c>
    </row>
    <row r="19" spans="1:8" ht="15" customHeight="1" x14ac:dyDescent="0.15">
      <c r="A19">
        <v>18</v>
      </c>
      <c r="B19" s="150" t="s">
        <v>210</v>
      </c>
      <c r="C19">
        <v>5.5632000000000004E-6</v>
      </c>
      <c r="D19">
        <v>0</v>
      </c>
      <c r="E19">
        <v>0</v>
      </c>
      <c r="F19">
        <v>0</v>
      </c>
      <c r="G19">
        <v>0</v>
      </c>
      <c r="H19">
        <v>5.5632000000000004E-6</v>
      </c>
    </row>
    <row r="20" spans="1:8" ht="15" customHeight="1" x14ac:dyDescent="0.15">
      <c r="A20">
        <v>19</v>
      </c>
      <c r="B20" s="150" t="s">
        <v>211</v>
      </c>
      <c r="C20">
        <v>9.0284270000000003E-3</v>
      </c>
      <c r="D20">
        <v>0</v>
      </c>
      <c r="E20">
        <v>0</v>
      </c>
      <c r="F20">
        <v>0</v>
      </c>
      <c r="G20">
        <v>0</v>
      </c>
      <c r="H20">
        <v>9.0284270000000003E-3</v>
      </c>
    </row>
    <row r="21" spans="1:8" ht="15" customHeight="1" x14ac:dyDescent="0.15">
      <c r="A21">
        <v>20</v>
      </c>
      <c r="B21" s="150" t="s">
        <v>212</v>
      </c>
      <c r="C21">
        <v>1.80568534E-3</v>
      </c>
      <c r="D21">
        <v>0</v>
      </c>
      <c r="E21">
        <v>0</v>
      </c>
      <c r="F21">
        <v>0</v>
      </c>
      <c r="G21">
        <v>0</v>
      </c>
      <c r="H21">
        <v>1.80568534E-3</v>
      </c>
    </row>
    <row r="22" spans="1:8" ht="15" customHeight="1" x14ac:dyDescent="0.15">
      <c r="A22">
        <v>21</v>
      </c>
      <c r="B22" s="150" t="s">
        <v>213</v>
      </c>
      <c r="C22">
        <v>1.6360342299999999E-3</v>
      </c>
      <c r="D22">
        <v>1.3729859999999999E-4</v>
      </c>
      <c r="E22">
        <v>0</v>
      </c>
      <c r="F22">
        <v>8.9053000000000003E-5</v>
      </c>
      <c r="G22">
        <v>0</v>
      </c>
      <c r="H22">
        <v>1.86238583E-3</v>
      </c>
    </row>
    <row r="23" spans="1:8" ht="15" customHeight="1" x14ac:dyDescent="0.15">
      <c r="A23">
        <v>22</v>
      </c>
      <c r="B23" s="150" t="s">
        <v>214</v>
      </c>
      <c r="C23">
        <v>7.7039496999999997E-3</v>
      </c>
      <c r="D23">
        <v>4.6334959999999999E-4</v>
      </c>
      <c r="E23">
        <v>0</v>
      </c>
      <c r="F23">
        <v>5.7164031999999997E-2</v>
      </c>
      <c r="G23">
        <v>1.4920919200000001E-3</v>
      </c>
      <c r="H23">
        <v>6.6823423219999983E-2</v>
      </c>
    </row>
    <row r="24" spans="1:8" ht="15" customHeight="1" x14ac:dyDescent="0.15">
      <c r="A24">
        <v>23</v>
      </c>
      <c r="B24" s="150" t="s">
        <v>215</v>
      </c>
      <c r="C24">
        <v>2.7520311999999999E-3</v>
      </c>
      <c r="D24">
        <v>4.3289629999999999E-4</v>
      </c>
      <c r="E24">
        <v>0</v>
      </c>
      <c r="F24">
        <v>0</v>
      </c>
      <c r="G24">
        <v>0</v>
      </c>
      <c r="H24">
        <v>3.1849274999999999E-3</v>
      </c>
    </row>
    <row r="25" spans="1:8" ht="15" customHeight="1" x14ac:dyDescent="0.15">
      <c r="A25">
        <v>24</v>
      </c>
      <c r="B25" s="150" t="s">
        <v>216</v>
      </c>
      <c r="C25">
        <v>7.826434E-4</v>
      </c>
      <c r="D25">
        <v>1.0591099999999999E-5</v>
      </c>
      <c r="E25">
        <v>0</v>
      </c>
      <c r="F25">
        <v>4.0976600000000003E-5</v>
      </c>
      <c r="G25">
        <v>0</v>
      </c>
      <c r="H25">
        <v>8.3421109999999999E-4</v>
      </c>
    </row>
    <row r="26" spans="1:8" ht="15" customHeight="1" x14ac:dyDescent="0.15">
      <c r="A26">
        <v>25</v>
      </c>
      <c r="B26" s="150" t="s">
        <v>217</v>
      </c>
      <c r="C26">
        <v>8.4204379999999995E-2</v>
      </c>
      <c r="D26">
        <v>3.5628616799999999E-2</v>
      </c>
      <c r="E26">
        <v>3.2727015199999999E-3</v>
      </c>
      <c r="F26">
        <v>3.8256801200000001E-3</v>
      </c>
      <c r="G26">
        <v>0</v>
      </c>
      <c r="H26">
        <v>0.12693137843999999</v>
      </c>
    </row>
    <row r="27" spans="1:8" ht="15" customHeight="1" x14ac:dyDescent="0.15">
      <c r="A27">
        <v>26</v>
      </c>
      <c r="B27" s="150" t="s">
        <v>218</v>
      </c>
      <c r="C27">
        <v>1.50501626E-2</v>
      </c>
      <c r="D27">
        <v>7.0337400000000002E-5</v>
      </c>
      <c r="E27">
        <v>0</v>
      </c>
      <c r="F27">
        <v>5.3593110000000003E-3</v>
      </c>
      <c r="G27">
        <v>2.9841839999999998E-4</v>
      </c>
      <c r="H27">
        <v>2.0778229400000001E-2</v>
      </c>
    </row>
    <row r="28" spans="1:8" ht="15" customHeight="1" x14ac:dyDescent="0.15">
      <c r="A28">
        <v>27</v>
      </c>
      <c r="B28" s="150" t="s">
        <v>219</v>
      </c>
      <c r="C28">
        <v>2.9494384299999999E-2</v>
      </c>
      <c r="D28">
        <v>0</v>
      </c>
      <c r="E28">
        <v>0</v>
      </c>
      <c r="F28">
        <v>2.6820775099999999E-2</v>
      </c>
      <c r="G28">
        <v>0</v>
      </c>
      <c r="H28">
        <v>5.6315159399999995E-2</v>
      </c>
    </row>
    <row r="29" spans="1:8" ht="15" customHeight="1" x14ac:dyDescent="0.15">
      <c r="A29">
        <v>28</v>
      </c>
      <c r="B29" s="150" t="s">
        <v>220</v>
      </c>
      <c r="C29">
        <v>4.9570836100000003E-3</v>
      </c>
      <c r="D29">
        <v>0</v>
      </c>
      <c r="E29">
        <v>0</v>
      </c>
      <c r="F29">
        <v>2.1047819999999999E-4</v>
      </c>
      <c r="G29">
        <v>0</v>
      </c>
      <c r="H29">
        <v>5.1675618100000004E-3</v>
      </c>
    </row>
    <row r="30" spans="1:8" ht="15" customHeight="1" x14ac:dyDescent="0.15">
      <c r="A30">
        <v>29</v>
      </c>
      <c r="B30" s="150" t="s">
        <v>221</v>
      </c>
      <c r="C30">
        <v>2.4005966300000002E-3</v>
      </c>
      <c r="D30">
        <v>0</v>
      </c>
      <c r="E30">
        <v>0</v>
      </c>
      <c r="F30">
        <v>1.2145898100000001E-3</v>
      </c>
      <c r="G30">
        <v>0</v>
      </c>
      <c r="H30">
        <v>3.6151864400000002E-3</v>
      </c>
    </row>
    <row r="31" spans="1:8" ht="15" customHeight="1" x14ac:dyDescent="0.15">
      <c r="A31">
        <v>30</v>
      </c>
      <c r="B31" s="150" t="s">
        <v>222</v>
      </c>
      <c r="C31">
        <v>3.5801039999999999E-2</v>
      </c>
      <c r="D31">
        <v>0</v>
      </c>
      <c r="E31">
        <v>0</v>
      </c>
      <c r="F31">
        <v>0</v>
      </c>
      <c r="G31">
        <v>0</v>
      </c>
      <c r="H31">
        <v>3.5801039999999999E-2</v>
      </c>
    </row>
    <row r="32" spans="1:8" ht="15" customHeight="1" x14ac:dyDescent="0.15">
      <c r="A32">
        <v>31</v>
      </c>
      <c r="B32" s="150" t="s">
        <v>223</v>
      </c>
      <c r="C32">
        <v>1.0673240000000001E-2</v>
      </c>
      <c r="D32">
        <v>7.3970039999999996E-4</v>
      </c>
      <c r="E32">
        <v>2.0145233700000001E-3</v>
      </c>
      <c r="F32">
        <v>4.5474300000000002E-4</v>
      </c>
      <c r="G32">
        <v>0</v>
      </c>
      <c r="H32">
        <v>1.3882206770000001E-2</v>
      </c>
    </row>
    <row r="33" spans="1:8" ht="15" customHeight="1" x14ac:dyDescent="0.15">
      <c r="A33">
        <v>32</v>
      </c>
      <c r="B33" s="150" t="s">
        <v>224</v>
      </c>
      <c r="C33">
        <v>4.462939E-3</v>
      </c>
      <c r="D33">
        <v>3.7372209999999998E-4</v>
      </c>
      <c r="E33">
        <v>6.9099750000000001E-4</v>
      </c>
      <c r="F33">
        <v>0</v>
      </c>
      <c r="G33">
        <v>0</v>
      </c>
      <c r="H33">
        <v>5.5276586000000006E-3</v>
      </c>
    </row>
    <row r="34" spans="1:8" ht="15" customHeight="1" x14ac:dyDescent="0.15">
      <c r="A34">
        <v>33</v>
      </c>
      <c r="B34" s="150" t="s">
        <v>225</v>
      </c>
      <c r="C34">
        <v>7.020063E-3</v>
      </c>
      <c r="D34">
        <v>0</v>
      </c>
      <c r="E34">
        <v>0</v>
      </c>
      <c r="F34">
        <v>1.5510119299999999E-3</v>
      </c>
      <c r="G34">
        <v>0</v>
      </c>
      <c r="H34">
        <v>8.5710749300000003E-3</v>
      </c>
    </row>
    <row r="35" spans="1:8" ht="15" customHeight="1" x14ac:dyDescent="0.15">
      <c r="A35">
        <v>34</v>
      </c>
      <c r="B35" s="150" t="s">
        <v>226</v>
      </c>
      <c r="C35">
        <v>2.4104874599999999E-2</v>
      </c>
      <c r="D35">
        <v>2.9624999999999998E-5</v>
      </c>
      <c r="E35">
        <v>1.5633399999999998E-5</v>
      </c>
      <c r="F35">
        <v>2.4058530000000002E-2</v>
      </c>
      <c r="G35">
        <v>0</v>
      </c>
      <c r="H35">
        <v>4.8208662999999999E-2</v>
      </c>
    </row>
    <row r="36" spans="1:8" ht="15" customHeight="1" x14ac:dyDescent="0.15">
      <c r="A36">
        <v>35</v>
      </c>
      <c r="B36" s="150" t="s">
        <v>227</v>
      </c>
      <c r="C36">
        <v>0</v>
      </c>
      <c r="D36">
        <v>0</v>
      </c>
      <c r="E36">
        <v>0</v>
      </c>
      <c r="F36">
        <v>0</v>
      </c>
      <c r="G36">
        <v>0</v>
      </c>
      <c r="H36">
        <v>0</v>
      </c>
    </row>
    <row r="37" spans="1:8" ht="15" customHeight="1" x14ac:dyDescent="0.15">
      <c r="A37">
        <v>36</v>
      </c>
      <c r="B37" s="150" t="s">
        <v>228</v>
      </c>
      <c r="C37">
        <v>0</v>
      </c>
      <c r="D37">
        <v>0</v>
      </c>
      <c r="E37">
        <v>0</v>
      </c>
      <c r="F37">
        <v>0</v>
      </c>
      <c r="G37">
        <v>0</v>
      </c>
      <c r="H37">
        <v>0</v>
      </c>
    </row>
    <row r="38" spans="1:8" ht="15" customHeight="1" x14ac:dyDescent="0.15">
      <c r="A38">
        <v>37</v>
      </c>
      <c r="B38" s="150" t="s">
        <v>229</v>
      </c>
      <c r="C38">
        <v>0</v>
      </c>
      <c r="D38">
        <v>0</v>
      </c>
      <c r="E38">
        <v>0</v>
      </c>
      <c r="F38">
        <v>0</v>
      </c>
      <c r="G38">
        <v>0</v>
      </c>
      <c r="H38">
        <v>0</v>
      </c>
    </row>
    <row r="39" spans="1:8" ht="15" customHeight="1" x14ac:dyDescent="0.15">
      <c r="A39">
        <v>38</v>
      </c>
      <c r="B39" s="150" t="s">
        <v>230</v>
      </c>
      <c r="C39">
        <v>0</v>
      </c>
      <c r="D39">
        <v>0</v>
      </c>
      <c r="E39">
        <v>0</v>
      </c>
      <c r="F39">
        <v>0</v>
      </c>
      <c r="G39">
        <v>0</v>
      </c>
      <c r="H39">
        <v>0</v>
      </c>
    </row>
    <row r="40" spans="1:8" ht="15" customHeight="1" x14ac:dyDescent="0.15">
      <c r="A40">
        <v>39</v>
      </c>
      <c r="B40" s="150" t="s">
        <v>231</v>
      </c>
      <c r="C40">
        <v>0</v>
      </c>
      <c r="D40">
        <v>0</v>
      </c>
      <c r="E40">
        <v>0</v>
      </c>
      <c r="F40">
        <v>0</v>
      </c>
      <c r="G40">
        <v>0</v>
      </c>
      <c r="H40">
        <v>0</v>
      </c>
    </row>
    <row r="41" spans="1:8" ht="15" customHeight="1" x14ac:dyDescent="0.15">
      <c r="A41">
        <v>40</v>
      </c>
      <c r="B41" s="150" t="s">
        <v>232</v>
      </c>
      <c r="C41">
        <v>0</v>
      </c>
      <c r="D41">
        <v>0</v>
      </c>
      <c r="E41">
        <v>0</v>
      </c>
      <c r="F41">
        <v>0</v>
      </c>
      <c r="G41">
        <v>0</v>
      </c>
      <c r="H41">
        <v>0</v>
      </c>
    </row>
    <row r="42" spans="1:8" ht="15" customHeight="1" x14ac:dyDescent="0.15">
      <c r="A42">
        <v>41</v>
      </c>
      <c r="B42" s="150" t="s">
        <v>233</v>
      </c>
      <c r="C42">
        <v>0</v>
      </c>
      <c r="D42">
        <v>0</v>
      </c>
      <c r="E42">
        <v>0</v>
      </c>
      <c r="F42">
        <v>0</v>
      </c>
      <c r="G42">
        <v>0</v>
      </c>
      <c r="H42">
        <v>0</v>
      </c>
    </row>
    <row r="43" spans="1:8" ht="15" customHeight="1" x14ac:dyDescent="0.15"/>
    <row r="44" spans="1:8" ht="15" customHeight="1" x14ac:dyDescent="0.15"/>
    <row r="45" spans="1:8" ht="15" customHeight="1" x14ac:dyDescent="0.15"/>
    <row r="46" spans="1:8" ht="15" customHeight="1" x14ac:dyDescent="0.15"/>
    <row r="47" spans="1:8" ht="15" customHeight="1" x14ac:dyDescent="0.15"/>
    <row r="48" spans="1:8" ht="15" customHeight="1" x14ac:dyDescent="0.15"/>
    <row r="49" ht="15" customHeight="1" x14ac:dyDescent="0.15"/>
    <row r="82" ht="15" customHeight="1" x14ac:dyDescent="0.15"/>
    <row r="83" ht="15" customHeight="1" x14ac:dyDescent="0.15"/>
    <row r="84" ht="15" customHeight="1" x14ac:dyDescent="0.15"/>
    <row r="85" ht="15" customHeight="1" x14ac:dyDescent="0.15"/>
    <row r="86" ht="15" customHeight="1" x14ac:dyDescent="0.15"/>
    <row r="87" ht="15" customHeight="1" x14ac:dyDescent="0.15"/>
    <row r="88" ht="15" customHeight="1" x14ac:dyDescent="0.15"/>
    <row r="89" ht="15" customHeight="1" x14ac:dyDescent="0.15"/>
    <row r="90" ht="15" customHeight="1" x14ac:dyDescent="0.15"/>
    <row r="91" ht="15" customHeight="1" x14ac:dyDescent="0.15"/>
    <row r="92" ht="15" customHeight="1" x14ac:dyDescent="0.15"/>
    <row r="93" ht="15" customHeight="1" x14ac:dyDescent="0.15"/>
    <row r="94" ht="15" customHeight="1" x14ac:dyDescent="0.15"/>
    <row r="95" ht="15" customHeight="1" x14ac:dyDescent="0.15"/>
    <row r="96" ht="15" customHeight="1" x14ac:dyDescent="0.15"/>
    <row r="97" ht="15" customHeight="1" x14ac:dyDescent="0.15"/>
    <row r="98" ht="15" customHeight="1" x14ac:dyDescent="0.15"/>
    <row r="99" ht="15" customHeight="1" x14ac:dyDescent="0.15"/>
    <row r="100" ht="15" customHeight="1" x14ac:dyDescent="0.15"/>
    <row r="101" ht="15" customHeight="1" x14ac:dyDescent="0.15"/>
    <row r="102" ht="15" customHeight="1" x14ac:dyDescent="0.15"/>
    <row r="103" ht="15" customHeight="1" x14ac:dyDescent="0.15"/>
    <row r="104" ht="15" customHeight="1" x14ac:dyDescent="0.15"/>
    <row r="105" ht="15" customHeight="1" x14ac:dyDescent="0.15"/>
    <row r="106" ht="15" customHeight="1" x14ac:dyDescent="0.15"/>
    <row r="107" ht="15" customHeight="1" x14ac:dyDescent="0.15"/>
    <row r="108" ht="15" customHeight="1" x14ac:dyDescent="0.15"/>
    <row r="109" ht="15" customHeight="1" x14ac:dyDescent="0.15"/>
    <row r="110" ht="15" customHeight="1" x14ac:dyDescent="0.15"/>
    <row r="111" ht="15" customHeight="1" x14ac:dyDescent="0.15"/>
    <row r="112" ht="15" customHeight="1" x14ac:dyDescent="0.15"/>
    <row r="113" ht="15" customHeight="1" x14ac:dyDescent="0.15"/>
    <row r="114" ht="15" customHeight="1" x14ac:dyDescent="0.15"/>
    <row r="115" ht="15" customHeight="1" x14ac:dyDescent="0.15"/>
    <row r="116" ht="15" customHeight="1" x14ac:dyDescent="0.15"/>
    <row r="117" ht="15" customHeight="1" x14ac:dyDescent="0.15"/>
    <row r="118" ht="15" customHeight="1" x14ac:dyDescent="0.15"/>
    <row r="119" ht="15" customHeight="1" x14ac:dyDescent="0.15"/>
    <row r="120" ht="15" customHeight="1" x14ac:dyDescent="0.15"/>
    <row r="121" ht="15" customHeight="1" x14ac:dyDescent="0.15"/>
    <row r="122" ht="15" customHeight="1" x14ac:dyDescent="0.15"/>
    <row r="123" ht="15" customHeight="1" x14ac:dyDescent="0.15"/>
    <row r="124" ht="15" customHeight="1" x14ac:dyDescent="0.15"/>
    <row r="125" ht="15" customHeight="1" x14ac:dyDescent="0.15"/>
    <row r="126" ht="15" customHeight="1" x14ac:dyDescent="0.15"/>
    <row r="127" ht="15" customHeight="1" x14ac:dyDescent="0.15"/>
    <row r="128" ht="15" customHeight="1" x14ac:dyDescent="0.15"/>
    <row r="129" ht="15" customHeight="1" x14ac:dyDescent="0.15"/>
    <row r="130" ht="15" customHeight="1" x14ac:dyDescent="0.15"/>
    <row r="131" ht="15" customHeight="1" x14ac:dyDescent="0.15"/>
    <row r="132" ht="15" customHeight="1" x14ac:dyDescent="0.15"/>
    <row r="133" ht="15" customHeight="1" x14ac:dyDescent="0.15"/>
    <row r="134" ht="15" customHeight="1" x14ac:dyDescent="0.15"/>
    <row r="135" ht="15" customHeight="1" x14ac:dyDescent="0.15"/>
    <row r="136" ht="15" customHeight="1" x14ac:dyDescent="0.15"/>
    <row r="137" ht="15" customHeight="1" x14ac:dyDescent="0.15"/>
    <row r="138" ht="15" customHeight="1" x14ac:dyDescent="0.15"/>
    <row r="139" ht="15" customHeight="1" x14ac:dyDescent="0.15"/>
    <row r="140" ht="15" customHeight="1" x14ac:dyDescent="0.15"/>
    <row r="141" ht="15" customHeight="1" x14ac:dyDescent="0.15"/>
    <row r="142" ht="15" customHeight="1" x14ac:dyDescent="0.15"/>
    <row r="143" ht="15" customHeight="1" x14ac:dyDescent="0.15"/>
    <row r="144" ht="15" customHeight="1" x14ac:dyDescent="0.15"/>
    <row r="145" ht="15" customHeight="1" x14ac:dyDescent="0.15"/>
    <row r="146" ht="15" customHeight="1" x14ac:dyDescent="0.15"/>
    <row r="147" ht="15" customHeight="1" x14ac:dyDescent="0.15"/>
    <row r="148" ht="15" customHeight="1" x14ac:dyDescent="0.15"/>
    <row r="149" ht="15" customHeight="1" x14ac:dyDescent="0.15"/>
    <row r="150" ht="15" customHeight="1" x14ac:dyDescent="0.15"/>
    <row r="151" ht="15" customHeight="1" x14ac:dyDescent="0.15"/>
    <row r="152" ht="15" customHeight="1" x14ac:dyDescent="0.15"/>
    <row r="153" ht="15" customHeight="1" x14ac:dyDescent="0.15"/>
    <row r="154" ht="15" customHeight="1" x14ac:dyDescent="0.15"/>
    <row r="155" ht="15" customHeight="1" x14ac:dyDescent="0.15"/>
    <row r="156" ht="15" customHeight="1" x14ac:dyDescent="0.15"/>
    <row r="157" ht="15" customHeight="1" x14ac:dyDescent="0.15"/>
    <row r="158" ht="15" customHeight="1" x14ac:dyDescent="0.15"/>
    <row r="159" ht="15" customHeight="1" x14ac:dyDescent="0.15"/>
    <row r="160" ht="15" customHeight="1" x14ac:dyDescent="0.15"/>
    <row r="161" ht="15" customHeight="1" x14ac:dyDescent="0.15"/>
    <row r="162" ht="15" customHeight="1" x14ac:dyDescent="0.15"/>
    <row r="163" ht="15" customHeight="1" x14ac:dyDescent="0.15"/>
    <row r="164" ht="15" customHeight="1" x14ac:dyDescent="0.15"/>
    <row r="165" ht="15" customHeight="1" x14ac:dyDescent="0.15"/>
    <row r="166" ht="15" customHeight="1" x14ac:dyDescent="0.15"/>
    <row r="167" ht="15" customHeight="1" x14ac:dyDescent="0.15"/>
    <row r="168" ht="15" customHeight="1" x14ac:dyDescent="0.15"/>
    <row r="169" ht="15" customHeight="1" x14ac:dyDescent="0.15"/>
    <row r="170" ht="15" customHeight="1" x14ac:dyDescent="0.15"/>
    <row r="173" ht="15" customHeight="1" x14ac:dyDescent="0.15"/>
    <row r="174" ht="15" customHeight="1" x14ac:dyDescent="0.15"/>
  </sheetData>
  <phoneticPr fontId="2" type="noConversion"/>
  <pageMargins left="0.18" right="0.18" top="0.19" bottom="0.18" header="0.18" footer="0.17"/>
  <pageSetup scale="70" fitToWidth="2" fitToHeight="4" orientation="landscape"/>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indexed="45"/>
  </sheetPr>
  <dimension ref="A1:H42"/>
  <sheetViews>
    <sheetView workbookViewId="0">
      <pane xSplit="2" ySplit="1" topLeftCell="C27" activePane="bottomRight" state="frozen"/>
      <selection pane="topRight" activeCell="D1" sqref="D1"/>
      <selection pane="bottomLeft" activeCell="A2" sqref="A2"/>
      <selection pane="bottomRight" activeCell="L35" sqref="L35"/>
    </sheetView>
  </sheetViews>
  <sheetFormatPr baseColWidth="10" defaultColWidth="8.83203125" defaultRowHeight="13" x14ac:dyDescent="0.15"/>
  <cols>
    <col min="1" max="1" width="3.33203125" customWidth="1"/>
    <col min="2" max="2" width="27.5" bestFit="1" customWidth="1"/>
    <col min="3" max="4" width="12.33203125" bestFit="1" customWidth="1"/>
    <col min="5" max="5" width="11.6640625" bestFit="1" customWidth="1"/>
    <col min="6" max="6" width="10.83203125" bestFit="1" customWidth="1"/>
    <col min="7" max="7" width="6.1640625" bestFit="1" customWidth="1"/>
    <col min="8" max="8" width="13.83203125" customWidth="1"/>
  </cols>
  <sheetData>
    <row r="1" spans="1:8" s="114" customFormat="1" ht="112" x14ac:dyDescent="0.15">
      <c r="A1" s="5" t="s">
        <v>22</v>
      </c>
      <c r="B1" s="3" t="s">
        <v>0</v>
      </c>
      <c r="C1" s="153" t="s">
        <v>234</v>
      </c>
      <c r="D1" s="153" t="s">
        <v>235</v>
      </c>
      <c r="E1" s="153" t="s">
        <v>236</v>
      </c>
      <c r="F1" s="153" t="s">
        <v>237</v>
      </c>
      <c r="G1" s="153" t="s">
        <v>238</v>
      </c>
      <c r="H1" s="153" t="s">
        <v>242</v>
      </c>
    </row>
    <row r="2" spans="1:8" x14ac:dyDescent="0.15">
      <c r="A2">
        <v>1</v>
      </c>
      <c r="B2" s="152" t="s">
        <v>193</v>
      </c>
      <c r="C2">
        <v>0</v>
      </c>
      <c r="D2">
        <v>0</v>
      </c>
      <c r="E2">
        <v>0</v>
      </c>
      <c r="F2">
        <v>0</v>
      </c>
      <c r="G2">
        <v>0</v>
      </c>
      <c r="H2" s="143">
        <f>SUM(C2:G2)</f>
        <v>0</v>
      </c>
    </row>
    <row r="3" spans="1:8" x14ac:dyDescent="0.15">
      <c r="A3">
        <v>2</v>
      </c>
      <c r="B3" s="152" t="s">
        <v>194</v>
      </c>
      <c r="C3">
        <v>0</v>
      </c>
      <c r="D3">
        <v>0</v>
      </c>
      <c r="E3">
        <v>0</v>
      </c>
      <c r="F3">
        <v>0</v>
      </c>
      <c r="G3">
        <v>0</v>
      </c>
      <c r="H3" s="143">
        <f t="shared" ref="H3:H42" si="0">SUM(C3:G3)</f>
        <v>0</v>
      </c>
    </row>
    <row r="4" spans="1:8" x14ac:dyDescent="0.15">
      <c r="A4">
        <v>3</v>
      </c>
      <c r="B4" s="152" t="s">
        <v>195</v>
      </c>
      <c r="C4">
        <v>0</v>
      </c>
      <c r="D4">
        <v>0</v>
      </c>
      <c r="E4">
        <v>0</v>
      </c>
      <c r="F4">
        <v>0</v>
      </c>
      <c r="G4">
        <v>0</v>
      </c>
      <c r="H4" s="143">
        <f t="shared" si="0"/>
        <v>0</v>
      </c>
    </row>
    <row r="5" spans="1:8" x14ac:dyDescent="0.15">
      <c r="A5">
        <v>4</v>
      </c>
      <c r="B5" s="152" t="s">
        <v>196</v>
      </c>
      <c r="C5">
        <v>0</v>
      </c>
      <c r="D5">
        <v>0</v>
      </c>
      <c r="E5">
        <v>0</v>
      </c>
      <c r="F5">
        <v>0</v>
      </c>
      <c r="G5">
        <v>0</v>
      </c>
      <c r="H5" s="143">
        <f t="shared" si="0"/>
        <v>0</v>
      </c>
    </row>
    <row r="6" spans="1:8" x14ac:dyDescent="0.15">
      <c r="A6">
        <v>5</v>
      </c>
      <c r="B6" s="152" t="s">
        <v>197</v>
      </c>
      <c r="C6">
        <v>0</v>
      </c>
      <c r="D6">
        <v>0</v>
      </c>
      <c r="E6">
        <v>0</v>
      </c>
      <c r="F6">
        <v>0</v>
      </c>
      <c r="G6">
        <v>0</v>
      </c>
      <c r="H6" s="143">
        <f t="shared" si="0"/>
        <v>0</v>
      </c>
    </row>
    <row r="7" spans="1:8" x14ac:dyDescent="0.15">
      <c r="A7">
        <v>6</v>
      </c>
      <c r="B7" s="152" t="s">
        <v>198</v>
      </c>
      <c r="C7">
        <v>0</v>
      </c>
      <c r="D7">
        <v>0</v>
      </c>
      <c r="E7">
        <v>0</v>
      </c>
      <c r="F7">
        <v>0</v>
      </c>
      <c r="G7">
        <v>0</v>
      </c>
      <c r="H7" s="143">
        <f t="shared" si="0"/>
        <v>0</v>
      </c>
    </row>
    <row r="8" spans="1:8" x14ac:dyDescent="0.15">
      <c r="A8">
        <v>7</v>
      </c>
      <c r="B8" s="152" t="s">
        <v>199</v>
      </c>
      <c r="C8">
        <v>0</v>
      </c>
      <c r="D8">
        <v>0</v>
      </c>
      <c r="E8">
        <v>0</v>
      </c>
      <c r="F8">
        <v>0</v>
      </c>
      <c r="G8">
        <v>0</v>
      </c>
      <c r="H8" s="143">
        <f t="shared" si="0"/>
        <v>0</v>
      </c>
    </row>
    <row r="9" spans="1:8" x14ac:dyDescent="0.15">
      <c r="A9">
        <v>8</v>
      </c>
      <c r="B9" s="152" t="s">
        <v>200</v>
      </c>
      <c r="C9">
        <v>0</v>
      </c>
      <c r="D9">
        <v>0</v>
      </c>
      <c r="E9">
        <v>0</v>
      </c>
      <c r="F9">
        <v>0</v>
      </c>
      <c r="G9">
        <v>0</v>
      </c>
      <c r="H9" s="143">
        <f t="shared" si="0"/>
        <v>0</v>
      </c>
    </row>
    <row r="10" spans="1:8" x14ac:dyDescent="0.15">
      <c r="A10">
        <v>9</v>
      </c>
      <c r="B10" s="152" t="s">
        <v>201</v>
      </c>
      <c r="C10">
        <v>1.9377100000000001E-5</v>
      </c>
      <c r="D10">
        <v>5.69521E-5</v>
      </c>
      <c r="E10">
        <v>0</v>
      </c>
      <c r="F10">
        <v>0</v>
      </c>
      <c r="G10">
        <v>0</v>
      </c>
      <c r="H10" s="143">
        <f t="shared" si="0"/>
        <v>7.6329199999999994E-5</v>
      </c>
    </row>
    <row r="11" spans="1:8" x14ac:dyDescent="0.15">
      <c r="A11">
        <v>10</v>
      </c>
      <c r="B11" s="152" t="s">
        <v>202</v>
      </c>
      <c r="C11">
        <v>5.0884699999999998E-5</v>
      </c>
      <c r="D11">
        <v>5.7508000000000001E-6</v>
      </c>
      <c r="E11">
        <v>0</v>
      </c>
      <c r="F11">
        <v>0</v>
      </c>
      <c r="G11">
        <v>0</v>
      </c>
      <c r="H11" s="143">
        <f t="shared" si="0"/>
        <v>5.6635499999999997E-5</v>
      </c>
    </row>
    <row r="12" spans="1:8" x14ac:dyDescent="0.15">
      <c r="A12">
        <v>11</v>
      </c>
      <c r="B12" s="152" t="s">
        <v>203</v>
      </c>
      <c r="C12">
        <v>1.1170387700000001E-3</v>
      </c>
      <c r="D12">
        <v>2.54166E-5</v>
      </c>
      <c r="E12">
        <v>0</v>
      </c>
      <c r="F12">
        <v>0</v>
      </c>
      <c r="G12">
        <v>0</v>
      </c>
      <c r="H12" s="143">
        <f t="shared" si="0"/>
        <v>1.1424553700000002E-3</v>
      </c>
    </row>
    <row r="13" spans="1:8" x14ac:dyDescent="0.15">
      <c r="A13">
        <v>12</v>
      </c>
      <c r="B13" s="152" t="s">
        <v>204</v>
      </c>
      <c r="C13">
        <v>1.227322E-4</v>
      </c>
      <c r="D13">
        <v>2.92192E-5</v>
      </c>
      <c r="E13">
        <v>0</v>
      </c>
      <c r="F13">
        <v>0</v>
      </c>
      <c r="G13">
        <v>0</v>
      </c>
      <c r="H13" s="143">
        <f t="shared" si="0"/>
        <v>1.519514E-4</v>
      </c>
    </row>
    <row r="14" spans="1:8" x14ac:dyDescent="0.15">
      <c r="A14">
        <v>13</v>
      </c>
      <c r="B14" s="152" t="s">
        <v>205</v>
      </c>
      <c r="C14">
        <v>6.4909090000000004E-4</v>
      </c>
      <c r="D14">
        <v>7.9045250000000004E-4</v>
      </c>
      <c r="E14">
        <v>0</v>
      </c>
      <c r="F14">
        <v>0</v>
      </c>
      <c r="G14">
        <v>0</v>
      </c>
      <c r="H14" s="143">
        <f t="shared" si="0"/>
        <v>1.4395434000000001E-3</v>
      </c>
    </row>
    <row r="15" spans="1:8" x14ac:dyDescent="0.15">
      <c r="A15">
        <v>14</v>
      </c>
      <c r="B15" s="152" t="s">
        <v>206</v>
      </c>
      <c r="C15">
        <v>6.1064599999999995E-4</v>
      </c>
      <c r="D15">
        <v>6.3579999999999999E-6</v>
      </c>
      <c r="E15">
        <v>0</v>
      </c>
      <c r="F15">
        <v>0</v>
      </c>
      <c r="G15">
        <v>0</v>
      </c>
      <c r="H15" s="143">
        <f t="shared" si="0"/>
        <v>6.1700399999999999E-4</v>
      </c>
    </row>
    <row r="16" spans="1:8" x14ac:dyDescent="0.15">
      <c r="A16">
        <v>15</v>
      </c>
      <c r="B16" s="152" t="s">
        <v>207</v>
      </c>
      <c r="C16">
        <v>5.7495539999999996E-4</v>
      </c>
      <c r="D16">
        <v>5.9864E-6</v>
      </c>
      <c r="E16">
        <v>0</v>
      </c>
      <c r="F16">
        <v>0</v>
      </c>
      <c r="G16">
        <v>0</v>
      </c>
      <c r="H16" s="143">
        <f t="shared" si="0"/>
        <v>5.8094179999999991E-4</v>
      </c>
    </row>
    <row r="17" spans="1:8" x14ac:dyDescent="0.15">
      <c r="A17">
        <v>16</v>
      </c>
      <c r="B17" s="152" t="s">
        <v>208</v>
      </c>
      <c r="C17">
        <v>8.4182000000000001E-6</v>
      </c>
      <c r="D17">
        <v>3.2509139999999998E-4</v>
      </c>
      <c r="E17">
        <v>0</v>
      </c>
      <c r="F17">
        <v>0</v>
      </c>
      <c r="G17">
        <v>0</v>
      </c>
      <c r="H17" s="143">
        <f t="shared" si="0"/>
        <v>3.335096E-4</v>
      </c>
    </row>
    <row r="18" spans="1:8" x14ac:dyDescent="0.15">
      <c r="A18">
        <v>17</v>
      </c>
      <c r="B18" s="152" t="s">
        <v>209</v>
      </c>
      <c r="C18">
        <v>2.820047E-3</v>
      </c>
      <c r="D18">
        <v>4.061124E-4</v>
      </c>
      <c r="E18">
        <v>0</v>
      </c>
      <c r="F18">
        <v>0</v>
      </c>
      <c r="G18">
        <v>0</v>
      </c>
      <c r="H18" s="143">
        <f t="shared" si="0"/>
        <v>3.2261593999999998E-3</v>
      </c>
    </row>
    <row r="19" spans="1:8" x14ac:dyDescent="0.15">
      <c r="A19">
        <v>18</v>
      </c>
      <c r="B19" s="152" t="s">
        <v>210</v>
      </c>
      <c r="C19">
        <v>2.7879999999999998E-7</v>
      </c>
      <c r="D19">
        <v>0</v>
      </c>
      <c r="E19">
        <v>0</v>
      </c>
      <c r="F19">
        <v>0</v>
      </c>
      <c r="G19">
        <v>0</v>
      </c>
      <c r="H19" s="143">
        <f t="shared" si="0"/>
        <v>2.7879999999999998E-7</v>
      </c>
    </row>
    <row r="20" spans="1:8" x14ac:dyDescent="0.15">
      <c r="A20">
        <v>19</v>
      </c>
      <c r="B20" s="152" t="s">
        <v>211</v>
      </c>
      <c r="C20">
        <v>4.5242600000000002E-4</v>
      </c>
      <c r="D20">
        <v>0</v>
      </c>
      <c r="E20">
        <v>0</v>
      </c>
      <c r="F20">
        <v>0</v>
      </c>
      <c r="G20">
        <v>0</v>
      </c>
      <c r="H20" s="143">
        <f t="shared" si="0"/>
        <v>4.5242600000000002E-4</v>
      </c>
    </row>
    <row r="21" spans="1:8" x14ac:dyDescent="0.15">
      <c r="A21">
        <v>20</v>
      </c>
      <c r="B21" s="152" t="s">
        <v>212</v>
      </c>
      <c r="C21">
        <v>0</v>
      </c>
      <c r="D21">
        <v>2.7217000000000001E-6</v>
      </c>
      <c r="E21">
        <v>0</v>
      </c>
      <c r="F21">
        <v>0</v>
      </c>
      <c r="G21">
        <v>0</v>
      </c>
      <c r="H21" s="143">
        <f t="shared" si="0"/>
        <v>2.7217000000000001E-6</v>
      </c>
    </row>
    <row r="22" spans="1:8" x14ac:dyDescent="0.15">
      <c r="A22">
        <v>21</v>
      </c>
      <c r="B22" s="152" t="s">
        <v>213</v>
      </c>
      <c r="C22">
        <v>8.1983800000000006E-5</v>
      </c>
      <c r="D22">
        <v>1.249496E-4</v>
      </c>
      <c r="E22">
        <v>0</v>
      </c>
      <c r="F22">
        <v>0</v>
      </c>
      <c r="G22">
        <v>0</v>
      </c>
      <c r="H22" s="143">
        <f t="shared" si="0"/>
        <v>2.0693339999999999E-4</v>
      </c>
    </row>
    <row r="23" spans="1:8" x14ac:dyDescent="0.15">
      <c r="A23">
        <v>22</v>
      </c>
      <c r="B23" s="152" t="s">
        <v>214</v>
      </c>
      <c r="C23">
        <v>3.8605470000000001E-4</v>
      </c>
      <c r="D23">
        <v>0</v>
      </c>
      <c r="E23">
        <v>0</v>
      </c>
      <c r="F23">
        <v>0</v>
      </c>
      <c r="G23">
        <v>0</v>
      </c>
      <c r="H23" s="143">
        <f t="shared" si="0"/>
        <v>3.8605470000000001E-4</v>
      </c>
    </row>
    <row r="24" spans="1:8" x14ac:dyDescent="0.15">
      <c r="A24">
        <v>23</v>
      </c>
      <c r="B24" s="152" t="s">
        <v>215</v>
      </c>
      <c r="C24">
        <v>1.3790779999999999E-4</v>
      </c>
      <c r="D24">
        <v>6.9412400000000006E-5</v>
      </c>
      <c r="E24">
        <v>0</v>
      </c>
      <c r="F24">
        <v>0</v>
      </c>
      <c r="G24">
        <v>0</v>
      </c>
      <c r="H24" s="143">
        <f t="shared" si="0"/>
        <v>2.073202E-4</v>
      </c>
    </row>
    <row r="25" spans="1:8" x14ac:dyDescent="0.15">
      <c r="A25">
        <v>24</v>
      </c>
      <c r="B25" s="152" t="s">
        <v>216</v>
      </c>
      <c r="C25">
        <v>3.9219299999999999E-5</v>
      </c>
      <c r="D25">
        <v>1.1005800000000001E-5</v>
      </c>
      <c r="E25">
        <v>0</v>
      </c>
      <c r="F25">
        <v>0</v>
      </c>
      <c r="G25">
        <v>0</v>
      </c>
      <c r="H25" s="143">
        <f t="shared" si="0"/>
        <v>5.0225100000000001E-5</v>
      </c>
    </row>
    <row r="26" spans="1:8" x14ac:dyDescent="0.15">
      <c r="A26">
        <v>25</v>
      </c>
      <c r="B26" s="152" t="s">
        <v>217</v>
      </c>
      <c r="C26">
        <v>1.86158139E-2</v>
      </c>
      <c r="D26">
        <v>7.0122839999999995E-4</v>
      </c>
      <c r="E26">
        <v>0</v>
      </c>
      <c r="F26">
        <v>0</v>
      </c>
      <c r="G26">
        <v>0</v>
      </c>
      <c r="H26" s="143">
        <f t="shared" si="0"/>
        <v>1.93170423E-2</v>
      </c>
    </row>
    <row r="27" spans="1:8" x14ac:dyDescent="0.15">
      <c r="A27">
        <v>26</v>
      </c>
      <c r="B27" s="152" t="s">
        <v>218</v>
      </c>
      <c r="C27">
        <v>7.541828E-4</v>
      </c>
      <c r="D27">
        <v>4.59318E-5</v>
      </c>
      <c r="E27">
        <v>0</v>
      </c>
      <c r="F27">
        <v>0</v>
      </c>
      <c r="G27">
        <v>0</v>
      </c>
      <c r="H27" s="143">
        <f t="shared" si="0"/>
        <v>8.0011459999999998E-4</v>
      </c>
    </row>
    <row r="28" spans="1:8" x14ac:dyDescent="0.15">
      <c r="A28">
        <v>27</v>
      </c>
      <c r="B28" s="152" t="s">
        <v>219</v>
      </c>
      <c r="C28">
        <v>1.47800124E-3</v>
      </c>
      <c r="D28">
        <v>0</v>
      </c>
      <c r="E28">
        <v>0</v>
      </c>
      <c r="F28">
        <v>0</v>
      </c>
      <c r="G28">
        <v>0</v>
      </c>
      <c r="H28" s="143">
        <f t="shared" si="0"/>
        <v>1.47800124E-3</v>
      </c>
    </row>
    <row r="29" spans="1:8" x14ac:dyDescent="0.15">
      <c r="A29">
        <v>28</v>
      </c>
      <c r="B29" s="152" t="s">
        <v>220</v>
      </c>
      <c r="C29">
        <v>2.4840579999999999E-4</v>
      </c>
      <c r="D29">
        <v>0</v>
      </c>
      <c r="E29">
        <v>0</v>
      </c>
      <c r="F29">
        <v>0</v>
      </c>
      <c r="G29">
        <v>0</v>
      </c>
      <c r="H29" s="143">
        <f t="shared" si="0"/>
        <v>2.4840579999999999E-4</v>
      </c>
    </row>
    <row r="30" spans="1:8" x14ac:dyDescent="0.15">
      <c r="A30">
        <v>29</v>
      </c>
      <c r="B30" s="152" t="s">
        <v>221</v>
      </c>
      <c r="C30">
        <v>1.20297E-4</v>
      </c>
      <c r="D30">
        <v>0</v>
      </c>
      <c r="E30">
        <v>0</v>
      </c>
      <c r="F30">
        <v>0</v>
      </c>
      <c r="G30">
        <v>0</v>
      </c>
      <c r="H30" s="143">
        <f t="shared" si="0"/>
        <v>1.20297E-4</v>
      </c>
    </row>
    <row r="31" spans="1:8" x14ac:dyDescent="0.15">
      <c r="A31">
        <v>30</v>
      </c>
      <c r="B31" s="152" t="s">
        <v>222</v>
      </c>
      <c r="C31">
        <v>1.79403555E-3</v>
      </c>
      <c r="D31">
        <v>3.6459000000000001E-6</v>
      </c>
      <c r="E31">
        <v>0</v>
      </c>
      <c r="F31">
        <v>0</v>
      </c>
      <c r="G31">
        <v>0</v>
      </c>
      <c r="H31" s="143">
        <f t="shared" si="0"/>
        <v>1.7976814499999999E-3</v>
      </c>
    </row>
    <row r="32" spans="1:8" x14ac:dyDescent="0.15">
      <c r="A32">
        <v>31</v>
      </c>
      <c r="B32" s="152" t="s">
        <v>223</v>
      </c>
      <c r="C32">
        <v>5.3484970000000002E-4</v>
      </c>
      <c r="D32">
        <v>1.2661E-5</v>
      </c>
      <c r="E32">
        <v>0</v>
      </c>
      <c r="F32">
        <v>0</v>
      </c>
      <c r="G32">
        <v>0</v>
      </c>
      <c r="H32" s="143">
        <f t="shared" si="0"/>
        <v>5.4751069999999999E-4</v>
      </c>
    </row>
    <row r="33" spans="1:8" x14ac:dyDescent="0.15">
      <c r="A33">
        <v>32</v>
      </c>
      <c r="B33" s="152" t="s">
        <v>224</v>
      </c>
      <c r="C33">
        <v>2.236436E-4</v>
      </c>
      <c r="D33">
        <v>3.7649000000000002E-6</v>
      </c>
      <c r="E33">
        <v>0</v>
      </c>
      <c r="F33">
        <v>0</v>
      </c>
      <c r="G33">
        <v>0</v>
      </c>
      <c r="H33" s="143">
        <f t="shared" si="0"/>
        <v>2.274085E-4</v>
      </c>
    </row>
    <row r="34" spans="1:8" x14ac:dyDescent="0.15">
      <c r="A34">
        <v>33</v>
      </c>
      <c r="B34" s="152" t="s">
        <v>225</v>
      </c>
      <c r="C34">
        <v>3.517843E-4</v>
      </c>
      <c r="D34">
        <v>0</v>
      </c>
      <c r="E34">
        <v>0</v>
      </c>
      <c r="F34">
        <v>0</v>
      </c>
      <c r="G34">
        <v>0</v>
      </c>
      <c r="H34" s="143">
        <f t="shared" si="0"/>
        <v>3.517843E-4</v>
      </c>
    </row>
    <row r="35" spans="1:8" x14ac:dyDescent="0.15">
      <c r="A35">
        <v>34</v>
      </c>
      <c r="B35" s="152" t="s">
        <v>226</v>
      </c>
      <c r="C35">
        <v>1.207926E-3</v>
      </c>
      <c r="D35">
        <v>0</v>
      </c>
      <c r="E35">
        <v>0</v>
      </c>
      <c r="F35">
        <v>0</v>
      </c>
      <c r="G35">
        <v>0</v>
      </c>
      <c r="H35" s="143">
        <f t="shared" si="0"/>
        <v>1.207926E-3</v>
      </c>
    </row>
    <row r="36" spans="1:8" x14ac:dyDescent="0.15">
      <c r="A36">
        <v>35</v>
      </c>
      <c r="B36" s="152" t="s">
        <v>227</v>
      </c>
      <c r="C36">
        <v>3.0000000000000001E-3</v>
      </c>
      <c r="D36">
        <v>0</v>
      </c>
      <c r="E36">
        <v>0</v>
      </c>
      <c r="F36">
        <v>0</v>
      </c>
      <c r="G36">
        <v>0</v>
      </c>
      <c r="H36" s="143">
        <f t="shared" si="0"/>
        <v>3.0000000000000001E-3</v>
      </c>
    </row>
    <row r="37" spans="1:8" x14ac:dyDescent="0.15">
      <c r="A37">
        <v>36</v>
      </c>
      <c r="B37" s="152" t="s">
        <v>228</v>
      </c>
      <c r="C37">
        <v>0</v>
      </c>
      <c r="D37">
        <v>0</v>
      </c>
      <c r="E37">
        <v>0</v>
      </c>
      <c r="F37">
        <v>0</v>
      </c>
      <c r="G37">
        <v>0</v>
      </c>
      <c r="H37" s="143">
        <f t="shared" si="0"/>
        <v>0</v>
      </c>
    </row>
    <row r="38" spans="1:8" x14ac:dyDescent="0.15">
      <c r="A38">
        <v>37</v>
      </c>
      <c r="B38" s="152" t="s">
        <v>229</v>
      </c>
      <c r="C38">
        <v>0</v>
      </c>
      <c r="D38">
        <v>0</v>
      </c>
      <c r="E38">
        <v>0</v>
      </c>
      <c r="F38">
        <v>0</v>
      </c>
      <c r="G38">
        <v>0</v>
      </c>
      <c r="H38" s="143">
        <f t="shared" si="0"/>
        <v>0</v>
      </c>
    </row>
    <row r="39" spans="1:8" x14ac:dyDescent="0.15">
      <c r="A39">
        <v>38</v>
      </c>
      <c r="B39" s="152" t="s">
        <v>230</v>
      </c>
      <c r="C39">
        <v>0</v>
      </c>
      <c r="D39">
        <v>0</v>
      </c>
      <c r="E39">
        <v>0</v>
      </c>
      <c r="F39">
        <v>0</v>
      </c>
      <c r="G39">
        <v>0</v>
      </c>
      <c r="H39" s="143">
        <f t="shared" si="0"/>
        <v>0</v>
      </c>
    </row>
    <row r="40" spans="1:8" x14ac:dyDescent="0.15">
      <c r="A40">
        <v>39</v>
      </c>
      <c r="B40" s="152" t="s">
        <v>231</v>
      </c>
      <c r="C40">
        <v>0</v>
      </c>
      <c r="D40">
        <v>0</v>
      </c>
      <c r="E40">
        <v>0</v>
      </c>
      <c r="F40">
        <v>0</v>
      </c>
      <c r="G40">
        <v>0</v>
      </c>
      <c r="H40" s="143">
        <f t="shared" si="0"/>
        <v>0</v>
      </c>
    </row>
    <row r="41" spans="1:8" x14ac:dyDescent="0.15">
      <c r="A41">
        <v>40</v>
      </c>
      <c r="B41" s="152" t="s">
        <v>232</v>
      </c>
      <c r="C41">
        <v>0</v>
      </c>
      <c r="D41">
        <v>0</v>
      </c>
      <c r="E41">
        <v>0</v>
      </c>
      <c r="F41">
        <v>0</v>
      </c>
      <c r="G41">
        <v>0</v>
      </c>
      <c r="H41" s="143">
        <f t="shared" si="0"/>
        <v>0</v>
      </c>
    </row>
    <row r="42" spans="1:8" x14ac:dyDescent="0.15">
      <c r="A42">
        <v>41</v>
      </c>
      <c r="B42" s="152" t="s">
        <v>233</v>
      </c>
      <c r="C42">
        <v>0</v>
      </c>
      <c r="D42">
        <v>0</v>
      </c>
      <c r="E42">
        <v>0</v>
      </c>
      <c r="F42">
        <v>0</v>
      </c>
      <c r="G42">
        <v>0</v>
      </c>
      <c r="H42" s="143">
        <f t="shared" si="0"/>
        <v>0</v>
      </c>
    </row>
  </sheetData>
  <phoneticPr fontId="2" type="noConversion"/>
  <pageMargins left="0.75" right="0.75" top="1" bottom="1" header="0.5" footer="0.5"/>
  <pageSetup orientation="portrai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indexed="51"/>
  </sheetPr>
  <dimension ref="A1:AP185"/>
  <sheetViews>
    <sheetView workbookViewId="0">
      <selection activeCell="D2" sqref="D2"/>
    </sheetView>
  </sheetViews>
  <sheetFormatPr baseColWidth="10" defaultRowHeight="13" x14ac:dyDescent="0.15"/>
  <cols>
    <col min="1" max="1" width="17.33203125" bestFit="1" customWidth="1"/>
    <col min="4" max="4" width="3.33203125" customWidth="1"/>
    <col min="5" max="5" width="27.5" bestFit="1" customWidth="1"/>
    <col min="6" max="6" width="4.83203125" bestFit="1" customWidth="1"/>
    <col min="7" max="9" width="3.83203125" bestFit="1" customWidth="1"/>
    <col min="10" max="11" width="4.83203125" style="113" bestFit="1" customWidth="1"/>
    <col min="12" max="12" width="12.33203125" bestFit="1" customWidth="1"/>
    <col min="13" max="13" width="13.5" bestFit="1" customWidth="1"/>
    <col min="14" max="14" width="13.83203125" bestFit="1" customWidth="1"/>
    <col min="15" max="15" width="13.6640625" bestFit="1" customWidth="1"/>
    <col min="16" max="16" width="13.5" bestFit="1" customWidth="1"/>
    <col min="17" max="17" width="12.83203125" bestFit="1" customWidth="1"/>
    <col min="18" max="18" width="14" bestFit="1" customWidth="1"/>
    <col min="19" max="20" width="14.1640625" bestFit="1" customWidth="1"/>
    <col min="21" max="21" width="14" bestFit="1" customWidth="1"/>
    <col min="22" max="22" width="8.6640625" bestFit="1" customWidth="1"/>
    <col min="23" max="23" width="8.83203125" bestFit="1" customWidth="1"/>
    <col min="24" max="24" width="14" bestFit="1" customWidth="1"/>
    <col min="25" max="25" width="21.33203125" style="6" bestFit="1" customWidth="1"/>
    <col min="26" max="26" width="13.6640625" bestFit="1" customWidth="1"/>
    <col min="27" max="27" width="13.83203125" bestFit="1" customWidth="1"/>
    <col min="28" max="28" width="19" bestFit="1" customWidth="1"/>
    <col min="29" max="29" width="26.33203125" style="6" bestFit="1" customWidth="1"/>
    <col min="30" max="30" width="14.1640625" bestFit="1" customWidth="1"/>
    <col min="31" max="31" width="14.33203125" bestFit="1" customWidth="1"/>
    <col min="32" max="32" width="19.5" bestFit="1" customWidth="1"/>
    <col min="33" max="33" width="26.83203125" style="6" bestFit="1" customWidth="1"/>
    <col min="34" max="34" width="24" bestFit="1" customWidth="1"/>
    <col min="35" max="35" width="30" bestFit="1" customWidth="1"/>
    <col min="36" max="36" width="19.1640625" bestFit="1" customWidth="1"/>
    <col min="37" max="37" width="25.5" bestFit="1" customWidth="1"/>
    <col min="38" max="38" width="31.5" bestFit="1" customWidth="1"/>
    <col min="39" max="39" width="20.6640625" bestFit="1" customWidth="1"/>
    <col min="40" max="40" width="25" bestFit="1" customWidth="1"/>
    <col min="41" max="41" width="31" bestFit="1" customWidth="1"/>
    <col min="42" max="42" width="20.1640625" bestFit="1" customWidth="1"/>
  </cols>
  <sheetData>
    <row r="1" spans="1:42" s="115" customFormat="1" ht="14" thickBot="1" x14ac:dyDescent="0.2">
      <c r="D1" s="116" t="s">
        <v>8</v>
      </c>
      <c r="E1" s="116" t="s">
        <v>0</v>
      </c>
      <c r="F1" s="117" t="s">
        <v>99</v>
      </c>
      <c r="G1" s="118" t="s">
        <v>84</v>
      </c>
      <c r="H1" s="118" t="s">
        <v>85</v>
      </c>
      <c r="I1" s="118" t="s">
        <v>86</v>
      </c>
      <c r="J1" s="118" t="s">
        <v>87</v>
      </c>
      <c r="K1" s="118" t="s">
        <v>88</v>
      </c>
      <c r="L1" s="119" t="s">
        <v>89</v>
      </c>
      <c r="M1" s="119" t="s">
        <v>93</v>
      </c>
      <c r="N1" s="119" t="s">
        <v>92</v>
      </c>
      <c r="O1" s="119" t="s">
        <v>90</v>
      </c>
      <c r="P1" s="119" t="s">
        <v>91</v>
      </c>
      <c r="Q1" s="120" t="s">
        <v>94</v>
      </c>
      <c r="R1" s="120" t="s">
        <v>95</v>
      </c>
      <c r="S1" s="120" t="s">
        <v>96</v>
      </c>
      <c r="T1" s="120" t="s">
        <v>97</v>
      </c>
      <c r="U1" s="120" t="s">
        <v>98</v>
      </c>
      <c r="V1" s="118" t="s">
        <v>100</v>
      </c>
      <c r="W1" s="118" t="s">
        <v>101</v>
      </c>
      <c r="X1" s="118" t="s">
        <v>102</v>
      </c>
      <c r="Y1" s="118" t="s">
        <v>134</v>
      </c>
      <c r="Z1" s="119" t="s">
        <v>103</v>
      </c>
      <c r="AA1" s="119" t="s">
        <v>104</v>
      </c>
      <c r="AB1" s="119" t="s">
        <v>105</v>
      </c>
      <c r="AC1" s="121" t="s">
        <v>135</v>
      </c>
      <c r="AD1" s="120" t="s">
        <v>106</v>
      </c>
      <c r="AE1" s="120" t="s">
        <v>107</v>
      </c>
      <c r="AF1" s="120" t="s">
        <v>108</v>
      </c>
      <c r="AG1" s="120" t="s">
        <v>136</v>
      </c>
      <c r="AH1" s="118" t="s">
        <v>109</v>
      </c>
      <c r="AI1" s="118" t="s">
        <v>111</v>
      </c>
      <c r="AJ1" s="118" t="s">
        <v>110</v>
      </c>
      <c r="AK1" s="119" t="s">
        <v>115</v>
      </c>
      <c r="AL1" s="119" t="s">
        <v>116</v>
      </c>
      <c r="AM1" s="119" t="s">
        <v>117</v>
      </c>
      <c r="AN1" s="120" t="s">
        <v>112</v>
      </c>
      <c r="AO1" s="120" t="s">
        <v>113</v>
      </c>
      <c r="AP1" s="120" t="s">
        <v>114</v>
      </c>
    </row>
    <row r="2" spans="1:42" x14ac:dyDescent="0.15">
      <c r="A2" s="122" t="s">
        <v>74</v>
      </c>
      <c r="B2" s="123">
        <v>1</v>
      </c>
      <c r="D2">
        <v>1</v>
      </c>
      <c r="E2" s="154" t="s">
        <v>193</v>
      </c>
      <c r="F2">
        <v>0.98</v>
      </c>
      <c r="G2">
        <v>0.8</v>
      </c>
      <c r="H2">
        <v>0.8</v>
      </c>
      <c r="I2">
        <v>0</v>
      </c>
      <c r="J2" s="113">
        <v>0</v>
      </c>
      <c r="K2" s="113">
        <v>0</v>
      </c>
    </row>
    <row r="3" spans="1:42" x14ac:dyDescent="0.15">
      <c r="A3" s="122" t="s">
        <v>75</v>
      </c>
      <c r="B3" s="124">
        <v>1</v>
      </c>
      <c r="D3">
        <v>2</v>
      </c>
      <c r="E3" s="154" t="s">
        <v>194</v>
      </c>
      <c r="F3">
        <v>0.98</v>
      </c>
      <c r="G3">
        <v>0.8</v>
      </c>
      <c r="H3">
        <v>0.8</v>
      </c>
      <c r="I3">
        <v>0</v>
      </c>
      <c r="J3" s="113">
        <v>0</v>
      </c>
      <c r="K3" s="113">
        <v>0</v>
      </c>
    </row>
    <row r="4" spans="1:42" x14ac:dyDescent="0.15">
      <c r="A4" s="122" t="s">
        <v>76</v>
      </c>
      <c r="B4" s="124">
        <v>1</v>
      </c>
      <c r="D4">
        <v>3</v>
      </c>
      <c r="E4" s="154" t="s">
        <v>195</v>
      </c>
      <c r="F4">
        <v>0.98</v>
      </c>
      <c r="G4">
        <v>0.8</v>
      </c>
      <c r="H4">
        <v>0.8</v>
      </c>
      <c r="I4">
        <v>0.8</v>
      </c>
      <c r="J4" s="113">
        <v>0.25</v>
      </c>
      <c r="K4" s="113">
        <v>0.05</v>
      </c>
    </row>
    <row r="5" spans="1:42" x14ac:dyDescent="0.15">
      <c r="A5" s="122" t="s">
        <v>77</v>
      </c>
      <c r="B5" s="124">
        <v>1</v>
      </c>
      <c r="D5">
        <v>4</v>
      </c>
      <c r="E5" s="154" t="s">
        <v>196</v>
      </c>
      <c r="F5">
        <v>0.98</v>
      </c>
      <c r="G5">
        <v>0.8</v>
      </c>
      <c r="H5">
        <v>0.8</v>
      </c>
      <c r="I5">
        <v>0.8</v>
      </c>
      <c r="J5" s="113">
        <v>0.25</v>
      </c>
      <c r="K5" s="113">
        <v>0.05</v>
      </c>
    </row>
    <row r="6" spans="1:42" x14ac:dyDescent="0.15">
      <c r="A6" s="122" t="s">
        <v>78</v>
      </c>
      <c r="B6" s="124">
        <v>1</v>
      </c>
      <c r="D6">
        <v>5</v>
      </c>
      <c r="E6" s="154" t="s">
        <v>197</v>
      </c>
      <c r="F6">
        <v>0.98</v>
      </c>
      <c r="G6">
        <v>0.8</v>
      </c>
      <c r="H6">
        <v>0.8</v>
      </c>
      <c r="I6">
        <v>0.8</v>
      </c>
      <c r="J6" s="113">
        <v>0.25</v>
      </c>
      <c r="K6" s="113">
        <v>0.05</v>
      </c>
    </row>
    <row r="7" spans="1:42" x14ac:dyDescent="0.15">
      <c r="A7" s="122" t="s">
        <v>79</v>
      </c>
      <c r="B7" s="124">
        <v>1</v>
      </c>
      <c r="D7">
        <v>6</v>
      </c>
      <c r="E7" s="154" t="s">
        <v>198</v>
      </c>
      <c r="F7">
        <v>0.98</v>
      </c>
      <c r="G7">
        <v>0.8</v>
      </c>
      <c r="H7">
        <v>0.8</v>
      </c>
      <c r="I7">
        <v>0.8</v>
      </c>
      <c r="J7" s="113">
        <v>0.25</v>
      </c>
      <c r="K7" s="113">
        <v>0.05</v>
      </c>
    </row>
    <row r="8" spans="1:42" x14ac:dyDescent="0.15">
      <c r="A8" s="122" t="s">
        <v>80</v>
      </c>
      <c r="B8" s="124">
        <v>1</v>
      </c>
      <c r="D8">
        <v>7</v>
      </c>
      <c r="E8" s="154" t="s">
        <v>199</v>
      </c>
      <c r="F8">
        <v>0.98</v>
      </c>
      <c r="G8">
        <v>0.8</v>
      </c>
      <c r="H8">
        <v>0.8</v>
      </c>
      <c r="I8">
        <v>0.8</v>
      </c>
      <c r="J8" s="113">
        <v>0.25</v>
      </c>
      <c r="K8" s="113">
        <v>0.05</v>
      </c>
    </row>
    <row r="9" spans="1:42" x14ac:dyDescent="0.15">
      <c r="A9" s="122" t="s">
        <v>81</v>
      </c>
      <c r="B9" s="124">
        <v>0.1</v>
      </c>
      <c r="C9" s="61" t="s">
        <v>150</v>
      </c>
      <c r="D9">
        <v>8</v>
      </c>
      <c r="E9" s="154" t="s">
        <v>200</v>
      </c>
      <c r="F9">
        <v>0.98</v>
      </c>
      <c r="G9">
        <v>0.8</v>
      </c>
      <c r="H9">
        <v>0.8</v>
      </c>
      <c r="I9">
        <v>0.8</v>
      </c>
      <c r="J9" s="113">
        <v>0.25</v>
      </c>
      <c r="K9" s="113">
        <v>0.05</v>
      </c>
    </row>
    <row r="10" spans="1:42" ht="14" thickBot="1" x14ac:dyDescent="0.2">
      <c r="A10" s="122" t="s">
        <v>149</v>
      </c>
      <c r="B10" s="125">
        <f>1/3</f>
        <v>0.33333333333333331</v>
      </c>
      <c r="C10" s="61" t="s">
        <v>150</v>
      </c>
      <c r="D10">
        <v>9</v>
      </c>
      <c r="E10" s="154" t="s">
        <v>201</v>
      </c>
      <c r="F10">
        <v>0.98</v>
      </c>
      <c r="G10">
        <v>0.8</v>
      </c>
      <c r="H10">
        <v>0.8</v>
      </c>
      <c r="I10">
        <v>0.8</v>
      </c>
      <c r="J10" s="113">
        <v>0.25</v>
      </c>
      <c r="K10" s="113">
        <v>0.05</v>
      </c>
    </row>
    <row r="11" spans="1:42" x14ac:dyDescent="0.15">
      <c r="D11">
        <v>10</v>
      </c>
      <c r="E11" s="154" t="s">
        <v>202</v>
      </c>
      <c r="F11">
        <v>0.98</v>
      </c>
      <c r="G11">
        <v>0.8</v>
      </c>
      <c r="H11">
        <v>0.8</v>
      </c>
      <c r="I11">
        <v>0.8</v>
      </c>
      <c r="J11" s="113">
        <v>0.25</v>
      </c>
      <c r="K11" s="113">
        <v>0.05</v>
      </c>
    </row>
    <row r="12" spans="1:42" x14ac:dyDescent="0.15">
      <c r="D12">
        <v>11</v>
      </c>
      <c r="E12" s="154" t="s">
        <v>203</v>
      </c>
      <c r="F12">
        <v>0.98</v>
      </c>
      <c r="G12">
        <v>0.8</v>
      </c>
      <c r="H12">
        <v>0.8</v>
      </c>
      <c r="I12">
        <v>0.8</v>
      </c>
      <c r="J12" s="113">
        <v>0.25</v>
      </c>
      <c r="K12" s="113">
        <v>0.05</v>
      </c>
    </row>
    <row r="13" spans="1:42" x14ac:dyDescent="0.15">
      <c r="D13">
        <v>12</v>
      </c>
      <c r="E13" s="154" t="s">
        <v>204</v>
      </c>
      <c r="F13">
        <v>0.98</v>
      </c>
      <c r="G13">
        <v>0.8</v>
      </c>
      <c r="H13">
        <v>0.8</v>
      </c>
      <c r="I13">
        <v>0.8</v>
      </c>
      <c r="J13" s="113">
        <v>0.25</v>
      </c>
      <c r="K13" s="113">
        <v>0.05</v>
      </c>
    </row>
    <row r="14" spans="1:42" x14ac:dyDescent="0.15">
      <c r="D14">
        <v>13</v>
      </c>
      <c r="E14" s="154" t="s">
        <v>205</v>
      </c>
      <c r="F14">
        <v>0.98</v>
      </c>
      <c r="G14">
        <v>0.8</v>
      </c>
      <c r="H14">
        <v>0.8</v>
      </c>
      <c r="I14">
        <v>0.8</v>
      </c>
      <c r="J14" s="113">
        <v>0.25</v>
      </c>
      <c r="K14" s="113">
        <v>0.05</v>
      </c>
    </row>
    <row r="15" spans="1:42" x14ac:dyDescent="0.15">
      <c r="D15">
        <v>14</v>
      </c>
      <c r="E15" s="154" t="s">
        <v>206</v>
      </c>
      <c r="F15">
        <v>0.98</v>
      </c>
      <c r="G15">
        <v>0.8</v>
      </c>
      <c r="H15">
        <v>0.8</v>
      </c>
      <c r="I15">
        <v>0.8</v>
      </c>
      <c r="J15" s="113">
        <v>0.25</v>
      </c>
      <c r="K15" s="113">
        <v>0.05</v>
      </c>
    </row>
    <row r="16" spans="1:42" x14ac:dyDescent="0.15">
      <c r="D16">
        <v>15</v>
      </c>
      <c r="E16" s="154" t="s">
        <v>207</v>
      </c>
      <c r="F16">
        <v>0.98</v>
      </c>
      <c r="G16">
        <v>0.8</v>
      </c>
      <c r="H16">
        <v>0.8</v>
      </c>
      <c r="I16">
        <v>0.8</v>
      </c>
      <c r="J16" s="113">
        <v>0.25</v>
      </c>
      <c r="K16" s="113">
        <v>0.05</v>
      </c>
    </row>
    <row r="17" spans="4:33" ht="15" customHeight="1" x14ac:dyDescent="0.15">
      <c r="D17">
        <v>16</v>
      </c>
      <c r="E17" s="154" t="s">
        <v>208</v>
      </c>
      <c r="F17">
        <v>0.98</v>
      </c>
      <c r="G17">
        <v>0.8</v>
      </c>
      <c r="H17">
        <v>0.8</v>
      </c>
      <c r="I17">
        <v>0.8</v>
      </c>
      <c r="J17" s="113">
        <v>0.25</v>
      </c>
      <c r="K17" s="113">
        <v>0.05</v>
      </c>
    </row>
    <row r="18" spans="4:33" ht="15" customHeight="1" x14ac:dyDescent="0.15">
      <c r="D18">
        <v>17</v>
      </c>
      <c r="E18" s="154" t="s">
        <v>209</v>
      </c>
      <c r="F18">
        <v>0.98</v>
      </c>
      <c r="G18">
        <v>0.8</v>
      </c>
      <c r="H18">
        <v>0.8</v>
      </c>
      <c r="I18">
        <v>0.8</v>
      </c>
      <c r="J18" s="113">
        <v>0.25</v>
      </c>
      <c r="K18" s="113">
        <v>0.05</v>
      </c>
    </row>
    <row r="19" spans="4:33" ht="15" customHeight="1" x14ac:dyDescent="0.15">
      <c r="D19">
        <v>18</v>
      </c>
      <c r="E19" s="154" t="s">
        <v>210</v>
      </c>
      <c r="F19">
        <v>0.98</v>
      </c>
      <c r="G19">
        <v>0.8</v>
      </c>
      <c r="H19">
        <v>0.8</v>
      </c>
      <c r="I19">
        <v>0.8</v>
      </c>
      <c r="J19" s="113">
        <v>0.25</v>
      </c>
      <c r="K19" s="113">
        <v>0.05</v>
      </c>
    </row>
    <row r="20" spans="4:33" ht="15" customHeight="1" x14ac:dyDescent="0.15">
      <c r="D20">
        <v>19</v>
      </c>
      <c r="E20" s="154" t="s">
        <v>211</v>
      </c>
      <c r="F20">
        <v>0.98</v>
      </c>
      <c r="G20">
        <v>0.8</v>
      </c>
      <c r="H20">
        <v>0.8</v>
      </c>
      <c r="I20">
        <v>0.8</v>
      </c>
      <c r="J20" s="113">
        <v>0.25</v>
      </c>
      <c r="K20" s="113">
        <v>0.05</v>
      </c>
    </row>
    <row r="21" spans="4:33" ht="15" customHeight="1" x14ac:dyDescent="0.15">
      <c r="D21">
        <v>20</v>
      </c>
      <c r="E21" s="154" t="s">
        <v>212</v>
      </c>
      <c r="F21">
        <v>0.98</v>
      </c>
      <c r="G21">
        <v>0.8</v>
      </c>
      <c r="H21">
        <v>0.8</v>
      </c>
      <c r="I21">
        <v>0.8</v>
      </c>
      <c r="J21" s="113">
        <v>0.25</v>
      </c>
      <c r="K21" s="113">
        <v>0.05</v>
      </c>
    </row>
    <row r="22" spans="4:33" ht="15" customHeight="1" x14ac:dyDescent="0.15">
      <c r="D22">
        <v>21</v>
      </c>
      <c r="E22" s="154" t="s">
        <v>213</v>
      </c>
      <c r="F22">
        <v>0.98</v>
      </c>
      <c r="G22">
        <v>0.8</v>
      </c>
      <c r="H22">
        <v>0.8</v>
      </c>
      <c r="I22">
        <v>0.8</v>
      </c>
      <c r="J22" s="113">
        <v>0.25</v>
      </c>
      <c r="K22" s="113">
        <v>0.05</v>
      </c>
    </row>
    <row r="23" spans="4:33" ht="15" customHeight="1" x14ac:dyDescent="0.15">
      <c r="D23">
        <v>22</v>
      </c>
      <c r="E23" s="154" t="s">
        <v>214</v>
      </c>
      <c r="F23">
        <v>0.98</v>
      </c>
      <c r="G23">
        <v>0.8</v>
      </c>
      <c r="H23">
        <v>0.8</v>
      </c>
      <c r="I23">
        <v>0.8</v>
      </c>
      <c r="J23" s="113">
        <v>0.25</v>
      </c>
      <c r="K23" s="113">
        <v>0.05</v>
      </c>
    </row>
    <row r="24" spans="4:33" ht="15" customHeight="1" x14ac:dyDescent="0.15">
      <c r="D24">
        <v>23</v>
      </c>
      <c r="E24" s="154" t="s">
        <v>215</v>
      </c>
      <c r="F24">
        <v>0.98</v>
      </c>
      <c r="G24">
        <v>0.8</v>
      </c>
      <c r="H24">
        <v>0.8</v>
      </c>
      <c r="I24">
        <v>0.8</v>
      </c>
      <c r="J24" s="113">
        <v>0.25</v>
      </c>
      <c r="K24" s="113">
        <v>0.05</v>
      </c>
    </row>
    <row r="25" spans="4:33" ht="15" customHeight="1" x14ac:dyDescent="0.15">
      <c r="D25">
        <v>24</v>
      </c>
      <c r="E25" s="154" t="s">
        <v>216</v>
      </c>
      <c r="F25">
        <v>0.98</v>
      </c>
      <c r="G25">
        <v>0.8</v>
      </c>
      <c r="H25">
        <v>0.8</v>
      </c>
      <c r="I25">
        <v>0.8</v>
      </c>
      <c r="J25" s="113">
        <v>0.25</v>
      </c>
      <c r="K25" s="113">
        <v>0.05</v>
      </c>
    </row>
    <row r="26" spans="4:33" ht="15" customHeight="1" x14ac:dyDescent="0.15">
      <c r="D26">
        <v>25</v>
      </c>
      <c r="E26" s="154" t="s">
        <v>217</v>
      </c>
      <c r="F26">
        <v>0.98</v>
      </c>
      <c r="G26">
        <v>0.8</v>
      </c>
      <c r="H26">
        <v>0.8</v>
      </c>
      <c r="I26">
        <v>0.8</v>
      </c>
      <c r="J26" s="113">
        <v>0.25</v>
      </c>
      <c r="K26" s="113">
        <v>0.05</v>
      </c>
    </row>
    <row r="27" spans="4:33" ht="15" customHeight="1" x14ac:dyDescent="0.15">
      <c r="D27">
        <v>26</v>
      </c>
      <c r="E27" s="154" t="s">
        <v>218</v>
      </c>
      <c r="F27">
        <v>0.98</v>
      </c>
      <c r="G27">
        <v>0.8</v>
      </c>
      <c r="H27">
        <v>0.8</v>
      </c>
      <c r="I27">
        <v>0.8</v>
      </c>
      <c r="J27" s="113">
        <v>0.25</v>
      </c>
      <c r="K27" s="113">
        <v>0.05</v>
      </c>
    </row>
    <row r="28" spans="4:33" ht="15" customHeight="1" x14ac:dyDescent="0.15">
      <c r="D28">
        <v>27</v>
      </c>
      <c r="E28" s="154" t="s">
        <v>219</v>
      </c>
      <c r="F28">
        <v>0.98</v>
      </c>
      <c r="G28">
        <v>0.8</v>
      </c>
      <c r="H28">
        <v>0.8</v>
      </c>
      <c r="I28">
        <v>0.8</v>
      </c>
      <c r="J28" s="113">
        <v>0.25</v>
      </c>
      <c r="K28" s="113">
        <v>0.05</v>
      </c>
    </row>
    <row r="29" spans="4:33" ht="15" customHeight="1" x14ac:dyDescent="0.15">
      <c r="D29">
        <v>28</v>
      </c>
      <c r="E29" s="154" t="s">
        <v>220</v>
      </c>
      <c r="F29">
        <v>0.98</v>
      </c>
      <c r="G29">
        <v>0.8</v>
      </c>
      <c r="H29">
        <v>0.8</v>
      </c>
      <c r="I29">
        <v>0.8</v>
      </c>
      <c r="J29" s="113">
        <v>0.25</v>
      </c>
      <c r="K29" s="113">
        <v>0.05</v>
      </c>
      <c r="Y29"/>
      <c r="AC29"/>
      <c r="AG29"/>
    </row>
    <row r="30" spans="4:33" ht="15" customHeight="1" x14ac:dyDescent="0.15">
      <c r="D30">
        <v>29</v>
      </c>
      <c r="E30" s="154" t="s">
        <v>221</v>
      </c>
      <c r="F30">
        <v>0.98</v>
      </c>
      <c r="G30">
        <v>0.8</v>
      </c>
      <c r="H30">
        <v>0.8</v>
      </c>
      <c r="I30">
        <v>0.8</v>
      </c>
      <c r="J30" s="113">
        <v>0.25</v>
      </c>
      <c r="K30" s="113">
        <v>0.05</v>
      </c>
      <c r="Y30"/>
      <c r="AC30"/>
      <c r="AG30"/>
    </row>
    <row r="31" spans="4:33" ht="15" customHeight="1" x14ac:dyDescent="0.15">
      <c r="D31">
        <v>30</v>
      </c>
      <c r="E31" s="154" t="s">
        <v>222</v>
      </c>
      <c r="F31">
        <v>0.98</v>
      </c>
      <c r="G31">
        <v>0.8</v>
      </c>
      <c r="H31">
        <v>0.8</v>
      </c>
      <c r="I31">
        <v>0.8</v>
      </c>
      <c r="J31" s="113">
        <v>0.25</v>
      </c>
      <c r="K31" s="113">
        <v>0.05</v>
      </c>
      <c r="Y31"/>
      <c r="AC31"/>
      <c r="AG31"/>
    </row>
    <row r="32" spans="4:33" ht="15" customHeight="1" x14ac:dyDescent="0.15">
      <c r="D32">
        <v>31</v>
      </c>
      <c r="E32" s="154" t="s">
        <v>223</v>
      </c>
      <c r="F32">
        <v>0.98</v>
      </c>
      <c r="G32">
        <v>0.8</v>
      </c>
      <c r="H32">
        <v>0.8</v>
      </c>
      <c r="I32">
        <v>0.8</v>
      </c>
      <c r="J32" s="113">
        <v>0.25</v>
      </c>
      <c r="K32" s="113">
        <v>0.05</v>
      </c>
      <c r="Y32"/>
      <c r="AC32"/>
      <c r="AG32"/>
    </row>
    <row r="33" spans="4:33" ht="15" customHeight="1" x14ac:dyDescent="0.15">
      <c r="D33">
        <v>32</v>
      </c>
      <c r="E33" s="154" t="s">
        <v>224</v>
      </c>
      <c r="F33">
        <v>0.98</v>
      </c>
      <c r="G33">
        <v>0.8</v>
      </c>
      <c r="H33">
        <v>0.8</v>
      </c>
      <c r="I33">
        <v>0.8</v>
      </c>
      <c r="J33" s="113">
        <v>0.25</v>
      </c>
      <c r="K33" s="113">
        <v>0.05</v>
      </c>
      <c r="Y33"/>
      <c r="AC33"/>
      <c r="AG33"/>
    </row>
    <row r="34" spans="4:33" ht="15" customHeight="1" x14ac:dyDescent="0.15">
      <c r="D34">
        <v>33</v>
      </c>
      <c r="E34" s="154" t="s">
        <v>225</v>
      </c>
      <c r="F34">
        <v>0.98</v>
      </c>
      <c r="G34">
        <v>0.8</v>
      </c>
      <c r="H34">
        <v>0.8</v>
      </c>
      <c r="I34">
        <v>0.8</v>
      </c>
      <c r="J34" s="113">
        <v>0.25</v>
      </c>
      <c r="K34" s="113">
        <v>0.05</v>
      </c>
      <c r="Y34"/>
      <c r="AC34"/>
      <c r="AG34"/>
    </row>
    <row r="35" spans="4:33" ht="15" customHeight="1" x14ac:dyDescent="0.15">
      <c r="D35">
        <v>34</v>
      </c>
      <c r="E35" s="154" t="s">
        <v>226</v>
      </c>
      <c r="F35">
        <v>0.98</v>
      </c>
      <c r="G35">
        <v>0.8</v>
      </c>
      <c r="H35">
        <v>0.8</v>
      </c>
      <c r="I35">
        <v>0.8</v>
      </c>
      <c r="J35" s="113">
        <v>0.25</v>
      </c>
      <c r="K35" s="113">
        <v>0.05</v>
      </c>
      <c r="Y35"/>
      <c r="AC35"/>
      <c r="AG35"/>
    </row>
    <row r="36" spans="4:33" ht="15" customHeight="1" x14ac:dyDescent="0.15">
      <c r="D36">
        <v>35</v>
      </c>
      <c r="E36" s="154" t="s">
        <v>227</v>
      </c>
      <c r="F36">
        <v>0.98</v>
      </c>
      <c r="G36">
        <v>0.8</v>
      </c>
      <c r="H36">
        <v>0.8</v>
      </c>
      <c r="I36">
        <v>0.8</v>
      </c>
      <c r="J36" s="113">
        <v>0.25</v>
      </c>
      <c r="K36" s="113">
        <v>0.05</v>
      </c>
      <c r="Y36"/>
      <c r="AC36"/>
      <c r="AG36"/>
    </row>
    <row r="37" spans="4:33" ht="15" customHeight="1" x14ac:dyDescent="0.15">
      <c r="D37">
        <v>36</v>
      </c>
      <c r="E37" s="154" t="s">
        <v>228</v>
      </c>
      <c r="F37">
        <v>0.98</v>
      </c>
      <c r="G37">
        <v>0.8</v>
      </c>
      <c r="H37">
        <v>0.8</v>
      </c>
      <c r="I37">
        <v>0.8</v>
      </c>
      <c r="J37" s="113">
        <v>0.25</v>
      </c>
      <c r="K37" s="113">
        <v>0.05</v>
      </c>
      <c r="Y37"/>
      <c r="AC37"/>
      <c r="AG37"/>
    </row>
    <row r="38" spans="4:33" ht="15" customHeight="1" x14ac:dyDescent="0.15">
      <c r="D38">
        <v>37</v>
      </c>
      <c r="E38" s="154" t="s">
        <v>229</v>
      </c>
      <c r="F38">
        <v>0.98</v>
      </c>
      <c r="G38">
        <v>0.8</v>
      </c>
      <c r="H38">
        <v>0.8</v>
      </c>
      <c r="I38">
        <v>0.8</v>
      </c>
      <c r="J38" s="113">
        <v>0.25</v>
      </c>
      <c r="K38" s="113">
        <v>0.05</v>
      </c>
      <c r="Y38"/>
      <c r="AC38"/>
      <c r="AG38"/>
    </row>
    <row r="39" spans="4:33" ht="15" customHeight="1" x14ac:dyDescent="0.15">
      <c r="D39">
        <v>38</v>
      </c>
      <c r="E39" s="154" t="s">
        <v>230</v>
      </c>
      <c r="F39">
        <v>0.98</v>
      </c>
      <c r="G39">
        <v>0.8</v>
      </c>
      <c r="H39">
        <v>0.8</v>
      </c>
      <c r="I39">
        <v>0.8</v>
      </c>
      <c r="J39" s="113">
        <v>0.25</v>
      </c>
      <c r="K39" s="113">
        <v>0.05</v>
      </c>
    </row>
    <row r="40" spans="4:33" ht="15" customHeight="1" x14ac:dyDescent="0.15">
      <c r="D40">
        <v>39</v>
      </c>
      <c r="E40" s="154" t="s">
        <v>231</v>
      </c>
      <c r="F40">
        <v>0.98</v>
      </c>
      <c r="G40">
        <v>0.8</v>
      </c>
      <c r="H40">
        <v>0</v>
      </c>
      <c r="I40">
        <v>0</v>
      </c>
      <c r="J40" s="113">
        <v>0</v>
      </c>
      <c r="K40" s="113">
        <v>0</v>
      </c>
      <c r="Y40"/>
      <c r="AC40"/>
      <c r="AG40"/>
    </row>
    <row r="41" spans="4:33" ht="15" customHeight="1" x14ac:dyDescent="0.15">
      <c r="D41">
        <v>40</v>
      </c>
      <c r="E41" s="154" t="s">
        <v>232</v>
      </c>
      <c r="F41">
        <v>0.98</v>
      </c>
      <c r="G41">
        <v>0.8</v>
      </c>
      <c r="H41">
        <v>0</v>
      </c>
      <c r="I41">
        <v>0</v>
      </c>
      <c r="J41" s="113">
        <v>0</v>
      </c>
      <c r="K41" s="113">
        <v>0</v>
      </c>
      <c r="Y41"/>
      <c r="AC41"/>
      <c r="AG41"/>
    </row>
    <row r="42" spans="4:33" ht="15" customHeight="1" x14ac:dyDescent="0.15">
      <c r="D42">
        <v>41</v>
      </c>
      <c r="E42" s="154" t="s">
        <v>233</v>
      </c>
      <c r="F42">
        <v>0.98</v>
      </c>
      <c r="G42">
        <v>0.8</v>
      </c>
      <c r="H42">
        <v>0</v>
      </c>
      <c r="I42">
        <v>0</v>
      </c>
      <c r="J42" s="113">
        <v>0</v>
      </c>
      <c r="K42" s="113">
        <v>0</v>
      </c>
      <c r="Y42"/>
      <c r="AC42"/>
      <c r="AG42"/>
    </row>
    <row r="43" spans="4:33" ht="15" customHeight="1" x14ac:dyDescent="0.15">
      <c r="J43"/>
      <c r="K43"/>
      <c r="Y43"/>
      <c r="AC43"/>
      <c r="AG43"/>
    </row>
    <row r="44" spans="4:33" ht="15" customHeight="1" x14ac:dyDescent="0.15">
      <c r="J44"/>
      <c r="K44"/>
      <c r="Y44"/>
      <c r="AC44"/>
      <c r="AG44"/>
    </row>
    <row r="45" spans="4:33" ht="15" customHeight="1" x14ac:dyDescent="0.15">
      <c r="J45"/>
      <c r="K45"/>
      <c r="Y45"/>
      <c r="AC45"/>
      <c r="AG45"/>
    </row>
    <row r="46" spans="4:33" ht="15" customHeight="1" x14ac:dyDescent="0.15">
      <c r="J46"/>
      <c r="K46"/>
      <c r="Y46"/>
      <c r="AC46"/>
      <c r="AG46"/>
    </row>
    <row r="47" spans="4:33" ht="15" customHeight="1" x14ac:dyDescent="0.15">
      <c r="J47"/>
      <c r="K47"/>
      <c r="Y47"/>
      <c r="AC47"/>
      <c r="AG47"/>
    </row>
    <row r="48" spans="4:33" ht="15" customHeight="1" x14ac:dyDescent="0.15">
      <c r="J48"/>
      <c r="K48"/>
      <c r="Y48"/>
      <c r="AC48"/>
      <c r="AG48"/>
    </row>
    <row r="49" spans="10:33" ht="15" customHeight="1" x14ac:dyDescent="0.15">
      <c r="Y49"/>
      <c r="AC49"/>
      <c r="AG49"/>
    </row>
    <row r="50" spans="10:33" ht="15" customHeight="1" x14ac:dyDescent="0.15">
      <c r="Y50"/>
      <c r="AC50"/>
      <c r="AG50"/>
    </row>
    <row r="51" spans="10:33" ht="15" customHeight="1" x14ac:dyDescent="0.15">
      <c r="J51"/>
      <c r="K51"/>
      <c r="Y51"/>
      <c r="AC51"/>
      <c r="AG51"/>
    </row>
    <row r="52" spans="10:33" ht="15" customHeight="1" x14ac:dyDescent="0.15">
      <c r="J52"/>
      <c r="K52"/>
      <c r="Y52"/>
      <c r="AC52"/>
      <c r="AG52"/>
    </row>
    <row r="53" spans="10:33" ht="15" customHeight="1" x14ac:dyDescent="0.15">
      <c r="J53"/>
      <c r="K53"/>
      <c r="Y53"/>
      <c r="AC53"/>
      <c r="AG53"/>
    </row>
    <row r="54" spans="10:33" ht="15" customHeight="1" x14ac:dyDescent="0.15">
      <c r="J54"/>
      <c r="K54"/>
      <c r="Y54"/>
      <c r="AC54"/>
      <c r="AG54"/>
    </row>
    <row r="55" spans="10:33" ht="15" customHeight="1" x14ac:dyDescent="0.15">
      <c r="J55"/>
      <c r="K55"/>
      <c r="Y55"/>
      <c r="AC55"/>
      <c r="AG55"/>
    </row>
    <row r="56" spans="10:33" ht="15" customHeight="1" x14ac:dyDescent="0.15">
      <c r="J56"/>
      <c r="K56"/>
      <c r="Y56"/>
      <c r="AC56"/>
      <c r="AG56"/>
    </row>
    <row r="57" spans="10:33" ht="15" customHeight="1" x14ac:dyDescent="0.15">
      <c r="J57"/>
      <c r="K57"/>
      <c r="Y57"/>
      <c r="AC57"/>
      <c r="AG57"/>
    </row>
    <row r="58" spans="10:33" ht="15" customHeight="1" x14ac:dyDescent="0.15">
      <c r="J58"/>
      <c r="K58"/>
      <c r="Y58"/>
      <c r="AC58"/>
      <c r="AG58"/>
    </row>
    <row r="59" spans="10:33" ht="15" customHeight="1" x14ac:dyDescent="0.15">
      <c r="J59"/>
      <c r="K59"/>
      <c r="Y59"/>
      <c r="AC59"/>
      <c r="AG59"/>
    </row>
    <row r="60" spans="10:33" ht="15" customHeight="1" x14ac:dyDescent="0.15">
      <c r="J60"/>
      <c r="K60"/>
      <c r="Y60"/>
      <c r="AC60"/>
      <c r="AG60"/>
    </row>
    <row r="61" spans="10:33" ht="15" customHeight="1" x14ac:dyDescent="0.15">
      <c r="J61"/>
      <c r="K61"/>
      <c r="Y61"/>
      <c r="AC61"/>
      <c r="AG61"/>
    </row>
    <row r="62" spans="10:33" ht="15" customHeight="1" x14ac:dyDescent="0.15">
      <c r="J62"/>
      <c r="K62"/>
      <c r="Y62"/>
      <c r="AC62"/>
      <c r="AG62"/>
    </row>
    <row r="63" spans="10:33" ht="15" customHeight="1" x14ac:dyDescent="0.15">
      <c r="J63"/>
      <c r="K63"/>
      <c r="Y63"/>
      <c r="AC63"/>
      <c r="AG63"/>
    </row>
    <row r="64" spans="10:33" ht="15" customHeight="1" x14ac:dyDescent="0.15">
      <c r="J64"/>
      <c r="K64"/>
      <c r="Y64"/>
      <c r="AC64"/>
      <c r="AG64"/>
    </row>
    <row r="65" spans="10:33" ht="15" customHeight="1" x14ac:dyDescent="0.15">
      <c r="J65"/>
      <c r="K65"/>
      <c r="Y65"/>
      <c r="AC65"/>
      <c r="AG65"/>
    </row>
    <row r="66" spans="10:33" ht="15" customHeight="1" x14ac:dyDescent="0.15">
      <c r="J66"/>
      <c r="K66"/>
      <c r="Y66"/>
      <c r="AC66"/>
      <c r="AG66"/>
    </row>
    <row r="67" spans="10:33" ht="15" customHeight="1" x14ac:dyDescent="0.15">
      <c r="J67"/>
      <c r="K67"/>
      <c r="Y67"/>
      <c r="AC67"/>
      <c r="AG67"/>
    </row>
    <row r="68" spans="10:33" ht="15" customHeight="1" x14ac:dyDescent="0.15">
      <c r="J68"/>
      <c r="K68"/>
      <c r="Y68"/>
      <c r="AC68"/>
      <c r="AG68"/>
    </row>
    <row r="69" spans="10:33" ht="15" customHeight="1" x14ac:dyDescent="0.15">
      <c r="J69"/>
      <c r="K69"/>
      <c r="Y69"/>
      <c r="AC69"/>
      <c r="AG69"/>
    </row>
    <row r="70" spans="10:33" ht="15" customHeight="1" x14ac:dyDescent="0.15">
      <c r="J70"/>
      <c r="K70"/>
      <c r="Y70"/>
      <c r="AC70"/>
      <c r="AG70"/>
    </row>
    <row r="71" spans="10:33" ht="15" customHeight="1" x14ac:dyDescent="0.15">
      <c r="J71"/>
      <c r="K71"/>
      <c r="Y71"/>
      <c r="AC71"/>
      <c r="AG71"/>
    </row>
    <row r="72" spans="10:33" ht="15" customHeight="1" x14ac:dyDescent="0.15">
      <c r="J72"/>
      <c r="K72"/>
      <c r="Y72"/>
      <c r="AC72"/>
      <c r="AG72"/>
    </row>
    <row r="73" spans="10:33" ht="15" customHeight="1" x14ac:dyDescent="0.15">
      <c r="J73"/>
      <c r="K73"/>
      <c r="Y73"/>
      <c r="AC73"/>
      <c r="AG73"/>
    </row>
    <row r="74" spans="10:33" ht="15" customHeight="1" x14ac:dyDescent="0.15">
      <c r="J74"/>
      <c r="K74"/>
      <c r="Y74"/>
      <c r="AC74"/>
      <c r="AG74"/>
    </row>
    <row r="75" spans="10:33" ht="15" customHeight="1" x14ac:dyDescent="0.15">
      <c r="J75"/>
      <c r="K75"/>
      <c r="Y75"/>
      <c r="AC75"/>
      <c r="AG75"/>
    </row>
    <row r="76" spans="10:33" ht="15" customHeight="1" x14ac:dyDescent="0.15">
      <c r="J76"/>
      <c r="K76"/>
    </row>
    <row r="77" spans="10:33" ht="15" customHeight="1" x14ac:dyDescent="0.15">
      <c r="J77"/>
      <c r="K77"/>
    </row>
    <row r="78" spans="10:33" ht="15" customHeight="1" x14ac:dyDescent="0.15">
      <c r="J78"/>
      <c r="K78"/>
    </row>
    <row r="79" spans="10:33" ht="15" customHeight="1" x14ac:dyDescent="0.15">
      <c r="J79"/>
      <c r="K79"/>
    </row>
    <row r="80" spans="10:33" ht="15" customHeight="1" x14ac:dyDescent="0.15">
      <c r="J80"/>
      <c r="K80"/>
    </row>
    <row r="81" spans="10:33" ht="15" customHeight="1" x14ac:dyDescent="0.15">
      <c r="J81"/>
      <c r="K81"/>
    </row>
    <row r="82" spans="10:33" ht="15" customHeight="1" x14ac:dyDescent="0.15">
      <c r="J82"/>
      <c r="K82"/>
    </row>
    <row r="83" spans="10:33" ht="15" customHeight="1" x14ac:dyDescent="0.15">
      <c r="J83"/>
      <c r="K83"/>
      <c r="Y83"/>
      <c r="AC83"/>
      <c r="AG83"/>
    </row>
    <row r="84" spans="10:33" ht="15" customHeight="1" x14ac:dyDescent="0.15">
      <c r="J84"/>
      <c r="K84"/>
      <c r="Y84"/>
      <c r="AC84"/>
      <c r="AG84"/>
    </row>
    <row r="85" spans="10:33" ht="15" customHeight="1" x14ac:dyDescent="0.15">
      <c r="J85"/>
      <c r="K85"/>
      <c r="Y85"/>
      <c r="AC85"/>
      <c r="AG85"/>
    </row>
    <row r="86" spans="10:33" ht="15" customHeight="1" x14ac:dyDescent="0.15">
      <c r="J86"/>
      <c r="K86"/>
      <c r="Y86"/>
      <c r="AC86"/>
      <c r="AG86"/>
    </row>
    <row r="87" spans="10:33" ht="15" customHeight="1" x14ac:dyDescent="0.15">
      <c r="J87"/>
      <c r="K87"/>
      <c r="Y87"/>
      <c r="AC87"/>
      <c r="AG87"/>
    </row>
    <row r="88" spans="10:33" ht="15" customHeight="1" x14ac:dyDescent="0.15">
      <c r="J88"/>
      <c r="K88"/>
      <c r="Y88"/>
      <c r="AC88"/>
      <c r="AG88"/>
    </row>
    <row r="89" spans="10:33" ht="15" customHeight="1" x14ac:dyDescent="0.15">
      <c r="J89"/>
      <c r="K89"/>
      <c r="Y89"/>
      <c r="AC89"/>
      <c r="AG89"/>
    </row>
    <row r="90" spans="10:33" ht="15" customHeight="1" x14ac:dyDescent="0.15">
      <c r="J90"/>
      <c r="K90"/>
      <c r="Y90"/>
      <c r="AC90"/>
      <c r="AG90"/>
    </row>
    <row r="91" spans="10:33" ht="15" customHeight="1" x14ac:dyDescent="0.15">
      <c r="J91"/>
      <c r="K91"/>
      <c r="Y91"/>
      <c r="AC91"/>
      <c r="AG91"/>
    </row>
    <row r="92" spans="10:33" ht="15" customHeight="1" x14ac:dyDescent="0.15">
      <c r="J92"/>
      <c r="K92"/>
      <c r="Y92"/>
      <c r="AC92"/>
      <c r="AG92"/>
    </row>
    <row r="93" spans="10:33" ht="15" customHeight="1" x14ac:dyDescent="0.15">
      <c r="J93"/>
      <c r="K93"/>
      <c r="Y93"/>
      <c r="AC93"/>
      <c r="AG93"/>
    </row>
    <row r="94" spans="10:33" ht="15" customHeight="1" x14ac:dyDescent="0.15">
      <c r="J94"/>
      <c r="K94"/>
      <c r="Y94"/>
      <c r="AC94"/>
      <c r="AG94"/>
    </row>
    <row r="95" spans="10:33" ht="15" customHeight="1" x14ac:dyDescent="0.15">
      <c r="J95"/>
      <c r="K95"/>
      <c r="Y95"/>
      <c r="AC95"/>
      <c r="AG95"/>
    </row>
    <row r="96" spans="10:33" ht="15" customHeight="1" x14ac:dyDescent="0.15">
      <c r="J96"/>
      <c r="K96"/>
      <c r="Y96"/>
      <c r="AC96"/>
      <c r="AG96"/>
    </row>
    <row r="97" spans="10:33" ht="15" customHeight="1" x14ac:dyDescent="0.15">
      <c r="J97"/>
      <c r="K97"/>
      <c r="Y97"/>
      <c r="AC97"/>
      <c r="AG97"/>
    </row>
    <row r="98" spans="10:33" ht="15" customHeight="1" x14ac:dyDescent="0.15">
      <c r="J98"/>
      <c r="K98"/>
      <c r="Y98"/>
      <c r="AC98"/>
      <c r="AG98"/>
    </row>
    <row r="99" spans="10:33" ht="15" customHeight="1" x14ac:dyDescent="0.15">
      <c r="J99"/>
      <c r="K99"/>
      <c r="Y99"/>
      <c r="AC99"/>
      <c r="AG99"/>
    </row>
    <row r="100" spans="10:33" ht="15" customHeight="1" x14ac:dyDescent="0.15">
      <c r="J100"/>
      <c r="K100"/>
      <c r="Y100"/>
      <c r="AC100"/>
      <c r="AG100"/>
    </row>
    <row r="101" spans="10:33" ht="15" customHeight="1" x14ac:dyDescent="0.15">
      <c r="J101"/>
      <c r="K101"/>
      <c r="Y101"/>
      <c r="AC101"/>
      <c r="AG101"/>
    </row>
    <row r="102" spans="10:33" ht="15" customHeight="1" x14ac:dyDescent="0.15">
      <c r="J102"/>
      <c r="K102"/>
      <c r="Y102"/>
      <c r="AC102"/>
      <c r="AG102"/>
    </row>
    <row r="103" spans="10:33" ht="15" customHeight="1" x14ac:dyDescent="0.15">
      <c r="J103"/>
      <c r="K103"/>
      <c r="Y103"/>
      <c r="AC103"/>
      <c r="AG103"/>
    </row>
    <row r="104" spans="10:33" ht="15" customHeight="1" x14ac:dyDescent="0.15">
      <c r="J104"/>
      <c r="K104"/>
      <c r="Y104"/>
      <c r="AC104"/>
      <c r="AG104"/>
    </row>
    <row r="105" spans="10:33" ht="15" customHeight="1" x14ac:dyDescent="0.15">
      <c r="J105"/>
      <c r="K105"/>
      <c r="Y105"/>
      <c r="AC105"/>
      <c r="AG105"/>
    </row>
    <row r="106" spans="10:33" ht="15" customHeight="1" x14ac:dyDescent="0.15">
      <c r="J106"/>
      <c r="K106"/>
      <c r="Y106"/>
      <c r="AC106"/>
      <c r="AG106"/>
    </row>
    <row r="107" spans="10:33" ht="15" customHeight="1" x14ac:dyDescent="0.15">
      <c r="J107"/>
      <c r="K107"/>
      <c r="Y107"/>
      <c r="AC107"/>
      <c r="AG107"/>
    </row>
    <row r="108" spans="10:33" ht="15" customHeight="1" x14ac:dyDescent="0.15">
      <c r="J108"/>
      <c r="K108"/>
      <c r="Y108"/>
      <c r="AC108"/>
      <c r="AG108"/>
    </row>
    <row r="109" spans="10:33" ht="15" customHeight="1" x14ac:dyDescent="0.15">
      <c r="J109"/>
      <c r="K109"/>
      <c r="Y109"/>
      <c r="AC109"/>
      <c r="AG109"/>
    </row>
    <row r="110" spans="10:33" ht="15" customHeight="1" x14ac:dyDescent="0.15">
      <c r="J110"/>
      <c r="K110"/>
      <c r="Y110"/>
      <c r="AC110"/>
      <c r="AG110"/>
    </row>
    <row r="111" spans="10:33" ht="15" customHeight="1" x14ac:dyDescent="0.15">
      <c r="J111"/>
      <c r="K111"/>
      <c r="Y111"/>
      <c r="AC111"/>
      <c r="AG111"/>
    </row>
    <row r="112" spans="10:33" ht="15" customHeight="1" x14ac:dyDescent="0.15">
      <c r="J112"/>
      <c r="K112"/>
      <c r="Y112"/>
      <c r="AC112"/>
      <c r="AG112"/>
    </row>
    <row r="113" spans="10:33" ht="15" customHeight="1" x14ac:dyDescent="0.15">
      <c r="J113"/>
      <c r="K113"/>
      <c r="Y113"/>
      <c r="AC113"/>
      <c r="AG113"/>
    </row>
    <row r="114" spans="10:33" ht="15" customHeight="1" x14ac:dyDescent="0.15">
      <c r="J114"/>
      <c r="K114"/>
      <c r="Y114"/>
      <c r="AC114"/>
      <c r="AG114"/>
    </row>
    <row r="115" spans="10:33" ht="15" customHeight="1" x14ac:dyDescent="0.15">
      <c r="J115"/>
      <c r="K115"/>
      <c r="Y115"/>
      <c r="AC115"/>
      <c r="AG115"/>
    </row>
    <row r="116" spans="10:33" ht="15" customHeight="1" x14ac:dyDescent="0.15">
      <c r="J116"/>
      <c r="K116"/>
      <c r="Y116"/>
      <c r="AC116"/>
      <c r="AG116"/>
    </row>
    <row r="117" spans="10:33" ht="15" customHeight="1" x14ac:dyDescent="0.15">
      <c r="J117"/>
      <c r="K117"/>
      <c r="Y117"/>
      <c r="AC117"/>
      <c r="AG117"/>
    </row>
    <row r="118" spans="10:33" ht="15" customHeight="1" x14ac:dyDescent="0.15">
      <c r="J118"/>
      <c r="K118"/>
      <c r="Y118"/>
      <c r="AC118"/>
      <c r="AG118"/>
    </row>
    <row r="119" spans="10:33" ht="15" customHeight="1" x14ac:dyDescent="0.15">
      <c r="J119"/>
      <c r="K119"/>
      <c r="Y119"/>
      <c r="AC119"/>
      <c r="AG119"/>
    </row>
    <row r="120" spans="10:33" ht="15" customHeight="1" x14ac:dyDescent="0.15">
      <c r="J120"/>
      <c r="K120"/>
      <c r="Y120"/>
      <c r="AC120"/>
      <c r="AG120"/>
    </row>
    <row r="121" spans="10:33" ht="15" customHeight="1" x14ac:dyDescent="0.15">
      <c r="J121"/>
      <c r="K121"/>
      <c r="Y121"/>
      <c r="AC121"/>
      <c r="AG121"/>
    </row>
    <row r="122" spans="10:33" ht="15" customHeight="1" x14ac:dyDescent="0.15">
      <c r="J122"/>
      <c r="K122"/>
      <c r="Y122"/>
      <c r="AC122"/>
      <c r="AG122"/>
    </row>
    <row r="123" spans="10:33" ht="15" customHeight="1" x14ac:dyDescent="0.15">
      <c r="J123"/>
      <c r="K123"/>
      <c r="Y123"/>
      <c r="AC123"/>
      <c r="AG123"/>
    </row>
    <row r="124" spans="10:33" ht="15" customHeight="1" x14ac:dyDescent="0.15">
      <c r="J124"/>
      <c r="K124"/>
      <c r="Y124"/>
      <c r="AC124"/>
      <c r="AG124"/>
    </row>
    <row r="125" spans="10:33" ht="15" customHeight="1" x14ac:dyDescent="0.15">
      <c r="J125"/>
      <c r="K125"/>
      <c r="Y125"/>
      <c r="AC125"/>
      <c r="AG125"/>
    </row>
    <row r="126" spans="10:33" ht="15" customHeight="1" x14ac:dyDescent="0.15">
      <c r="J126"/>
      <c r="K126"/>
      <c r="Y126"/>
      <c r="AC126"/>
      <c r="AG126"/>
    </row>
    <row r="127" spans="10:33" ht="15" customHeight="1" x14ac:dyDescent="0.15">
      <c r="J127"/>
      <c r="K127"/>
      <c r="Y127"/>
      <c r="AC127"/>
      <c r="AG127"/>
    </row>
    <row r="128" spans="10:33" ht="15" customHeight="1" x14ac:dyDescent="0.15">
      <c r="J128"/>
      <c r="K128"/>
      <c r="Y128"/>
      <c r="AC128"/>
      <c r="AG128"/>
    </row>
    <row r="129" spans="10:33" ht="15" customHeight="1" x14ac:dyDescent="0.15">
      <c r="J129"/>
      <c r="K129"/>
      <c r="Y129"/>
      <c r="AC129"/>
      <c r="AG129"/>
    </row>
    <row r="130" spans="10:33" ht="15" customHeight="1" x14ac:dyDescent="0.15">
      <c r="J130"/>
      <c r="K130"/>
      <c r="Y130"/>
      <c r="AC130"/>
      <c r="AG130"/>
    </row>
    <row r="131" spans="10:33" ht="15" customHeight="1" x14ac:dyDescent="0.15">
      <c r="J131"/>
      <c r="K131"/>
      <c r="Y131"/>
      <c r="AC131"/>
      <c r="AG131"/>
    </row>
    <row r="132" spans="10:33" ht="15" customHeight="1" x14ac:dyDescent="0.15">
      <c r="J132"/>
      <c r="K132"/>
      <c r="Y132"/>
      <c r="AC132"/>
      <c r="AG132"/>
    </row>
    <row r="133" spans="10:33" ht="15" customHeight="1" x14ac:dyDescent="0.15">
      <c r="J133"/>
      <c r="K133"/>
      <c r="Y133"/>
      <c r="AC133"/>
      <c r="AG133"/>
    </row>
    <row r="134" spans="10:33" ht="15" customHeight="1" x14ac:dyDescent="0.15">
      <c r="J134"/>
      <c r="K134"/>
      <c r="Y134"/>
      <c r="AC134"/>
      <c r="AG134"/>
    </row>
    <row r="135" spans="10:33" ht="15" customHeight="1" x14ac:dyDescent="0.15">
      <c r="J135"/>
      <c r="K135"/>
      <c r="Y135"/>
      <c r="AC135"/>
      <c r="AG135"/>
    </row>
    <row r="136" spans="10:33" ht="15" customHeight="1" x14ac:dyDescent="0.15">
      <c r="J136"/>
      <c r="K136"/>
      <c r="Y136"/>
      <c r="AC136"/>
      <c r="AG136"/>
    </row>
    <row r="137" spans="10:33" ht="15" customHeight="1" x14ac:dyDescent="0.15">
      <c r="J137"/>
      <c r="K137"/>
      <c r="Y137"/>
      <c r="AC137"/>
      <c r="AG137"/>
    </row>
    <row r="138" spans="10:33" ht="15" customHeight="1" x14ac:dyDescent="0.15">
      <c r="J138"/>
      <c r="K138"/>
      <c r="Y138"/>
      <c r="AC138"/>
      <c r="AG138"/>
    </row>
    <row r="139" spans="10:33" ht="15" customHeight="1" x14ac:dyDescent="0.15">
      <c r="J139"/>
      <c r="K139"/>
      <c r="Y139"/>
      <c r="AC139"/>
      <c r="AG139"/>
    </row>
    <row r="140" spans="10:33" ht="15" customHeight="1" x14ac:dyDescent="0.15">
      <c r="J140"/>
      <c r="K140"/>
      <c r="Y140"/>
      <c r="AC140"/>
      <c r="AG140"/>
    </row>
    <row r="141" spans="10:33" ht="15" customHeight="1" x14ac:dyDescent="0.15">
      <c r="J141"/>
      <c r="K141"/>
      <c r="Y141"/>
      <c r="AC141"/>
      <c r="AG141"/>
    </row>
    <row r="142" spans="10:33" ht="15" customHeight="1" x14ac:dyDescent="0.15">
      <c r="J142"/>
      <c r="K142"/>
      <c r="Y142"/>
      <c r="AC142"/>
      <c r="AG142"/>
    </row>
    <row r="143" spans="10:33" ht="15" customHeight="1" x14ac:dyDescent="0.15">
      <c r="J143"/>
      <c r="K143"/>
      <c r="Y143"/>
      <c r="AC143"/>
      <c r="AG143"/>
    </row>
    <row r="144" spans="10:33" ht="15" customHeight="1" x14ac:dyDescent="0.15">
      <c r="J144"/>
      <c r="K144"/>
      <c r="Y144"/>
      <c r="AC144"/>
      <c r="AG144"/>
    </row>
    <row r="145" spans="10:33" ht="15" customHeight="1" x14ac:dyDescent="0.15">
      <c r="J145"/>
      <c r="K145"/>
      <c r="Y145"/>
      <c r="AC145"/>
      <c r="AG145"/>
    </row>
    <row r="146" spans="10:33" ht="15" customHeight="1" x14ac:dyDescent="0.15">
      <c r="J146"/>
      <c r="K146"/>
      <c r="Y146"/>
      <c r="AC146"/>
      <c r="AG146"/>
    </row>
    <row r="147" spans="10:33" ht="15" customHeight="1" x14ac:dyDescent="0.15">
      <c r="J147"/>
      <c r="K147"/>
      <c r="Y147"/>
      <c r="AC147"/>
      <c r="AG147"/>
    </row>
    <row r="148" spans="10:33" ht="15" customHeight="1" x14ac:dyDescent="0.15">
      <c r="J148"/>
      <c r="K148"/>
      <c r="Y148"/>
      <c r="AC148"/>
      <c r="AG148"/>
    </row>
    <row r="149" spans="10:33" ht="15" customHeight="1" x14ac:dyDescent="0.15">
      <c r="J149"/>
      <c r="K149"/>
      <c r="Y149"/>
      <c r="AC149"/>
      <c r="AG149"/>
    </row>
    <row r="150" spans="10:33" ht="15" customHeight="1" x14ac:dyDescent="0.15">
      <c r="J150"/>
      <c r="K150"/>
      <c r="Y150"/>
      <c r="AC150"/>
      <c r="AG150"/>
    </row>
    <row r="151" spans="10:33" ht="15" customHeight="1" x14ac:dyDescent="0.15">
      <c r="J151"/>
      <c r="K151"/>
      <c r="Y151"/>
      <c r="AC151"/>
      <c r="AG151"/>
    </row>
    <row r="152" spans="10:33" ht="15" customHeight="1" x14ac:dyDescent="0.15">
      <c r="J152"/>
      <c r="K152"/>
      <c r="Y152"/>
      <c r="AC152"/>
      <c r="AG152"/>
    </row>
    <row r="153" spans="10:33" ht="15" customHeight="1" x14ac:dyDescent="0.15">
      <c r="J153"/>
      <c r="K153"/>
      <c r="Y153"/>
      <c r="AC153"/>
      <c r="AG153"/>
    </row>
    <row r="154" spans="10:33" ht="15" customHeight="1" x14ac:dyDescent="0.15">
      <c r="J154"/>
      <c r="K154"/>
      <c r="Y154"/>
      <c r="AC154"/>
      <c r="AG154"/>
    </row>
    <row r="155" spans="10:33" ht="15" customHeight="1" x14ac:dyDescent="0.15">
      <c r="J155"/>
      <c r="K155"/>
      <c r="Y155"/>
      <c r="AC155"/>
      <c r="AG155"/>
    </row>
    <row r="156" spans="10:33" ht="15" customHeight="1" x14ac:dyDescent="0.15">
      <c r="J156"/>
      <c r="K156"/>
      <c r="Y156"/>
      <c r="AC156"/>
      <c r="AG156"/>
    </row>
    <row r="157" spans="10:33" ht="15" customHeight="1" x14ac:dyDescent="0.15">
      <c r="J157"/>
      <c r="K157"/>
      <c r="Y157"/>
      <c r="AC157"/>
      <c r="AG157"/>
    </row>
    <row r="158" spans="10:33" ht="15" customHeight="1" x14ac:dyDescent="0.15">
      <c r="J158"/>
      <c r="K158"/>
      <c r="Y158"/>
      <c r="AC158"/>
      <c r="AG158"/>
    </row>
    <row r="159" spans="10:33" ht="15" customHeight="1" x14ac:dyDescent="0.15">
      <c r="J159"/>
      <c r="K159"/>
      <c r="Y159"/>
      <c r="AC159"/>
      <c r="AG159"/>
    </row>
    <row r="160" spans="10:33" ht="15" customHeight="1" x14ac:dyDescent="0.15">
      <c r="J160"/>
      <c r="K160"/>
      <c r="Y160"/>
      <c r="AC160"/>
      <c r="AG160"/>
    </row>
    <row r="161" spans="10:33" ht="15" customHeight="1" x14ac:dyDescent="0.15">
      <c r="J161"/>
      <c r="K161"/>
      <c r="Y161"/>
      <c r="AC161"/>
      <c r="AG161"/>
    </row>
    <row r="162" spans="10:33" ht="15" customHeight="1" x14ac:dyDescent="0.15">
      <c r="J162"/>
      <c r="K162"/>
      <c r="Y162"/>
      <c r="AC162"/>
      <c r="AG162"/>
    </row>
    <row r="163" spans="10:33" ht="15" customHeight="1" x14ac:dyDescent="0.15">
      <c r="J163"/>
      <c r="K163"/>
      <c r="Y163"/>
      <c r="AC163"/>
      <c r="AG163"/>
    </row>
    <row r="164" spans="10:33" ht="15" customHeight="1" x14ac:dyDescent="0.15">
      <c r="J164"/>
      <c r="K164"/>
      <c r="Y164"/>
      <c r="AC164"/>
      <c r="AG164"/>
    </row>
    <row r="165" spans="10:33" ht="15" customHeight="1" x14ac:dyDescent="0.15">
      <c r="J165"/>
      <c r="K165"/>
      <c r="Y165"/>
      <c r="AC165"/>
      <c r="AG165"/>
    </row>
    <row r="166" spans="10:33" ht="15" customHeight="1" x14ac:dyDescent="0.15">
      <c r="J166"/>
      <c r="K166"/>
      <c r="Y166"/>
      <c r="AC166"/>
      <c r="AG166"/>
    </row>
    <row r="167" spans="10:33" ht="15" customHeight="1" x14ac:dyDescent="0.15">
      <c r="J167"/>
      <c r="K167"/>
      <c r="Y167"/>
      <c r="AC167"/>
      <c r="AG167"/>
    </row>
    <row r="168" spans="10:33" ht="15" customHeight="1" x14ac:dyDescent="0.15">
      <c r="J168"/>
      <c r="K168"/>
      <c r="Y168"/>
      <c r="AC168"/>
      <c r="AG168"/>
    </row>
    <row r="169" spans="10:33" ht="15" customHeight="1" x14ac:dyDescent="0.15">
      <c r="J169"/>
      <c r="K169"/>
      <c r="Y169"/>
      <c r="AC169"/>
      <c r="AG169"/>
    </row>
    <row r="170" spans="10:33" ht="15" customHeight="1" x14ac:dyDescent="0.15">
      <c r="J170"/>
      <c r="K170"/>
      <c r="Y170"/>
      <c r="AC170"/>
      <c r="AG170"/>
    </row>
    <row r="171" spans="10:33" ht="15" customHeight="1" x14ac:dyDescent="0.15">
      <c r="J171"/>
      <c r="K171"/>
      <c r="Y171"/>
      <c r="AC171"/>
      <c r="AG171"/>
    </row>
    <row r="172" spans="10:33" ht="15" customHeight="1" x14ac:dyDescent="0.15">
      <c r="J172"/>
      <c r="K172"/>
      <c r="Y172"/>
      <c r="AC172"/>
      <c r="AG172"/>
    </row>
    <row r="173" spans="10:33" ht="15" customHeight="1" x14ac:dyDescent="0.15">
      <c r="J173"/>
      <c r="K173"/>
      <c r="Y173"/>
      <c r="AC173"/>
      <c r="AG173"/>
    </row>
    <row r="174" spans="10:33" ht="15" customHeight="1" x14ac:dyDescent="0.15">
      <c r="J174"/>
      <c r="K174"/>
      <c r="Y174"/>
      <c r="AC174"/>
      <c r="AG174"/>
    </row>
    <row r="175" spans="10:33" ht="15" customHeight="1" x14ac:dyDescent="0.15">
      <c r="J175"/>
      <c r="K175"/>
      <c r="Y175"/>
      <c r="AC175"/>
      <c r="AG175"/>
    </row>
    <row r="176" spans="10:33" ht="15" customHeight="1" x14ac:dyDescent="0.15">
      <c r="J176"/>
      <c r="K176"/>
      <c r="Y176"/>
      <c r="AC176"/>
      <c r="AG176"/>
    </row>
    <row r="177" spans="10:33" ht="15" customHeight="1" x14ac:dyDescent="0.15">
      <c r="J177"/>
      <c r="K177"/>
      <c r="Y177"/>
      <c r="AC177"/>
      <c r="AG177"/>
    </row>
    <row r="178" spans="10:33" ht="15" customHeight="1" x14ac:dyDescent="0.15">
      <c r="J178"/>
      <c r="K178"/>
      <c r="Y178"/>
      <c r="AC178"/>
      <c r="AG178"/>
    </row>
    <row r="179" spans="10:33" ht="15" customHeight="1" x14ac:dyDescent="0.15">
      <c r="J179"/>
      <c r="K179"/>
      <c r="Y179"/>
      <c r="AC179"/>
      <c r="AG179"/>
    </row>
    <row r="180" spans="10:33" ht="15" customHeight="1" x14ac:dyDescent="0.15">
      <c r="J180"/>
      <c r="K180"/>
      <c r="Y180"/>
      <c r="AC180"/>
      <c r="AG180"/>
    </row>
    <row r="181" spans="10:33" ht="15" customHeight="1" x14ac:dyDescent="0.15">
      <c r="J181"/>
      <c r="K181"/>
      <c r="Y181"/>
      <c r="AC181"/>
      <c r="AG181"/>
    </row>
    <row r="182" spans="10:33" ht="15" customHeight="1" x14ac:dyDescent="0.15">
      <c r="J182"/>
      <c r="K182"/>
      <c r="Y182"/>
      <c r="AC182"/>
      <c r="AG182"/>
    </row>
    <row r="183" spans="10:33" ht="15" customHeight="1" x14ac:dyDescent="0.15">
      <c r="J183"/>
      <c r="K183"/>
      <c r="Y183"/>
      <c r="AC183"/>
      <c r="AG183"/>
    </row>
    <row r="184" spans="10:33" ht="15" customHeight="1" x14ac:dyDescent="0.15">
      <c r="J184"/>
      <c r="K184"/>
      <c r="Y184"/>
      <c r="AC184"/>
      <c r="AG184"/>
    </row>
    <row r="185" spans="10:33" ht="15" customHeight="1" x14ac:dyDescent="0.15">
      <c r="J185"/>
      <c r="K185"/>
      <c r="Y185"/>
      <c r="AC185"/>
      <c r="AG185"/>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indexed="51"/>
  </sheetPr>
  <dimension ref="A1:AP43"/>
  <sheetViews>
    <sheetView workbookViewId="0">
      <selection activeCell="A3" sqref="A3"/>
    </sheetView>
  </sheetViews>
  <sheetFormatPr baseColWidth="10" defaultRowHeight="13" x14ac:dyDescent="0.15"/>
  <cols>
    <col min="1" max="1" width="27.5" style="111" bestFit="1" customWidth="1"/>
    <col min="2" max="3" width="2.33203125" style="111" customWidth="1"/>
    <col min="4" max="39" width="3.83203125" style="111" customWidth="1"/>
    <col min="40" max="42" width="2.33203125" style="111" customWidth="1"/>
    <col min="43" max="16384" width="10.83203125" style="111"/>
  </cols>
  <sheetData>
    <row r="1" spans="1:42" x14ac:dyDescent="0.15">
      <c r="A1" s="63" t="s">
        <v>118</v>
      </c>
      <c r="B1" s="156" t="s">
        <v>193</v>
      </c>
      <c r="C1" s="156" t="s">
        <v>194</v>
      </c>
      <c r="D1" s="156" t="s">
        <v>195</v>
      </c>
      <c r="E1" s="156" t="s">
        <v>196</v>
      </c>
      <c r="F1" s="156" t="s">
        <v>197</v>
      </c>
      <c r="G1" s="156" t="s">
        <v>198</v>
      </c>
      <c r="H1" s="156" t="s">
        <v>199</v>
      </c>
      <c r="I1" s="156" t="s">
        <v>200</v>
      </c>
      <c r="J1" s="156" t="s">
        <v>201</v>
      </c>
      <c r="K1" s="156" t="s">
        <v>202</v>
      </c>
      <c r="L1" s="156" t="s">
        <v>203</v>
      </c>
      <c r="M1" s="156" t="s">
        <v>204</v>
      </c>
      <c r="N1" s="156" t="s">
        <v>205</v>
      </c>
      <c r="O1" s="156" t="s">
        <v>206</v>
      </c>
      <c r="P1" s="156" t="s">
        <v>207</v>
      </c>
      <c r="Q1" s="156" t="s">
        <v>208</v>
      </c>
      <c r="R1" s="156" t="s">
        <v>209</v>
      </c>
      <c r="S1" s="156" t="s">
        <v>210</v>
      </c>
      <c r="T1" s="156" t="s">
        <v>211</v>
      </c>
      <c r="U1" s="156" t="s">
        <v>212</v>
      </c>
      <c r="V1" s="156" t="s">
        <v>213</v>
      </c>
      <c r="W1" s="156" t="s">
        <v>214</v>
      </c>
      <c r="X1" s="156" t="s">
        <v>215</v>
      </c>
      <c r="Y1" s="156" t="s">
        <v>216</v>
      </c>
      <c r="Z1" s="156" t="s">
        <v>217</v>
      </c>
      <c r="AA1" s="156" t="s">
        <v>218</v>
      </c>
      <c r="AB1" s="156" t="s">
        <v>219</v>
      </c>
      <c r="AC1" s="156" t="s">
        <v>220</v>
      </c>
      <c r="AD1" s="156" t="s">
        <v>221</v>
      </c>
      <c r="AE1" s="156" t="s">
        <v>222</v>
      </c>
      <c r="AF1" s="156" t="s">
        <v>223</v>
      </c>
      <c r="AG1" s="156" t="s">
        <v>224</v>
      </c>
      <c r="AH1" s="156" t="s">
        <v>225</v>
      </c>
      <c r="AI1" s="156" t="s">
        <v>226</v>
      </c>
      <c r="AJ1" s="156" t="s">
        <v>227</v>
      </c>
      <c r="AK1" s="156" t="s">
        <v>228</v>
      </c>
      <c r="AL1" s="156" t="s">
        <v>229</v>
      </c>
      <c r="AM1" s="156" t="s">
        <v>230</v>
      </c>
      <c r="AN1" s="156" t="s">
        <v>231</v>
      </c>
      <c r="AO1" s="156" t="s">
        <v>232</v>
      </c>
      <c r="AP1" s="156" t="s">
        <v>233</v>
      </c>
    </row>
    <row r="2" spans="1:42" customFormat="1" x14ac:dyDescent="0.15">
      <c r="A2" s="155" t="s">
        <v>193</v>
      </c>
      <c r="B2" s="111">
        <v>0</v>
      </c>
      <c r="C2" s="111">
        <v>0</v>
      </c>
      <c r="D2" s="111">
        <v>0.8</v>
      </c>
      <c r="E2" s="111">
        <v>0.8</v>
      </c>
      <c r="F2" s="111">
        <v>0</v>
      </c>
      <c r="G2" s="111">
        <v>0</v>
      </c>
      <c r="H2" s="111">
        <v>0.8</v>
      </c>
      <c r="I2" s="111">
        <v>0.8</v>
      </c>
      <c r="J2" s="111">
        <v>0</v>
      </c>
      <c r="K2" s="111">
        <v>0</v>
      </c>
      <c r="L2" s="111">
        <v>0</v>
      </c>
      <c r="M2" s="111">
        <v>0</v>
      </c>
      <c r="N2" s="111">
        <v>0</v>
      </c>
      <c r="O2" s="111">
        <v>0</v>
      </c>
      <c r="P2" s="111">
        <v>0</v>
      </c>
      <c r="Q2" s="111">
        <v>0</v>
      </c>
      <c r="R2" s="111">
        <v>0</v>
      </c>
      <c r="S2" s="111">
        <v>0</v>
      </c>
      <c r="T2" s="111">
        <v>0</v>
      </c>
      <c r="U2" s="111">
        <v>0</v>
      </c>
      <c r="V2" s="111">
        <v>0</v>
      </c>
      <c r="W2" s="111">
        <v>0</v>
      </c>
      <c r="X2" s="111">
        <v>0</v>
      </c>
      <c r="Y2" s="111">
        <v>0</v>
      </c>
      <c r="Z2" s="111">
        <v>0</v>
      </c>
      <c r="AA2" s="111">
        <v>0</v>
      </c>
      <c r="AB2" s="111">
        <v>0</v>
      </c>
      <c r="AC2" s="111">
        <v>0</v>
      </c>
      <c r="AD2" s="111">
        <v>0</v>
      </c>
      <c r="AE2" s="111">
        <v>0</v>
      </c>
      <c r="AF2" s="111">
        <v>0</v>
      </c>
      <c r="AG2" s="111">
        <v>0</v>
      </c>
      <c r="AH2" s="111">
        <v>0</v>
      </c>
      <c r="AI2" s="111">
        <v>0</v>
      </c>
      <c r="AJ2" s="111">
        <v>0</v>
      </c>
      <c r="AK2" s="111">
        <v>0</v>
      </c>
      <c r="AL2" s="111">
        <v>0</v>
      </c>
      <c r="AM2" s="111">
        <v>0</v>
      </c>
      <c r="AN2" s="111">
        <v>0</v>
      </c>
      <c r="AO2" s="111">
        <v>0</v>
      </c>
      <c r="AP2" s="111">
        <v>0</v>
      </c>
    </row>
    <row r="3" spans="1:42" customFormat="1" x14ac:dyDescent="0.15">
      <c r="A3" s="155" t="s">
        <v>194</v>
      </c>
      <c r="B3" s="111">
        <v>0</v>
      </c>
      <c r="C3" s="111">
        <v>0</v>
      </c>
      <c r="D3" s="111">
        <v>0</v>
      </c>
      <c r="E3" s="111">
        <v>0</v>
      </c>
      <c r="F3" s="111">
        <v>0</v>
      </c>
      <c r="G3" s="111">
        <v>0.8</v>
      </c>
      <c r="H3" s="111">
        <v>0</v>
      </c>
      <c r="I3" s="111">
        <v>0.8</v>
      </c>
      <c r="J3" s="111">
        <v>0</v>
      </c>
      <c r="K3" s="111">
        <v>0</v>
      </c>
      <c r="L3" s="111">
        <v>0</v>
      </c>
      <c r="M3" s="111">
        <v>0</v>
      </c>
      <c r="N3" s="111">
        <v>0.8</v>
      </c>
      <c r="O3" s="111">
        <v>0</v>
      </c>
      <c r="P3" s="111">
        <v>0</v>
      </c>
      <c r="Q3" s="111">
        <v>0</v>
      </c>
      <c r="R3" s="111">
        <v>0.8</v>
      </c>
      <c r="S3" s="111">
        <v>0</v>
      </c>
      <c r="T3" s="111">
        <v>0</v>
      </c>
      <c r="U3" s="111">
        <v>0</v>
      </c>
      <c r="V3" s="111">
        <v>0</v>
      </c>
      <c r="W3" s="111">
        <v>0</v>
      </c>
      <c r="X3" s="111">
        <v>0</v>
      </c>
      <c r="Y3" s="111">
        <v>0</v>
      </c>
      <c r="Z3" s="111">
        <v>0.8</v>
      </c>
      <c r="AA3" s="111">
        <v>0.8</v>
      </c>
      <c r="AB3" s="111">
        <v>0.8</v>
      </c>
      <c r="AC3" s="111">
        <v>0</v>
      </c>
      <c r="AD3" s="111">
        <v>0</v>
      </c>
      <c r="AE3" s="111">
        <v>0</v>
      </c>
      <c r="AF3" s="111">
        <v>0</v>
      </c>
      <c r="AG3" s="111">
        <v>0</v>
      </c>
      <c r="AH3" s="111">
        <v>0</v>
      </c>
      <c r="AI3" s="111">
        <v>0</v>
      </c>
      <c r="AJ3" s="111">
        <v>0.8</v>
      </c>
      <c r="AK3" s="111">
        <v>0</v>
      </c>
      <c r="AL3" s="111">
        <v>0</v>
      </c>
      <c r="AM3" s="111">
        <v>0</v>
      </c>
      <c r="AN3" s="111">
        <v>0</v>
      </c>
      <c r="AO3" s="111">
        <v>0</v>
      </c>
      <c r="AP3" s="111">
        <v>0</v>
      </c>
    </row>
    <row r="4" spans="1:42" customFormat="1" x14ac:dyDescent="0.15">
      <c r="A4" s="155" t="s">
        <v>195</v>
      </c>
      <c r="B4" s="111">
        <v>0</v>
      </c>
      <c r="C4" s="111">
        <v>0</v>
      </c>
      <c r="D4" s="111">
        <v>0.8</v>
      </c>
      <c r="E4" s="111">
        <v>0.8</v>
      </c>
      <c r="F4" s="111">
        <v>0.8</v>
      </c>
      <c r="G4" s="111">
        <v>0.8</v>
      </c>
      <c r="H4" s="111">
        <v>0.8</v>
      </c>
      <c r="I4" s="111">
        <v>0.8</v>
      </c>
      <c r="J4" s="111">
        <v>0.8</v>
      </c>
      <c r="K4" s="111">
        <v>0</v>
      </c>
      <c r="L4" s="111">
        <v>0</v>
      </c>
      <c r="M4" s="111">
        <v>0</v>
      </c>
      <c r="N4" s="111">
        <v>0.8</v>
      </c>
      <c r="O4" s="111">
        <v>0.8</v>
      </c>
      <c r="P4" s="111">
        <v>0</v>
      </c>
      <c r="Q4" s="111">
        <v>0.8</v>
      </c>
      <c r="R4" s="111">
        <v>0.8</v>
      </c>
      <c r="S4" s="111">
        <v>0</v>
      </c>
      <c r="T4" s="111">
        <v>0</v>
      </c>
      <c r="U4" s="111">
        <v>0</v>
      </c>
      <c r="V4" s="111">
        <v>0</v>
      </c>
      <c r="W4" s="111">
        <v>0</v>
      </c>
      <c r="X4" s="111">
        <v>0</v>
      </c>
      <c r="Y4" s="111">
        <v>0</v>
      </c>
      <c r="Z4" s="111">
        <v>0.8</v>
      </c>
      <c r="AA4" s="111">
        <v>0.8</v>
      </c>
      <c r="AB4" s="111">
        <v>0</v>
      </c>
      <c r="AC4" s="111">
        <v>0</v>
      </c>
      <c r="AD4" s="111">
        <v>0</v>
      </c>
      <c r="AE4" s="111">
        <v>0</v>
      </c>
      <c r="AF4" s="111">
        <v>0.8</v>
      </c>
      <c r="AG4" s="111">
        <v>0.8</v>
      </c>
      <c r="AH4" s="111">
        <v>0</v>
      </c>
      <c r="AI4" s="111">
        <v>0</v>
      </c>
      <c r="AJ4" s="111">
        <v>0</v>
      </c>
      <c r="AK4" s="111">
        <v>0</v>
      </c>
      <c r="AL4" s="111">
        <v>0</v>
      </c>
      <c r="AM4" s="111">
        <v>0</v>
      </c>
      <c r="AN4" s="111">
        <v>0</v>
      </c>
      <c r="AO4" s="111">
        <v>0</v>
      </c>
      <c r="AP4" s="111">
        <v>0</v>
      </c>
    </row>
    <row r="5" spans="1:42" customFormat="1" x14ac:dyDescent="0.15">
      <c r="A5" s="155" t="s">
        <v>196</v>
      </c>
      <c r="B5" s="111">
        <v>0</v>
      </c>
      <c r="C5" s="111">
        <v>0</v>
      </c>
      <c r="D5" s="111">
        <v>0</v>
      </c>
      <c r="E5" s="111">
        <v>0.8</v>
      </c>
      <c r="F5" s="111">
        <v>0.8</v>
      </c>
      <c r="G5" s="111">
        <v>0</v>
      </c>
      <c r="H5" s="111">
        <v>0</v>
      </c>
      <c r="I5" s="111">
        <v>0</v>
      </c>
      <c r="J5" s="111">
        <v>0.8</v>
      </c>
      <c r="K5" s="111">
        <v>0.8</v>
      </c>
      <c r="L5" s="111">
        <v>0</v>
      </c>
      <c r="M5" s="111">
        <v>0</v>
      </c>
      <c r="N5" s="111">
        <v>0.8</v>
      </c>
      <c r="O5" s="111">
        <v>0.8</v>
      </c>
      <c r="P5" s="111">
        <v>0.8</v>
      </c>
      <c r="Q5" s="111">
        <v>0.8</v>
      </c>
      <c r="R5" s="111">
        <v>0.8</v>
      </c>
      <c r="S5" s="111">
        <v>0</v>
      </c>
      <c r="T5" s="111">
        <v>0</v>
      </c>
      <c r="U5" s="111">
        <v>0</v>
      </c>
      <c r="V5" s="111">
        <v>0</v>
      </c>
      <c r="W5" s="111">
        <v>0</v>
      </c>
      <c r="X5" s="111">
        <v>0</v>
      </c>
      <c r="Y5" s="111">
        <v>0</v>
      </c>
      <c r="Z5" s="111">
        <v>0.8</v>
      </c>
      <c r="AA5" s="111">
        <v>0.8</v>
      </c>
      <c r="AB5" s="111">
        <v>0</v>
      </c>
      <c r="AC5" s="111">
        <v>0.8</v>
      </c>
      <c r="AD5" s="111">
        <v>0</v>
      </c>
      <c r="AE5" s="111">
        <v>0</v>
      </c>
      <c r="AF5" s="111">
        <v>0.8</v>
      </c>
      <c r="AG5" s="111">
        <v>0.8</v>
      </c>
      <c r="AH5" s="111">
        <v>0.8</v>
      </c>
      <c r="AI5" s="111">
        <v>0</v>
      </c>
      <c r="AJ5" s="111">
        <v>0</v>
      </c>
      <c r="AK5" s="111">
        <v>0</v>
      </c>
      <c r="AL5" s="111">
        <v>0</v>
      </c>
      <c r="AM5" s="111">
        <v>0</v>
      </c>
      <c r="AN5" s="111">
        <v>0</v>
      </c>
      <c r="AO5" s="111">
        <v>0</v>
      </c>
      <c r="AP5" s="111">
        <v>0</v>
      </c>
    </row>
    <row r="6" spans="1:42" customFormat="1" x14ac:dyDescent="0.15">
      <c r="A6" s="155" t="s">
        <v>197</v>
      </c>
      <c r="B6" s="111">
        <v>0</v>
      </c>
      <c r="C6" s="111">
        <v>0</v>
      </c>
      <c r="D6" s="111">
        <v>0</v>
      </c>
      <c r="E6" s="111">
        <v>0</v>
      </c>
      <c r="F6" s="111">
        <v>0</v>
      </c>
      <c r="G6" s="111">
        <v>0</v>
      </c>
      <c r="H6" s="111">
        <v>0</v>
      </c>
      <c r="I6" s="111">
        <v>0</v>
      </c>
      <c r="J6" s="111">
        <v>0</v>
      </c>
      <c r="K6" s="111">
        <v>0</v>
      </c>
      <c r="L6" s="111">
        <v>0</v>
      </c>
      <c r="M6" s="111">
        <v>0</v>
      </c>
      <c r="N6" s="111">
        <v>0.8</v>
      </c>
      <c r="O6" s="111">
        <v>0</v>
      </c>
      <c r="P6" s="111">
        <v>0</v>
      </c>
      <c r="Q6" s="111">
        <v>0</v>
      </c>
      <c r="R6" s="111">
        <v>0.8</v>
      </c>
      <c r="S6" s="111">
        <v>0</v>
      </c>
      <c r="T6" s="111">
        <v>0</v>
      </c>
      <c r="U6" s="111">
        <v>0</v>
      </c>
      <c r="V6" s="111">
        <v>0</v>
      </c>
      <c r="W6" s="111">
        <v>0</v>
      </c>
      <c r="X6" s="111">
        <v>0</v>
      </c>
      <c r="Y6" s="111">
        <v>0</v>
      </c>
      <c r="Z6" s="111">
        <v>0.8</v>
      </c>
      <c r="AA6" s="111">
        <v>0</v>
      </c>
      <c r="AB6" s="111">
        <v>0</v>
      </c>
      <c r="AC6" s="111">
        <v>0</v>
      </c>
      <c r="AD6" s="111">
        <v>0</v>
      </c>
      <c r="AE6" s="111">
        <v>0</v>
      </c>
      <c r="AF6" s="111">
        <v>0.8</v>
      </c>
      <c r="AG6" s="111">
        <v>0.8</v>
      </c>
      <c r="AH6" s="111">
        <v>0</v>
      </c>
      <c r="AI6" s="111">
        <v>0</v>
      </c>
      <c r="AJ6" s="111">
        <v>0.8</v>
      </c>
      <c r="AK6" s="111">
        <v>0</v>
      </c>
      <c r="AL6" s="111">
        <v>0</v>
      </c>
      <c r="AM6" s="111">
        <v>0</v>
      </c>
      <c r="AN6" s="111">
        <v>0</v>
      </c>
      <c r="AO6" s="111">
        <v>0</v>
      </c>
      <c r="AP6" s="111">
        <v>0</v>
      </c>
    </row>
    <row r="7" spans="1:42" customFormat="1" x14ac:dyDescent="0.15">
      <c r="A7" s="155" t="s">
        <v>198</v>
      </c>
      <c r="B7" s="111">
        <v>0</v>
      </c>
      <c r="C7" s="111">
        <v>0</v>
      </c>
      <c r="D7" s="111">
        <v>0</v>
      </c>
      <c r="E7" s="111">
        <v>0</v>
      </c>
      <c r="F7" s="111">
        <v>0</v>
      </c>
      <c r="G7" s="111">
        <v>0</v>
      </c>
      <c r="H7" s="111">
        <v>0.8</v>
      </c>
      <c r="I7" s="111">
        <v>0</v>
      </c>
      <c r="J7" s="111">
        <v>0.8</v>
      </c>
      <c r="K7" s="111">
        <v>0.8</v>
      </c>
      <c r="L7" s="111">
        <v>0.8</v>
      </c>
      <c r="M7" s="111">
        <v>0</v>
      </c>
      <c r="N7" s="111">
        <v>0.8</v>
      </c>
      <c r="O7" s="111">
        <v>0.8</v>
      </c>
      <c r="P7" s="111">
        <v>0.8</v>
      </c>
      <c r="Q7" s="111">
        <v>0.8</v>
      </c>
      <c r="R7" s="111">
        <v>0.8</v>
      </c>
      <c r="S7" s="111">
        <v>0</v>
      </c>
      <c r="T7" s="111">
        <v>0.8</v>
      </c>
      <c r="U7" s="111">
        <v>0.8</v>
      </c>
      <c r="V7" s="111">
        <v>0</v>
      </c>
      <c r="W7" s="111">
        <v>0.8</v>
      </c>
      <c r="X7" s="111">
        <v>0.8</v>
      </c>
      <c r="Y7" s="111">
        <v>0.8</v>
      </c>
      <c r="Z7" s="111">
        <v>0.8</v>
      </c>
      <c r="AA7" s="111">
        <v>0.8</v>
      </c>
      <c r="AB7" s="111">
        <v>0</v>
      </c>
      <c r="AC7" s="111">
        <v>0</v>
      </c>
      <c r="AD7" s="111">
        <v>0</v>
      </c>
      <c r="AE7" s="111">
        <v>0.8</v>
      </c>
      <c r="AF7" s="111">
        <v>0.8</v>
      </c>
      <c r="AG7" s="111">
        <v>0</v>
      </c>
      <c r="AH7" s="111">
        <v>0</v>
      </c>
      <c r="AI7" s="111">
        <v>0</v>
      </c>
      <c r="AJ7" s="111">
        <v>0</v>
      </c>
      <c r="AK7" s="111">
        <v>0</v>
      </c>
      <c r="AL7" s="111">
        <v>0</v>
      </c>
      <c r="AM7" s="111">
        <v>0</v>
      </c>
      <c r="AN7" s="111">
        <v>0</v>
      </c>
      <c r="AO7" s="111">
        <v>0</v>
      </c>
      <c r="AP7" s="111">
        <v>0</v>
      </c>
    </row>
    <row r="8" spans="1:42" customFormat="1" x14ac:dyDescent="0.15">
      <c r="A8" s="155" t="s">
        <v>199</v>
      </c>
      <c r="B8" s="111">
        <v>0</v>
      </c>
      <c r="C8" s="111">
        <v>0</v>
      </c>
      <c r="D8" s="111">
        <v>0</v>
      </c>
      <c r="E8" s="111">
        <v>0</v>
      </c>
      <c r="F8" s="111">
        <v>0</v>
      </c>
      <c r="G8" s="111">
        <v>0.8</v>
      </c>
      <c r="H8" s="111">
        <v>0.8</v>
      </c>
      <c r="I8" s="111">
        <v>0.8</v>
      </c>
      <c r="J8" s="111">
        <v>0.8</v>
      </c>
      <c r="K8" s="111">
        <v>0.8</v>
      </c>
      <c r="L8" s="111">
        <v>0.8</v>
      </c>
      <c r="M8" s="111">
        <v>0.8</v>
      </c>
      <c r="N8" s="111">
        <v>0.8</v>
      </c>
      <c r="O8" s="111">
        <v>0.8</v>
      </c>
      <c r="P8" s="111">
        <v>0.8</v>
      </c>
      <c r="Q8" s="111">
        <v>0.8</v>
      </c>
      <c r="R8" s="111">
        <v>0.8</v>
      </c>
      <c r="S8" s="111">
        <v>0</v>
      </c>
      <c r="T8" s="111">
        <v>0.8</v>
      </c>
      <c r="U8" s="111">
        <v>0.8</v>
      </c>
      <c r="V8" s="111">
        <v>0</v>
      </c>
      <c r="W8" s="111">
        <v>0</v>
      </c>
      <c r="X8" s="111">
        <v>0.8</v>
      </c>
      <c r="Y8" s="111">
        <v>0.8</v>
      </c>
      <c r="Z8" s="111">
        <v>0.8</v>
      </c>
      <c r="AA8" s="111">
        <v>0.8</v>
      </c>
      <c r="AB8" s="111">
        <v>0</v>
      </c>
      <c r="AC8" s="111">
        <v>0</v>
      </c>
      <c r="AD8" s="111">
        <v>0</v>
      </c>
      <c r="AE8" s="111">
        <v>0.8</v>
      </c>
      <c r="AF8" s="111">
        <v>0.8</v>
      </c>
      <c r="AG8" s="111">
        <v>0</v>
      </c>
      <c r="AH8" s="111">
        <v>0.8</v>
      </c>
      <c r="AI8" s="111">
        <v>0</v>
      </c>
      <c r="AJ8" s="111">
        <v>0</v>
      </c>
      <c r="AK8" s="111">
        <v>0</v>
      </c>
      <c r="AL8" s="111">
        <v>0</v>
      </c>
      <c r="AM8" s="111">
        <v>0</v>
      </c>
      <c r="AN8" s="111">
        <v>0</v>
      </c>
      <c r="AO8" s="111">
        <v>0</v>
      </c>
      <c r="AP8" s="111">
        <v>0</v>
      </c>
    </row>
    <row r="9" spans="1:42" customFormat="1" x14ac:dyDescent="0.15">
      <c r="A9" s="155" t="s">
        <v>200</v>
      </c>
      <c r="B9" s="111">
        <v>0</v>
      </c>
      <c r="C9" s="111">
        <v>0</v>
      </c>
      <c r="D9" s="111">
        <v>0</v>
      </c>
      <c r="E9" s="111">
        <v>0</v>
      </c>
      <c r="F9" s="111">
        <v>0</v>
      </c>
      <c r="G9" s="111">
        <v>0</v>
      </c>
      <c r="H9" s="111">
        <v>0.8</v>
      </c>
      <c r="I9" s="111">
        <v>0.8</v>
      </c>
      <c r="J9" s="111">
        <v>0.8</v>
      </c>
      <c r="K9" s="111">
        <v>0.8</v>
      </c>
      <c r="L9" s="111">
        <v>0.8</v>
      </c>
      <c r="M9" s="111">
        <v>0</v>
      </c>
      <c r="N9" s="111">
        <v>0.8</v>
      </c>
      <c r="O9" s="111">
        <v>0.8</v>
      </c>
      <c r="P9" s="111">
        <v>0.8</v>
      </c>
      <c r="Q9" s="111">
        <v>0.8</v>
      </c>
      <c r="R9" s="111">
        <v>0.8</v>
      </c>
      <c r="S9" s="111">
        <v>0</v>
      </c>
      <c r="T9" s="111">
        <v>0.8</v>
      </c>
      <c r="U9" s="111">
        <v>0.8</v>
      </c>
      <c r="V9" s="111">
        <v>0.8</v>
      </c>
      <c r="W9" s="111">
        <v>0.8</v>
      </c>
      <c r="X9" s="111">
        <v>0.8</v>
      </c>
      <c r="Y9" s="111">
        <v>0.8</v>
      </c>
      <c r="Z9" s="111">
        <v>0</v>
      </c>
      <c r="AA9" s="111">
        <v>0.8</v>
      </c>
      <c r="AB9" s="111">
        <v>0</v>
      </c>
      <c r="AC9" s="111">
        <v>0</v>
      </c>
      <c r="AD9" s="111">
        <v>0</v>
      </c>
      <c r="AE9" s="111">
        <v>0.8</v>
      </c>
      <c r="AF9" s="111">
        <v>0</v>
      </c>
      <c r="AG9" s="111">
        <v>0</v>
      </c>
      <c r="AH9" s="111">
        <v>0</v>
      </c>
      <c r="AI9" s="111">
        <v>0</v>
      </c>
      <c r="AJ9" s="111">
        <v>0.8</v>
      </c>
      <c r="AK9" s="111">
        <v>0</v>
      </c>
      <c r="AL9" s="111">
        <v>0</v>
      </c>
      <c r="AM9" s="111">
        <v>0</v>
      </c>
      <c r="AN9" s="111">
        <v>0</v>
      </c>
      <c r="AO9" s="111">
        <v>0</v>
      </c>
      <c r="AP9" s="111">
        <v>0</v>
      </c>
    </row>
    <row r="10" spans="1:42" customFormat="1" x14ac:dyDescent="0.15">
      <c r="A10" s="155" t="s">
        <v>201</v>
      </c>
      <c r="B10" s="111">
        <v>0</v>
      </c>
      <c r="C10" s="111">
        <v>0</v>
      </c>
      <c r="D10" s="111">
        <v>0</v>
      </c>
      <c r="E10" s="111">
        <v>0</v>
      </c>
      <c r="F10" s="111">
        <v>0</v>
      </c>
      <c r="G10" s="111">
        <v>0</v>
      </c>
      <c r="H10" s="111">
        <v>0</v>
      </c>
      <c r="I10" s="111">
        <v>0</v>
      </c>
      <c r="J10" s="111">
        <v>0</v>
      </c>
      <c r="K10" s="111">
        <v>0.8</v>
      </c>
      <c r="L10" s="111">
        <v>0.8</v>
      </c>
      <c r="M10" s="111">
        <v>0.8</v>
      </c>
      <c r="N10" s="111">
        <v>0.8</v>
      </c>
      <c r="O10" s="111">
        <v>0.8</v>
      </c>
      <c r="P10" s="111">
        <v>0.8</v>
      </c>
      <c r="Q10" s="111">
        <v>0.8</v>
      </c>
      <c r="R10" s="111">
        <v>0.8</v>
      </c>
      <c r="S10" s="111">
        <v>0.8</v>
      </c>
      <c r="T10" s="111">
        <v>0.8</v>
      </c>
      <c r="U10" s="111">
        <v>0.8</v>
      </c>
      <c r="V10" s="111">
        <v>0.8</v>
      </c>
      <c r="W10" s="111">
        <v>0.8</v>
      </c>
      <c r="X10" s="111">
        <v>0.8</v>
      </c>
      <c r="Y10" s="111">
        <v>0.8</v>
      </c>
      <c r="Z10" s="111">
        <v>0.8</v>
      </c>
      <c r="AA10" s="111">
        <v>0.8</v>
      </c>
      <c r="AB10" s="111">
        <v>0</v>
      </c>
      <c r="AC10" s="111">
        <v>0</v>
      </c>
      <c r="AD10" s="111">
        <v>0</v>
      </c>
      <c r="AE10" s="111">
        <v>0</v>
      </c>
      <c r="AF10" s="111">
        <v>0</v>
      </c>
      <c r="AG10" s="111">
        <v>0</v>
      </c>
      <c r="AH10" s="111">
        <v>0.8</v>
      </c>
      <c r="AI10" s="111">
        <v>0.8</v>
      </c>
      <c r="AJ10" s="111">
        <v>0.8</v>
      </c>
      <c r="AK10" s="111">
        <v>0</v>
      </c>
      <c r="AL10" s="111">
        <v>0</v>
      </c>
      <c r="AM10" s="111">
        <v>0</v>
      </c>
      <c r="AN10" s="111">
        <v>0</v>
      </c>
      <c r="AO10" s="111">
        <v>0</v>
      </c>
      <c r="AP10" s="111">
        <v>0</v>
      </c>
    </row>
    <row r="11" spans="1:42" customFormat="1" x14ac:dyDescent="0.15">
      <c r="A11" s="155" t="s">
        <v>202</v>
      </c>
      <c r="B11" s="111">
        <v>0</v>
      </c>
      <c r="C11" s="111">
        <v>0</v>
      </c>
      <c r="D11" s="111">
        <v>0</v>
      </c>
      <c r="E11" s="111">
        <v>0</v>
      </c>
      <c r="F11" s="111">
        <v>0</v>
      </c>
      <c r="G11" s="111">
        <v>0</v>
      </c>
      <c r="H11" s="111">
        <v>0</v>
      </c>
      <c r="I11" s="111">
        <v>0</v>
      </c>
      <c r="J11" s="111">
        <v>0</v>
      </c>
      <c r="K11" s="111">
        <v>0</v>
      </c>
      <c r="L11" s="111">
        <v>0.8</v>
      </c>
      <c r="M11" s="111">
        <v>0.8</v>
      </c>
      <c r="N11" s="111">
        <v>0.8</v>
      </c>
      <c r="O11" s="111">
        <v>0.8</v>
      </c>
      <c r="P11" s="111">
        <v>0.8</v>
      </c>
      <c r="Q11" s="111">
        <v>0.8</v>
      </c>
      <c r="R11" s="111">
        <v>0.8</v>
      </c>
      <c r="S11" s="111">
        <v>0.8</v>
      </c>
      <c r="T11" s="111">
        <v>0.8</v>
      </c>
      <c r="U11" s="111">
        <v>0.8</v>
      </c>
      <c r="V11" s="111">
        <v>0.8</v>
      </c>
      <c r="W11" s="111">
        <v>0.8</v>
      </c>
      <c r="X11" s="111">
        <v>0.8</v>
      </c>
      <c r="Y11" s="111">
        <v>0.8</v>
      </c>
      <c r="Z11" s="111">
        <v>0.8</v>
      </c>
      <c r="AA11" s="111">
        <v>0.8</v>
      </c>
      <c r="AB11" s="111">
        <v>0</v>
      </c>
      <c r="AC11" s="111">
        <v>0</v>
      </c>
      <c r="AD11" s="111">
        <v>0</v>
      </c>
      <c r="AE11" s="111">
        <v>0.8</v>
      </c>
      <c r="AF11" s="111">
        <v>0.8</v>
      </c>
      <c r="AG11" s="111">
        <v>0</v>
      </c>
      <c r="AH11" s="111">
        <v>0</v>
      </c>
      <c r="AI11" s="111">
        <v>0.8</v>
      </c>
      <c r="AJ11" s="111">
        <v>0.8</v>
      </c>
      <c r="AK11" s="111">
        <v>0</v>
      </c>
      <c r="AL11" s="111">
        <v>0</v>
      </c>
      <c r="AM11" s="111">
        <v>0</v>
      </c>
      <c r="AN11" s="111">
        <v>0</v>
      </c>
      <c r="AO11" s="111">
        <v>0</v>
      </c>
      <c r="AP11" s="111">
        <v>0</v>
      </c>
    </row>
    <row r="12" spans="1:42" customFormat="1" x14ac:dyDescent="0.15">
      <c r="A12" s="155" t="s">
        <v>203</v>
      </c>
      <c r="B12" s="111">
        <v>0</v>
      </c>
      <c r="C12" s="111">
        <v>0</v>
      </c>
      <c r="D12" s="111">
        <v>0</v>
      </c>
      <c r="E12" s="111">
        <v>0</v>
      </c>
      <c r="F12" s="111">
        <v>0</v>
      </c>
      <c r="G12" s="111">
        <v>0</v>
      </c>
      <c r="H12" s="111">
        <v>0</v>
      </c>
      <c r="I12" s="111">
        <v>0</v>
      </c>
      <c r="J12" s="111">
        <v>0</v>
      </c>
      <c r="K12" s="111">
        <v>0</v>
      </c>
      <c r="L12" s="111">
        <v>0.8</v>
      </c>
      <c r="M12" s="111">
        <v>0.8</v>
      </c>
      <c r="N12" s="111">
        <v>0.8</v>
      </c>
      <c r="O12" s="111">
        <v>0</v>
      </c>
      <c r="P12" s="111">
        <v>0</v>
      </c>
      <c r="Q12" s="111">
        <v>0</v>
      </c>
      <c r="R12" s="111">
        <v>0.8</v>
      </c>
      <c r="S12" s="111">
        <v>0.8</v>
      </c>
      <c r="T12" s="111">
        <v>0</v>
      </c>
      <c r="U12" s="111">
        <v>0</v>
      </c>
      <c r="V12" s="111">
        <v>0.8</v>
      </c>
      <c r="W12" s="111">
        <v>0.8</v>
      </c>
      <c r="X12" s="111">
        <v>0.8</v>
      </c>
      <c r="Y12" s="111">
        <v>0.8</v>
      </c>
      <c r="Z12" s="111">
        <v>0.8</v>
      </c>
      <c r="AA12" s="111">
        <v>0</v>
      </c>
      <c r="AB12" s="111">
        <v>0</v>
      </c>
      <c r="AC12" s="111">
        <v>0</v>
      </c>
      <c r="AD12" s="111">
        <v>0.8</v>
      </c>
      <c r="AE12" s="111">
        <v>0.8</v>
      </c>
      <c r="AF12" s="111">
        <v>0</v>
      </c>
      <c r="AG12" s="111">
        <v>0</v>
      </c>
      <c r="AH12" s="111">
        <v>0</v>
      </c>
      <c r="AI12" s="111">
        <v>0.8</v>
      </c>
      <c r="AJ12" s="111">
        <v>0.8</v>
      </c>
      <c r="AK12" s="111">
        <v>0</v>
      </c>
      <c r="AL12" s="111">
        <v>0.8</v>
      </c>
      <c r="AM12" s="111">
        <v>0</v>
      </c>
      <c r="AN12" s="111">
        <v>0</v>
      </c>
      <c r="AO12" s="111">
        <v>0</v>
      </c>
      <c r="AP12" s="111">
        <v>0</v>
      </c>
    </row>
    <row r="13" spans="1:42" customFormat="1" x14ac:dyDescent="0.15">
      <c r="A13" s="155" t="s">
        <v>204</v>
      </c>
      <c r="B13" s="111">
        <v>0</v>
      </c>
      <c r="C13" s="111">
        <v>0</v>
      </c>
      <c r="D13" s="111">
        <v>0</v>
      </c>
      <c r="E13" s="111">
        <v>0</v>
      </c>
      <c r="F13" s="111">
        <v>0</v>
      </c>
      <c r="G13" s="111">
        <v>0</v>
      </c>
      <c r="H13" s="111">
        <v>0</v>
      </c>
      <c r="I13" s="111">
        <v>0</v>
      </c>
      <c r="J13" s="111">
        <v>0</v>
      </c>
      <c r="K13" s="111">
        <v>0</v>
      </c>
      <c r="L13" s="111">
        <v>0.8</v>
      </c>
      <c r="M13" s="111">
        <v>0.8</v>
      </c>
      <c r="N13" s="111">
        <v>0</v>
      </c>
      <c r="O13" s="111">
        <v>0</v>
      </c>
      <c r="P13" s="111">
        <v>0</v>
      </c>
      <c r="Q13" s="111">
        <v>0</v>
      </c>
      <c r="R13" s="111">
        <v>0</v>
      </c>
      <c r="S13" s="111">
        <v>0.8</v>
      </c>
      <c r="T13" s="111">
        <v>0</v>
      </c>
      <c r="U13" s="111">
        <v>0</v>
      </c>
      <c r="V13" s="111">
        <v>0</v>
      </c>
      <c r="W13" s="111">
        <v>0.8</v>
      </c>
      <c r="X13" s="111">
        <v>0.8</v>
      </c>
      <c r="Y13" s="111">
        <v>0.8</v>
      </c>
      <c r="Z13" s="111">
        <v>0.8</v>
      </c>
      <c r="AA13" s="111">
        <v>0</v>
      </c>
      <c r="AB13" s="111">
        <v>0</v>
      </c>
      <c r="AC13" s="111">
        <v>0</v>
      </c>
      <c r="AD13" s="111">
        <v>0.8</v>
      </c>
      <c r="AE13" s="111">
        <v>0.8</v>
      </c>
      <c r="AF13" s="111">
        <v>0.8</v>
      </c>
      <c r="AG13" s="111">
        <v>0</v>
      </c>
      <c r="AH13" s="111">
        <v>0</v>
      </c>
      <c r="AI13" s="111">
        <v>0.8</v>
      </c>
      <c r="AJ13" s="111">
        <v>0</v>
      </c>
      <c r="AK13" s="111">
        <v>0.8</v>
      </c>
      <c r="AL13" s="111">
        <v>0.8</v>
      </c>
      <c r="AM13" s="111">
        <v>0</v>
      </c>
      <c r="AN13" s="111">
        <v>0</v>
      </c>
      <c r="AO13" s="111">
        <v>0</v>
      </c>
      <c r="AP13" s="111">
        <v>0</v>
      </c>
    </row>
    <row r="14" spans="1:42" customFormat="1" x14ac:dyDescent="0.15">
      <c r="A14" s="155" t="s">
        <v>205</v>
      </c>
      <c r="B14" s="111">
        <v>0</v>
      </c>
      <c r="C14" s="111">
        <v>0</v>
      </c>
      <c r="D14" s="111">
        <v>0</v>
      </c>
      <c r="E14" s="111">
        <v>0</v>
      </c>
      <c r="F14" s="111">
        <v>0</v>
      </c>
      <c r="G14" s="111">
        <v>0</v>
      </c>
      <c r="H14" s="111">
        <v>0</v>
      </c>
      <c r="I14" s="111">
        <v>0</v>
      </c>
      <c r="J14" s="111">
        <v>0</v>
      </c>
      <c r="K14" s="111">
        <v>0</v>
      </c>
      <c r="L14" s="111">
        <v>0.8</v>
      </c>
      <c r="M14" s="111">
        <v>0.8</v>
      </c>
      <c r="N14" s="111">
        <v>0.8</v>
      </c>
      <c r="O14" s="111">
        <v>0</v>
      </c>
      <c r="P14" s="111">
        <v>0</v>
      </c>
      <c r="Q14" s="111">
        <v>0.8</v>
      </c>
      <c r="R14" s="111">
        <v>0.8</v>
      </c>
      <c r="S14" s="111">
        <v>0.8</v>
      </c>
      <c r="T14" s="111">
        <v>0</v>
      </c>
      <c r="U14" s="111">
        <v>0.8</v>
      </c>
      <c r="V14" s="111">
        <v>0.8</v>
      </c>
      <c r="W14" s="111">
        <v>0.8</v>
      </c>
      <c r="X14" s="111">
        <v>0.8</v>
      </c>
      <c r="Y14" s="111">
        <v>0.8</v>
      </c>
      <c r="Z14" s="111">
        <v>0</v>
      </c>
      <c r="AA14" s="111">
        <v>0.8</v>
      </c>
      <c r="AB14" s="111">
        <v>0</v>
      </c>
      <c r="AC14" s="111">
        <v>0.8</v>
      </c>
      <c r="AD14" s="111">
        <v>0.8</v>
      </c>
      <c r="AE14" s="111">
        <v>0</v>
      </c>
      <c r="AF14" s="111">
        <v>0</v>
      </c>
      <c r="AG14" s="111">
        <v>0</v>
      </c>
      <c r="AH14" s="111">
        <v>0</v>
      </c>
      <c r="AI14" s="111">
        <v>0.8</v>
      </c>
      <c r="AJ14" s="111">
        <v>0.8</v>
      </c>
      <c r="AK14" s="111">
        <v>0.8</v>
      </c>
      <c r="AL14" s="111">
        <v>0.8</v>
      </c>
      <c r="AM14" s="111">
        <v>0</v>
      </c>
      <c r="AN14" s="111">
        <v>0</v>
      </c>
      <c r="AO14" s="111">
        <v>0</v>
      </c>
      <c r="AP14" s="111">
        <v>0</v>
      </c>
    </row>
    <row r="15" spans="1:42" customFormat="1" x14ac:dyDescent="0.15">
      <c r="A15" s="155" t="s">
        <v>206</v>
      </c>
      <c r="B15" s="111">
        <v>0</v>
      </c>
      <c r="C15" s="111">
        <v>0</v>
      </c>
      <c r="D15" s="111">
        <v>0</v>
      </c>
      <c r="E15" s="111">
        <v>0</v>
      </c>
      <c r="F15" s="111">
        <v>0</v>
      </c>
      <c r="G15" s="111">
        <v>0</v>
      </c>
      <c r="H15" s="111">
        <v>0</v>
      </c>
      <c r="I15" s="111">
        <v>0</v>
      </c>
      <c r="J15" s="111">
        <v>0</v>
      </c>
      <c r="K15" s="111">
        <v>0</v>
      </c>
      <c r="L15" s="111">
        <v>0.8</v>
      </c>
      <c r="M15" s="111">
        <v>0.8</v>
      </c>
      <c r="N15" s="111">
        <v>0.8</v>
      </c>
      <c r="O15" s="111">
        <v>0</v>
      </c>
      <c r="P15" s="111">
        <v>0</v>
      </c>
      <c r="Q15" s="111">
        <v>0.8</v>
      </c>
      <c r="R15" s="111">
        <v>0</v>
      </c>
      <c r="S15" s="111">
        <v>0.8</v>
      </c>
      <c r="T15" s="111">
        <v>0</v>
      </c>
      <c r="U15" s="111">
        <v>0.8</v>
      </c>
      <c r="V15" s="111">
        <v>0.8</v>
      </c>
      <c r="W15" s="111">
        <v>0.8</v>
      </c>
      <c r="X15" s="111">
        <v>0.8</v>
      </c>
      <c r="Y15" s="111">
        <v>0.8</v>
      </c>
      <c r="Z15" s="111">
        <v>0</v>
      </c>
      <c r="AA15" s="111">
        <v>0.8</v>
      </c>
      <c r="AB15" s="111">
        <v>0</v>
      </c>
      <c r="AC15" s="111">
        <v>0.8</v>
      </c>
      <c r="AD15" s="111">
        <v>0.8</v>
      </c>
      <c r="AE15" s="111">
        <v>0.8</v>
      </c>
      <c r="AF15" s="111">
        <v>0</v>
      </c>
      <c r="AG15" s="111">
        <v>0</v>
      </c>
      <c r="AH15" s="111">
        <v>0</v>
      </c>
      <c r="AI15" s="111">
        <v>0.8</v>
      </c>
      <c r="AJ15" s="111">
        <v>0</v>
      </c>
      <c r="AK15" s="111">
        <v>0.8</v>
      </c>
      <c r="AL15" s="111">
        <v>0.8</v>
      </c>
      <c r="AM15" s="111">
        <v>0</v>
      </c>
      <c r="AN15" s="111">
        <v>0</v>
      </c>
      <c r="AO15" s="111">
        <v>0</v>
      </c>
      <c r="AP15" s="111">
        <v>0</v>
      </c>
    </row>
    <row r="16" spans="1:42" customFormat="1" x14ac:dyDescent="0.15">
      <c r="A16" s="155" t="s">
        <v>207</v>
      </c>
      <c r="B16" s="111">
        <v>0</v>
      </c>
      <c r="C16" s="111">
        <v>0</v>
      </c>
      <c r="D16" s="111">
        <v>0</v>
      </c>
      <c r="E16" s="111">
        <v>0</v>
      </c>
      <c r="F16" s="111">
        <v>0</v>
      </c>
      <c r="G16" s="111">
        <v>0</v>
      </c>
      <c r="H16" s="111">
        <v>0</v>
      </c>
      <c r="I16" s="111">
        <v>0</v>
      </c>
      <c r="J16" s="111">
        <v>0</v>
      </c>
      <c r="K16" s="111">
        <v>0</v>
      </c>
      <c r="L16" s="111">
        <v>0.8</v>
      </c>
      <c r="M16" s="111">
        <v>0.8</v>
      </c>
      <c r="N16" s="111">
        <v>0.8</v>
      </c>
      <c r="O16" s="111">
        <v>0</v>
      </c>
      <c r="P16" s="111">
        <v>0</v>
      </c>
      <c r="Q16" s="111">
        <v>0.8</v>
      </c>
      <c r="R16" s="111">
        <v>0</v>
      </c>
      <c r="S16" s="111">
        <v>0.8</v>
      </c>
      <c r="T16" s="111">
        <v>0</v>
      </c>
      <c r="U16" s="111">
        <v>0.8</v>
      </c>
      <c r="V16" s="111">
        <v>0.8</v>
      </c>
      <c r="W16" s="111">
        <v>0.8</v>
      </c>
      <c r="X16" s="111">
        <v>0.8</v>
      </c>
      <c r="Y16" s="111">
        <v>0.8</v>
      </c>
      <c r="Z16" s="111">
        <v>0</v>
      </c>
      <c r="AA16" s="111">
        <v>0.8</v>
      </c>
      <c r="AB16" s="111">
        <v>0</v>
      </c>
      <c r="AC16" s="111">
        <v>0.8</v>
      </c>
      <c r="AD16" s="111">
        <v>0.8</v>
      </c>
      <c r="AE16" s="111">
        <v>0.8</v>
      </c>
      <c r="AF16" s="111">
        <v>0</v>
      </c>
      <c r="AG16" s="111">
        <v>0</v>
      </c>
      <c r="AH16" s="111">
        <v>0</v>
      </c>
      <c r="AI16" s="111">
        <v>0.8</v>
      </c>
      <c r="AJ16" s="111">
        <v>0</v>
      </c>
      <c r="AK16" s="111">
        <v>0.8</v>
      </c>
      <c r="AL16" s="111">
        <v>0.8</v>
      </c>
      <c r="AM16" s="111">
        <v>0</v>
      </c>
      <c r="AN16" s="111">
        <v>0</v>
      </c>
      <c r="AO16" s="111">
        <v>0</v>
      </c>
      <c r="AP16" s="111">
        <v>0</v>
      </c>
    </row>
    <row r="17" spans="1:42" customFormat="1" x14ac:dyDescent="0.15">
      <c r="A17" s="155" t="s">
        <v>208</v>
      </c>
      <c r="B17" s="111">
        <v>0</v>
      </c>
      <c r="C17" s="111">
        <v>0</v>
      </c>
      <c r="D17" s="111">
        <v>0</v>
      </c>
      <c r="E17" s="111">
        <v>0</v>
      </c>
      <c r="F17" s="111">
        <v>0</v>
      </c>
      <c r="G17" s="111">
        <v>0</v>
      </c>
      <c r="H17" s="111">
        <v>0</v>
      </c>
      <c r="I17" s="111">
        <v>0</v>
      </c>
      <c r="J17" s="111">
        <v>0</v>
      </c>
      <c r="K17" s="111">
        <v>0</v>
      </c>
      <c r="L17" s="111">
        <v>0.8</v>
      </c>
      <c r="M17" s="111">
        <v>0.8</v>
      </c>
      <c r="N17" s="111">
        <v>0.8</v>
      </c>
      <c r="O17" s="111">
        <v>0</v>
      </c>
      <c r="P17" s="111">
        <v>0</v>
      </c>
      <c r="Q17" s="111">
        <v>0.8</v>
      </c>
      <c r="R17" s="111">
        <v>0.8</v>
      </c>
      <c r="S17" s="111">
        <v>0.8</v>
      </c>
      <c r="T17" s="111">
        <v>0</v>
      </c>
      <c r="U17" s="111">
        <v>0.8</v>
      </c>
      <c r="V17" s="111">
        <v>0.8</v>
      </c>
      <c r="W17" s="111">
        <v>0.8</v>
      </c>
      <c r="X17" s="111">
        <v>0.8</v>
      </c>
      <c r="Y17" s="111">
        <v>0.8</v>
      </c>
      <c r="Z17" s="111">
        <v>0</v>
      </c>
      <c r="AA17" s="111">
        <v>0.8</v>
      </c>
      <c r="AB17" s="111">
        <v>0</v>
      </c>
      <c r="AC17" s="111">
        <v>0</v>
      </c>
      <c r="AD17" s="111">
        <v>0</v>
      </c>
      <c r="AE17" s="111">
        <v>0</v>
      </c>
      <c r="AF17" s="111">
        <v>0</v>
      </c>
      <c r="AG17" s="111">
        <v>0</v>
      </c>
      <c r="AH17" s="111">
        <v>0</v>
      </c>
      <c r="AI17" s="111">
        <v>0.8</v>
      </c>
      <c r="AJ17" s="111">
        <v>0</v>
      </c>
      <c r="AK17" s="111">
        <v>0.8</v>
      </c>
      <c r="AL17" s="111">
        <v>0.8</v>
      </c>
      <c r="AM17" s="111">
        <v>0.8</v>
      </c>
      <c r="AN17" s="111">
        <v>0</v>
      </c>
      <c r="AO17" s="111">
        <v>0</v>
      </c>
      <c r="AP17" s="111">
        <v>0</v>
      </c>
    </row>
    <row r="18" spans="1:42" customFormat="1" x14ac:dyDescent="0.15">
      <c r="A18" s="155" t="s">
        <v>209</v>
      </c>
      <c r="B18" s="111">
        <v>0</v>
      </c>
      <c r="C18" s="111">
        <v>0</v>
      </c>
      <c r="D18" s="111">
        <v>0</v>
      </c>
      <c r="E18" s="111">
        <v>0</v>
      </c>
      <c r="F18" s="111">
        <v>0</v>
      </c>
      <c r="G18" s="111">
        <v>0</v>
      </c>
      <c r="H18" s="111">
        <v>0</v>
      </c>
      <c r="I18" s="111">
        <v>0</v>
      </c>
      <c r="J18" s="111">
        <v>0</v>
      </c>
      <c r="K18" s="111">
        <v>0</v>
      </c>
      <c r="L18" s="111">
        <v>0.8</v>
      </c>
      <c r="M18" s="111">
        <v>0.8</v>
      </c>
      <c r="N18" s="111">
        <v>0.8</v>
      </c>
      <c r="O18" s="111">
        <v>0</v>
      </c>
      <c r="P18" s="111">
        <v>0</v>
      </c>
      <c r="Q18" s="111">
        <v>0</v>
      </c>
      <c r="R18" s="111">
        <v>0.8</v>
      </c>
      <c r="S18" s="111">
        <v>0.8</v>
      </c>
      <c r="T18" s="111">
        <v>0.8</v>
      </c>
      <c r="U18" s="111">
        <v>0.8</v>
      </c>
      <c r="V18" s="111">
        <v>0.8</v>
      </c>
      <c r="W18" s="111">
        <v>0.8</v>
      </c>
      <c r="X18" s="111">
        <v>0.8</v>
      </c>
      <c r="Y18" s="111">
        <v>0</v>
      </c>
      <c r="Z18" s="111">
        <v>0</v>
      </c>
      <c r="AA18" s="111">
        <v>0</v>
      </c>
      <c r="AB18" s="111">
        <v>0</v>
      </c>
      <c r="AC18" s="111">
        <v>0.8</v>
      </c>
      <c r="AD18" s="111">
        <v>0.8</v>
      </c>
      <c r="AE18" s="111">
        <v>0.8</v>
      </c>
      <c r="AF18" s="111">
        <v>0</v>
      </c>
      <c r="AG18" s="111">
        <v>0</v>
      </c>
      <c r="AH18" s="111">
        <v>0.8</v>
      </c>
      <c r="AI18" s="111">
        <v>0.8</v>
      </c>
      <c r="AJ18" s="111">
        <v>0</v>
      </c>
      <c r="AK18" s="111">
        <v>0</v>
      </c>
      <c r="AL18" s="111">
        <v>0.8</v>
      </c>
      <c r="AM18" s="111">
        <v>0.8</v>
      </c>
      <c r="AN18" s="111">
        <v>0</v>
      </c>
      <c r="AO18" s="111">
        <v>0</v>
      </c>
      <c r="AP18" s="111">
        <v>0</v>
      </c>
    </row>
    <row r="19" spans="1:42" customFormat="1" x14ac:dyDescent="0.15">
      <c r="A19" s="155" t="s">
        <v>210</v>
      </c>
      <c r="B19" s="111">
        <v>0</v>
      </c>
      <c r="C19" s="111">
        <v>0</v>
      </c>
      <c r="D19" s="111">
        <v>0</v>
      </c>
      <c r="E19" s="111">
        <v>0</v>
      </c>
      <c r="F19" s="111">
        <v>0</v>
      </c>
      <c r="G19" s="111">
        <v>0</v>
      </c>
      <c r="H19" s="111">
        <v>0</v>
      </c>
      <c r="I19" s="111">
        <v>0</v>
      </c>
      <c r="J19" s="111">
        <v>0</v>
      </c>
      <c r="K19" s="111">
        <v>0</v>
      </c>
      <c r="L19" s="111">
        <v>0</v>
      </c>
      <c r="M19" s="111">
        <v>0</v>
      </c>
      <c r="N19" s="111">
        <v>0</v>
      </c>
      <c r="O19" s="111">
        <v>0</v>
      </c>
      <c r="P19" s="111">
        <v>0</v>
      </c>
      <c r="Q19" s="111">
        <v>0</v>
      </c>
      <c r="R19" s="111">
        <v>0</v>
      </c>
      <c r="S19" s="111">
        <v>0</v>
      </c>
      <c r="T19" s="111">
        <v>0</v>
      </c>
      <c r="U19" s="111">
        <v>0</v>
      </c>
      <c r="V19" s="111">
        <v>0.8</v>
      </c>
      <c r="W19" s="111">
        <v>0.8</v>
      </c>
      <c r="X19" s="111">
        <v>0</v>
      </c>
      <c r="Y19" s="111">
        <v>0</v>
      </c>
      <c r="Z19" s="111">
        <v>0</v>
      </c>
      <c r="AA19" s="111">
        <v>0</v>
      </c>
      <c r="AB19" s="111">
        <v>0</v>
      </c>
      <c r="AC19" s="111">
        <v>0.8</v>
      </c>
      <c r="AD19" s="111">
        <v>0</v>
      </c>
      <c r="AE19" s="111">
        <v>0</v>
      </c>
      <c r="AF19" s="111">
        <v>0</v>
      </c>
      <c r="AG19" s="111">
        <v>0</v>
      </c>
      <c r="AH19" s="111">
        <v>0</v>
      </c>
      <c r="AI19" s="111">
        <v>0</v>
      </c>
      <c r="AJ19" s="111">
        <v>0</v>
      </c>
      <c r="AK19" s="111">
        <v>0</v>
      </c>
      <c r="AL19" s="111">
        <v>0</v>
      </c>
      <c r="AM19" s="111">
        <v>0</v>
      </c>
      <c r="AN19" s="111">
        <v>0</v>
      </c>
      <c r="AO19" s="111">
        <v>0</v>
      </c>
      <c r="AP19" s="111">
        <v>0</v>
      </c>
    </row>
    <row r="20" spans="1:42" customFormat="1" x14ac:dyDescent="0.15">
      <c r="A20" s="155" t="s">
        <v>211</v>
      </c>
      <c r="B20" s="111">
        <v>0</v>
      </c>
      <c r="C20" s="111">
        <v>0</v>
      </c>
      <c r="D20" s="111">
        <v>0</v>
      </c>
      <c r="E20" s="111">
        <v>0</v>
      </c>
      <c r="F20" s="111">
        <v>0</v>
      </c>
      <c r="G20" s="111">
        <v>0</v>
      </c>
      <c r="H20" s="111">
        <v>0</v>
      </c>
      <c r="I20" s="111">
        <v>0</v>
      </c>
      <c r="J20" s="111">
        <v>0</v>
      </c>
      <c r="K20" s="111">
        <v>0</v>
      </c>
      <c r="L20" s="111">
        <v>0.8</v>
      </c>
      <c r="M20" s="111">
        <v>0.8</v>
      </c>
      <c r="N20" s="111">
        <v>0</v>
      </c>
      <c r="O20" s="111">
        <v>0</v>
      </c>
      <c r="P20" s="111">
        <v>0</v>
      </c>
      <c r="Q20" s="111">
        <v>0.8</v>
      </c>
      <c r="R20" s="111">
        <v>0.8</v>
      </c>
      <c r="S20" s="111">
        <v>0.8</v>
      </c>
      <c r="T20" s="111">
        <v>0.8</v>
      </c>
      <c r="U20" s="111">
        <v>0.8</v>
      </c>
      <c r="V20" s="111">
        <v>0.8</v>
      </c>
      <c r="W20" s="111">
        <v>0.8</v>
      </c>
      <c r="X20" s="111">
        <v>0</v>
      </c>
      <c r="Y20" s="111">
        <v>0</v>
      </c>
      <c r="Z20" s="111">
        <v>0</v>
      </c>
      <c r="AA20" s="111">
        <v>0</v>
      </c>
      <c r="AB20" s="111">
        <v>0</v>
      </c>
      <c r="AC20" s="111">
        <v>0.8</v>
      </c>
      <c r="AD20" s="111">
        <v>0</v>
      </c>
      <c r="AE20" s="111">
        <v>0.8</v>
      </c>
      <c r="AF20" s="111">
        <v>0</v>
      </c>
      <c r="AG20" s="111">
        <v>0</v>
      </c>
      <c r="AH20" s="111">
        <v>0</v>
      </c>
      <c r="AI20" s="111">
        <v>0.8</v>
      </c>
      <c r="AJ20" s="111">
        <v>0</v>
      </c>
      <c r="AK20" s="111">
        <v>0</v>
      </c>
      <c r="AL20" s="111">
        <v>0.8</v>
      </c>
      <c r="AM20" s="111">
        <v>0.8</v>
      </c>
      <c r="AN20" s="111">
        <v>0</v>
      </c>
      <c r="AO20" s="111">
        <v>0</v>
      </c>
      <c r="AP20" s="111">
        <v>0</v>
      </c>
    </row>
    <row r="21" spans="1:42" customFormat="1" x14ac:dyDescent="0.15">
      <c r="A21" s="155" t="s">
        <v>212</v>
      </c>
      <c r="B21" s="111">
        <v>0</v>
      </c>
      <c r="C21" s="111">
        <v>0</v>
      </c>
      <c r="D21" s="111">
        <v>0</v>
      </c>
      <c r="E21" s="111">
        <v>0</v>
      </c>
      <c r="F21" s="111">
        <v>0</v>
      </c>
      <c r="G21" s="111">
        <v>0</v>
      </c>
      <c r="H21" s="111">
        <v>0</v>
      </c>
      <c r="I21" s="111">
        <v>0</v>
      </c>
      <c r="J21" s="111">
        <v>0</v>
      </c>
      <c r="K21" s="111">
        <v>0</v>
      </c>
      <c r="L21" s="111">
        <v>0.8</v>
      </c>
      <c r="M21" s="111">
        <v>0.8</v>
      </c>
      <c r="N21" s="111">
        <v>0.8</v>
      </c>
      <c r="O21" s="111">
        <v>0</v>
      </c>
      <c r="P21" s="111">
        <v>0</v>
      </c>
      <c r="Q21" s="111">
        <v>0</v>
      </c>
      <c r="R21" s="111">
        <v>0.8</v>
      </c>
      <c r="S21" s="111">
        <v>0.8</v>
      </c>
      <c r="T21" s="111">
        <v>0.8</v>
      </c>
      <c r="U21" s="111">
        <v>0.8</v>
      </c>
      <c r="V21" s="111">
        <v>0.8</v>
      </c>
      <c r="W21" s="111">
        <v>0.8</v>
      </c>
      <c r="X21" s="111">
        <v>0.8</v>
      </c>
      <c r="Y21" s="111">
        <v>0</v>
      </c>
      <c r="Z21" s="111">
        <v>0</v>
      </c>
      <c r="AA21" s="111">
        <v>0</v>
      </c>
      <c r="AB21" s="111">
        <v>0</v>
      </c>
      <c r="AC21" s="111">
        <v>0.8</v>
      </c>
      <c r="AD21" s="111">
        <v>0</v>
      </c>
      <c r="AE21" s="111">
        <v>0.8</v>
      </c>
      <c r="AF21" s="111">
        <v>0</v>
      </c>
      <c r="AG21" s="111">
        <v>0</v>
      </c>
      <c r="AH21" s="111">
        <v>0</v>
      </c>
      <c r="AI21" s="111">
        <v>0.8</v>
      </c>
      <c r="AJ21" s="111">
        <v>0</v>
      </c>
      <c r="AK21" s="111">
        <v>0</v>
      </c>
      <c r="AL21" s="111">
        <v>0.8</v>
      </c>
      <c r="AM21" s="111">
        <v>0.8</v>
      </c>
      <c r="AN21" s="111">
        <v>0</v>
      </c>
      <c r="AO21" s="111">
        <v>0</v>
      </c>
      <c r="AP21" s="111">
        <v>0</v>
      </c>
    </row>
    <row r="22" spans="1:42" customFormat="1" x14ac:dyDescent="0.15">
      <c r="A22" s="155" t="s">
        <v>213</v>
      </c>
      <c r="B22" s="111">
        <v>0</v>
      </c>
      <c r="C22" s="111">
        <v>0</v>
      </c>
      <c r="D22" s="111">
        <v>0</v>
      </c>
      <c r="E22" s="111">
        <v>0</v>
      </c>
      <c r="F22" s="111">
        <v>0</v>
      </c>
      <c r="G22" s="111">
        <v>0</v>
      </c>
      <c r="H22" s="111">
        <v>0</v>
      </c>
      <c r="I22" s="111">
        <v>0</v>
      </c>
      <c r="J22" s="111">
        <v>0</v>
      </c>
      <c r="K22" s="111">
        <v>0</v>
      </c>
      <c r="L22" s="111">
        <v>0</v>
      </c>
      <c r="M22" s="111">
        <v>0</v>
      </c>
      <c r="N22" s="111">
        <v>0.8</v>
      </c>
      <c r="O22" s="111">
        <v>0</v>
      </c>
      <c r="P22" s="111">
        <v>0</v>
      </c>
      <c r="Q22" s="111">
        <v>0</v>
      </c>
      <c r="R22" s="111">
        <v>0</v>
      </c>
      <c r="S22" s="111">
        <v>0</v>
      </c>
      <c r="T22" s="111">
        <v>0</v>
      </c>
      <c r="U22" s="111">
        <v>0.8</v>
      </c>
      <c r="V22" s="111">
        <v>0.8</v>
      </c>
      <c r="W22" s="111">
        <v>0.8</v>
      </c>
      <c r="X22" s="111">
        <v>0.8</v>
      </c>
      <c r="Y22" s="111">
        <v>0</v>
      </c>
      <c r="Z22" s="111">
        <v>0</v>
      </c>
      <c r="AA22" s="111">
        <v>0</v>
      </c>
      <c r="AB22" s="111">
        <v>0</v>
      </c>
      <c r="AC22" s="111">
        <v>0</v>
      </c>
      <c r="AD22" s="111">
        <v>0</v>
      </c>
      <c r="AE22" s="111">
        <v>0</v>
      </c>
      <c r="AF22" s="111">
        <v>0</v>
      </c>
      <c r="AG22" s="111">
        <v>0</v>
      </c>
      <c r="AH22" s="111">
        <v>0</v>
      </c>
      <c r="AI22" s="111">
        <v>0</v>
      </c>
      <c r="AJ22" s="111">
        <v>0</v>
      </c>
      <c r="AK22" s="111">
        <v>0</v>
      </c>
      <c r="AL22" s="111">
        <v>0.8</v>
      </c>
      <c r="AM22" s="111">
        <v>0</v>
      </c>
      <c r="AN22" s="111">
        <v>0</v>
      </c>
      <c r="AO22" s="111">
        <v>0</v>
      </c>
      <c r="AP22" s="111">
        <v>0</v>
      </c>
    </row>
    <row r="23" spans="1:42" customFormat="1" x14ac:dyDescent="0.15">
      <c r="A23" s="155" t="s">
        <v>214</v>
      </c>
      <c r="B23" s="111">
        <v>0</v>
      </c>
      <c r="C23" s="111">
        <v>0</v>
      </c>
      <c r="D23" s="111">
        <v>0</v>
      </c>
      <c r="E23" s="111">
        <v>0</v>
      </c>
      <c r="F23" s="111">
        <v>0</v>
      </c>
      <c r="G23" s="111">
        <v>0</v>
      </c>
      <c r="H23" s="111">
        <v>0</v>
      </c>
      <c r="I23" s="111">
        <v>0</v>
      </c>
      <c r="J23" s="111">
        <v>0</v>
      </c>
      <c r="K23" s="111">
        <v>0</v>
      </c>
      <c r="L23" s="111">
        <v>0</v>
      </c>
      <c r="M23" s="111">
        <v>0</v>
      </c>
      <c r="N23" s="111">
        <v>0.8</v>
      </c>
      <c r="O23" s="111">
        <v>0</v>
      </c>
      <c r="P23" s="111">
        <v>0</v>
      </c>
      <c r="Q23" s="111">
        <v>0</v>
      </c>
      <c r="R23" s="111">
        <v>0</v>
      </c>
      <c r="S23" s="111">
        <v>0</v>
      </c>
      <c r="T23" s="111">
        <v>0</v>
      </c>
      <c r="U23" s="111">
        <v>0</v>
      </c>
      <c r="V23" s="111">
        <v>0.8</v>
      </c>
      <c r="W23" s="111">
        <v>0</v>
      </c>
      <c r="X23" s="111">
        <v>0</v>
      </c>
      <c r="Y23" s="111">
        <v>0</v>
      </c>
      <c r="Z23" s="111">
        <v>0</v>
      </c>
      <c r="AA23" s="111">
        <v>0</v>
      </c>
      <c r="AB23" s="111">
        <v>0</v>
      </c>
      <c r="AC23" s="111">
        <v>0</v>
      </c>
      <c r="AD23" s="111">
        <v>0</v>
      </c>
      <c r="AE23" s="111">
        <v>0</v>
      </c>
      <c r="AF23" s="111">
        <v>0</v>
      </c>
      <c r="AG23" s="111">
        <v>0</v>
      </c>
      <c r="AH23" s="111">
        <v>0</v>
      </c>
      <c r="AI23" s="111">
        <v>0</v>
      </c>
      <c r="AJ23" s="111">
        <v>0</v>
      </c>
      <c r="AK23" s="111">
        <v>0</v>
      </c>
      <c r="AL23" s="111">
        <v>0.8</v>
      </c>
      <c r="AM23" s="111">
        <v>0</v>
      </c>
      <c r="AN23" s="111">
        <v>0</v>
      </c>
      <c r="AO23" s="111">
        <v>0</v>
      </c>
      <c r="AP23" s="111">
        <v>0</v>
      </c>
    </row>
    <row r="24" spans="1:42" customFormat="1" x14ac:dyDescent="0.15">
      <c r="A24" s="155" t="s">
        <v>215</v>
      </c>
      <c r="B24" s="111">
        <v>0</v>
      </c>
      <c r="C24" s="111">
        <v>0</v>
      </c>
      <c r="D24" s="111">
        <v>0</v>
      </c>
      <c r="E24" s="111">
        <v>0</v>
      </c>
      <c r="F24" s="111">
        <v>0</v>
      </c>
      <c r="G24" s="111">
        <v>0</v>
      </c>
      <c r="H24" s="111">
        <v>0</v>
      </c>
      <c r="I24" s="111">
        <v>0</v>
      </c>
      <c r="J24" s="111">
        <v>0</v>
      </c>
      <c r="K24" s="111">
        <v>0</v>
      </c>
      <c r="L24" s="111">
        <v>0</v>
      </c>
      <c r="M24" s="111">
        <v>0</v>
      </c>
      <c r="N24" s="111">
        <v>0</v>
      </c>
      <c r="O24" s="111">
        <v>0</v>
      </c>
      <c r="P24" s="111">
        <v>0</v>
      </c>
      <c r="Q24" s="111">
        <v>0</v>
      </c>
      <c r="R24" s="111">
        <v>0</v>
      </c>
      <c r="S24" s="111">
        <v>0</v>
      </c>
      <c r="T24" s="111">
        <v>0</v>
      </c>
      <c r="U24" s="111">
        <v>0</v>
      </c>
      <c r="V24" s="111">
        <v>0</v>
      </c>
      <c r="W24" s="111">
        <v>0</v>
      </c>
      <c r="X24" s="111">
        <v>0</v>
      </c>
      <c r="Y24" s="111">
        <v>0.8</v>
      </c>
      <c r="Z24" s="111">
        <v>0</v>
      </c>
      <c r="AA24" s="111">
        <v>0</v>
      </c>
      <c r="AB24" s="111">
        <v>0</v>
      </c>
      <c r="AC24" s="111">
        <v>0</v>
      </c>
      <c r="AD24" s="111">
        <v>0</v>
      </c>
      <c r="AE24" s="111">
        <v>0</v>
      </c>
      <c r="AF24" s="111">
        <v>0</v>
      </c>
      <c r="AG24" s="111">
        <v>0</v>
      </c>
      <c r="AH24" s="111">
        <v>0</v>
      </c>
      <c r="AI24" s="111">
        <v>0</v>
      </c>
      <c r="AJ24" s="111">
        <v>0</v>
      </c>
      <c r="AK24" s="111">
        <v>0.8</v>
      </c>
      <c r="AL24" s="111">
        <v>0.8</v>
      </c>
      <c r="AM24" s="111">
        <v>0</v>
      </c>
      <c r="AN24" s="111">
        <v>0</v>
      </c>
      <c r="AO24" s="111">
        <v>0</v>
      </c>
      <c r="AP24" s="111">
        <v>0</v>
      </c>
    </row>
    <row r="25" spans="1:42" customFormat="1" x14ac:dyDescent="0.15">
      <c r="A25" s="155" t="s">
        <v>216</v>
      </c>
      <c r="B25" s="111">
        <v>0</v>
      </c>
      <c r="C25" s="111">
        <v>0</v>
      </c>
      <c r="D25" s="111">
        <v>0</v>
      </c>
      <c r="E25" s="111">
        <v>0</v>
      </c>
      <c r="F25" s="111">
        <v>0</v>
      </c>
      <c r="G25" s="111">
        <v>0</v>
      </c>
      <c r="H25" s="111">
        <v>0</v>
      </c>
      <c r="I25" s="111">
        <v>0</v>
      </c>
      <c r="J25" s="111">
        <v>0</v>
      </c>
      <c r="K25" s="111">
        <v>0</v>
      </c>
      <c r="L25" s="111">
        <v>0</v>
      </c>
      <c r="M25" s="111">
        <v>0</v>
      </c>
      <c r="N25" s="111">
        <v>0</v>
      </c>
      <c r="O25" s="111">
        <v>0</v>
      </c>
      <c r="P25" s="111">
        <v>0</v>
      </c>
      <c r="Q25" s="111">
        <v>0</v>
      </c>
      <c r="R25" s="111">
        <v>0</v>
      </c>
      <c r="S25" s="111">
        <v>0</v>
      </c>
      <c r="T25" s="111">
        <v>0</v>
      </c>
      <c r="U25" s="111">
        <v>0</v>
      </c>
      <c r="V25" s="111">
        <v>0</v>
      </c>
      <c r="W25" s="111">
        <v>0</v>
      </c>
      <c r="X25" s="111">
        <v>0</v>
      </c>
      <c r="Y25" s="111">
        <v>0.8</v>
      </c>
      <c r="Z25" s="111">
        <v>0</v>
      </c>
      <c r="AA25" s="111">
        <v>0</v>
      </c>
      <c r="AB25" s="111">
        <v>0</v>
      </c>
      <c r="AC25" s="111">
        <v>0</v>
      </c>
      <c r="AD25" s="111">
        <v>0</v>
      </c>
      <c r="AE25" s="111">
        <v>0</v>
      </c>
      <c r="AF25" s="111">
        <v>0</v>
      </c>
      <c r="AG25" s="111">
        <v>0</v>
      </c>
      <c r="AH25" s="111">
        <v>0</v>
      </c>
      <c r="AI25" s="111">
        <v>0</v>
      </c>
      <c r="AJ25" s="111">
        <v>0</v>
      </c>
      <c r="AK25" s="111">
        <v>0</v>
      </c>
      <c r="AL25" s="111">
        <v>0.8</v>
      </c>
      <c r="AM25" s="111">
        <v>0</v>
      </c>
      <c r="AN25" s="111">
        <v>0</v>
      </c>
      <c r="AO25" s="111">
        <v>0</v>
      </c>
      <c r="AP25" s="111">
        <v>0</v>
      </c>
    </row>
    <row r="26" spans="1:42" customFormat="1" x14ac:dyDescent="0.15">
      <c r="A26" s="155" t="s">
        <v>217</v>
      </c>
      <c r="B26" s="111">
        <v>0</v>
      </c>
      <c r="C26" s="111">
        <v>0</v>
      </c>
      <c r="D26" s="111">
        <v>0</v>
      </c>
      <c r="E26" s="111">
        <v>0</v>
      </c>
      <c r="F26" s="111">
        <v>0</v>
      </c>
      <c r="G26" s="111">
        <v>0</v>
      </c>
      <c r="H26" s="111">
        <v>0</v>
      </c>
      <c r="I26" s="111">
        <v>0</v>
      </c>
      <c r="J26" s="111">
        <v>0</v>
      </c>
      <c r="K26" s="111">
        <v>0</v>
      </c>
      <c r="L26" s="111">
        <v>0.8</v>
      </c>
      <c r="M26" s="111">
        <v>0.8</v>
      </c>
      <c r="N26" s="111">
        <v>0.8</v>
      </c>
      <c r="O26" s="111">
        <v>0</v>
      </c>
      <c r="P26" s="111">
        <v>0</v>
      </c>
      <c r="Q26" s="111">
        <v>0</v>
      </c>
      <c r="R26" s="111">
        <v>0.8</v>
      </c>
      <c r="S26" s="111">
        <v>0.8</v>
      </c>
      <c r="T26" s="111">
        <v>0</v>
      </c>
      <c r="U26" s="111">
        <v>0.8</v>
      </c>
      <c r="V26" s="111">
        <v>0.8</v>
      </c>
      <c r="W26" s="111">
        <v>0.8</v>
      </c>
      <c r="X26" s="111">
        <v>0.8</v>
      </c>
      <c r="Y26" s="111">
        <v>0.8</v>
      </c>
      <c r="Z26" s="111">
        <v>0</v>
      </c>
      <c r="AA26" s="111">
        <v>0.8</v>
      </c>
      <c r="AB26" s="111">
        <v>0</v>
      </c>
      <c r="AC26" s="111">
        <v>0.8</v>
      </c>
      <c r="AD26" s="111">
        <v>0.8</v>
      </c>
      <c r="AE26" s="111">
        <v>0.8</v>
      </c>
      <c r="AF26" s="111">
        <v>0.8</v>
      </c>
      <c r="AG26" s="111">
        <v>0</v>
      </c>
      <c r="AH26" s="111">
        <v>0.8</v>
      </c>
      <c r="AI26" s="111">
        <v>0.8</v>
      </c>
      <c r="AJ26" s="111">
        <v>0</v>
      </c>
      <c r="AK26" s="111">
        <v>0.8</v>
      </c>
      <c r="AL26" s="111">
        <v>0.8</v>
      </c>
      <c r="AM26" s="111">
        <v>0.8</v>
      </c>
      <c r="AN26" s="111">
        <v>0</v>
      </c>
      <c r="AO26" s="111">
        <v>0</v>
      </c>
      <c r="AP26" s="111">
        <v>0</v>
      </c>
    </row>
    <row r="27" spans="1:42" customFormat="1" x14ac:dyDescent="0.15">
      <c r="A27" s="155" t="s">
        <v>218</v>
      </c>
      <c r="B27" s="111">
        <v>0</v>
      </c>
      <c r="C27" s="111">
        <v>0</v>
      </c>
      <c r="D27" s="111">
        <v>0</v>
      </c>
      <c r="E27" s="111">
        <v>0</v>
      </c>
      <c r="F27" s="111">
        <v>0</v>
      </c>
      <c r="G27" s="111">
        <v>0</v>
      </c>
      <c r="H27" s="111">
        <v>0</v>
      </c>
      <c r="I27" s="111">
        <v>0</v>
      </c>
      <c r="J27" s="111">
        <v>0</v>
      </c>
      <c r="K27" s="111">
        <v>0</v>
      </c>
      <c r="L27" s="111">
        <v>0</v>
      </c>
      <c r="M27" s="111">
        <v>0.8</v>
      </c>
      <c r="N27" s="111">
        <v>0.8</v>
      </c>
      <c r="O27" s="111">
        <v>0</v>
      </c>
      <c r="P27" s="111">
        <v>0</v>
      </c>
      <c r="Q27" s="111">
        <v>0</v>
      </c>
      <c r="R27" s="111">
        <v>0.8</v>
      </c>
      <c r="S27" s="111">
        <v>0.8</v>
      </c>
      <c r="T27" s="111">
        <v>0</v>
      </c>
      <c r="U27" s="111">
        <v>0</v>
      </c>
      <c r="V27" s="111">
        <v>0.8</v>
      </c>
      <c r="W27" s="111">
        <v>0.8</v>
      </c>
      <c r="X27" s="111">
        <v>0.8</v>
      </c>
      <c r="Y27" s="111">
        <v>0</v>
      </c>
      <c r="Z27" s="111">
        <v>0</v>
      </c>
      <c r="AA27" s="111">
        <v>0</v>
      </c>
      <c r="AB27" s="111">
        <v>0</v>
      </c>
      <c r="AC27" s="111">
        <v>0</v>
      </c>
      <c r="AD27" s="111">
        <v>0</v>
      </c>
      <c r="AE27" s="111">
        <v>0.8</v>
      </c>
      <c r="AF27" s="111">
        <v>0</v>
      </c>
      <c r="AG27" s="111">
        <v>0</v>
      </c>
      <c r="AH27" s="111">
        <v>0</v>
      </c>
      <c r="AI27" s="111">
        <v>0.8</v>
      </c>
      <c r="AJ27" s="111">
        <v>0</v>
      </c>
      <c r="AK27" s="111">
        <v>0.8</v>
      </c>
      <c r="AL27" s="111">
        <v>0.8</v>
      </c>
      <c r="AM27" s="111">
        <v>0.8</v>
      </c>
      <c r="AN27" s="111">
        <v>0</v>
      </c>
      <c r="AO27" s="111">
        <v>0</v>
      </c>
      <c r="AP27" s="111">
        <v>0</v>
      </c>
    </row>
    <row r="28" spans="1:42" customFormat="1" x14ac:dyDescent="0.15">
      <c r="A28" s="155" t="s">
        <v>219</v>
      </c>
      <c r="B28" s="111">
        <v>0</v>
      </c>
      <c r="C28" s="111">
        <v>0</v>
      </c>
      <c r="D28" s="111">
        <v>0</v>
      </c>
      <c r="E28" s="111">
        <v>0</v>
      </c>
      <c r="F28" s="111">
        <v>0</v>
      </c>
      <c r="G28" s="111">
        <v>0</v>
      </c>
      <c r="H28" s="111">
        <v>0</v>
      </c>
      <c r="I28" s="111">
        <v>0</v>
      </c>
      <c r="J28" s="111">
        <v>0</v>
      </c>
      <c r="K28" s="111">
        <v>0</v>
      </c>
      <c r="L28" s="111">
        <v>0</v>
      </c>
      <c r="M28" s="111">
        <v>0.8</v>
      </c>
      <c r="N28" s="111">
        <v>0.8</v>
      </c>
      <c r="O28" s="111">
        <v>0</v>
      </c>
      <c r="P28" s="111">
        <v>0</v>
      </c>
      <c r="Q28" s="111">
        <v>0</v>
      </c>
      <c r="R28" s="111">
        <v>0</v>
      </c>
      <c r="S28" s="111">
        <v>0.8</v>
      </c>
      <c r="T28" s="111">
        <v>0</v>
      </c>
      <c r="U28" s="111">
        <v>0</v>
      </c>
      <c r="V28" s="111">
        <v>0.8</v>
      </c>
      <c r="W28" s="111">
        <v>0.8</v>
      </c>
      <c r="X28" s="111">
        <v>0.8</v>
      </c>
      <c r="Y28" s="111">
        <v>0</v>
      </c>
      <c r="Z28" s="111">
        <v>0</v>
      </c>
      <c r="AA28" s="111">
        <v>0</v>
      </c>
      <c r="AB28" s="111">
        <v>0</v>
      </c>
      <c r="AC28" s="111">
        <v>0.8</v>
      </c>
      <c r="AD28" s="111">
        <v>0</v>
      </c>
      <c r="AE28" s="111">
        <v>0.8</v>
      </c>
      <c r="AF28" s="111">
        <v>0</v>
      </c>
      <c r="AG28" s="111">
        <v>0</v>
      </c>
      <c r="AH28" s="111">
        <v>0</v>
      </c>
      <c r="AI28" s="111">
        <v>0.8</v>
      </c>
      <c r="AJ28" s="111">
        <v>0</v>
      </c>
      <c r="AK28" s="111">
        <v>0.8</v>
      </c>
      <c r="AL28" s="111">
        <v>0.8</v>
      </c>
      <c r="AM28" s="111">
        <v>0.8</v>
      </c>
      <c r="AN28" s="111">
        <v>0</v>
      </c>
      <c r="AO28" s="111">
        <v>0</v>
      </c>
      <c r="AP28" s="111">
        <v>0</v>
      </c>
    </row>
    <row r="29" spans="1:42" customFormat="1" x14ac:dyDescent="0.15">
      <c r="A29" s="155" t="s">
        <v>220</v>
      </c>
      <c r="B29" s="111">
        <v>0</v>
      </c>
      <c r="C29" s="111">
        <v>0</v>
      </c>
      <c r="D29" s="111">
        <v>0</v>
      </c>
      <c r="E29" s="111">
        <v>0</v>
      </c>
      <c r="F29" s="111">
        <v>0</v>
      </c>
      <c r="G29" s="111">
        <v>0</v>
      </c>
      <c r="H29" s="111">
        <v>0</v>
      </c>
      <c r="I29" s="111">
        <v>0</v>
      </c>
      <c r="J29" s="111">
        <v>0</v>
      </c>
      <c r="K29" s="111">
        <v>0</v>
      </c>
      <c r="L29" s="111">
        <v>0</v>
      </c>
      <c r="M29" s="111">
        <v>0</v>
      </c>
      <c r="N29" s="111">
        <v>0.8</v>
      </c>
      <c r="O29" s="111">
        <v>0</v>
      </c>
      <c r="P29" s="111">
        <v>0</v>
      </c>
      <c r="Q29" s="111">
        <v>0</v>
      </c>
      <c r="R29" s="111">
        <v>0</v>
      </c>
      <c r="S29" s="111">
        <v>0.8</v>
      </c>
      <c r="T29" s="111">
        <v>0</v>
      </c>
      <c r="U29" s="111">
        <v>0</v>
      </c>
      <c r="V29" s="111">
        <v>0</v>
      </c>
      <c r="W29" s="111">
        <v>0</v>
      </c>
      <c r="X29" s="111">
        <v>0.8</v>
      </c>
      <c r="Y29" s="111">
        <v>0</v>
      </c>
      <c r="Z29" s="111">
        <v>0</v>
      </c>
      <c r="AA29" s="111">
        <v>0</v>
      </c>
      <c r="AB29" s="111">
        <v>0</v>
      </c>
      <c r="AC29" s="111">
        <v>0</v>
      </c>
      <c r="AD29" s="111">
        <v>0</v>
      </c>
      <c r="AE29" s="111">
        <v>0</v>
      </c>
      <c r="AF29" s="111">
        <v>0</v>
      </c>
      <c r="AG29" s="111">
        <v>0</v>
      </c>
      <c r="AH29" s="111">
        <v>0</v>
      </c>
      <c r="AI29" s="111">
        <v>0.8</v>
      </c>
      <c r="AJ29" s="111">
        <v>0</v>
      </c>
      <c r="AK29" s="111">
        <v>0.8</v>
      </c>
      <c r="AL29" s="111">
        <v>0.8</v>
      </c>
      <c r="AM29" s="111">
        <v>0</v>
      </c>
      <c r="AN29" s="111">
        <v>0</v>
      </c>
      <c r="AO29" s="111">
        <v>0</v>
      </c>
      <c r="AP29" s="111">
        <v>0</v>
      </c>
    </row>
    <row r="30" spans="1:42" customFormat="1" x14ac:dyDescent="0.15">
      <c r="A30" s="155" t="s">
        <v>221</v>
      </c>
      <c r="B30" s="111">
        <v>0</v>
      </c>
      <c r="C30" s="111">
        <v>0</v>
      </c>
      <c r="D30" s="111">
        <v>0</v>
      </c>
      <c r="E30" s="111">
        <v>0</v>
      </c>
      <c r="F30" s="111">
        <v>0</v>
      </c>
      <c r="G30" s="111">
        <v>0</v>
      </c>
      <c r="H30" s="111">
        <v>0</v>
      </c>
      <c r="I30" s="111">
        <v>0</v>
      </c>
      <c r="J30" s="111">
        <v>0</v>
      </c>
      <c r="K30" s="111">
        <v>0</v>
      </c>
      <c r="L30" s="111">
        <v>0</v>
      </c>
      <c r="M30" s="111">
        <v>0.8</v>
      </c>
      <c r="N30" s="111">
        <v>0.8</v>
      </c>
      <c r="O30" s="111">
        <v>0</v>
      </c>
      <c r="P30" s="111">
        <v>0</v>
      </c>
      <c r="Q30" s="111">
        <v>0</v>
      </c>
      <c r="R30" s="111">
        <v>0</v>
      </c>
      <c r="S30" s="111">
        <v>0.8</v>
      </c>
      <c r="T30" s="111">
        <v>0</v>
      </c>
      <c r="U30" s="111">
        <v>0</v>
      </c>
      <c r="V30" s="111">
        <v>0.8</v>
      </c>
      <c r="W30" s="111">
        <v>0.8</v>
      </c>
      <c r="X30" s="111">
        <v>0.8</v>
      </c>
      <c r="Y30" s="111">
        <v>0</v>
      </c>
      <c r="Z30" s="111">
        <v>0</v>
      </c>
      <c r="AA30" s="111">
        <v>0</v>
      </c>
      <c r="AB30" s="111">
        <v>0</v>
      </c>
      <c r="AC30" s="111">
        <v>0</v>
      </c>
      <c r="AD30" s="111">
        <v>0</v>
      </c>
      <c r="AE30" s="111">
        <v>0.8</v>
      </c>
      <c r="AF30" s="111">
        <v>0</v>
      </c>
      <c r="AG30" s="111">
        <v>0</v>
      </c>
      <c r="AH30" s="111">
        <v>0</v>
      </c>
      <c r="AI30" s="111">
        <v>0.8</v>
      </c>
      <c r="AJ30" s="111">
        <v>0</v>
      </c>
      <c r="AK30" s="111">
        <v>0.8</v>
      </c>
      <c r="AL30" s="111">
        <v>0.8</v>
      </c>
      <c r="AM30" s="111">
        <v>0.8</v>
      </c>
      <c r="AN30" s="111">
        <v>0</v>
      </c>
      <c r="AO30" s="111">
        <v>0</v>
      </c>
      <c r="AP30" s="111">
        <v>0</v>
      </c>
    </row>
    <row r="31" spans="1:42" customFormat="1" x14ac:dyDescent="0.15">
      <c r="A31" s="155" t="s">
        <v>222</v>
      </c>
      <c r="B31" s="111">
        <v>0</v>
      </c>
      <c r="C31" s="111">
        <v>0</v>
      </c>
      <c r="D31" s="111">
        <v>0</v>
      </c>
      <c r="E31" s="111">
        <v>0</v>
      </c>
      <c r="F31" s="111">
        <v>0</v>
      </c>
      <c r="G31" s="111">
        <v>0</v>
      </c>
      <c r="H31" s="111">
        <v>0</v>
      </c>
      <c r="I31" s="111">
        <v>0</v>
      </c>
      <c r="J31" s="111">
        <v>0</v>
      </c>
      <c r="K31" s="111">
        <v>0</v>
      </c>
      <c r="L31" s="111">
        <v>0</v>
      </c>
      <c r="M31" s="111">
        <v>0</v>
      </c>
      <c r="N31" s="111">
        <v>0</v>
      </c>
      <c r="O31" s="111">
        <v>0</v>
      </c>
      <c r="P31" s="111">
        <v>0</v>
      </c>
      <c r="Q31" s="111">
        <v>0</v>
      </c>
      <c r="R31" s="111">
        <v>0</v>
      </c>
      <c r="S31" s="111">
        <v>0.8</v>
      </c>
      <c r="T31" s="111">
        <v>0</v>
      </c>
      <c r="U31" s="111">
        <v>0</v>
      </c>
      <c r="V31" s="111">
        <v>0</v>
      </c>
      <c r="W31" s="111">
        <v>0</v>
      </c>
      <c r="X31" s="111">
        <v>0</v>
      </c>
      <c r="Y31" s="111">
        <v>0</v>
      </c>
      <c r="Z31" s="111">
        <v>0</v>
      </c>
      <c r="AA31" s="111">
        <v>0</v>
      </c>
      <c r="AB31" s="111">
        <v>0</v>
      </c>
      <c r="AC31" s="111">
        <v>0</v>
      </c>
      <c r="AD31" s="111">
        <v>0</v>
      </c>
      <c r="AE31" s="111">
        <v>0.8</v>
      </c>
      <c r="AF31" s="111">
        <v>0</v>
      </c>
      <c r="AG31" s="111">
        <v>0</v>
      </c>
      <c r="AH31" s="111">
        <v>0</v>
      </c>
      <c r="AI31" s="111">
        <v>0</v>
      </c>
      <c r="AJ31" s="111">
        <v>0</v>
      </c>
      <c r="AK31" s="111">
        <v>0</v>
      </c>
      <c r="AL31" s="111">
        <v>0</v>
      </c>
      <c r="AM31" s="111">
        <v>0</v>
      </c>
      <c r="AN31" s="111">
        <v>0</v>
      </c>
      <c r="AO31" s="111">
        <v>0</v>
      </c>
      <c r="AP31" s="111">
        <v>0</v>
      </c>
    </row>
    <row r="32" spans="1:42" customFormat="1" x14ac:dyDescent="0.15">
      <c r="A32" s="155" t="s">
        <v>223</v>
      </c>
      <c r="B32" s="111">
        <v>0</v>
      </c>
      <c r="C32" s="111">
        <v>0</v>
      </c>
      <c r="D32" s="111">
        <v>0</v>
      </c>
      <c r="E32" s="111">
        <v>0</v>
      </c>
      <c r="F32" s="111">
        <v>0</v>
      </c>
      <c r="G32" s="111">
        <v>0</v>
      </c>
      <c r="H32" s="111">
        <v>0</v>
      </c>
      <c r="I32" s="111">
        <v>0</v>
      </c>
      <c r="J32" s="111">
        <v>0</v>
      </c>
      <c r="K32" s="111">
        <v>0</v>
      </c>
      <c r="L32" s="111">
        <v>0</v>
      </c>
      <c r="M32" s="111">
        <v>0.8</v>
      </c>
      <c r="N32" s="111">
        <v>0.8</v>
      </c>
      <c r="O32" s="111">
        <v>0</v>
      </c>
      <c r="P32" s="111">
        <v>0</v>
      </c>
      <c r="Q32" s="111">
        <v>0</v>
      </c>
      <c r="R32" s="111">
        <v>0.8</v>
      </c>
      <c r="S32" s="111">
        <v>0</v>
      </c>
      <c r="T32" s="111">
        <v>0</v>
      </c>
      <c r="U32" s="111">
        <v>0.8</v>
      </c>
      <c r="V32" s="111">
        <v>0.8</v>
      </c>
      <c r="W32" s="111">
        <v>0.8</v>
      </c>
      <c r="X32" s="111">
        <v>0.8</v>
      </c>
      <c r="Y32" s="111">
        <v>0.8</v>
      </c>
      <c r="Z32" s="111">
        <v>0</v>
      </c>
      <c r="AA32" s="111">
        <v>0.8</v>
      </c>
      <c r="AB32" s="111">
        <v>0</v>
      </c>
      <c r="AC32" s="111">
        <v>0.8</v>
      </c>
      <c r="AD32" s="111">
        <v>0.8</v>
      </c>
      <c r="AE32" s="111">
        <v>0</v>
      </c>
      <c r="AF32" s="111">
        <v>0.8</v>
      </c>
      <c r="AG32" s="111">
        <v>0</v>
      </c>
      <c r="AH32" s="111">
        <v>0.8</v>
      </c>
      <c r="AI32" s="111">
        <v>0.8</v>
      </c>
      <c r="AJ32" s="111">
        <v>0</v>
      </c>
      <c r="AK32" s="111">
        <v>0.8</v>
      </c>
      <c r="AL32" s="111">
        <v>0</v>
      </c>
      <c r="AM32" s="111">
        <v>0.8</v>
      </c>
      <c r="AN32" s="111">
        <v>0</v>
      </c>
      <c r="AO32" s="111">
        <v>0</v>
      </c>
      <c r="AP32" s="111">
        <v>0</v>
      </c>
    </row>
    <row r="33" spans="1:42" x14ac:dyDescent="0.15">
      <c r="A33" s="155" t="s">
        <v>224</v>
      </c>
      <c r="B33" s="111">
        <v>0</v>
      </c>
      <c r="C33" s="111">
        <v>0</v>
      </c>
      <c r="D33" s="111">
        <v>0</v>
      </c>
      <c r="E33" s="111">
        <v>0</v>
      </c>
      <c r="F33" s="111">
        <v>0</v>
      </c>
      <c r="G33" s="111">
        <v>0</v>
      </c>
      <c r="H33" s="111">
        <v>0</v>
      </c>
      <c r="I33" s="111">
        <v>0</v>
      </c>
      <c r="J33" s="111">
        <v>0</v>
      </c>
      <c r="K33" s="111">
        <v>0</v>
      </c>
      <c r="L33" s="111">
        <v>0</v>
      </c>
      <c r="M33" s="111">
        <v>0.8</v>
      </c>
      <c r="N33" s="111">
        <v>0.8</v>
      </c>
      <c r="O33" s="111">
        <v>0</v>
      </c>
      <c r="P33" s="111">
        <v>0</v>
      </c>
      <c r="Q33" s="111">
        <v>0</v>
      </c>
      <c r="R33" s="111">
        <v>0.8</v>
      </c>
      <c r="S33" s="111">
        <v>0</v>
      </c>
      <c r="T33" s="111">
        <v>0</v>
      </c>
      <c r="U33" s="111">
        <v>0.8</v>
      </c>
      <c r="V33" s="111">
        <v>0.8</v>
      </c>
      <c r="W33" s="111">
        <v>0.8</v>
      </c>
      <c r="X33" s="111">
        <v>0.8</v>
      </c>
      <c r="Y33" s="111">
        <v>0.8</v>
      </c>
      <c r="Z33" s="111">
        <v>0</v>
      </c>
      <c r="AA33" s="111">
        <v>0.8</v>
      </c>
      <c r="AB33" s="111">
        <v>0</v>
      </c>
      <c r="AC33" s="111">
        <v>0.8</v>
      </c>
      <c r="AD33" s="111">
        <v>0.8</v>
      </c>
      <c r="AE33" s="111">
        <v>0</v>
      </c>
      <c r="AF33" s="111">
        <v>0.8</v>
      </c>
      <c r="AG33" s="111">
        <v>0</v>
      </c>
      <c r="AH33" s="111">
        <v>0.8</v>
      </c>
      <c r="AI33" s="111">
        <v>0.8</v>
      </c>
      <c r="AJ33" s="111">
        <v>0</v>
      </c>
      <c r="AK33" s="111">
        <v>0.8</v>
      </c>
      <c r="AL33" s="111">
        <v>0</v>
      </c>
      <c r="AM33" s="111">
        <v>0.8</v>
      </c>
      <c r="AN33" s="111">
        <v>0</v>
      </c>
      <c r="AO33" s="111">
        <v>0</v>
      </c>
      <c r="AP33" s="111">
        <v>0</v>
      </c>
    </row>
    <row r="34" spans="1:42" x14ac:dyDescent="0.15">
      <c r="A34" s="155" t="s">
        <v>225</v>
      </c>
      <c r="B34" s="111">
        <v>0</v>
      </c>
      <c r="C34" s="111">
        <v>0</v>
      </c>
      <c r="D34" s="111">
        <v>0</v>
      </c>
      <c r="E34" s="111">
        <v>0</v>
      </c>
      <c r="F34" s="111">
        <v>0</v>
      </c>
      <c r="G34" s="111">
        <v>0</v>
      </c>
      <c r="H34" s="111">
        <v>0</v>
      </c>
      <c r="I34" s="111">
        <v>0</v>
      </c>
      <c r="J34" s="111">
        <v>0</v>
      </c>
      <c r="K34" s="111">
        <v>0</v>
      </c>
      <c r="L34" s="111">
        <v>0</v>
      </c>
      <c r="M34" s="111">
        <v>0</v>
      </c>
      <c r="N34" s="111">
        <v>0.8</v>
      </c>
      <c r="O34" s="111">
        <v>0</v>
      </c>
      <c r="P34" s="111">
        <v>0</v>
      </c>
      <c r="Q34" s="111">
        <v>0</v>
      </c>
      <c r="R34" s="111">
        <v>0</v>
      </c>
      <c r="S34" s="111">
        <v>0.8</v>
      </c>
      <c r="T34" s="111">
        <v>0</v>
      </c>
      <c r="U34" s="111">
        <v>0</v>
      </c>
      <c r="V34" s="111">
        <v>0</v>
      </c>
      <c r="W34" s="111">
        <v>0</v>
      </c>
      <c r="X34" s="111">
        <v>0</v>
      </c>
      <c r="Y34" s="111">
        <v>0</v>
      </c>
      <c r="Z34" s="111">
        <v>0</v>
      </c>
      <c r="AA34" s="111">
        <v>0</v>
      </c>
      <c r="AB34" s="111">
        <v>0</v>
      </c>
      <c r="AC34" s="111">
        <v>0</v>
      </c>
      <c r="AD34" s="111">
        <v>0</v>
      </c>
      <c r="AE34" s="111">
        <v>0</v>
      </c>
      <c r="AF34" s="111">
        <v>0</v>
      </c>
      <c r="AG34" s="111">
        <v>0</v>
      </c>
      <c r="AH34" s="111">
        <v>0</v>
      </c>
      <c r="AI34" s="111">
        <v>0.8</v>
      </c>
      <c r="AJ34" s="111">
        <v>0</v>
      </c>
      <c r="AK34" s="111">
        <v>0.8</v>
      </c>
      <c r="AL34" s="111">
        <v>0.8</v>
      </c>
      <c r="AM34" s="111">
        <v>0</v>
      </c>
      <c r="AN34" s="111">
        <v>0</v>
      </c>
      <c r="AO34" s="111">
        <v>0</v>
      </c>
      <c r="AP34" s="111">
        <v>0</v>
      </c>
    </row>
    <row r="35" spans="1:42" x14ac:dyDescent="0.15">
      <c r="A35" s="155" t="s">
        <v>226</v>
      </c>
      <c r="B35" s="111">
        <v>0</v>
      </c>
      <c r="C35" s="111">
        <v>0</v>
      </c>
      <c r="D35" s="111">
        <v>0</v>
      </c>
      <c r="E35" s="111">
        <v>0</v>
      </c>
      <c r="F35" s="111">
        <v>0</v>
      </c>
      <c r="G35" s="111">
        <v>0</v>
      </c>
      <c r="H35" s="111">
        <v>0</v>
      </c>
      <c r="I35" s="111">
        <v>0</v>
      </c>
      <c r="J35" s="111">
        <v>0</v>
      </c>
      <c r="K35" s="111">
        <v>0</v>
      </c>
      <c r="L35" s="111">
        <v>0</v>
      </c>
      <c r="M35" s="111">
        <v>0</v>
      </c>
      <c r="N35" s="111">
        <v>0</v>
      </c>
      <c r="O35" s="111">
        <v>0</v>
      </c>
      <c r="P35" s="111">
        <v>0</v>
      </c>
      <c r="Q35" s="111">
        <v>0</v>
      </c>
      <c r="R35" s="111">
        <v>0</v>
      </c>
      <c r="S35" s="111">
        <v>0</v>
      </c>
      <c r="T35" s="111">
        <v>0</v>
      </c>
      <c r="U35" s="111">
        <v>0</v>
      </c>
      <c r="V35" s="111">
        <v>0</v>
      </c>
      <c r="W35" s="111">
        <v>0</v>
      </c>
      <c r="X35" s="111">
        <v>0</v>
      </c>
      <c r="Y35" s="111">
        <v>0</v>
      </c>
      <c r="Z35" s="111">
        <v>0</v>
      </c>
      <c r="AA35" s="111">
        <v>0</v>
      </c>
      <c r="AB35" s="111">
        <v>0</v>
      </c>
      <c r="AC35" s="111">
        <v>0</v>
      </c>
      <c r="AD35" s="111">
        <v>0</v>
      </c>
      <c r="AE35" s="111">
        <v>0</v>
      </c>
      <c r="AF35" s="111">
        <v>0</v>
      </c>
      <c r="AG35" s="111">
        <v>0</v>
      </c>
      <c r="AH35" s="111">
        <v>0</v>
      </c>
      <c r="AI35" s="111">
        <v>0</v>
      </c>
      <c r="AJ35" s="111">
        <v>0</v>
      </c>
      <c r="AK35" s="111">
        <v>0.8</v>
      </c>
      <c r="AL35" s="111">
        <v>0</v>
      </c>
      <c r="AM35" s="111">
        <v>0</v>
      </c>
      <c r="AN35" s="111">
        <v>0</v>
      </c>
      <c r="AO35" s="111">
        <v>0</v>
      </c>
      <c r="AP35" s="111">
        <v>0</v>
      </c>
    </row>
    <row r="36" spans="1:42" x14ac:dyDescent="0.15">
      <c r="A36" s="155" t="s">
        <v>227</v>
      </c>
      <c r="B36" s="111">
        <v>0</v>
      </c>
      <c r="C36" s="111">
        <v>0</v>
      </c>
      <c r="D36" s="111">
        <v>0</v>
      </c>
      <c r="E36" s="111">
        <v>0</v>
      </c>
      <c r="F36" s="111">
        <v>0</v>
      </c>
      <c r="G36" s="111">
        <v>0</v>
      </c>
      <c r="H36" s="111">
        <v>0</v>
      </c>
      <c r="I36" s="111">
        <v>0</v>
      </c>
      <c r="J36" s="111">
        <v>0</v>
      </c>
      <c r="K36" s="111">
        <v>0</v>
      </c>
      <c r="L36" s="111">
        <v>0</v>
      </c>
      <c r="M36" s="111">
        <v>0</v>
      </c>
      <c r="N36" s="111">
        <v>0</v>
      </c>
      <c r="O36" s="111">
        <v>0</v>
      </c>
      <c r="P36" s="111">
        <v>0</v>
      </c>
      <c r="Q36" s="111">
        <v>0</v>
      </c>
      <c r="R36" s="111">
        <v>0</v>
      </c>
      <c r="S36" s="111">
        <v>0</v>
      </c>
      <c r="T36" s="111">
        <v>0</v>
      </c>
      <c r="U36" s="111">
        <v>0</v>
      </c>
      <c r="V36" s="111">
        <v>0</v>
      </c>
      <c r="W36" s="111">
        <v>0</v>
      </c>
      <c r="X36" s="111">
        <v>0</v>
      </c>
      <c r="Y36" s="111">
        <v>0</v>
      </c>
      <c r="Z36" s="111">
        <v>0</v>
      </c>
      <c r="AA36" s="111">
        <v>0</v>
      </c>
      <c r="AB36" s="111">
        <v>0</v>
      </c>
      <c r="AC36" s="111">
        <v>0</v>
      </c>
      <c r="AD36" s="111">
        <v>0</v>
      </c>
      <c r="AE36" s="111">
        <v>0</v>
      </c>
      <c r="AF36" s="111">
        <v>0</v>
      </c>
      <c r="AG36" s="111">
        <v>0</v>
      </c>
      <c r="AH36" s="111">
        <v>0</v>
      </c>
      <c r="AI36" s="111">
        <v>0</v>
      </c>
      <c r="AJ36" s="111">
        <v>0</v>
      </c>
      <c r="AK36" s="111">
        <v>0</v>
      </c>
      <c r="AL36" s="111">
        <v>0</v>
      </c>
      <c r="AM36" s="111">
        <v>0</v>
      </c>
      <c r="AN36" s="111">
        <v>0</v>
      </c>
      <c r="AO36" s="111">
        <v>0</v>
      </c>
      <c r="AP36" s="111">
        <v>0</v>
      </c>
    </row>
    <row r="37" spans="1:42" x14ac:dyDescent="0.15">
      <c r="A37" s="155" t="s">
        <v>228</v>
      </c>
      <c r="B37" s="111">
        <v>0</v>
      </c>
      <c r="C37" s="111">
        <v>0</v>
      </c>
      <c r="D37" s="111">
        <v>0</v>
      </c>
      <c r="E37" s="111">
        <v>0</v>
      </c>
      <c r="F37" s="111">
        <v>0</v>
      </c>
      <c r="G37" s="111">
        <v>0</v>
      </c>
      <c r="H37" s="111">
        <v>0</v>
      </c>
      <c r="I37" s="111">
        <v>0</v>
      </c>
      <c r="J37" s="111">
        <v>0</v>
      </c>
      <c r="K37" s="111">
        <v>0</v>
      </c>
      <c r="L37" s="111">
        <v>0</v>
      </c>
      <c r="M37" s="111">
        <v>0</v>
      </c>
      <c r="N37" s="111">
        <v>0</v>
      </c>
      <c r="O37" s="111">
        <v>0</v>
      </c>
      <c r="P37" s="111">
        <v>0</v>
      </c>
      <c r="Q37" s="111">
        <v>0</v>
      </c>
      <c r="R37" s="111">
        <v>0</v>
      </c>
      <c r="S37" s="111">
        <v>0</v>
      </c>
      <c r="T37" s="111">
        <v>0</v>
      </c>
      <c r="U37" s="111">
        <v>0</v>
      </c>
      <c r="V37" s="111">
        <v>0</v>
      </c>
      <c r="W37" s="111">
        <v>0</v>
      </c>
      <c r="X37" s="111">
        <v>0</v>
      </c>
      <c r="Y37" s="111">
        <v>0</v>
      </c>
      <c r="Z37" s="111">
        <v>0</v>
      </c>
      <c r="AA37" s="111">
        <v>0</v>
      </c>
      <c r="AB37" s="111">
        <v>0</v>
      </c>
      <c r="AC37" s="111">
        <v>0</v>
      </c>
      <c r="AD37" s="111">
        <v>0</v>
      </c>
      <c r="AE37" s="111">
        <v>0</v>
      </c>
      <c r="AF37" s="111">
        <v>0</v>
      </c>
      <c r="AG37" s="111">
        <v>0</v>
      </c>
      <c r="AH37" s="111">
        <v>0</v>
      </c>
      <c r="AI37" s="111">
        <v>0</v>
      </c>
      <c r="AJ37" s="111">
        <v>0</v>
      </c>
      <c r="AK37" s="111">
        <v>0</v>
      </c>
      <c r="AL37" s="111">
        <v>0</v>
      </c>
      <c r="AM37" s="111">
        <v>0</v>
      </c>
      <c r="AN37" s="111">
        <v>0</v>
      </c>
      <c r="AO37" s="111">
        <v>0</v>
      </c>
      <c r="AP37" s="111">
        <v>0</v>
      </c>
    </row>
    <row r="38" spans="1:42" x14ac:dyDescent="0.15">
      <c r="A38" s="155" t="s">
        <v>229</v>
      </c>
      <c r="B38" s="111">
        <v>0</v>
      </c>
      <c r="C38" s="111">
        <v>0</v>
      </c>
      <c r="D38" s="111">
        <v>0</v>
      </c>
      <c r="E38" s="111">
        <v>0</v>
      </c>
      <c r="F38" s="111">
        <v>0</v>
      </c>
      <c r="G38" s="111">
        <v>0</v>
      </c>
      <c r="H38" s="111">
        <v>0</v>
      </c>
      <c r="I38" s="111">
        <v>0</v>
      </c>
      <c r="J38" s="111">
        <v>0</v>
      </c>
      <c r="K38" s="111">
        <v>0</v>
      </c>
      <c r="L38" s="111">
        <v>0</v>
      </c>
      <c r="M38" s="111">
        <v>0</v>
      </c>
      <c r="N38" s="111">
        <v>0</v>
      </c>
      <c r="O38" s="111">
        <v>0</v>
      </c>
      <c r="P38" s="111">
        <v>0</v>
      </c>
      <c r="Q38" s="111">
        <v>0</v>
      </c>
      <c r="R38" s="111">
        <v>0</v>
      </c>
      <c r="S38" s="111">
        <v>0</v>
      </c>
      <c r="T38" s="111">
        <v>0</v>
      </c>
      <c r="U38" s="111">
        <v>0</v>
      </c>
      <c r="V38" s="111">
        <v>0</v>
      </c>
      <c r="W38" s="111">
        <v>0</v>
      </c>
      <c r="X38" s="111">
        <v>0</v>
      </c>
      <c r="Y38" s="111">
        <v>0</v>
      </c>
      <c r="Z38" s="111">
        <v>0</v>
      </c>
      <c r="AA38" s="111">
        <v>0</v>
      </c>
      <c r="AB38" s="111">
        <v>0</v>
      </c>
      <c r="AC38" s="111">
        <v>0</v>
      </c>
      <c r="AD38" s="111">
        <v>0</v>
      </c>
      <c r="AE38" s="111">
        <v>0</v>
      </c>
      <c r="AF38" s="111">
        <v>0</v>
      </c>
      <c r="AG38" s="111">
        <v>0</v>
      </c>
      <c r="AH38" s="111">
        <v>0</v>
      </c>
      <c r="AI38" s="111">
        <v>0</v>
      </c>
      <c r="AJ38" s="111">
        <v>0</v>
      </c>
      <c r="AK38" s="111">
        <v>0</v>
      </c>
      <c r="AL38" s="111">
        <v>0</v>
      </c>
      <c r="AM38" s="111">
        <v>0</v>
      </c>
      <c r="AN38" s="111">
        <v>0</v>
      </c>
      <c r="AO38" s="111">
        <v>0</v>
      </c>
      <c r="AP38" s="111">
        <v>0</v>
      </c>
    </row>
    <row r="39" spans="1:42" x14ac:dyDescent="0.15">
      <c r="A39" s="155" t="s">
        <v>230</v>
      </c>
      <c r="B39" s="111">
        <v>0</v>
      </c>
      <c r="C39" s="111">
        <v>0</v>
      </c>
      <c r="D39" s="111">
        <v>0</v>
      </c>
      <c r="E39" s="111">
        <v>0</v>
      </c>
      <c r="F39" s="111">
        <v>0</v>
      </c>
      <c r="G39" s="111">
        <v>0</v>
      </c>
      <c r="H39" s="111">
        <v>0</v>
      </c>
      <c r="I39" s="111">
        <v>0</v>
      </c>
      <c r="J39" s="111">
        <v>0</v>
      </c>
      <c r="K39" s="111">
        <v>0</v>
      </c>
      <c r="L39" s="111">
        <v>0</v>
      </c>
      <c r="M39" s="111">
        <v>0</v>
      </c>
      <c r="N39" s="111">
        <v>0</v>
      </c>
      <c r="O39" s="111">
        <v>0</v>
      </c>
      <c r="P39" s="111">
        <v>0</v>
      </c>
      <c r="Q39" s="111">
        <v>0</v>
      </c>
      <c r="R39" s="111">
        <v>0</v>
      </c>
      <c r="S39" s="111">
        <v>0</v>
      </c>
      <c r="T39" s="111">
        <v>0</v>
      </c>
      <c r="U39" s="111">
        <v>0</v>
      </c>
      <c r="V39" s="111">
        <v>0</v>
      </c>
      <c r="W39" s="111">
        <v>0</v>
      </c>
      <c r="X39" s="111">
        <v>0</v>
      </c>
      <c r="Y39" s="111">
        <v>0</v>
      </c>
      <c r="Z39" s="111">
        <v>0</v>
      </c>
      <c r="AA39" s="111">
        <v>0</v>
      </c>
      <c r="AB39" s="111">
        <v>0</v>
      </c>
      <c r="AC39" s="111">
        <v>0</v>
      </c>
      <c r="AD39" s="111">
        <v>0</v>
      </c>
      <c r="AE39" s="111">
        <v>0</v>
      </c>
      <c r="AF39" s="111">
        <v>0</v>
      </c>
      <c r="AG39" s="111">
        <v>0</v>
      </c>
      <c r="AH39" s="111">
        <v>0</v>
      </c>
      <c r="AI39" s="111">
        <v>0</v>
      </c>
      <c r="AJ39" s="111">
        <v>0</v>
      </c>
      <c r="AK39" s="111">
        <v>0</v>
      </c>
      <c r="AL39" s="111">
        <v>0</v>
      </c>
      <c r="AM39" s="111">
        <v>0</v>
      </c>
      <c r="AN39" s="111">
        <v>0</v>
      </c>
      <c r="AO39" s="111">
        <v>0</v>
      </c>
      <c r="AP39" s="111">
        <v>0</v>
      </c>
    </row>
    <row r="40" spans="1:42" x14ac:dyDescent="0.15">
      <c r="A40" s="155" t="s">
        <v>231</v>
      </c>
      <c r="B40" s="111">
        <v>0</v>
      </c>
      <c r="C40" s="111">
        <v>0</v>
      </c>
      <c r="D40" s="111">
        <v>0.8</v>
      </c>
      <c r="E40" s="111">
        <v>0.8</v>
      </c>
      <c r="F40" s="111">
        <v>0.8</v>
      </c>
      <c r="G40" s="111">
        <v>0.8</v>
      </c>
      <c r="H40" s="111">
        <v>0.8</v>
      </c>
      <c r="I40" s="111">
        <v>0.8</v>
      </c>
      <c r="J40" s="111">
        <v>0.8</v>
      </c>
      <c r="K40" s="111">
        <v>0.8</v>
      </c>
      <c r="L40" s="111">
        <v>0</v>
      </c>
      <c r="M40" s="111">
        <v>0</v>
      </c>
      <c r="N40" s="111">
        <v>0.8</v>
      </c>
      <c r="O40" s="111">
        <v>0.8</v>
      </c>
      <c r="P40" s="111">
        <v>0.8</v>
      </c>
      <c r="Q40" s="111">
        <v>0.8</v>
      </c>
      <c r="R40" s="111">
        <v>0.8</v>
      </c>
      <c r="S40" s="111">
        <v>0</v>
      </c>
      <c r="T40" s="111">
        <v>0</v>
      </c>
      <c r="U40" s="111">
        <v>0.8</v>
      </c>
      <c r="V40" s="111">
        <v>0</v>
      </c>
      <c r="W40" s="111">
        <v>0</v>
      </c>
      <c r="X40" s="111">
        <v>0</v>
      </c>
      <c r="Y40" s="111">
        <v>0</v>
      </c>
      <c r="Z40" s="111">
        <v>0.8</v>
      </c>
      <c r="AA40" s="111">
        <v>0.8</v>
      </c>
      <c r="AB40" s="111">
        <v>0.8</v>
      </c>
      <c r="AC40" s="111">
        <v>0</v>
      </c>
      <c r="AD40" s="111">
        <v>0</v>
      </c>
      <c r="AE40" s="111">
        <v>0.8</v>
      </c>
      <c r="AF40" s="111">
        <v>0</v>
      </c>
      <c r="AG40" s="111">
        <v>0</v>
      </c>
      <c r="AH40" s="111">
        <v>0.8</v>
      </c>
      <c r="AI40" s="111">
        <v>0</v>
      </c>
      <c r="AJ40" s="111">
        <v>0.8</v>
      </c>
      <c r="AK40" s="111">
        <v>0</v>
      </c>
      <c r="AL40" s="111">
        <v>0</v>
      </c>
      <c r="AM40" s="111">
        <v>0</v>
      </c>
      <c r="AN40" s="111">
        <v>0</v>
      </c>
      <c r="AO40" s="111">
        <v>0</v>
      </c>
      <c r="AP40" s="111">
        <v>0</v>
      </c>
    </row>
    <row r="41" spans="1:42" x14ac:dyDescent="0.15">
      <c r="A41" s="155" t="s">
        <v>232</v>
      </c>
      <c r="B41" s="111">
        <v>0</v>
      </c>
      <c r="C41" s="111">
        <v>0</v>
      </c>
      <c r="D41" s="111">
        <v>0</v>
      </c>
      <c r="E41" s="111">
        <v>0</v>
      </c>
      <c r="F41" s="111">
        <v>0</v>
      </c>
      <c r="G41" s="111">
        <v>0.8</v>
      </c>
      <c r="H41" s="111">
        <v>0.8</v>
      </c>
      <c r="I41" s="111">
        <v>0.8</v>
      </c>
      <c r="J41" s="111">
        <v>0</v>
      </c>
      <c r="K41" s="111">
        <v>0.8</v>
      </c>
      <c r="L41" s="111">
        <v>0.8</v>
      </c>
      <c r="M41" s="111">
        <v>0</v>
      </c>
      <c r="N41" s="111">
        <v>0.8</v>
      </c>
      <c r="O41" s="111">
        <v>0</v>
      </c>
      <c r="P41" s="111">
        <v>0</v>
      </c>
      <c r="Q41" s="111">
        <v>0</v>
      </c>
      <c r="R41" s="111">
        <v>0</v>
      </c>
      <c r="S41" s="111">
        <v>0</v>
      </c>
      <c r="T41" s="111">
        <v>0</v>
      </c>
      <c r="U41" s="111">
        <v>0</v>
      </c>
      <c r="V41" s="111">
        <v>0.8</v>
      </c>
      <c r="W41" s="111">
        <v>0</v>
      </c>
      <c r="X41" s="111">
        <v>0</v>
      </c>
      <c r="Y41" s="111">
        <v>0</v>
      </c>
      <c r="Z41" s="111">
        <v>0</v>
      </c>
      <c r="AA41" s="111">
        <v>0</v>
      </c>
      <c r="AB41" s="111">
        <v>0</v>
      </c>
      <c r="AC41" s="111">
        <v>0</v>
      </c>
      <c r="AD41" s="111">
        <v>0</v>
      </c>
      <c r="AE41" s="111">
        <v>0.8</v>
      </c>
      <c r="AF41" s="111">
        <v>0</v>
      </c>
      <c r="AG41" s="111">
        <v>0</v>
      </c>
      <c r="AH41" s="111">
        <v>0</v>
      </c>
      <c r="AI41" s="111">
        <v>0</v>
      </c>
      <c r="AJ41" s="111">
        <v>0.8</v>
      </c>
      <c r="AK41" s="111">
        <v>0.8</v>
      </c>
      <c r="AL41" s="111">
        <v>0</v>
      </c>
      <c r="AM41" s="111">
        <v>0.8</v>
      </c>
      <c r="AN41" s="111">
        <v>0</v>
      </c>
      <c r="AO41" s="111">
        <v>0</v>
      </c>
      <c r="AP41" s="111">
        <v>0</v>
      </c>
    </row>
    <row r="42" spans="1:42" x14ac:dyDescent="0.15">
      <c r="A42" s="155" t="s">
        <v>233</v>
      </c>
      <c r="B42" s="111">
        <v>0</v>
      </c>
      <c r="C42" s="111">
        <v>0</v>
      </c>
      <c r="D42" s="111">
        <v>0</v>
      </c>
      <c r="E42" s="111">
        <v>0</v>
      </c>
      <c r="F42" s="111">
        <v>0</v>
      </c>
      <c r="G42" s="111">
        <v>0</v>
      </c>
      <c r="H42" s="111">
        <v>0</v>
      </c>
      <c r="I42" s="111">
        <v>0</v>
      </c>
      <c r="J42" s="111">
        <v>0</v>
      </c>
      <c r="K42" s="111">
        <v>0</v>
      </c>
      <c r="L42" s="111">
        <v>0</v>
      </c>
      <c r="M42" s="111">
        <v>0</v>
      </c>
      <c r="N42" s="111">
        <v>0</v>
      </c>
      <c r="O42" s="111">
        <v>0</v>
      </c>
      <c r="P42" s="111">
        <v>0</v>
      </c>
      <c r="Q42" s="111">
        <v>0</v>
      </c>
      <c r="R42" s="111">
        <v>0</v>
      </c>
      <c r="S42" s="111">
        <v>0</v>
      </c>
      <c r="T42" s="111">
        <v>0</v>
      </c>
      <c r="U42" s="111">
        <v>0</v>
      </c>
      <c r="V42" s="111">
        <v>0</v>
      </c>
      <c r="W42" s="111">
        <v>0</v>
      </c>
      <c r="X42" s="111">
        <v>0</v>
      </c>
      <c r="Y42" s="111">
        <v>0</v>
      </c>
      <c r="Z42" s="111">
        <v>0</v>
      </c>
      <c r="AA42" s="111">
        <v>0</v>
      </c>
      <c r="AB42" s="111">
        <v>0</v>
      </c>
      <c r="AC42" s="111">
        <v>0</v>
      </c>
      <c r="AD42" s="111">
        <v>0</v>
      </c>
      <c r="AE42" s="111">
        <v>0</v>
      </c>
      <c r="AF42" s="111">
        <v>0</v>
      </c>
      <c r="AG42" s="111">
        <v>0</v>
      </c>
      <c r="AH42" s="111">
        <v>0</v>
      </c>
      <c r="AI42" s="111">
        <v>0</v>
      </c>
      <c r="AJ42" s="111">
        <v>0</v>
      </c>
      <c r="AK42" s="111">
        <v>0</v>
      </c>
      <c r="AL42" s="111">
        <v>0</v>
      </c>
      <c r="AM42" s="111">
        <v>0</v>
      </c>
      <c r="AN42" s="111">
        <v>0</v>
      </c>
      <c r="AO42" s="111">
        <v>0</v>
      </c>
      <c r="AP42" s="111">
        <v>0</v>
      </c>
    </row>
    <row r="43" spans="1:42" x14ac:dyDescent="0.15">
      <c r="A43" s="155" t="s">
        <v>239</v>
      </c>
      <c r="B43" s="111">
        <v>0</v>
      </c>
      <c r="C43" s="111">
        <v>0</v>
      </c>
      <c r="D43" s="111">
        <v>0</v>
      </c>
      <c r="E43" s="111">
        <v>0</v>
      </c>
      <c r="F43" s="111">
        <v>0</v>
      </c>
      <c r="G43" s="111">
        <v>0</v>
      </c>
      <c r="H43" s="111">
        <v>0</v>
      </c>
      <c r="I43" s="111">
        <v>0</v>
      </c>
      <c r="J43" s="111">
        <v>0</v>
      </c>
      <c r="K43" s="111">
        <v>0</v>
      </c>
      <c r="L43" s="111">
        <v>0</v>
      </c>
      <c r="M43" s="111">
        <v>0</v>
      </c>
      <c r="N43" s="111">
        <v>0</v>
      </c>
      <c r="O43" s="111">
        <v>0</v>
      </c>
      <c r="P43" s="111">
        <v>0</v>
      </c>
      <c r="Q43" s="111">
        <v>0</v>
      </c>
      <c r="R43" s="111">
        <v>0</v>
      </c>
      <c r="S43" s="111">
        <v>0</v>
      </c>
      <c r="T43" s="111">
        <v>0</v>
      </c>
      <c r="U43" s="111">
        <v>0</v>
      </c>
      <c r="V43" s="111">
        <v>0</v>
      </c>
      <c r="W43" s="111">
        <v>0</v>
      </c>
      <c r="X43" s="111">
        <v>0</v>
      </c>
      <c r="Y43" s="111">
        <v>0</v>
      </c>
      <c r="Z43" s="111">
        <v>0</v>
      </c>
      <c r="AA43" s="111">
        <v>0</v>
      </c>
      <c r="AB43" s="111">
        <v>0</v>
      </c>
      <c r="AC43" s="111">
        <v>0</v>
      </c>
      <c r="AD43" s="111">
        <v>0</v>
      </c>
      <c r="AE43" s="111">
        <v>0</v>
      </c>
      <c r="AF43" s="111">
        <v>0</v>
      </c>
      <c r="AG43" s="111">
        <v>0</v>
      </c>
      <c r="AH43" s="111">
        <v>0.8</v>
      </c>
      <c r="AI43" s="111">
        <v>0.8</v>
      </c>
      <c r="AJ43" s="111">
        <v>0.8</v>
      </c>
      <c r="AK43" s="111">
        <v>0.8</v>
      </c>
      <c r="AL43" s="111">
        <v>0</v>
      </c>
      <c r="AM43" s="111">
        <v>0.8</v>
      </c>
      <c r="AN43" s="111">
        <v>0</v>
      </c>
      <c r="AO43" s="111">
        <v>0</v>
      </c>
      <c r="AP43" s="111">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indexed="51"/>
  </sheetPr>
  <dimension ref="A1:AP43"/>
  <sheetViews>
    <sheetView workbookViewId="0">
      <selection activeCell="A3" sqref="A3"/>
    </sheetView>
  </sheetViews>
  <sheetFormatPr baseColWidth="10" defaultRowHeight="13" x14ac:dyDescent="0.15"/>
  <cols>
    <col min="1" max="1" width="27.5" style="111" bestFit="1" customWidth="1"/>
    <col min="2" max="42" width="2.33203125" style="111" customWidth="1"/>
    <col min="43" max="16384" width="10.83203125" style="111"/>
  </cols>
  <sheetData>
    <row r="1" spans="1:42" x14ac:dyDescent="0.15">
      <c r="A1" s="63" t="s">
        <v>139</v>
      </c>
      <c r="B1" s="158" t="s">
        <v>193</v>
      </c>
      <c r="C1" s="158" t="s">
        <v>194</v>
      </c>
      <c r="D1" s="158" t="s">
        <v>195</v>
      </c>
      <c r="E1" s="158" t="s">
        <v>196</v>
      </c>
      <c r="F1" s="158" t="s">
        <v>197</v>
      </c>
      <c r="G1" s="158" t="s">
        <v>198</v>
      </c>
      <c r="H1" s="158" t="s">
        <v>199</v>
      </c>
      <c r="I1" s="158" t="s">
        <v>200</v>
      </c>
      <c r="J1" s="158" t="s">
        <v>201</v>
      </c>
      <c r="K1" s="158" t="s">
        <v>202</v>
      </c>
      <c r="L1" s="158" t="s">
        <v>203</v>
      </c>
      <c r="M1" s="158" t="s">
        <v>204</v>
      </c>
      <c r="N1" s="158" t="s">
        <v>205</v>
      </c>
      <c r="O1" s="158" t="s">
        <v>206</v>
      </c>
      <c r="P1" s="158" t="s">
        <v>207</v>
      </c>
      <c r="Q1" s="158" t="s">
        <v>208</v>
      </c>
      <c r="R1" s="158" t="s">
        <v>209</v>
      </c>
      <c r="S1" s="158" t="s">
        <v>210</v>
      </c>
      <c r="T1" s="158" t="s">
        <v>211</v>
      </c>
      <c r="U1" s="158" t="s">
        <v>212</v>
      </c>
      <c r="V1" s="158" t="s">
        <v>213</v>
      </c>
      <c r="W1" s="158" t="s">
        <v>214</v>
      </c>
      <c r="X1" s="158" t="s">
        <v>215</v>
      </c>
      <c r="Y1" s="158" t="s">
        <v>216</v>
      </c>
      <c r="Z1" s="158" t="s">
        <v>217</v>
      </c>
      <c r="AA1" s="158" t="s">
        <v>218</v>
      </c>
      <c r="AB1" s="158" t="s">
        <v>219</v>
      </c>
      <c r="AC1" s="158" t="s">
        <v>220</v>
      </c>
      <c r="AD1" s="158" t="s">
        <v>221</v>
      </c>
      <c r="AE1" s="158" t="s">
        <v>222</v>
      </c>
      <c r="AF1" s="158" t="s">
        <v>223</v>
      </c>
      <c r="AG1" s="158" t="s">
        <v>224</v>
      </c>
      <c r="AH1" s="158" t="s">
        <v>225</v>
      </c>
      <c r="AI1" s="158" t="s">
        <v>226</v>
      </c>
      <c r="AJ1" s="158" t="s">
        <v>227</v>
      </c>
      <c r="AK1" s="158" t="s">
        <v>228</v>
      </c>
      <c r="AL1" s="158" t="s">
        <v>229</v>
      </c>
      <c r="AM1" s="158" t="s">
        <v>230</v>
      </c>
      <c r="AN1" s="158" t="s">
        <v>231</v>
      </c>
      <c r="AO1" s="158" t="s">
        <v>232</v>
      </c>
      <c r="AP1" s="158" t="s">
        <v>233</v>
      </c>
    </row>
    <row r="2" spans="1:42" customFormat="1" x14ac:dyDescent="0.15">
      <c r="A2" s="157" t="s">
        <v>193</v>
      </c>
      <c r="B2" s="111">
        <v>0</v>
      </c>
      <c r="C2" s="111">
        <v>0</v>
      </c>
      <c r="D2" s="111">
        <v>1</v>
      </c>
      <c r="E2" s="111">
        <v>1</v>
      </c>
      <c r="F2" s="111">
        <v>0</v>
      </c>
      <c r="G2" s="111">
        <v>0</v>
      </c>
      <c r="H2" s="111">
        <v>1</v>
      </c>
      <c r="I2" s="111">
        <v>1</v>
      </c>
      <c r="J2" s="111">
        <v>0</v>
      </c>
      <c r="K2" s="111">
        <v>0</v>
      </c>
      <c r="L2" s="111">
        <v>0</v>
      </c>
      <c r="M2" s="111">
        <v>0</v>
      </c>
      <c r="N2" s="111">
        <v>0</v>
      </c>
      <c r="O2" s="111">
        <v>0</v>
      </c>
      <c r="P2" s="111">
        <v>0</v>
      </c>
      <c r="Q2" s="111">
        <v>0</v>
      </c>
      <c r="R2" s="111">
        <v>0</v>
      </c>
      <c r="S2" s="111">
        <v>0</v>
      </c>
      <c r="T2" s="111">
        <v>0</v>
      </c>
      <c r="U2" s="111">
        <v>0</v>
      </c>
      <c r="V2" s="111">
        <v>0</v>
      </c>
      <c r="W2" s="111">
        <v>0</v>
      </c>
      <c r="X2" s="111">
        <v>0</v>
      </c>
      <c r="Y2" s="111">
        <v>0</v>
      </c>
      <c r="Z2" s="111">
        <v>0</v>
      </c>
      <c r="AA2" s="111">
        <v>0</v>
      </c>
      <c r="AB2" s="111">
        <v>0</v>
      </c>
      <c r="AC2" s="111">
        <v>0</v>
      </c>
      <c r="AD2" s="111">
        <v>0</v>
      </c>
      <c r="AE2" s="111">
        <v>0</v>
      </c>
      <c r="AF2" s="111">
        <v>0</v>
      </c>
      <c r="AG2" s="111">
        <v>0</v>
      </c>
      <c r="AH2" s="111">
        <v>0</v>
      </c>
      <c r="AI2" s="111">
        <v>0</v>
      </c>
      <c r="AJ2" s="111">
        <v>0</v>
      </c>
      <c r="AK2" s="111">
        <v>0</v>
      </c>
      <c r="AL2" s="111">
        <v>0</v>
      </c>
      <c r="AM2" s="111">
        <v>0</v>
      </c>
      <c r="AN2" s="111">
        <v>0</v>
      </c>
      <c r="AO2" s="111">
        <v>0</v>
      </c>
      <c r="AP2" s="111">
        <v>0</v>
      </c>
    </row>
    <row r="3" spans="1:42" customFormat="1" x14ac:dyDescent="0.15">
      <c r="A3" s="157" t="s">
        <v>194</v>
      </c>
      <c r="B3" s="111">
        <v>0</v>
      </c>
      <c r="C3" s="111">
        <v>0</v>
      </c>
      <c r="D3" s="111">
        <v>0</v>
      </c>
      <c r="E3" s="111">
        <v>0</v>
      </c>
      <c r="F3" s="111">
        <v>0</v>
      </c>
      <c r="G3" s="111">
        <v>1</v>
      </c>
      <c r="H3" s="111">
        <v>0</v>
      </c>
      <c r="I3" s="111">
        <v>1</v>
      </c>
      <c r="J3" s="111">
        <v>0</v>
      </c>
      <c r="K3" s="111">
        <v>0</v>
      </c>
      <c r="L3" s="111">
        <v>0</v>
      </c>
      <c r="M3" s="111">
        <v>0</v>
      </c>
      <c r="N3" s="111">
        <v>1</v>
      </c>
      <c r="O3" s="111">
        <v>0</v>
      </c>
      <c r="P3" s="111">
        <v>0</v>
      </c>
      <c r="Q3" s="111">
        <v>0</v>
      </c>
      <c r="R3" s="111">
        <v>1</v>
      </c>
      <c r="S3" s="111">
        <v>0</v>
      </c>
      <c r="T3" s="111">
        <v>0</v>
      </c>
      <c r="U3" s="111">
        <v>0</v>
      </c>
      <c r="V3" s="111">
        <v>0</v>
      </c>
      <c r="W3" s="111">
        <v>0</v>
      </c>
      <c r="X3" s="111">
        <v>0</v>
      </c>
      <c r="Y3" s="111">
        <v>0</v>
      </c>
      <c r="Z3" s="111">
        <v>1</v>
      </c>
      <c r="AA3" s="111">
        <v>1</v>
      </c>
      <c r="AB3" s="111">
        <v>1</v>
      </c>
      <c r="AC3" s="111">
        <v>0</v>
      </c>
      <c r="AD3" s="111">
        <v>0</v>
      </c>
      <c r="AE3" s="111">
        <v>0</v>
      </c>
      <c r="AF3" s="111">
        <v>0</v>
      </c>
      <c r="AG3" s="111">
        <v>0</v>
      </c>
      <c r="AH3" s="111">
        <v>0</v>
      </c>
      <c r="AI3" s="111">
        <v>0</v>
      </c>
      <c r="AJ3" s="111">
        <v>1</v>
      </c>
      <c r="AK3" s="111">
        <v>0</v>
      </c>
      <c r="AL3" s="111">
        <v>0</v>
      </c>
      <c r="AM3" s="111">
        <v>0</v>
      </c>
      <c r="AN3" s="111">
        <v>0</v>
      </c>
      <c r="AO3" s="111">
        <v>0</v>
      </c>
      <c r="AP3" s="111">
        <v>0</v>
      </c>
    </row>
    <row r="4" spans="1:42" customFormat="1" x14ac:dyDescent="0.15">
      <c r="A4" s="157" t="s">
        <v>195</v>
      </c>
      <c r="B4" s="111">
        <v>0</v>
      </c>
      <c r="C4" s="111">
        <v>0</v>
      </c>
      <c r="D4" s="111">
        <v>1</v>
      </c>
      <c r="E4" s="111">
        <v>1</v>
      </c>
      <c r="F4" s="111">
        <v>1</v>
      </c>
      <c r="G4" s="111">
        <v>1</v>
      </c>
      <c r="H4" s="111">
        <v>1</v>
      </c>
      <c r="I4" s="111">
        <v>1</v>
      </c>
      <c r="J4" s="111">
        <v>1</v>
      </c>
      <c r="K4" s="111">
        <v>0</v>
      </c>
      <c r="L4" s="111">
        <v>0</v>
      </c>
      <c r="M4" s="111">
        <v>0</v>
      </c>
      <c r="N4" s="111">
        <v>1</v>
      </c>
      <c r="O4" s="111">
        <v>1</v>
      </c>
      <c r="P4" s="111">
        <v>0</v>
      </c>
      <c r="Q4" s="111">
        <v>1</v>
      </c>
      <c r="R4" s="111">
        <v>1</v>
      </c>
      <c r="S4" s="111">
        <v>0</v>
      </c>
      <c r="T4" s="111">
        <v>0</v>
      </c>
      <c r="U4" s="111">
        <v>0</v>
      </c>
      <c r="V4" s="111">
        <v>0</v>
      </c>
      <c r="W4" s="111">
        <v>0</v>
      </c>
      <c r="X4" s="111">
        <v>0</v>
      </c>
      <c r="Y4" s="111">
        <v>0</v>
      </c>
      <c r="Z4" s="111">
        <v>1</v>
      </c>
      <c r="AA4" s="111">
        <v>1</v>
      </c>
      <c r="AB4" s="111">
        <v>0</v>
      </c>
      <c r="AC4" s="111">
        <v>0</v>
      </c>
      <c r="AD4" s="111">
        <v>0</v>
      </c>
      <c r="AE4" s="111">
        <v>0</v>
      </c>
      <c r="AF4" s="111">
        <v>1</v>
      </c>
      <c r="AG4" s="111">
        <v>1</v>
      </c>
      <c r="AH4" s="111">
        <v>0</v>
      </c>
      <c r="AI4" s="111">
        <v>0</v>
      </c>
      <c r="AJ4" s="111">
        <v>0</v>
      </c>
      <c r="AK4" s="111">
        <v>0</v>
      </c>
      <c r="AL4" s="111">
        <v>0</v>
      </c>
      <c r="AM4" s="111">
        <v>0</v>
      </c>
      <c r="AN4" s="111">
        <v>0</v>
      </c>
      <c r="AO4" s="111">
        <v>0</v>
      </c>
      <c r="AP4" s="111">
        <v>0</v>
      </c>
    </row>
    <row r="5" spans="1:42" customFormat="1" x14ac:dyDescent="0.15">
      <c r="A5" s="157" t="s">
        <v>196</v>
      </c>
      <c r="B5" s="111">
        <v>0</v>
      </c>
      <c r="C5" s="111">
        <v>0</v>
      </c>
      <c r="D5" s="111">
        <v>0</v>
      </c>
      <c r="E5" s="111">
        <v>1</v>
      </c>
      <c r="F5" s="111">
        <v>1</v>
      </c>
      <c r="G5" s="111">
        <v>0</v>
      </c>
      <c r="H5" s="111">
        <v>0</v>
      </c>
      <c r="I5" s="111">
        <v>0</v>
      </c>
      <c r="J5" s="111">
        <v>1</v>
      </c>
      <c r="K5" s="111">
        <v>1</v>
      </c>
      <c r="L5" s="111">
        <v>0</v>
      </c>
      <c r="M5" s="111">
        <v>0</v>
      </c>
      <c r="N5" s="111">
        <v>1</v>
      </c>
      <c r="O5" s="111">
        <v>1</v>
      </c>
      <c r="P5" s="111">
        <v>1</v>
      </c>
      <c r="Q5" s="111">
        <v>1</v>
      </c>
      <c r="R5" s="111">
        <v>1</v>
      </c>
      <c r="S5" s="111">
        <v>0</v>
      </c>
      <c r="T5" s="111">
        <v>0</v>
      </c>
      <c r="U5" s="111">
        <v>0</v>
      </c>
      <c r="V5" s="111">
        <v>0</v>
      </c>
      <c r="W5" s="111">
        <v>0</v>
      </c>
      <c r="X5" s="111">
        <v>0</v>
      </c>
      <c r="Y5" s="111">
        <v>0</v>
      </c>
      <c r="Z5" s="111">
        <v>1</v>
      </c>
      <c r="AA5" s="111">
        <v>1</v>
      </c>
      <c r="AB5" s="111">
        <v>0</v>
      </c>
      <c r="AC5" s="111">
        <v>1</v>
      </c>
      <c r="AD5" s="111">
        <v>0</v>
      </c>
      <c r="AE5" s="111">
        <v>0</v>
      </c>
      <c r="AF5" s="111">
        <v>1</v>
      </c>
      <c r="AG5" s="111">
        <v>1</v>
      </c>
      <c r="AH5" s="111">
        <v>1</v>
      </c>
      <c r="AI5" s="111">
        <v>0</v>
      </c>
      <c r="AJ5" s="111">
        <v>0</v>
      </c>
      <c r="AK5" s="111">
        <v>0</v>
      </c>
      <c r="AL5" s="111">
        <v>0</v>
      </c>
      <c r="AM5" s="111">
        <v>0</v>
      </c>
      <c r="AN5" s="111">
        <v>0</v>
      </c>
      <c r="AO5" s="111">
        <v>0</v>
      </c>
      <c r="AP5" s="111">
        <v>0</v>
      </c>
    </row>
    <row r="6" spans="1:42" customFormat="1" x14ac:dyDescent="0.15">
      <c r="A6" s="157" t="s">
        <v>197</v>
      </c>
      <c r="B6" s="111">
        <v>0</v>
      </c>
      <c r="C6" s="111">
        <v>0</v>
      </c>
      <c r="D6" s="111">
        <v>0</v>
      </c>
      <c r="E6" s="111">
        <v>0</v>
      </c>
      <c r="F6" s="111">
        <v>0</v>
      </c>
      <c r="G6" s="111">
        <v>0</v>
      </c>
      <c r="H6" s="111">
        <v>0</v>
      </c>
      <c r="I6" s="111">
        <v>0</v>
      </c>
      <c r="J6" s="111">
        <v>0</v>
      </c>
      <c r="K6" s="111">
        <v>0</v>
      </c>
      <c r="L6" s="111">
        <v>0</v>
      </c>
      <c r="M6" s="111">
        <v>0</v>
      </c>
      <c r="N6" s="111">
        <v>1</v>
      </c>
      <c r="O6" s="111">
        <v>0</v>
      </c>
      <c r="P6" s="111">
        <v>0</v>
      </c>
      <c r="Q6" s="111">
        <v>0</v>
      </c>
      <c r="R6" s="111">
        <v>1</v>
      </c>
      <c r="S6" s="111">
        <v>0</v>
      </c>
      <c r="T6" s="111">
        <v>0</v>
      </c>
      <c r="U6" s="111">
        <v>0</v>
      </c>
      <c r="V6" s="111">
        <v>0</v>
      </c>
      <c r="W6" s="111">
        <v>0</v>
      </c>
      <c r="X6" s="111">
        <v>0</v>
      </c>
      <c r="Y6" s="111">
        <v>0</v>
      </c>
      <c r="Z6" s="111">
        <v>1</v>
      </c>
      <c r="AA6" s="111">
        <v>0</v>
      </c>
      <c r="AB6" s="111">
        <v>0</v>
      </c>
      <c r="AC6" s="111">
        <v>0</v>
      </c>
      <c r="AD6" s="111">
        <v>0</v>
      </c>
      <c r="AE6" s="111">
        <v>0</v>
      </c>
      <c r="AF6" s="111">
        <v>1</v>
      </c>
      <c r="AG6" s="111">
        <v>1</v>
      </c>
      <c r="AH6" s="111">
        <v>0</v>
      </c>
      <c r="AI6" s="111">
        <v>0</v>
      </c>
      <c r="AJ6" s="111">
        <v>1</v>
      </c>
      <c r="AK6" s="111">
        <v>0</v>
      </c>
      <c r="AL6" s="111">
        <v>0</v>
      </c>
      <c r="AM6" s="111">
        <v>0</v>
      </c>
      <c r="AN6" s="111">
        <v>0</v>
      </c>
      <c r="AO6" s="111">
        <v>0</v>
      </c>
      <c r="AP6" s="111">
        <v>0</v>
      </c>
    </row>
    <row r="7" spans="1:42" customFormat="1" x14ac:dyDescent="0.15">
      <c r="A7" s="157" t="s">
        <v>198</v>
      </c>
      <c r="B7" s="111">
        <v>0</v>
      </c>
      <c r="C7" s="111">
        <v>0</v>
      </c>
      <c r="D7" s="111">
        <v>0</v>
      </c>
      <c r="E7" s="111">
        <v>0</v>
      </c>
      <c r="F7" s="111">
        <v>0</v>
      </c>
      <c r="G7" s="111">
        <v>0</v>
      </c>
      <c r="H7" s="111">
        <v>1</v>
      </c>
      <c r="I7" s="111">
        <v>0</v>
      </c>
      <c r="J7" s="111">
        <v>1</v>
      </c>
      <c r="K7" s="111">
        <v>1</v>
      </c>
      <c r="L7" s="111">
        <v>1</v>
      </c>
      <c r="M7" s="111">
        <v>0</v>
      </c>
      <c r="N7" s="111">
        <v>1</v>
      </c>
      <c r="O7" s="111">
        <v>1</v>
      </c>
      <c r="P7" s="111">
        <v>1</v>
      </c>
      <c r="Q7" s="111">
        <v>1</v>
      </c>
      <c r="R7" s="111">
        <v>1</v>
      </c>
      <c r="S7" s="111">
        <v>0</v>
      </c>
      <c r="T7" s="111">
        <v>1</v>
      </c>
      <c r="U7" s="111">
        <v>1</v>
      </c>
      <c r="V7" s="111">
        <v>0</v>
      </c>
      <c r="W7" s="111">
        <v>1</v>
      </c>
      <c r="X7" s="111">
        <v>1</v>
      </c>
      <c r="Y7" s="111">
        <v>1</v>
      </c>
      <c r="Z7" s="111">
        <v>1</v>
      </c>
      <c r="AA7" s="111">
        <v>1</v>
      </c>
      <c r="AB7" s="111">
        <v>0</v>
      </c>
      <c r="AC7" s="111">
        <v>0</v>
      </c>
      <c r="AD7" s="111">
        <v>0</v>
      </c>
      <c r="AE7" s="111">
        <v>1</v>
      </c>
      <c r="AF7" s="111">
        <v>1</v>
      </c>
      <c r="AG7" s="111">
        <v>0</v>
      </c>
      <c r="AH7" s="111">
        <v>0</v>
      </c>
      <c r="AI7" s="111">
        <v>0</v>
      </c>
      <c r="AJ7" s="111">
        <v>0</v>
      </c>
      <c r="AK7" s="111">
        <v>0</v>
      </c>
      <c r="AL7" s="111">
        <v>0</v>
      </c>
      <c r="AM7" s="111">
        <v>0</v>
      </c>
      <c r="AN7" s="111">
        <v>0</v>
      </c>
      <c r="AO7" s="111">
        <v>0</v>
      </c>
      <c r="AP7" s="111">
        <v>0</v>
      </c>
    </row>
    <row r="8" spans="1:42" customFormat="1" x14ac:dyDescent="0.15">
      <c r="A8" s="157" t="s">
        <v>199</v>
      </c>
      <c r="B8" s="111">
        <v>0</v>
      </c>
      <c r="C8" s="111">
        <v>0</v>
      </c>
      <c r="D8" s="111">
        <v>0</v>
      </c>
      <c r="E8" s="111">
        <v>0</v>
      </c>
      <c r="F8" s="111">
        <v>0</v>
      </c>
      <c r="G8" s="111">
        <v>1</v>
      </c>
      <c r="H8" s="111">
        <v>1</v>
      </c>
      <c r="I8" s="111">
        <v>1</v>
      </c>
      <c r="J8" s="111">
        <v>1</v>
      </c>
      <c r="K8" s="111">
        <v>1</v>
      </c>
      <c r="L8" s="111">
        <v>1</v>
      </c>
      <c r="M8" s="111">
        <v>1</v>
      </c>
      <c r="N8" s="111">
        <v>1</v>
      </c>
      <c r="O8" s="111">
        <v>1</v>
      </c>
      <c r="P8" s="111">
        <v>1</v>
      </c>
      <c r="Q8" s="111">
        <v>1</v>
      </c>
      <c r="R8" s="111">
        <v>1</v>
      </c>
      <c r="S8" s="111">
        <v>0</v>
      </c>
      <c r="T8" s="111">
        <v>1</v>
      </c>
      <c r="U8" s="111">
        <v>1</v>
      </c>
      <c r="V8" s="111">
        <v>0</v>
      </c>
      <c r="W8" s="111">
        <v>0</v>
      </c>
      <c r="X8" s="111">
        <v>1</v>
      </c>
      <c r="Y8" s="111">
        <v>1</v>
      </c>
      <c r="Z8" s="111">
        <v>1</v>
      </c>
      <c r="AA8" s="111">
        <v>1</v>
      </c>
      <c r="AB8" s="111">
        <v>0</v>
      </c>
      <c r="AC8" s="111">
        <v>0</v>
      </c>
      <c r="AD8" s="111">
        <v>0</v>
      </c>
      <c r="AE8" s="111">
        <v>1</v>
      </c>
      <c r="AF8" s="111">
        <v>1</v>
      </c>
      <c r="AG8" s="111">
        <v>0</v>
      </c>
      <c r="AH8" s="111">
        <v>1</v>
      </c>
      <c r="AI8" s="111">
        <v>0</v>
      </c>
      <c r="AJ8" s="111">
        <v>0</v>
      </c>
      <c r="AK8" s="111">
        <v>0</v>
      </c>
      <c r="AL8" s="111">
        <v>0</v>
      </c>
      <c r="AM8" s="111">
        <v>0</v>
      </c>
      <c r="AN8" s="111">
        <v>0</v>
      </c>
      <c r="AO8" s="111">
        <v>0</v>
      </c>
      <c r="AP8" s="111">
        <v>0</v>
      </c>
    </row>
    <row r="9" spans="1:42" customFormat="1" x14ac:dyDescent="0.15">
      <c r="A9" s="157" t="s">
        <v>200</v>
      </c>
      <c r="B9" s="111">
        <v>0</v>
      </c>
      <c r="C9" s="111">
        <v>0</v>
      </c>
      <c r="D9" s="111">
        <v>0</v>
      </c>
      <c r="E9" s="111">
        <v>0</v>
      </c>
      <c r="F9" s="111">
        <v>0</v>
      </c>
      <c r="G9" s="111">
        <v>0</v>
      </c>
      <c r="H9" s="111">
        <v>1</v>
      </c>
      <c r="I9" s="111">
        <v>1</v>
      </c>
      <c r="J9" s="111">
        <v>1</v>
      </c>
      <c r="K9" s="111">
        <v>1</v>
      </c>
      <c r="L9" s="111">
        <v>1</v>
      </c>
      <c r="M9" s="111">
        <v>0</v>
      </c>
      <c r="N9" s="111">
        <v>1</v>
      </c>
      <c r="O9" s="111">
        <v>1</v>
      </c>
      <c r="P9" s="111">
        <v>1</v>
      </c>
      <c r="Q9" s="111">
        <v>1</v>
      </c>
      <c r="R9" s="111">
        <v>1</v>
      </c>
      <c r="S9" s="111">
        <v>0</v>
      </c>
      <c r="T9" s="111">
        <v>1</v>
      </c>
      <c r="U9" s="111">
        <v>1</v>
      </c>
      <c r="V9" s="111">
        <v>1</v>
      </c>
      <c r="W9" s="111">
        <v>1</v>
      </c>
      <c r="X9" s="111">
        <v>1</v>
      </c>
      <c r="Y9" s="111">
        <v>1</v>
      </c>
      <c r="Z9" s="111">
        <v>0</v>
      </c>
      <c r="AA9" s="111">
        <v>1</v>
      </c>
      <c r="AB9" s="111">
        <v>0</v>
      </c>
      <c r="AC9" s="111">
        <v>0</v>
      </c>
      <c r="AD9" s="111">
        <v>0</v>
      </c>
      <c r="AE9" s="111">
        <v>1</v>
      </c>
      <c r="AF9" s="111">
        <v>0</v>
      </c>
      <c r="AG9" s="111">
        <v>0</v>
      </c>
      <c r="AH9" s="111">
        <v>0</v>
      </c>
      <c r="AI9" s="111">
        <v>0</v>
      </c>
      <c r="AJ9" s="111">
        <v>1</v>
      </c>
      <c r="AK9" s="111">
        <v>0</v>
      </c>
      <c r="AL9" s="111">
        <v>0</v>
      </c>
      <c r="AM9" s="111">
        <v>0</v>
      </c>
      <c r="AN9" s="111">
        <v>0</v>
      </c>
      <c r="AO9" s="111">
        <v>0</v>
      </c>
      <c r="AP9" s="111">
        <v>0</v>
      </c>
    </row>
    <row r="10" spans="1:42" customFormat="1" x14ac:dyDescent="0.15">
      <c r="A10" s="157" t="s">
        <v>201</v>
      </c>
      <c r="B10" s="111">
        <v>0</v>
      </c>
      <c r="C10" s="111">
        <v>0</v>
      </c>
      <c r="D10" s="111">
        <v>0</v>
      </c>
      <c r="E10" s="111">
        <v>0</v>
      </c>
      <c r="F10" s="111">
        <v>0</v>
      </c>
      <c r="G10" s="111">
        <v>0</v>
      </c>
      <c r="H10" s="111">
        <v>0</v>
      </c>
      <c r="I10" s="111">
        <v>0</v>
      </c>
      <c r="J10" s="111">
        <v>0</v>
      </c>
      <c r="K10" s="111">
        <v>1</v>
      </c>
      <c r="L10" s="111">
        <v>1</v>
      </c>
      <c r="M10" s="111">
        <v>1</v>
      </c>
      <c r="N10" s="111">
        <v>1</v>
      </c>
      <c r="O10" s="111">
        <v>1</v>
      </c>
      <c r="P10" s="111">
        <v>1</v>
      </c>
      <c r="Q10" s="111">
        <v>1</v>
      </c>
      <c r="R10" s="111">
        <v>1</v>
      </c>
      <c r="S10" s="111">
        <v>1</v>
      </c>
      <c r="T10" s="111">
        <v>1</v>
      </c>
      <c r="U10" s="111">
        <v>1</v>
      </c>
      <c r="V10" s="111">
        <v>1</v>
      </c>
      <c r="W10" s="111">
        <v>1</v>
      </c>
      <c r="X10" s="111">
        <v>1</v>
      </c>
      <c r="Y10" s="111">
        <v>1</v>
      </c>
      <c r="Z10" s="111">
        <v>1</v>
      </c>
      <c r="AA10" s="111">
        <v>1</v>
      </c>
      <c r="AB10" s="111">
        <v>0</v>
      </c>
      <c r="AC10" s="111">
        <v>0</v>
      </c>
      <c r="AD10" s="111">
        <v>0</v>
      </c>
      <c r="AE10" s="111">
        <v>0</v>
      </c>
      <c r="AF10" s="111">
        <v>0</v>
      </c>
      <c r="AG10" s="111">
        <v>0</v>
      </c>
      <c r="AH10" s="111">
        <v>1</v>
      </c>
      <c r="AI10" s="111">
        <v>1</v>
      </c>
      <c r="AJ10" s="111">
        <v>1</v>
      </c>
      <c r="AK10" s="111">
        <v>0</v>
      </c>
      <c r="AL10" s="111">
        <v>0</v>
      </c>
      <c r="AM10" s="111">
        <v>0</v>
      </c>
      <c r="AN10" s="111">
        <v>0</v>
      </c>
      <c r="AO10" s="111">
        <v>0</v>
      </c>
      <c r="AP10" s="111">
        <v>0</v>
      </c>
    </row>
    <row r="11" spans="1:42" customFormat="1" x14ac:dyDescent="0.15">
      <c r="A11" s="157" t="s">
        <v>202</v>
      </c>
      <c r="B11" s="111">
        <v>0</v>
      </c>
      <c r="C11" s="111">
        <v>0</v>
      </c>
      <c r="D11" s="111">
        <v>0</v>
      </c>
      <c r="E11" s="111">
        <v>0</v>
      </c>
      <c r="F11" s="111">
        <v>0</v>
      </c>
      <c r="G11" s="111">
        <v>0</v>
      </c>
      <c r="H11" s="111">
        <v>0</v>
      </c>
      <c r="I11" s="111">
        <v>0</v>
      </c>
      <c r="J11" s="111">
        <v>0</v>
      </c>
      <c r="K11" s="111">
        <v>0</v>
      </c>
      <c r="L11" s="111">
        <v>1</v>
      </c>
      <c r="M11" s="111">
        <v>1</v>
      </c>
      <c r="N11" s="111">
        <v>1</v>
      </c>
      <c r="O11" s="111">
        <v>1</v>
      </c>
      <c r="P11" s="111">
        <v>1</v>
      </c>
      <c r="Q11" s="111">
        <v>1</v>
      </c>
      <c r="R11" s="111">
        <v>1</v>
      </c>
      <c r="S11" s="111">
        <v>1</v>
      </c>
      <c r="T11" s="111">
        <v>1</v>
      </c>
      <c r="U11" s="111">
        <v>1</v>
      </c>
      <c r="V11" s="111">
        <v>1</v>
      </c>
      <c r="W11" s="111">
        <v>1</v>
      </c>
      <c r="X11" s="111">
        <v>1</v>
      </c>
      <c r="Y11" s="111">
        <v>1</v>
      </c>
      <c r="Z11" s="111">
        <v>1</v>
      </c>
      <c r="AA11" s="111">
        <v>1</v>
      </c>
      <c r="AB11" s="111">
        <v>0</v>
      </c>
      <c r="AC11" s="111">
        <v>0</v>
      </c>
      <c r="AD11" s="111">
        <v>0</v>
      </c>
      <c r="AE11" s="111">
        <v>1</v>
      </c>
      <c r="AF11" s="111">
        <v>1</v>
      </c>
      <c r="AG11" s="111">
        <v>0</v>
      </c>
      <c r="AH11" s="111">
        <v>0</v>
      </c>
      <c r="AI11" s="111">
        <v>1</v>
      </c>
      <c r="AJ11" s="111">
        <v>1</v>
      </c>
      <c r="AK11" s="111">
        <v>0</v>
      </c>
      <c r="AL11" s="111">
        <v>0</v>
      </c>
      <c r="AM11" s="111">
        <v>0</v>
      </c>
      <c r="AN11" s="111">
        <v>0</v>
      </c>
      <c r="AO11" s="111">
        <v>0</v>
      </c>
      <c r="AP11" s="111">
        <v>0</v>
      </c>
    </row>
    <row r="12" spans="1:42" customFormat="1" x14ac:dyDescent="0.15">
      <c r="A12" s="157" t="s">
        <v>203</v>
      </c>
      <c r="B12" s="111">
        <v>0</v>
      </c>
      <c r="C12" s="111">
        <v>0</v>
      </c>
      <c r="D12" s="111">
        <v>0</v>
      </c>
      <c r="E12" s="111">
        <v>0</v>
      </c>
      <c r="F12" s="111">
        <v>0</v>
      </c>
      <c r="G12" s="111">
        <v>0</v>
      </c>
      <c r="H12" s="111">
        <v>0</v>
      </c>
      <c r="I12" s="111">
        <v>0</v>
      </c>
      <c r="J12" s="111">
        <v>0</v>
      </c>
      <c r="K12" s="111">
        <v>0</v>
      </c>
      <c r="L12" s="111">
        <v>1</v>
      </c>
      <c r="M12" s="111">
        <v>1</v>
      </c>
      <c r="N12" s="111">
        <v>1</v>
      </c>
      <c r="O12" s="111">
        <v>0</v>
      </c>
      <c r="P12" s="111">
        <v>0</v>
      </c>
      <c r="Q12" s="111">
        <v>0</v>
      </c>
      <c r="R12" s="111">
        <v>1</v>
      </c>
      <c r="S12" s="111">
        <v>1</v>
      </c>
      <c r="T12" s="111">
        <v>0</v>
      </c>
      <c r="U12" s="111">
        <v>0</v>
      </c>
      <c r="V12" s="111">
        <v>1</v>
      </c>
      <c r="W12" s="111">
        <v>1</v>
      </c>
      <c r="X12" s="111">
        <v>1</v>
      </c>
      <c r="Y12" s="111">
        <v>1</v>
      </c>
      <c r="Z12" s="111">
        <v>1</v>
      </c>
      <c r="AA12" s="111">
        <v>0</v>
      </c>
      <c r="AB12" s="111">
        <v>0</v>
      </c>
      <c r="AC12" s="111">
        <v>0</v>
      </c>
      <c r="AD12" s="111">
        <v>1</v>
      </c>
      <c r="AE12" s="111">
        <v>1</v>
      </c>
      <c r="AF12" s="111">
        <v>0</v>
      </c>
      <c r="AG12" s="111">
        <v>0</v>
      </c>
      <c r="AH12" s="111">
        <v>0</v>
      </c>
      <c r="AI12" s="111">
        <v>1</v>
      </c>
      <c r="AJ12" s="111">
        <v>1</v>
      </c>
      <c r="AK12" s="111">
        <v>0</v>
      </c>
      <c r="AL12" s="111">
        <v>1</v>
      </c>
      <c r="AM12" s="111">
        <v>0</v>
      </c>
      <c r="AN12" s="111">
        <v>0</v>
      </c>
      <c r="AO12" s="111">
        <v>0</v>
      </c>
      <c r="AP12" s="111">
        <v>0</v>
      </c>
    </row>
    <row r="13" spans="1:42" customFormat="1" x14ac:dyDescent="0.15">
      <c r="A13" s="157" t="s">
        <v>204</v>
      </c>
      <c r="B13" s="111">
        <v>0</v>
      </c>
      <c r="C13" s="111">
        <v>0</v>
      </c>
      <c r="D13" s="111">
        <v>0</v>
      </c>
      <c r="E13" s="111">
        <v>0</v>
      </c>
      <c r="F13" s="111">
        <v>0</v>
      </c>
      <c r="G13" s="111">
        <v>0</v>
      </c>
      <c r="H13" s="111">
        <v>0</v>
      </c>
      <c r="I13" s="111">
        <v>0</v>
      </c>
      <c r="J13" s="111">
        <v>0</v>
      </c>
      <c r="K13" s="111">
        <v>0</v>
      </c>
      <c r="L13" s="111">
        <v>1</v>
      </c>
      <c r="M13" s="111">
        <v>1</v>
      </c>
      <c r="N13" s="111">
        <v>0</v>
      </c>
      <c r="O13" s="111">
        <v>0</v>
      </c>
      <c r="P13" s="111">
        <v>0</v>
      </c>
      <c r="Q13" s="111">
        <v>0</v>
      </c>
      <c r="R13" s="111">
        <v>0</v>
      </c>
      <c r="S13" s="111">
        <v>1</v>
      </c>
      <c r="T13" s="111">
        <v>0</v>
      </c>
      <c r="U13" s="111">
        <v>0</v>
      </c>
      <c r="V13" s="111">
        <v>0</v>
      </c>
      <c r="W13" s="111">
        <v>1</v>
      </c>
      <c r="X13" s="111">
        <v>1</v>
      </c>
      <c r="Y13" s="111">
        <v>1</v>
      </c>
      <c r="Z13" s="111">
        <v>1</v>
      </c>
      <c r="AA13" s="111">
        <v>0</v>
      </c>
      <c r="AB13" s="111">
        <v>0</v>
      </c>
      <c r="AC13" s="111">
        <v>0</v>
      </c>
      <c r="AD13" s="111">
        <v>1</v>
      </c>
      <c r="AE13" s="111">
        <v>1</v>
      </c>
      <c r="AF13" s="111">
        <v>1</v>
      </c>
      <c r="AG13" s="111">
        <v>0</v>
      </c>
      <c r="AH13" s="111">
        <v>0</v>
      </c>
      <c r="AI13" s="111">
        <v>1</v>
      </c>
      <c r="AJ13" s="111">
        <v>0</v>
      </c>
      <c r="AK13" s="111">
        <v>1</v>
      </c>
      <c r="AL13" s="111">
        <v>1</v>
      </c>
      <c r="AM13" s="111">
        <v>0</v>
      </c>
      <c r="AN13" s="111">
        <v>0</v>
      </c>
      <c r="AO13" s="111">
        <v>0</v>
      </c>
      <c r="AP13" s="111">
        <v>0</v>
      </c>
    </row>
    <row r="14" spans="1:42" customFormat="1" x14ac:dyDescent="0.15">
      <c r="A14" s="157" t="s">
        <v>205</v>
      </c>
      <c r="B14" s="111">
        <v>0</v>
      </c>
      <c r="C14" s="111">
        <v>0</v>
      </c>
      <c r="D14" s="111">
        <v>0</v>
      </c>
      <c r="E14" s="111">
        <v>0</v>
      </c>
      <c r="F14" s="111">
        <v>0</v>
      </c>
      <c r="G14" s="111">
        <v>0</v>
      </c>
      <c r="H14" s="111">
        <v>0</v>
      </c>
      <c r="I14" s="111">
        <v>0</v>
      </c>
      <c r="J14" s="111">
        <v>0</v>
      </c>
      <c r="K14" s="111">
        <v>0</v>
      </c>
      <c r="L14" s="111">
        <v>1</v>
      </c>
      <c r="M14" s="111">
        <v>1</v>
      </c>
      <c r="N14" s="111">
        <v>1</v>
      </c>
      <c r="O14" s="111">
        <v>0</v>
      </c>
      <c r="P14" s="111">
        <v>0</v>
      </c>
      <c r="Q14" s="111">
        <v>1</v>
      </c>
      <c r="R14" s="111">
        <v>1</v>
      </c>
      <c r="S14" s="111">
        <v>1</v>
      </c>
      <c r="T14" s="111">
        <v>0</v>
      </c>
      <c r="U14" s="111">
        <v>1</v>
      </c>
      <c r="V14" s="111">
        <v>1</v>
      </c>
      <c r="W14" s="111">
        <v>1</v>
      </c>
      <c r="X14" s="111">
        <v>1</v>
      </c>
      <c r="Y14" s="111">
        <v>1</v>
      </c>
      <c r="Z14" s="111">
        <v>0</v>
      </c>
      <c r="AA14" s="111">
        <v>1</v>
      </c>
      <c r="AB14" s="111">
        <v>0</v>
      </c>
      <c r="AC14" s="111">
        <v>1</v>
      </c>
      <c r="AD14" s="111">
        <v>1</v>
      </c>
      <c r="AE14" s="111">
        <v>0</v>
      </c>
      <c r="AF14" s="111">
        <v>0</v>
      </c>
      <c r="AG14" s="111">
        <v>0</v>
      </c>
      <c r="AH14" s="111">
        <v>0</v>
      </c>
      <c r="AI14" s="111">
        <v>1</v>
      </c>
      <c r="AJ14" s="111">
        <v>1</v>
      </c>
      <c r="AK14" s="111">
        <v>1</v>
      </c>
      <c r="AL14" s="111">
        <v>1</v>
      </c>
      <c r="AM14" s="111">
        <v>0</v>
      </c>
      <c r="AN14" s="111">
        <v>0</v>
      </c>
      <c r="AO14" s="111">
        <v>0</v>
      </c>
      <c r="AP14" s="111">
        <v>0</v>
      </c>
    </row>
    <row r="15" spans="1:42" customFormat="1" x14ac:dyDescent="0.15">
      <c r="A15" s="157" t="s">
        <v>206</v>
      </c>
      <c r="B15" s="111">
        <v>0</v>
      </c>
      <c r="C15" s="111">
        <v>0</v>
      </c>
      <c r="D15" s="111">
        <v>0</v>
      </c>
      <c r="E15" s="111">
        <v>0</v>
      </c>
      <c r="F15" s="111">
        <v>0</v>
      </c>
      <c r="G15" s="111">
        <v>0</v>
      </c>
      <c r="H15" s="111">
        <v>0</v>
      </c>
      <c r="I15" s="111">
        <v>0</v>
      </c>
      <c r="J15" s="111">
        <v>0</v>
      </c>
      <c r="K15" s="111">
        <v>0</v>
      </c>
      <c r="L15" s="111">
        <v>1</v>
      </c>
      <c r="M15" s="111">
        <v>1</v>
      </c>
      <c r="N15" s="111">
        <v>1</v>
      </c>
      <c r="O15" s="111">
        <v>0</v>
      </c>
      <c r="P15" s="111">
        <v>0</v>
      </c>
      <c r="Q15" s="111">
        <v>1</v>
      </c>
      <c r="R15" s="111">
        <v>0</v>
      </c>
      <c r="S15" s="111">
        <v>1</v>
      </c>
      <c r="T15" s="111">
        <v>0</v>
      </c>
      <c r="U15" s="111">
        <v>1</v>
      </c>
      <c r="V15" s="111">
        <v>1</v>
      </c>
      <c r="W15" s="111">
        <v>1</v>
      </c>
      <c r="X15" s="111">
        <v>1</v>
      </c>
      <c r="Y15" s="111">
        <v>1</v>
      </c>
      <c r="Z15" s="111">
        <v>0</v>
      </c>
      <c r="AA15" s="111">
        <v>1</v>
      </c>
      <c r="AB15" s="111">
        <v>0</v>
      </c>
      <c r="AC15" s="111">
        <v>1</v>
      </c>
      <c r="AD15" s="111">
        <v>1</v>
      </c>
      <c r="AE15" s="111">
        <v>1</v>
      </c>
      <c r="AF15" s="111">
        <v>0</v>
      </c>
      <c r="AG15" s="111">
        <v>0</v>
      </c>
      <c r="AH15" s="111">
        <v>0</v>
      </c>
      <c r="AI15" s="111">
        <v>1</v>
      </c>
      <c r="AJ15" s="111">
        <v>0</v>
      </c>
      <c r="AK15" s="111">
        <v>1</v>
      </c>
      <c r="AL15" s="111">
        <v>1</v>
      </c>
      <c r="AM15" s="111">
        <v>0</v>
      </c>
      <c r="AN15" s="111">
        <v>0</v>
      </c>
      <c r="AO15" s="111">
        <v>0</v>
      </c>
      <c r="AP15" s="111">
        <v>0</v>
      </c>
    </row>
    <row r="16" spans="1:42" customFormat="1" x14ac:dyDescent="0.15">
      <c r="A16" s="157" t="s">
        <v>207</v>
      </c>
      <c r="B16" s="111">
        <v>0</v>
      </c>
      <c r="C16" s="111">
        <v>0</v>
      </c>
      <c r="D16" s="111">
        <v>0</v>
      </c>
      <c r="E16" s="111">
        <v>0</v>
      </c>
      <c r="F16" s="111">
        <v>0</v>
      </c>
      <c r="G16" s="111">
        <v>0</v>
      </c>
      <c r="H16" s="111">
        <v>0</v>
      </c>
      <c r="I16" s="111">
        <v>0</v>
      </c>
      <c r="J16" s="111">
        <v>0</v>
      </c>
      <c r="K16" s="111">
        <v>0</v>
      </c>
      <c r="L16" s="111">
        <v>1</v>
      </c>
      <c r="M16" s="111">
        <v>1</v>
      </c>
      <c r="N16" s="111">
        <v>1</v>
      </c>
      <c r="O16" s="111">
        <v>0</v>
      </c>
      <c r="P16" s="111">
        <v>0</v>
      </c>
      <c r="Q16" s="111">
        <v>1</v>
      </c>
      <c r="R16" s="111">
        <v>0</v>
      </c>
      <c r="S16" s="111">
        <v>1</v>
      </c>
      <c r="T16" s="111">
        <v>0</v>
      </c>
      <c r="U16" s="111">
        <v>1</v>
      </c>
      <c r="V16" s="111">
        <v>1</v>
      </c>
      <c r="W16" s="111">
        <v>1</v>
      </c>
      <c r="X16" s="111">
        <v>1</v>
      </c>
      <c r="Y16" s="111">
        <v>1</v>
      </c>
      <c r="Z16" s="111">
        <v>0</v>
      </c>
      <c r="AA16" s="111">
        <v>1</v>
      </c>
      <c r="AB16" s="111">
        <v>0</v>
      </c>
      <c r="AC16" s="111">
        <v>1</v>
      </c>
      <c r="AD16" s="111">
        <v>1</v>
      </c>
      <c r="AE16" s="111">
        <v>1</v>
      </c>
      <c r="AF16" s="111">
        <v>0</v>
      </c>
      <c r="AG16" s="111">
        <v>0</v>
      </c>
      <c r="AH16" s="111">
        <v>0</v>
      </c>
      <c r="AI16" s="111">
        <v>1</v>
      </c>
      <c r="AJ16" s="111">
        <v>0</v>
      </c>
      <c r="AK16" s="111">
        <v>1</v>
      </c>
      <c r="AL16" s="111">
        <v>1</v>
      </c>
      <c r="AM16" s="111">
        <v>0</v>
      </c>
      <c r="AN16" s="111">
        <v>0</v>
      </c>
      <c r="AO16" s="111">
        <v>0</v>
      </c>
      <c r="AP16" s="111">
        <v>0</v>
      </c>
    </row>
    <row r="17" spans="1:42" customFormat="1" x14ac:dyDescent="0.15">
      <c r="A17" s="157" t="s">
        <v>208</v>
      </c>
      <c r="B17" s="111">
        <v>0</v>
      </c>
      <c r="C17" s="111">
        <v>0</v>
      </c>
      <c r="D17" s="111">
        <v>0</v>
      </c>
      <c r="E17" s="111">
        <v>0</v>
      </c>
      <c r="F17" s="111">
        <v>0</v>
      </c>
      <c r="G17" s="111">
        <v>0</v>
      </c>
      <c r="H17" s="111">
        <v>0</v>
      </c>
      <c r="I17" s="111">
        <v>0</v>
      </c>
      <c r="J17" s="111">
        <v>0</v>
      </c>
      <c r="K17" s="111">
        <v>0</v>
      </c>
      <c r="L17" s="111">
        <v>1</v>
      </c>
      <c r="M17" s="111">
        <v>1</v>
      </c>
      <c r="N17" s="111">
        <v>1</v>
      </c>
      <c r="O17" s="111">
        <v>0</v>
      </c>
      <c r="P17" s="111">
        <v>0</v>
      </c>
      <c r="Q17" s="111">
        <v>1</v>
      </c>
      <c r="R17" s="111">
        <v>1</v>
      </c>
      <c r="S17" s="111">
        <v>1</v>
      </c>
      <c r="T17" s="111">
        <v>0</v>
      </c>
      <c r="U17" s="111">
        <v>1</v>
      </c>
      <c r="V17" s="111">
        <v>1</v>
      </c>
      <c r="W17" s="111">
        <v>1</v>
      </c>
      <c r="X17" s="111">
        <v>1</v>
      </c>
      <c r="Y17" s="111">
        <v>1</v>
      </c>
      <c r="Z17" s="111">
        <v>0</v>
      </c>
      <c r="AA17" s="111">
        <v>1</v>
      </c>
      <c r="AB17" s="111">
        <v>0</v>
      </c>
      <c r="AC17" s="111">
        <v>0</v>
      </c>
      <c r="AD17" s="111">
        <v>0</v>
      </c>
      <c r="AE17" s="111">
        <v>0</v>
      </c>
      <c r="AF17" s="111">
        <v>0</v>
      </c>
      <c r="AG17" s="111">
        <v>0</v>
      </c>
      <c r="AH17" s="111">
        <v>0</v>
      </c>
      <c r="AI17" s="111">
        <v>1</v>
      </c>
      <c r="AJ17" s="111">
        <v>0</v>
      </c>
      <c r="AK17" s="111">
        <v>1</v>
      </c>
      <c r="AL17" s="111">
        <v>1</v>
      </c>
      <c r="AM17" s="111">
        <v>1</v>
      </c>
      <c r="AN17" s="111">
        <v>0</v>
      </c>
      <c r="AO17" s="111">
        <v>0</v>
      </c>
      <c r="AP17" s="111">
        <v>0</v>
      </c>
    </row>
    <row r="18" spans="1:42" customFormat="1" x14ac:dyDescent="0.15">
      <c r="A18" s="157" t="s">
        <v>209</v>
      </c>
      <c r="B18" s="111">
        <v>0</v>
      </c>
      <c r="C18" s="111">
        <v>0</v>
      </c>
      <c r="D18" s="111">
        <v>0</v>
      </c>
      <c r="E18" s="111">
        <v>0</v>
      </c>
      <c r="F18" s="111">
        <v>0</v>
      </c>
      <c r="G18" s="111">
        <v>0</v>
      </c>
      <c r="H18" s="111">
        <v>0</v>
      </c>
      <c r="I18" s="111">
        <v>0</v>
      </c>
      <c r="J18" s="111">
        <v>0</v>
      </c>
      <c r="K18" s="111">
        <v>0</v>
      </c>
      <c r="L18" s="111">
        <v>1</v>
      </c>
      <c r="M18" s="111">
        <v>1</v>
      </c>
      <c r="N18" s="111">
        <v>1</v>
      </c>
      <c r="O18" s="111">
        <v>0</v>
      </c>
      <c r="P18" s="111">
        <v>0</v>
      </c>
      <c r="Q18" s="111">
        <v>0</v>
      </c>
      <c r="R18" s="111">
        <v>1</v>
      </c>
      <c r="S18" s="111">
        <v>1</v>
      </c>
      <c r="T18" s="111">
        <v>1</v>
      </c>
      <c r="U18" s="111">
        <v>1</v>
      </c>
      <c r="V18" s="111">
        <v>1</v>
      </c>
      <c r="W18" s="111">
        <v>1</v>
      </c>
      <c r="X18" s="111">
        <v>1</v>
      </c>
      <c r="Y18" s="111">
        <v>0</v>
      </c>
      <c r="Z18" s="111">
        <v>0</v>
      </c>
      <c r="AA18" s="111">
        <v>0</v>
      </c>
      <c r="AB18" s="111">
        <v>0</v>
      </c>
      <c r="AC18" s="111">
        <v>1</v>
      </c>
      <c r="AD18" s="111">
        <v>1</v>
      </c>
      <c r="AE18" s="111">
        <v>1</v>
      </c>
      <c r="AF18" s="111">
        <v>0</v>
      </c>
      <c r="AG18" s="111">
        <v>0</v>
      </c>
      <c r="AH18" s="111">
        <v>1</v>
      </c>
      <c r="AI18" s="111">
        <v>1</v>
      </c>
      <c r="AJ18" s="111">
        <v>0</v>
      </c>
      <c r="AK18" s="111">
        <v>0</v>
      </c>
      <c r="AL18" s="111">
        <v>1</v>
      </c>
      <c r="AM18" s="111">
        <v>1</v>
      </c>
      <c r="AN18" s="111">
        <v>0</v>
      </c>
      <c r="AO18" s="111">
        <v>0</v>
      </c>
      <c r="AP18" s="111">
        <v>0</v>
      </c>
    </row>
    <row r="19" spans="1:42" customFormat="1" x14ac:dyDescent="0.15">
      <c r="A19" s="157" t="s">
        <v>210</v>
      </c>
      <c r="B19" s="111">
        <v>0</v>
      </c>
      <c r="C19" s="111">
        <v>0</v>
      </c>
      <c r="D19" s="111">
        <v>0</v>
      </c>
      <c r="E19" s="111">
        <v>0</v>
      </c>
      <c r="F19" s="111">
        <v>0</v>
      </c>
      <c r="G19" s="111">
        <v>0</v>
      </c>
      <c r="H19" s="111">
        <v>0</v>
      </c>
      <c r="I19" s="111">
        <v>0</v>
      </c>
      <c r="J19" s="111">
        <v>0</v>
      </c>
      <c r="K19" s="111">
        <v>0</v>
      </c>
      <c r="L19" s="111">
        <v>0</v>
      </c>
      <c r="M19" s="111">
        <v>0</v>
      </c>
      <c r="N19" s="111">
        <v>0</v>
      </c>
      <c r="O19" s="111">
        <v>0</v>
      </c>
      <c r="P19" s="111">
        <v>0</v>
      </c>
      <c r="Q19" s="111">
        <v>0</v>
      </c>
      <c r="R19" s="111">
        <v>0</v>
      </c>
      <c r="S19" s="111">
        <v>0</v>
      </c>
      <c r="T19" s="111">
        <v>0</v>
      </c>
      <c r="U19" s="111">
        <v>0</v>
      </c>
      <c r="V19" s="111">
        <v>1</v>
      </c>
      <c r="W19" s="111">
        <v>1</v>
      </c>
      <c r="X19" s="111">
        <v>0</v>
      </c>
      <c r="Y19" s="111">
        <v>0</v>
      </c>
      <c r="Z19" s="111">
        <v>0</v>
      </c>
      <c r="AA19" s="111">
        <v>0</v>
      </c>
      <c r="AB19" s="111">
        <v>0</v>
      </c>
      <c r="AC19" s="111">
        <v>1</v>
      </c>
      <c r="AD19" s="111">
        <v>0</v>
      </c>
      <c r="AE19" s="111">
        <v>0</v>
      </c>
      <c r="AF19" s="111">
        <v>0</v>
      </c>
      <c r="AG19" s="111">
        <v>0</v>
      </c>
      <c r="AH19" s="111">
        <v>0</v>
      </c>
      <c r="AI19" s="111">
        <v>0</v>
      </c>
      <c r="AJ19" s="111">
        <v>0</v>
      </c>
      <c r="AK19" s="111">
        <v>0</v>
      </c>
      <c r="AL19" s="111">
        <v>0</v>
      </c>
      <c r="AM19" s="111">
        <v>0</v>
      </c>
      <c r="AN19" s="111">
        <v>0</v>
      </c>
      <c r="AO19" s="111">
        <v>0</v>
      </c>
      <c r="AP19" s="111">
        <v>0</v>
      </c>
    </row>
    <row r="20" spans="1:42" customFormat="1" x14ac:dyDescent="0.15">
      <c r="A20" s="157" t="s">
        <v>211</v>
      </c>
      <c r="B20" s="111">
        <v>0</v>
      </c>
      <c r="C20" s="111">
        <v>0</v>
      </c>
      <c r="D20" s="111">
        <v>0</v>
      </c>
      <c r="E20" s="111">
        <v>0</v>
      </c>
      <c r="F20" s="111">
        <v>0</v>
      </c>
      <c r="G20" s="111">
        <v>0</v>
      </c>
      <c r="H20" s="111">
        <v>0</v>
      </c>
      <c r="I20" s="111">
        <v>0</v>
      </c>
      <c r="J20" s="111">
        <v>0</v>
      </c>
      <c r="K20" s="111">
        <v>0</v>
      </c>
      <c r="L20" s="111">
        <v>1</v>
      </c>
      <c r="M20" s="111">
        <v>1</v>
      </c>
      <c r="N20" s="111">
        <v>0</v>
      </c>
      <c r="O20" s="111">
        <v>0</v>
      </c>
      <c r="P20" s="111">
        <v>0</v>
      </c>
      <c r="Q20" s="111">
        <v>1</v>
      </c>
      <c r="R20" s="111">
        <v>1</v>
      </c>
      <c r="S20" s="111">
        <v>1</v>
      </c>
      <c r="T20" s="111">
        <v>1</v>
      </c>
      <c r="U20" s="111">
        <v>1</v>
      </c>
      <c r="V20" s="111">
        <v>1</v>
      </c>
      <c r="W20" s="111">
        <v>1</v>
      </c>
      <c r="X20" s="111">
        <v>0</v>
      </c>
      <c r="Y20" s="111">
        <v>0</v>
      </c>
      <c r="Z20" s="111">
        <v>0</v>
      </c>
      <c r="AA20" s="111">
        <v>0</v>
      </c>
      <c r="AB20" s="111">
        <v>0</v>
      </c>
      <c r="AC20" s="111">
        <v>1</v>
      </c>
      <c r="AD20" s="111">
        <v>0</v>
      </c>
      <c r="AE20" s="111">
        <v>1</v>
      </c>
      <c r="AF20" s="111">
        <v>0</v>
      </c>
      <c r="AG20" s="111">
        <v>0</v>
      </c>
      <c r="AH20" s="111">
        <v>0</v>
      </c>
      <c r="AI20" s="111">
        <v>1</v>
      </c>
      <c r="AJ20" s="111">
        <v>0</v>
      </c>
      <c r="AK20" s="111">
        <v>0</v>
      </c>
      <c r="AL20" s="111">
        <v>1</v>
      </c>
      <c r="AM20" s="111">
        <v>1</v>
      </c>
      <c r="AN20" s="111">
        <v>0</v>
      </c>
      <c r="AO20" s="111">
        <v>0</v>
      </c>
      <c r="AP20" s="111">
        <v>0</v>
      </c>
    </row>
    <row r="21" spans="1:42" customFormat="1" x14ac:dyDescent="0.15">
      <c r="A21" s="157" t="s">
        <v>212</v>
      </c>
      <c r="B21" s="111">
        <v>0</v>
      </c>
      <c r="C21" s="111">
        <v>0</v>
      </c>
      <c r="D21" s="111">
        <v>0</v>
      </c>
      <c r="E21" s="111">
        <v>0</v>
      </c>
      <c r="F21" s="111">
        <v>0</v>
      </c>
      <c r="G21" s="111">
        <v>0</v>
      </c>
      <c r="H21" s="111">
        <v>0</v>
      </c>
      <c r="I21" s="111">
        <v>0</v>
      </c>
      <c r="J21" s="111">
        <v>0</v>
      </c>
      <c r="K21" s="111">
        <v>0</v>
      </c>
      <c r="L21" s="111">
        <v>1</v>
      </c>
      <c r="M21" s="111">
        <v>1</v>
      </c>
      <c r="N21" s="111">
        <v>1</v>
      </c>
      <c r="O21" s="111">
        <v>0</v>
      </c>
      <c r="P21" s="111">
        <v>0</v>
      </c>
      <c r="Q21" s="111">
        <v>0</v>
      </c>
      <c r="R21" s="111">
        <v>1</v>
      </c>
      <c r="S21" s="111">
        <v>1</v>
      </c>
      <c r="T21" s="111">
        <v>1</v>
      </c>
      <c r="U21" s="111">
        <v>1</v>
      </c>
      <c r="V21" s="111">
        <v>1</v>
      </c>
      <c r="W21" s="111">
        <v>1</v>
      </c>
      <c r="X21" s="111">
        <v>1</v>
      </c>
      <c r="Y21" s="111">
        <v>0</v>
      </c>
      <c r="Z21" s="111">
        <v>0</v>
      </c>
      <c r="AA21" s="111">
        <v>0</v>
      </c>
      <c r="AB21" s="111">
        <v>0</v>
      </c>
      <c r="AC21" s="111">
        <v>1</v>
      </c>
      <c r="AD21" s="111">
        <v>0</v>
      </c>
      <c r="AE21" s="111">
        <v>1</v>
      </c>
      <c r="AF21" s="111">
        <v>0</v>
      </c>
      <c r="AG21" s="111">
        <v>0</v>
      </c>
      <c r="AH21" s="111">
        <v>0</v>
      </c>
      <c r="AI21" s="111">
        <v>1</v>
      </c>
      <c r="AJ21" s="111">
        <v>0</v>
      </c>
      <c r="AK21" s="111">
        <v>0</v>
      </c>
      <c r="AL21" s="111">
        <v>1</v>
      </c>
      <c r="AM21" s="111">
        <v>1</v>
      </c>
      <c r="AN21" s="111">
        <v>0</v>
      </c>
      <c r="AO21" s="111">
        <v>0</v>
      </c>
      <c r="AP21" s="111">
        <v>0</v>
      </c>
    </row>
    <row r="22" spans="1:42" customFormat="1" x14ac:dyDescent="0.15">
      <c r="A22" s="157" t="s">
        <v>213</v>
      </c>
      <c r="B22" s="111">
        <v>0</v>
      </c>
      <c r="C22" s="111">
        <v>0</v>
      </c>
      <c r="D22" s="111">
        <v>0</v>
      </c>
      <c r="E22" s="111">
        <v>0</v>
      </c>
      <c r="F22" s="111">
        <v>0</v>
      </c>
      <c r="G22" s="111">
        <v>0</v>
      </c>
      <c r="H22" s="111">
        <v>0</v>
      </c>
      <c r="I22" s="111">
        <v>0</v>
      </c>
      <c r="J22" s="111">
        <v>0</v>
      </c>
      <c r="K22" s="111">
        <v>0</v>
      </c>
      <c r="L22" s="111">
        <v>0</v>
      </c>
      <c r="M22" s="111">
        <v>0</v>
      </c>
      <c r="N22" s="111">
        <v>1</v>
      </c>
      <c r="O22" s="111">
        <v>0</v>
      </c>
      <c r="P22" s="111">
        <v>0</v>
      </c>
      <c r="Q22" s="111">
        <v>0</v>
      </c>
      <c r="R22" s="111">
        <v>0</v>
      </c>
      <c r="S22" s="111">
        <v>0</v>
      </c>
      <c r="T22" s="111">
        <v>0</v>
      </c>
      <c r="U22" s="111">
        <v>1</v>
      </c>
      <c r="V22" s="111">
        <v>1</v>
      </c>
      <c r="W22" s="111">
        <v>1</v>
      </c>
      <c r="X22" s="111">
        <v>1</v>
      </c>
      <c r="Y22" s="111">
        <v>0</v>
      </c>
      <c r="Z22" s="111">
        <v>0</v>
      </c>
      <c r="AA22" s="111">
        <v>0</v>
      </c>
      <c r="AB22" s="111">
        <v>0</v>
      </c>
      <c r="AC22" s="111">
        <v>0</v>
      </c>
      <c r="AD22" s="111">
        <v>0</v>
      </c>
      <c r="AE22" s="111">
        <v>0</v>
      </c>
      <c r="AF22" s="111">
        <v>0</v>
      </c>
      <c r="AG22" s="111">
        <v>0</v>
      </c>
      <c r="AH22" s="111">
        <v>0</v>
      </c>
      <c r="AI22" s="111">
        <v>0</v>
      </c>
      <c r="AJ22" s="111">
        <v>0</v>
      </c>
      <c r="AK22" s="111">
        <v>0</v>
      </c>
      <c r="AL22" s="111">
        <v>1</v>
      </c>
      <c r="AM22" s="111">
        <v>0</v>
      </c>
      <c r="AN22" s="111">
        <v>0</v>
      </c>
      <c r="AO22" s="111">
        <v>0</v>
      </c>
      <c r="AP22" s="111">
        <v>0</v>
      </c>
    </row>
    <row r="23" spans="1:42" customFormat="1" x14ac:dyDescent="0.15">
      <c r="A23" s="157" t="s">
        <v>214</v>
      </c>
      <c r="B23" s="111">
        <v>0</v>
      </c>
      <c r="C23" s="111">
        <v>0</v>
      </c>
      <c r="D23" s="111">
        <v>0</v>
      </c>
      <c r="E23" s="111">
        <v>0</v>
      </c>
      <c r="F23" s="111">
        <v>0</v>
      </c>
      <c r="G23" s="111">
        <v>0</v>
      </c>
      <c r="H23" s="111">
        <v>0</v>
      </c>
      <c r="I23" s="111">
        <v>0</v>
      </c>
      <c r="J23" s="111">
        <v>0</v>
      </c>
      <c r="K23" s="111">
        <v>0</v>
      </c>
      <c r="L23" s="111">
        <v>0</v>
      </c>
      <c r="M23" s="111">
        <v>0</v>
      </c>
      <c r="N23" s="111">
        <v>1</v>
      </c>
      <c r="O23" s="111">
        <v>0</v>
      </c>
      <c r="P23" s="111">
        <v>0</v>
      </c>
      <c r="Q23" s="111">
        <v>0</v>
      </c>
      <c r="R23" s="111">
        <v>0</v>
      </c>
      <c r="S23" s="111">
        <v>0</v>
      </c>
      <c r="T23" s="111">
        <v>0</v>
      </c>
      <c r="U23" s="111">
        <v>0</v>
      </c>
      <c r="V23" s="111">
        <v>1</v>
      </c>
      <c r="W23" s="111">
        <v>0</v>
      </c>
      <c r="X23" s="111">
        <v>0</v>
      </c>
      <c r="Y23" s="111">
        <v>0</v>
      </c>
      <c r="Z23" s="111">
        <v>0</v>
      </c>
      <c r="AA23" s="111">
        <v>0</v>
      </c>
      <c r="AB23" s="111">
        <v>0</v>
      </c>
      <c r="AC23" s="111">
        <v>0</v>
      </c>
      <c r="AD23" s="111">
        <v>0</v>
      </c>
      <c r="AE23" s="111">
        <v>0</v>
      </c>
      <c r="AF23" s="111">
        <v>0</v>
      </c>
      <c r="AG23" s="111">
        <v>0</v>
      </c>
      <c r="AH23" s="111">
        <v>0</v>
      </c>
      <c r="AI23" s="111">
        <v>0</v>
      </c>
      <c r="AJ23" s="111">
        <v>0</v>
      </c>
      <c r="AK23" s="111">
        <v>0</v>
      </c>
      <c r="AL23" s="111">
        <v>1</v>
      </c>
      <c r="AM23" s="111">
        <v>0</v>
      </c>
      <c r="AN23" s="111">
        <v>0</v>
      </c>
      <c r="AO23" s="111">
        <v>0</v>
      </c>
      <c r="AP23" s="111">
        <v>0</v>
      </c>
    </row>
    <row r="24" spans="1:42" customFormat="1" x14ac:dyDescent="0.15">
      <c r="A24" s="157" t="s">
        <v>215</v>
      </c>
      <c r="B24" s="111">
        <v>0</v>
      </c>
      <c r="C24" s="111">
        <v>0</v>
      </c>
      <c r="D24" s="111">
        <v>0</v>
      </c>
      <c r="E24" s="111">
        <v>0</v>
      </c>
      <c r="F24" s="111">
        <v>0</v>
      </c>
      <c r="G24" s="111">
        <v>0</v>
      </c>
      <c r="H24" s="111">
        <v>0</v>
      </c>
      <c r="I24" s="111">
        <v>0</v>
      </c>
      <c r="J24" s="111">
        <v>0</v>
      </c>
      <c r="K24" s="111">
        <v>0</v>
      </c>
      <c r="L24" s="111">
        <v>0</v>
      </c>
      <c r="M24" s="111">
        <v>0</v>
      </c>
      <c r="N24" s="111">
        <v>0</v>
      </c>
      <c r="O24" s="111">
        <v>0</v>
      </c>
      <c r="P24" s="111">
        <v>0</v>
      </c>
      <c r="Q24" s="111">
        <v>0</v>
      </c>
      <c r="R24" s="111">
        <v>0</v>
      </c>
      <c r="S24" s="111">
        <v>0</v>
      </c>
      <c r="T24" s="111">
        <v>0</v>
      </c>
      <c r="U24" s="111">
        <v>0</v>
      </c>
      <c r="V24" s="111">
        <v>0</v>
      </c>
      <c r="W24" s="111">
        <v>0</v>
      </c>
      <c r="X24" s="111">
        <v>0</v>
      </c>
      <c r="Y24" s="111">
        <v>1</v>
      </c>
      <c r="Z24" s="111">
        <v>0</v>
      </c>
      <c r="AA24" s="111">
        <v>0</v>
      </c>
      <c r="AB24" s="111">
        <v>0</v>
      </c>
      <c r="AC24" s="111">
        <v>0</v>
      </c>
      <c r="AD24" s="111">
        <v>0</v>
      </c>
      <c r="AE24" s="111">
        <v>0</v>
      </c>
      <c r="AF24" s="111">
        <v>0</v>
      </c>
      <c r="AG24" s="111">
        <v>0</v>
      </c>
      <c r="AH24" s="111">
        <v>0</v>
      </c>
      <c r="AI24" s="111">
        <v>0</v>
      </c>
      <c r="AJ24" s="111">
        <v>0</v>
      </c>
      <c r="AK24" s="111">
        <v>1</v>
      </c>
      <c r="AL24" s="111">
        <v>1</v>
      </c>
      <c r="AM24" s="111">
        <v>0</v>
      </c>
      <c r="AN24" s="111">
        <v>0</v>
      </c>
      <c r="AO24" s="111">
        <v>0</v>
      </c>
      <c r="AP24" s="111">
        <v>0</v>
      </c>
    </row>
    <row r="25" spans="1:42" customFormat="1" x14ac:dyDescent="0.15">
      <c r="A25" s="157" t="s">
        <v>216</v>
      </c>
      <c r="B25" s="111">
        <v>0</v>
      </c>
      <c r="C25" s="111">
        <v>0</v>
      </c>
      <c r="D25" s="111">
        <v>0</v>
      </c>
      <c r="E25" s="111">
        <v>0</v>
      </c>
      <c r="F25" s="111">
        <v>0</v>
      </c>
      <c r="G25" s="111">
        <v>0</v>
      </c>
      <c r="H25" s="111">
        <v>0</v>
      </c>
      <c r="I25" s="111">
        <v>0</v>
      </c>
      <c r="J25" s="111">
        <v>0</v>
      </c>
      <c r="K25" s="111">
        <v>0</v>
      </c>
      <c r="L25" s="111">
        <v>0</v>
      </c>
      <c r="M25" s="111">
        <v>0</v>
      </c>
      <c r="N25" s="111">
        <v>0</v>
      </c>
      <c r="O25" s="111">
        <v>0</v>
      </c>
      <c r="P25" s="111">
        <v>0</v>
      </c>
      <c r="Q25" s="111">
        <v>0</v>
      </c>
      <c r="R25" s="111">
        <v>0</v>
      </c>
      <c r="S25" s="111">
        <v>0</v>
      </c>
      <c r="T25" s="111">
        <v>0</v>
      </c>
      <c r="U25" s="111">
        <v>0</v>
      </c>
      <c r="V25" s="111">
        <v>0</v>
      </c>
      <c r="W25" s="111">
        <v>0</v>
      </c>
      <c r="X25" s="111">
        <v>0</v>
      </c>
      <c r="Y25" s="111">
        <v>1</v>
      </c>
      <c r="Z25" s="111">
        <v>0</v>
      </c>
      <c r="AA25" s="111">
        <v>0</v>
      </c>
      <c r="AB25" s="111">
        <v>0</v>
      </c>
      <c r="AC25" s="111">
        <v>0</v>
      </c>
      <c r="AD25" s="111">
        <v>0</v>
      </c>
      <c r="AE25" s="111">
        <v>0</v>
      </c>
      <c r="AF25" s="111">
        <v>0</v>
      </c>
      <c r="AG25" s="111">
        <v>0</v>
      </c>
      <c r="AH25" s="111">
        <v>0</v>
      </c>
      <c r="AI25" s="111">
        <v>0</v>
      </c>
      <c r="AJ25" s="111">
        <v>0</v>
      </c>
      <c r="AK25" s="111">
        <v>0</v>
      </c>
      <c r="AL25" s="111">
        <v>1</v>
      </c>
      <c r="AM25" s="111">
        <v>0</v>
      </c>
      <c r="AN25" s="111">
        <v>0</v>
      </c>
      <c r="AO25" s="111">
        <v>0</v>
      </c>
      <c r="AP25" s="111">
        <v>0</v>
      </c>
    </row>
    <row r="26" spans="1:42" customFormat="1" x14ac:dyDescent="0.15">
      <c r="A26" s="157" t="s">
        <v>217</v>
      </c>
      <c r="B26" s="111">
        <v>0</v>
      </c>
      <c r="C26" s="111">
        <v>0</v>
      </c>
      <c r="D26" s="111">
        <v>0</v>
      </c>
      <c r="E26" s="111">
        <v>0</v>
      </c>
      <c r="F26" s="111">
        <v>0</v>
      </c>
      <c r="G26" s="111">
        <v>0</v>
      </c>
      <c r="H26" s="111">
        <v>0</v>
      </c>
      <c r="I26" s="111">
        <v>0</v>
      </c>
      <c r="J26" s="111">
        <v>0</v>
      </c>
      <c r="K26" s="111">
        <v>0</v>
      </c>
      <c r="L26" s="111">
        <v>1</v>
      </c>
      <c r="M26" s="111">
        <v>1</v>
      </c>
      <c r="N26" s="111">
        <v>1</v>
      </c>
      <c r="O26" s="111">
        <v>0</v>
      </c>
      <c r="P26" s="111">
        <v>0</v>
      </c>
      <c r="Q26" s="111">
        <v>0</v>
      </c>
      <c r="R26" s="111">
        <v>1</v>
      </c>
      <c r="S26" s="111">
        <v>1</v>
      </c>
      <c r="T26" s="111">
        <v>0</v>
      </c>
      <c r="U26" s="111">
        <v>1</v>
      </c>
      <c r="V26" s="111">
        <v>1</v>
      </c>
      <c r="W26" s="111">
        <v>1</v>
      </c>
      <c r="X26" s="111">
        <v>1</v>
      </c>
      <c r="Y26" s="111">
        <v>1</v>
      </c>
      <c r="Z26" s="111">
        <v>0</v>
      </c>
      <c r="AA26" s="111">
        <v>1</v>
      </c>
      <c r="AB26" s="111">
        <v>0</v>
      </c>
      <c r="AC26" s="111">
        <v>1</v>
      </c>
      <c r="AD26" s="111">
        <v>1</v>
      </c>
      <c r="AE26" s="111">
        <v>1</v>
      </c>
      <c r="AF26" s="111">
        <v>1</v>
      </c>
      <c r="AG26" s="111">
        <v>0</v>
      </c>
      <c r="AH26" s="111">
        <v>1</v>
      </c>
      <c r="AI26" s="111">
        <v>1</v>
      </c>
      <c r="AJ26" s="111">
        <v>0</v>
      </c>
      <c r="AK26" s="111">
        <v>1</v>
      </c>
      <c r="AL26" s="111">
        <v>1</v>
      </c>
      <c r="AM26" s="111">
        <v>1</v>
      </c>
      <c r="AN26" s="111">
        <v>0</v>
      </c>
      <c r="AO26" s="111">
        <v>0</v>
      </c>
      <c r="AP26" s="111">
        <v>0</v>
      </c>
    </row>
    <row r="27" spans="1:42" customFormat="1" x14ac:dyDescent="0.15">
      <c r="A27" s="157" t="s">
        <v>218</v>
      </c>
      <c r="B27" s="111">
        <v>0</v>
      </c>
      <c r="C27" s="111">
        <v>0</v>
      </c>
      <c r="D27" s="111">
        <v>0</v>
      </c>
      <c r="E27" s="111">
        <v>0</v>
      </c>
      <c r="F27" s="111">
        <v>0</v>
      </c>
      <c r="G27" s="111">
        <v>0</v>
      </c>
      <c r="H27" s="111">
        <v>0</v>
      </c>
      <c r="I27" s="111">
        <v>0</v>
      </c>
      <c r="J27" s="111">
        <v>0</v>
      </c>
      <c r="K27" s="111">
        <v>0</v>
      </c>
      <c r="L27" s="111">
        <v>0</v>
      </c>
      <c r="M27" s="111">
        <v>1</v>
      </c>
      <c r="N27" s="111">
        <v>1</v>
      </c>
      <c r="O27" s="111">
        <v>0</v>
      </c>
      <c r="P27" s="111">
        <v>0</v>
      </c>
      <c r="Q27" s="111">
        <v>0</v>
      </c>
      <c r="R27" s="111">
        <v>1</v>
      </c>
      <c r="S27" s="111">
        <v>1</v>
      </c>
      <c r="T27" s="111">
        <v>0</v>
      </c>
      <c r="U27" s="111">
        <v>0</v>
      </c>
      <c r="V27" s="111">
        <v>1</v>
      </c>
      <c r="W27" s="111">
        <v>1</v>
      </c>
      <c r="X27" s="111">
        <v>1</v>
      </c>
      <c r="Y27" s="111">
        <v>0</v>
      </c>
      <c r="Z27" s="111">
        <v>0</v>
      </c>
      <c r="AA27" s="111">
        <v>0</v>
      </c>
      <c r="AB27" s="111">
        <v>0</v>
      </c>
      <c r="AC27" s="111">
        <v>0</v>
      </c>
      <c r="AD27" s="111">
        <v>0</v>
      </c>
      <c r="AE27" s="111">
        <v>1</v>
      </c>
      <c r="AF27" s="111">
        <v>0</v>
      </c>
      <c r="AG27" s="111">
        <v>0</v>
      </c>
      <c r="AH27" s="111">
        <v>0</v>
      </c>
      <c r="AI27" s="111">
        <v>1</v>
      </c>
      <c r="AJ27" s="111">
        <v>0</v>
      </c>
      <c r="AK27" s="111">
        <v>1</v>
      </c>
      <c r="AL27" s="111">
        <v>1</v>
      </c>
      <c r="AM27" s="111">
        <v>1</v>
      </c>
      <c r="AN27" s="111">
        <v>0</v>
      </c>
      <c r="AO27" s="111">
        <v>0</v>
      </c>
      <c r="AP27" s="111">
        <v>0</v>
      </c>
    </row>
    <row r="28" spans="1:42" customFormat="1" x14ac:dyDescent="0.15">
      <c r="A28" s="157" t="s">
        <v>219</v>
      </c>
      <c r="B28" s="111">
        <v>0</v>
      </c>
      <c r="C28" s="111">
        <v>0</v>
      </c>
      <c r="D28" s="111">
        <v>0</v>
      </c>
      <c r="E28" s="111">
        <v>0</v>
      </c>
      <c r="F28" s="111">
        <v>0</v>
      </c>
      <c r="G28" s="111">
        <v>0</v>
      </c>
      <c r="H28" s="111">
        <v>0</v>
      </c>
      <c r="I28" s="111">
        <v>0</v>
      </c>
      <c r="J28" s="111">
        <v>0</v>
      </c>
      <c r="K28" s="111">
        <v>0</v>
      </c>
      <c r="L28" s="111">
        <v>0</v>
      </c>
      <c r="M28" s="111">
        <v>1</v>
      </c>
      <c r="N28" s="111">
        <v>1</v>
      </c>
      <c r="O28" s="111">
        <v>0</v>
      </c>
      <c r="P28" s="111">
        <v>0</v>
      </c>
      <c r="Q28" s="111">
        <v>0</v>
      </c>
      <c r="R28" s="111">
        <v>0</v>
      </c>
      <c r="S28" s="111">
        <v>1</v>
      </c>
      <c r="T28" s="111">
        <v>0</v>
      </c>
      <c r="U28" s="111">
        <v>0</v>
      </c>
      <c r="V28" s="111">
        <v>1</v>
      </c>
      <c r="W28" s="111">
        <v>1</v>
      </c>
      <c r="X28" s="111">
        <v>1</v>
      </c>
      <c r="Y28" s="111">
        <v>0</v>
      </c>
      <c r="Z28" s="111">
        <v>0</v>
      </c>
      <c r="AA28" s="111">
        <v>0</v>
      </c>
      <c r="AB28" s="111">
        <v>0</v>
      </c>
      <c r="AC28" s="111">
        <v>1</v>
      </c>
      <c r="AD28" s="111">
        <v>0</v>
      </c>
      <c r="AE28" s="111">
        <v>1</v>
      </c>
      <c r="AF28" s="111">
        <v>0</v>
      </c>
      <c r="AG28" s="111">
        <v>0</v>
      </c>
      <c r="AH28" s="111">
        <v>0</v>
      </c>
      <c r="AI28" s="111">
        <v>1</v>
      </c>
      <c r="AJ28" s="111">
        <v>0</v>
      </c>
      <c r="AK28" s="111">
        <v>1</v>
      </c>
      <c r="AL28" s="111">
        <v>1</v>
      </c>
      <c r="AM28" s="111">
        <v>1</v>
      </c>
      <c r="AN28" s="111">
        <v>0</v>
      </c>
      <c r="AO28" s="111">
        <v>0</v>
      </c>
      <c r="AP28" s="111">
        <v>0</v>
      </c>
    </row>
    <row r="29" spans="1:42" customFormat="1" x14ac:dyDescent="0.15">
      <c r="A29" s="157" t="s">
        <v>220</v>
      </c>
      <c r="B29" s="111">
        <v>0</v>
      </c>
      <c r="C29" s="111">
        <v>0</v>
      </c>
      <c r="D29" s="111">
        <v>0</v>
      </c>
      <c r="E29" s="111">
        <v>0</v>
      </c>
      <c r="F29" s="111">
        <v>0</v>
      </c>
      <c r="G29" s="111">
        <v>0</v>
      </c>
      <c r="H29" s="111">
        <v>0</v>
      </c>
      <c r="I29" s="111">
        <v>0</v>
      </c>
      <c r="J29" s="111">
        <v>0</v>
      </c>
      <c r="K29" s="111">
        <v>0</v>
      </c>
      <c r="L29" s="111">
        <v>0</v>
      </c>
      <c r="M29" s="111">
        <v>0</v>
      </c>
      <c r="N29" s="111">
        <v>1</v>
      </c>
      <c r="O29" s="111">
        <v>0</v>
      </c>
      <c r="P29" s="111">
        <v>0</v>
      </c>
      <c r="Q29" s="111">
        <v>0</v>
      </c>
      <c r="R29" s="111">
        <v>0</v>
      </c>
      <c r="S29" s="111">
        <v>1</v>
      </c>
      <c r="T29" s="111">
        <v>0</v>
      </c>
      <c r="U29" s="111">
        <v>0</v>
      </c>
      <c r="V29" s="111">
        <v>0</v>
      </c>
      <c r="W29" s="111">
        <v>0</v>
      </c>
      <c r="X29" s="111">
        <v>1</v>
      </c>
      <c r="Y29" s="111">
        <v>0</v>
      </c>
      <c r="Z29" s="111">
        <v>0</v>
      </c>
      <c r="AA29" s="111">
        <v>0</v>
      </c>
      <c r="AB29" s="111">
        <v>0</v>
      </c>
      <c r="AC29" s="111">
        <v>0</v>
      </c>
      <c r="AD29" s="111">
        <v>0</v>
      </c>
      <c r="AE29" s="111">
        <v>0</v>
      </c>
      <c r="AF29" s="111">
        <v>0</v>
      </c>
      <c r="AG29" s="111">
        <v>0</v>
      </c>
      <c r="AH29" s="111">
        <v>0</v>
      </c>
      <c r="AI29" s="111">
        <v>1</v>
      </c>
      <c r="AJ29" s="111">
        <v>0</v>
      </c>
      <c r="AK29" s="111">
        <v>1</v>
      </c>
      <c r="AL29" s="111">
        <v>1</v>
      </c>
      <c r="AM29" s="111">
        <v>0</v>
      </c>
      <c r="AN29" s="111">
        <v>0</v>
      </c>
      <c r="AO29" s="111">
        <v>0</v>
      </c>
      <c r="AP29" s="111">
        <v>0</v>
      </c>
    </row>
    <row r="30" spans="1:42" customFormat="1" x14ac:dyDescent="0.15">
      <c r="A30" s="157" t="s">
        <v>221</v>
      </c>
      <c r="B30" s="111">
        <v>0</v>
      </c>
      <c r="C30" s="111">
        <v>0</v>
      </c>
      <c r="D30" s="111">
        <v>0</v>
      </c>
      <c r="E30" s="111">
        <v>0</v>
      </c>
      <c r="F30" s="111">
        <v>0</v>
      </c>
      <c r="G30" s="111">
        <v>0</v>
      </c>
      <c r="H30" s="111">
        <v>0</v>
      </c>
      <c r="I30" s="111">
        <v>0</v>
      </c>
      <c r="J30" s="111">
        <v>0</v>
      </c>
      <c r="K30" s="111">
        <v>0</v>
      </c>
      <c r="L30" s="111">
        <v>0</v>
      </c>
      <c r="M30" s="111">
        <v>1</v>
      </c>
      <c r="N30" s="111">
        <v>1</v>
      </c>
      <c r="O30" s="111">
        <v>0</v>
      </c>
      <c r="P30" s="111">
        <v>0</v>
      </c>
      <c r="Q30" s="111">
        <v>0</v>
      </c>
      <c r="R30" s="111">
        <v>0</v>
      </c>
      <c r="S30" s="111">
        <v>1</v>
      </c>
      <c r="T30" s="111">
        <v>0</v>
      </c>
      <c r="U30" s="111">
        <v>0</v>
      </c>
      <c r="V30" s="111">
        <v>1</v>
      </c>
      <c r="W30" s="111">
        <v>1</v>
      </c>
      <c r="X30" s="111">
        <v>1</v>
      </c>
      <c r="Y30" s="111">
        <v>0</v>
      </c>
      <c r="Z30" s="111">
        <v>0</v>
      </c>
      <c r="AA30" s="111">
        <v>0</v>
      </c>
      <c r="AB30" s="111">
        <v>0</v>
      </c>
      <c r="AC30" s="111">
        <v>0</v>
      </c>
      <c r="AD30" s="111">
        <v>0</v>
      </c>
      <c r="AE30" s="111">
        <v>1</v>
      </c>
      <c r="AF30" s="111">
        <v>0</v>
      </c>
      <c r="AG30" s="111">
        <v>0</v>
      </c>
      <c r="AH30" s="111">
        <v>0</v>
      </c>
      <c r="AI30" s="111">
        <v>1</v>
      </c>
      <c r="AJ30" s="111">
        <v>0</v>
      </c>
      <c r="AK30" s="111">
        <v>1</v>
      </c>
      <c r="AL30" s="111">
        <v>1</v>
      </c>
      <c r="AM30" s="111">
        <v>1</v>
      </c>
      <c r="AN30" s="111">
        <v>0</v>
      </c>
      <c r="AO30" s="111">
        <v>0</v>
      </c>
      <c r="AP30" s="111">
        <v>0</v>
      </c>
    </row>
    <row r="31" spans="1:42" customFormat="1" x14ac:dyDescent="0.15">
      <c r="A31" s="157" t="s">
        <v>222</v>
      </c>
      <c r="B31" s="111">
        <v>0</v>
      </c>
      <c r="C31" s="111">
        <v>0</v>
      </c>
      <c r="D31" s="111">
        <v>0</v>
      </c>
      <c r="E31" s="111">
        <v>0</v>
      </c>
      <c r="F31" s="111">
        <v>0</v>
      </c>
      <c r="G31" s="111">
        <v>0</v>
      </c>
      <c r="H31" s="111">
        <v>0</v>
      </c>
      <c r="I31" s="111">
        <v>0</v>
      </c>
      <c r="J31" s="111">
        <v>0</v>
      </c>
      <c r="K31" s="111">
        <v>0</v>
      </c>
      <c r="L31" s="111">
        <v>0</v>
      </c>
      <c r="M31" s="111">
        <v>0</v>
      </c>
      <c r="N31" s="111">
        <v>0</v>
      </c>
      <c r="O31" s="111">
        <v>0</v>
      </c>
      <c r="P31" s="111">
        <v>0</v>
      </c>
      <c r="Q31" s="111">
        <v>0</v>
      </c>
      <c r="R31" s="111">
        <v>0</v>
      </c>
      <c r="S31" s="111">
        <v>1</v>
      </c>
      <c r="T31" s="111">
        <v>0</v>
      </c>
      <c r="U31" s="111">
        <v>0</v>
      </c>
      <c r="V31" s="111">
        <v>0</v>
      </c>
      <c r="W31" s="111">
        <v>0</v>
      </c>
      <c r="X31" s="111">
        <v>0</v>
      </c>
      <c r="Y31" s="111">
        <v>0</v>
      </c>
      <c r="Z31" s="111">
        <v>0</v>
      </c>
      <c r="AA31" s="111">
        <v>0</v>
      </c>
      <c r="AB31" s="111">
        <v>0</v>
      </c>
      <c r="AC31" s="111">
        <v>0</v>
      </c>
      <c r="AD31" s="111">
        <v>0</v>
      </c>
      <c r="AE31" s="111">
        <v>1</v>
      </c>
      <c r="AF31" s="111">
        <v>0</v>
      </c>
      <c r="AG31" s="111">
        <v>0</v>
      </c>
      <c r="AH31" s="111">
        <v>0</v>
      </c>
      <c r="AI31" s="111">
        <v>0</v>
      </c>
      <c r="AJ31" s="111">
        <v>0</v>
      </c>
      <c r="AK31" s="111">
        <v>0</v>
      </c>
      <c r="AL31" s="111">
        <v>0</v>
      </c>
      <c r="AM31" s="111">
        <v>0</v>
      </c>
      <c r="AN31" s="111">
        <v>0</v>
      </c>
      <c r="AO31" s="111">
        <v>0</v>
      </c>
      <c r="AP31" s="111">
        <v>0</v>
      </c>
    </row>
    <row r="32" spans="1:42" x14ac:dyDescent="0.15">
      <c r="A32" s="157" t="s">
        <v>223</v>
      </c>
      <c r="B32" s="111">
        <v>0</v>
      </c>
      <c r="C32" s="111">
        <v>0</v>
      </c>
      <c r="D32" s="111">
        <v>0</v>
      </c>
      <c r="E32" s="111">
        <v>0</v>
      </c>
      <c r="F32" s="111">
        <v>0</v>
      </c>
      <c r="G32" s="111">
        <v>0</v>
      </c>
      <c r="H32" s="111">
        <v>0</v>
      </c>
      <c r="I32" s="111">
        <v>0</v>
      </c>
      <c r="J32" s="111">
        <v>0</v>
      </c>
      <c r="K32" s="111">
        <v>0</v>
      </c>
      <c r="L32" s="111">
        <v>0</v>
      </c>
      <c r="M32" s="111">
        <v>1</v>
      </c>
      <c r="N32" s="111">
        <v>1</v>
      </c>
      <c r="O32" s="111">
        <v>0</v>
      </c>
      <c r="P32" s="111">
        <v>0</v>
      </c>
      <c r="Q32" s="111">
        <v>0</v>
      </c>
      <c r="R32" s="111">
        <v>1</v>
      </c>
      <c r="S32" s="111">
        <v>0</v>
      </c>
      <c r="T32" s="111">
        <v>0</v>
      </c>
      <c r="U32" s="111">
        <v>1</v>
      </c>
      <c r="V32" s="111">
        <v>1</v>
      </c>
      <c r="W32" s="111">
        <v>1</v>
      </c>
      <c r="X32" s="111">
        <v>1</v>
      </c>
      <c r="Y32" s="111">
        <v>1</v>
      </c>
      <c r="Z32" s="111">
        <v>0</v>
      </c>
      <c r="AA32" s="111">
        <v>1</v>
      </c>
      <c r="AB32" s="111">
        <v>0</v>
      </c>
      <c r="AC32" s="111">
        <v>1</v>
      </c>
      <c r="AD32" s="111">
        <v>1</v>
      </c>
      <c r="AE32" s="111">
        <v>0</v>
      </c>
      <c r="AF32" s="111">
        <v>1</v>
      </c>
      <c r="AG32" s="111">
        <v>0</v>
      </c>
      <c r="AH32" s="111">
        <v>1</v>
      </c>
      <c r="AI32" s="111">
        <v>1</v>
      </c>
      <c r="AJ32" s="111">
        <v>0</v>
      </c>
      <c r="AK32" s="111">
        <v>1</v>
      </c>
      <c r="AL32" s="111">
        <v>0</v>
      </c>
      <c r="AM32" s="111">
        <v>1</v>
      </c>
      <c r="AN32" s="111">
        <v>0</v>
      </c>
      <c r="AO32" s="111">
        <v>0</v>
      </c>
      <c r="AP32" s="111">
        <v>0</v>
      </c>
    </row>
    <row r="33" spans="1:42" x14ac:dyDescent="0.15">
      <c r="A33" s="157" t="s">
        <v>224</v>
      </c>
      <c r="B33" s="111">
        <v>0</v>
      </c>
      <c r="C33" s="111">
        <v>0</v>
      </c>
      <c r="D33" s="111">
        <v>0</v>
      </c>
      <c r="E33" s="111">
        <v>0</v>
      </c>
      <c r="F33" s="111">
        <v>0</v>
      </c>
      <c r="G33" s="111">
        <v>0</v>
      </c>
      <c r="H33" s="111">
        <v>0</v>
      </c>
      <c r="I33" s="111">
        <v>0</v>
      </c>
      <c r="J33" s="111">
        <v>0</v>
      </c>
      <c r="K33" s="111">
        <v>0</v>
      </c>
      <c r="L33" s="111">
        <v>0</v>
      </c>
      <c r="M33" s="111">
        <v>1</v>
      </c>
      <c r="N33" s="111">
        <v>1</v>
      </c>
      <c r="O33" s="111">
        <v>0</v>
      </c>
      <c r="P33" s="111">
        <v>0</v>
      </c>
      <c r="Q33" s="111">
        <v>0</v>
      </c>
      <c r="R33" s="111">
        <v>1</v>
      </c>
      <c r="S33" s="111">
        <v>0</v>
      </c>
      <c r="T33" s="111">
        <v>0</v>
      </c>
      <c r="U33" s="111">
        <v>1</v>
      </c>
      <c r="V33" s="111">
        <v>1</v>
      </c>
      <c r="W33" s="111">
        <v>1</v>
      </c>
      <c r="X33" s="111">
        <v>1</v>
      </c>
      <c r="Y33" s="111">
        <v>1</v>
      </c>
      <c r="Z33" s="111">
        <v>0</v>
      </c>
      <c r="AA33" s="111">
        <v>1</v>
      </c>
      <c r="AB33" s="111">
        <v>0</v>
      </c>
      <c r="AC33" s="111">
        <v>1</v>
      </c>
      <c r="AD33" s="111">
        <v>1</v>
      </c>
      <c r="AE33" s="111">
        <v>0</v>
      </c>
      <c r="AF33" s="111">
        <v>1</v>
      </c>
      <c r="AG33" s="111">
        <v>0</v>
      </c>
      <c r="AH33" s="111">
        <v>1</v>
      </c>
      <c r="AI33" s="111">
        <v>1</v>
      </c>
      <c r="AJ33" s="111">
        <v>0</v>
      </c>
      <c r="AK33" s="111">
        <v>1</v>
      </c>
      <c r="AL33" s="111">
        <v>0</v>
      </c>
      <c r="AM33" s="111">
        <v>1</v>
      </c>
      <c r="AN33" s="111">
        <v>0</v>
      </c>
      <c r="AO33" s="111">
        <v>0</v>
      </c>
      <c r="AP33" s="111">
        <v>0</v>
      </c>
    </row>
    <row r="34" spans="1:42" x14ac:dyDescent="0.15">
      <c r="A34" s="157" t="s">
        <v>225</v>
      </c>
      <c r="B34" s="111">
        <v>0</v>
      </c>
      <c r="C34" s="111">
        <v>0</v>
      </c>
      <c r="D34" s="111">
        <v>0</v>
      </c>
      <c r="E34" s="111">
        <v>0</v>
      </c>
      <c r="F34" s="111">
        <v>0</v>
      </c>
      <c r="G34" s="111">
        <v>0</v>
      </c>
      <c r="H34" s="111">
        <v>0</v>
      </c>
      <c r="I34" s="111">
        <v>0</v>
      </c>
      <c r="J34" s="111">
        <v>0</v>
      </c>
      <c r="K34" s="111">
        <v>0</v>
      </c>
      <c r="L34" s="111">
        <v>0</v>
      </c>
      <c r="M34" s="111">
        <v>0</v>
      </c>
      <c r="N34" s="111">
        <v>1</v>
      </c>
      <c r="O34" s="111">
        <v>0</v>
      </c>
      <c r="P34" s="111">
        <v>0</v>
      </c>
      <c r="Q34" s="111">
        <v>0</v>
      </c>
      <c r="R34" s="111">
        <v>0</v>
      </c>
      <c r="S34" s="111">
        <v>1</v>
      </c>
      <c r="T34" s="111">
        <v>0</v>
      </c>
      <c r="U34" s="111">
        <v>0</v>
      </c>
      <c r="V34" s="111">
        <v>0</v>
      </c>
      <c r="W34" s="111">
        <v>0</v>
      </c>
      <c r="X34" s="111">
        <v>0</v>
      </c>
      <c r="Y34" s="111">
        <v>0</v>
      </c>
      <c r="Z34" s="111">
        <v>0</v>
      </c>
      <c r="AA34" s="111">
        <v>0</v>
      </c>
      <c r="AB34" s="111">
        <v>0</v>
      </c>
      <c r="AC34" s="111">
        <v>0</v>
      </c>
      <c r="AD34" s="111">
        <v>0</v>
      </c>
      <c r="AE34" s="111">
        <v>0</v>
      </c>
      <c r="AF34" s="111">
        <v>0</v>
      </c>
      <c r="AG34" s="111">
        <v>0</v>
      </c>
      <c r="AH34" s="111">
        <v>0</v>
      </c>
      <c r="AI34" s="111">
        <v>1</v>
      </c>
      <c r="AJ34" s="111">
        <v>0</v>
      </c>
      <c r="AK34" s="111">
        <v>1</v>
      </c>
      <c r="AL34" s="111">
        <v>1</v>
      </c>
      <c r="AM34" s="111">
        <v>0</v>
      </c>
      <c r="AN34" s="111">
        <v>0</v>
      </c>
      <c r="AO34" s="111">
        <v>0</v>
      </c>
      <c r="AP34" s="111">
        <v>0</v>
      </c>
    </row>
    <row r="35" spans="1:42" x14ac:dyDescent="0.15">
      <c r="A35" s="157" t="s">
        <v>226</v>
      </c>
      <c r="B35" s="111">
        <v>0</v>
      </c>
      <c r="C35" s="111">
        <v>0</v>
      </c>
      <c r="D35" s="111">
        <v>0</v>
      </c>
      <c r="E35" s="111">
        <v>0</v>
      </c>
      <c r="F35" s="111">
        <v>0</v>
      </c>
      <c r="G35" s="111">
        <v>0</v>
      </c>
      <c r="H35" s="111">
        <v>0</v>
      </c>
      <c r="I35" s="111">
        <v>0</v>
      </c>
      <c r="J35" s="111">
        <v>0</v>
      </c>
      <c r="K35" s="111">
        <v>0</v>
      </c>
      <c r="L35" s="111">
        <v>0</v>
      </c>
      <c r="M35" s="111">
        <v>0</v>
      </c>
      <c r="N35" s="111">
        <v>0</v>
      </c>
      <c r="O35" s="111">
        <v>0</v>
      </c>
      <c r="P35" s="111">
        <v>0</v>
      </c>
      <c r="Q35" s="111">
        <v>0</v>
      </c>
      <c r="R35" s="111">
        <v>0</v>
      </c>
      <c r="S35" s="111">
        <v>0</v>
      </c>
      <c r="T35" s="111">
        <v>0</v>
      </c>
      <c r="U35" s="111">
        <v>0</v>
      </c>
      <c r="V35" s="111">
        <v>0</v>
      </c>
      <c r="W35" s="111">
        <v>0</v>
      </c>
      <c r="X35" s="111">
        <v>0</v>
      </c>
      <c r="Y35" s="111">
        <v>0</v>
      </c>
      <c r="Z35" s="111">
        <v>0</v>
      </c>
      <c r="AA35" s="111">
        <v>0</v>
      </c>
      <c r="AB35" s="111">
        <v>0</v>
      </c>
      <c r="AC35" s="111">
        <v>0</v>
      </c>
      <c r="AD35" s="111">
        <v>0</v>
      </c>
      <c r="AE35" s="111">
        <v>0</v>
      </c>
      <c r="AF35" s="111">
        <v>0</v>
      </c>
      <c r="AG35" s="111">
        <v>0</v>
      </c>
      <c r="AH35" s="111">
        <v>0</v>
      </c>
      <c r="AI35" s="111">
        <v>0</v>
      </c>
      <c r="AJ35" s="111">
        <v>0</v>
      </c>
      <c r="AK35" s="111">
        <v>1</v>
      </c>
      <c r="AL35" s="111">
        <v>0</v>
      </c>
      <c r="AM35" s="111">
        <v>0</v>
      </c>
      <c r="AN35" s="111">
        <v>0</v>
      </c>
      <c r="AO35" s="111">
        <v>0</v>
      </c>
      <c r="AP35" s="111">
        <v>0</v>
      </c>
    </row>
    <row r="36" spans="1:42" x14ac:dyDescent="0.15">
      <c r="A36" s="157" t="s">
        <v>227</v>
      </c>
      <c r="B36" s="111">
        <v>0</v>
      </c>
      <c r="C36" s="111">
        <v>0</v>
      </c>
      <c r="D36" s="111">
        <v>0</v>
      </c>
      <c r="E36" s="111">
        <v>0</v>
      </c>
      <c r="F36" s="111">
        <v>0</v>
      </c>
      <c r="G36" s="111">
        <v>0</v>
      </c>
      <c r="H36" s="111">
        <v>0</v>
      </c>
      <c r="I36" s="111">
        <v>0</v>
      </c>
      <c r="J36" s="111">
        <v>0</v>
      </c>
      <c r="K36" s="111">
        <v>0</v>
      </c>
      <c r="L36" s="111">
        <v>0</v>
      </c>
      <c r="M36" s="111">
        <v>0</v>
      </c>
      <c r="N36" s="111">
        <v>0</v>
      </c>
      <c r="O36" s="111">
        <v>0</v>
      </c>
      <c r="P36" s="111">
        <v>0</v>
      </c>
      <c r="Q36" s="111">
        <v>0</v>
      </c>
      <c r="R36" s="111">
        <v>0</v>
      </c>
      <c r="S36" s="111">
        <v>0</v>
      </c>
      <c r="T36" s="111">
        <v>0</v>
      </c>
      <c r="U36" s="111">
        <v>0</v>
      </c>
      <c r="V36" s="111">
        <v>0</v>
      </c>
      <c r="W36" s="111">
        <v>0</v>
      </c>
      <c r="X36" s="111">
        <v>0</v>
      </c>
      <c r="Y36" s="111">
        <v>0</v>
      </c>
      <c r="Z36" s="111">
        <v>0</v>
      </c>
      <c r="AA36" s="111">
        <v>0</v>
      </c>
      <c r="AB36" s="111">
        <v>0</v>
      </c>
      <c r="AC36" s="111">
        <v>0</v>
      </c>
      <c r="AD36" s="111">
        <v>0</v>
      </c>
      <c r="AE36" s="111">
        <v>0</v>
      </c>
      <c r="AF36" s="111">
        <v>0</v>
      </c>
      <c r="AG36" s="111">
        <v>0</v>
      </c>
      <c r="AH36" s="111">
        <v>0</v>
      </c>
      <c r="AI36" s="111">
        <v>0</v>
      </c>
      <c r="AJ36" s="111">
        <v>0</v>
      </c>
      <c r="AK36" s="111">
        <v>0</v>
      </c>
      <c r="AL36" s="111">
        <v>0</v>
      </c>
      <c r="AM36" s="111">
        <v>0</v>
      </c>
      <c r="AN36" s="111">
        <v>0</v>
      </c>
      <c r="AO36" s="111">
        <v>0</v>
      </c>
      <c r="AP36" s="111">
        <v>0</v>
      </c>
    </row>
    <row r="37" spans="1:42" x14ac:dyDescent="0.15">
      <c r="A37" s="157" t="s">
        <v>228</v>
      </c>
      <c r="B37" s="111">
        <v>0</v>
      </c>
      <c r="C37" s="111">
        <v>0</v>
      </c>
      <c r="D37" s="111">
        <v>0</v>
      </c>
      <c r="E37" s="111">
        <v>0</v>
      </c>
      <c r="F37" s="111">
        <v>0</v>
      </c>
      <c r="G37" s="111">
        <v>0</v>
      </c>
      <c r="H37" s="111">
        <v>0</v>
      </c>
      <c r="I37" s="111">
        <v>0</v>
      </c>
      <c r="J37" s="111">
        <v>0</v>
      </c>
      <c r="K37" s="111">
        <v>0</v>
      </c>
      <c r="L37" s="111">
        <v>0</v>
      </c>
      <c r="M37" s="111">
        <v>0</v>
      </c>
      <c r="N37" s="111">
        <v>0</v>
      </c>
      <c r="O37" s="111">
        <v>0</v>
      </c>
      <c r="P37" s="111">
        <v>0</v>
      </c>
      <c r="Q37" s="111">
        <v>0</v>
      </c>
      <c r="R37" s="111">
        <v>0</v>
      </c>
      <c r="S37" s="111">
        <v>0</v>
      </c>
      <c r="T37" s="111">
        <v>0</v>
      </c>
      <c r="U37" s="111">
        <v>0</v>
      </c>
      <c r="V37" s="111">
        <v>0</v>
      </c>
      <c r="W37" s="111">
        <v>0</v>
      </c>
      <c r="X37" s="111">
        <v>0</v>
      </c>
      <c r="Y37" s="111">
        <v>0</v>
      </c>
      <c r="Z37" s="111">
        <v>0</v>
      </c>
      <c r="AA37" s="111">
        <v>0</v>
      </c>
      <c r="AB37" s="111">
        <v>0</v>
      </c>
      <c r="AC37" s="111">
        <v>0</v>
      </c>
      <c r="AD37" s="111">
        <v>0</v>
      </c>
      <c r="AE37" s="111">
        <v>0</v>
      </c>
      <c r="AF37" s="111">
        <v>0</v>
      </c>
      <c r="AG37" s="111">
        <v>0</v>
      </c>
      <c r="AH37" s="111">
        <v>0</v>
      </c>
      <c r="AI37" s="111">
        <v>0</v>
      </c>
      <c r="AJ37" s="111">
        <v>0</v>
      </c>
      <c r="AK37" s="111">
        <v>0</v>
      </c>
      <c r="AL37" s="111">
        <v>0</v>
      </c>
      <c r="AM37" s="111">
        <v>0</v>
      </c>
      <c r="AN37" s="111">
        <v>0</v>
      </c>
      <c r="AO37" s="111">
        <v>0</v>
      </c>
      <c r="AP37" s="111">
        <v>0</v>
      </c>
    </row>
    <row r="38" spans="1:42" x14ac:dyDescent="0.15">
      <c r="A38" s="157" t="s">
        <v>229</v>
      </c>
      <c r="B38" s="111">
        <v>0</v>
      </c>
      <c r="C38" s="111">
        <v>0</v>
      </c>
      <c r="D38" s="111">
        <v>0</v>
      </c>
      <c r="E38" s="111">
        <v>0</v>
      </c>
      <c r="F38" s="111">
        <v>0</v>
      </c>
      <c r="G38" s="111">
        <v>0</v>
      </c>
      <c r="H38" s="111">
        <v>0</v>
      </c>
      <c r="I38" s="111">
        <v>0</v>
      </c>
      <c r="J38" s="111">
        <v>0</v>
      </c>
      <c r="K38" s="111">
        <v>0</v>
      </c>
      <c r="L38" s="111">
        <v>0</v>
      </c>
      <c r="M38" s="111">
        <v>0</v>
      </c>
      <c r="N38" s="111">
        <v>0</v>
      </c>
      <c r="O38" s="111">
        <v>0</v>
      </c>
      <c r="P38" s="111">
        <v>0</v>
      </c>
      <c r="Q38" s="111">
        <v>0</v>
      </c>
      <c r="R38" s="111">
        <v>0</v>
      </c>
      <c r="S38" s="111">
        <v>0</v>
      </c>
      <c r="T38" s="111">
        <v>0</v>
      </c>
      <c r="U38" s="111">
        <v>0</v>
      </c>
      <c r="V38" s="111">
        <v>0</v>
      </c>
      <c r="W38" s="111">
        <v>0</v>
      </c>
      <c r="X38" s="111">
        <v>0</v>
      </c>
      <c r="Y38" s="111">
        <v>0</v>
      </c>
      <c r="Z38" s="111">
        <v>0</v>
      </c>
      <c r="AA38" s="111">
        <v>0</v>
      </c>
      <c r="AB38" s="111">
        <v>0</v>
      </c>
      <c r="AC38" s="111">
        <v>0</v>
      </c>
      <c r="AD38" s="111">
        <v>0</v>
      </c>
      <c r="AE38" s="111">
        <v>0</v>
      </c>
      <c r="AF38" s="111">
        <v>0</v>
      </c>
      <c r="AG38" s="111">
        <v>0</v>
      </c>
      <c r="AH38" s="111">
        <v>0</v>
      </c>
      <c r="AI38" s="111">
        <v>0</v>
      </c>
      <c r="AJ38" s="111">
        <v>0</v>
      </c>
      <c r="AK38" s="111">
        <v>0</v>
      </c>
      <c r="AL38" s="111">
        <v>0</v>
      </c>
      <c r="AM38" s="111">
        <v>0</v>
      </c>
      <c r="AN38" s="111">
        <v>0</v>
      </c>
      <c r="AO38" s="111">
        <v>0</v>
      </c>
      <c r="AP38" s="111">
        <v>0</v>
      </c>
    </row>
    <row r="39" spans="1:42" x14ac:dyDescent="0.15">
      <c r="A39" s="157" t="s">
        <v>230</v>
      </c>
      <c r="B39" s="111">
        <v>0</v>
      </c>
      <c r="C39" s="111">
        <v>0</v>
      </c>
      <c r="D39" s="111">
        <v>0</v>
      </c>
      <c r="E39" s="111">
        <v>0</v>
      </c>
      <c r="F39" s="111">
        <v>0</v>
      </c>
      <c r="G39" s="111">
        <v>0</v>
      </c>
      <c r="H39" s="111">
        <v>0</v>
      </c>
      <c r="I39" s="111">
        <v>0</v>
      </c>
      <c r="J39" s="111">
        <v>0</v>
      </c>
      <c r="K39" s="111">
        <v>0</v>
      </c>
      <c r="L39" s="111">
        <v>0</v>
      </c>
      <c r="M39" s="111">
        <v>0</v>
      </c>
      <c r="N39" s="111">
        <v>0</v>
      </c>
      <c r="O39" s="111">
        <v>0</v>
      </c>
      <c r="P39" s="111">
        <v>0</v>
      </c>
      <c r="Q39" s="111">
        <v>0</v>
      </c>
      <c r="R39" s="111">
        <v>0</v>
      </c>
      <c r="S39" s="111">
        <v>0</v>
      </c>
      <c r="T39" s="111">
        <v>0</v>
      </c>
      <c r="U39" s="111">
        <v>0</v>
      </c>
      <c r="V39" s="111">
        <v>0</v>
      </c>
      <c r="W39" s="111">
        <v>0</v>
      </c>
      <c r="X39" s="111">
        <v>0</v>
      </c>
      <c r="Y39" s="111">
        <v>0</v>
      </c>
      <c r="Z39" s="111">
        <v>0</v>
      </c>
      <c r="AA39" s="111">
        <v>0</v>
      </c>
      <c r="AB39" s="111">
        <v>0</v>
      </c>
      <c r="AC39" s="111">
        <v>0</v>
      </c>
      <c r="AD39" s="111">
        <v>0</v>
      </c>
      <c r="AE39" s="111">
        <v>0</v>
      </c>
      <c r="AF39" s="111">
        <v>0</v>
      </c>
      <c r="AG39" s="111">
        <v>0</v>
      </c>
      <c r="AH39" s="111">
        <v>0</v>
      </c>
      <c r="AI39" s="111">
        <v>0</v>
      </c>
      <c r="AJ39" s="111">
        <v>0</v>
      </c>
      <c r="AK39" s="111">
        <v>0</v>
      </c>
      <c r="AL39" s="111">
        <v>0</v>
      </c>
      <c r="AM39" s="111">
        <v>0</v>
      </c>
      <c r="AN39" s="111">
        <v>0</v>
      </c>
      <c r="AO39" s="111">
        <v>0</v>
      </c>
      <c r="AP39" s="111">
        <v>0</v>
      </c>
    </row>
    <row r="40" spans="1:42" x14ac:dyDescent="0.15">
      <c r="A40" s="157" t="s">
        <v>231</v>
      </c>
      <c r="B40" s="111">
        <v>0</v>
      </c>
      <c r="C40" s="111">
        <v>0</v>
      </c>
      <c r="D40" s="111">
        <v>1</v>
      </c>
      <c r="E40" s="111">
        <v>1</v>
      </c>
      <c r="F40" s="111">
        <v>1</v>
      </c>
      <c r="G40" s="111">
        <v>1</v>
      </c>
      <c r="H40" s="111">
        <v>1</v>
      </c>
      <c r="I40" s="111">
        <v>1</v>
      </c>
      <c r="J40" s="111">
        <v>1</v>
      </c>
      <c r="K40" s="111">
        <v>1</v>
      </c>
      <c r="L40" s="111">
        <v>0</v>
      </c>
      <c r="M40" s="111">
        <v>0</v>
      </c>
      <c r="N40" s="111">
        <v>1</v>
      </c>
      <c r="O40" s="111">
        <v>1</v>
      </c>
      <c r="P40" s="111">
        <v>1</v>
      </c>
      <c r="Q40" s="111">
        <v>1</v>
      </c>
      <c r="R40" s="111">
        <v>1</v>
      </c>
      <c r="S40" s="111">
        <v>0</v>
      </c>
      <c r="T40" s="111">
        <v>0</v>
      </c>
      <c r="U40" s="111">
        <v>1</v>
      </c>
      <c r="V40" s="111">
        <v>0</v>
      </c>
      <c r="W40" s="111">
        <v>0</v>
      </c>
      <c r="X40" s="111">
        <v>0</v>
      </c>
      <c r="Y40" s="111">
        <v>0</v>
      </c>
      <c r="Z40" s="111">
        <v>1</v>
      </c>
      <c r="AA40" s="111">
        <v>1</v>
      </c>
      <c r="AB40" s="111">
        <v>1</v>
      </c>
      <c r="AC40" s="111">
        <v>0</v>
      </c>
      <c r="AD40" s="111">
        <v>0</v>
      </c>
      <c r="AE40" s="111">
        <v>1</v>
      </c>
      <c r="AF40" s="111">
        <v>0</v>
      </c>
      <c r="AG40" s="111">
        <v>0</v>
      </c>
      <c r="AH40" s="111">
        <v>1</v>
      </c>
      <c r="AI40" s="111">
        <v>0</v>
      </c>
      <c r="AJ40" s="111">
        <v>1</v>
      </c>
      <c r="AK40" s="111">
        <v>0</v>
      </c>
      <c r="AL40" s="111">
        <v>0</v>
      </c>
      <c r="AM40" s="111">
        <v>0</v>
      </c>
      <c r="AN40" s="111">
        <v>0</v>
      </c>
      <c r="AO40" s="111">
        <v>0</v>
      </c>
      <c r="AP40" s="111">
        <v>0</v>
      </c>
    </row>
    <row r="41" spans="1:42" x14ac:dyDescent="0.15">
      <c r="A41" s="157" t="s">
        <v>232</v>
      </c>
      <c r="B41" s="111">
        <v>0</v>
      </c>
      <c r="C41" s="111">
        <v>0</v>
      </c>
      <c r="D41" s="111">
        <v>0</v>
      </c>
      <c r="E41" s="111">
        <v>0</v>
      </c>
      <c r="F41" s="111">
        <v>0</v>
      </c>
      <c r="G41" s="111">
        <v>1</v>
      </c>
      <c r="H41" s="111">
        <v>1</v>
      </c>
      <c r="I41" s="111">
        <v>1</v>
      </c>
      <c r="J41" s="111">
        <v>0</v>
      </c>
      <c r="K41" s="111">
        <v>1</v>
      </c>
      <c r="L41" s="111">
        <v>1</v>
      </c>
      <c r="M41" s="111">
        <v>0</v>
      </c>
      <c r="N41" s="111">
        <v>1</v>
      </c>
      <c r="O41" s="111">
        <v>0</v>
      </c>
      <c r="P41" s="111">
        <v>0</v>
      </c>
      <c r="Q41" s="111">
        <v>0</v>
      </c>
      <c r="R41" s="111">
        <v>0</v>
      </c>
      <c r="S41" s="111">
        <v>0</v>
      </c>
      <c r="T41" s="111">
        <v>0</v>
      </c>
      <c r="U41" s="111">
        <v>0</v>
      </c>
      <c r="V41" s="111">
        <v>1</v>
      </c>
      <c r="W41" s="111">
        <v>0</v>
      </c>
      <c r="X41" s="111">
        <v>0</v>
      </c>
      <c r="Y41" s="111">
        <v>0</v>
      </c>
      <c r="Z41" s="111">
        <v>0</v>
      </c>
      <c r="AA41" s="111">
        <v>0</v>
      </c>
      <c r="AB41" s="111">
        <v>0</v>
      </c>
      <c r="AC41" s="111">
        <v>0</v>
      </c>
      <c r="AD41" s="111">
        <v>0</v>
      </c>
      <c r="AE41" s="111">
        <v>1</v>
      </c>
      <c r="AF41" s="111">
        <v>0</v>
      </c>
      <c r="AG41" s="111">
        <v>0</v>
      </c>
      <c r="AH41" s="111">
        <v>0</v>
      </c>
      <c r="AI41" s="111">
        <v>0</v>
      </c>
      <c r="AJ41" s="111">
        <v>1</v>
      </c>
      <c r="AK41" s="111">
        <v>1</v>
      </c>
      <c r="AL41" s="111">
        <v>0</v>
      </c>
      <c r="AM41" s="111">
        <v>1</v>
      </c>
      <c r="AN41" s="111">
        <v>0</v>
      </c>
      <c r="AO41" s="111">
        <v>0</v>
      </c>
      <c r="AP41" s="111">
        <v>0</v>
      </c>
    </row>
    <row r="42" spans="1:42" x14ac:dyDescent="0.15">
      <c r="A42" s="157" t="s">
        <v>233</v>
      </c>
      <c r="B42" s="111">
        <v>0</v>
      </c>
      <c r="C42" s="111">
        <v>0</v>
      </c>
      <c r="D42" s="111">
        <v>0</v>
      </c>
      <c r="E42" s="111">
        <v>0</v>
      </c>
      <c r="F42" s="111">
        <v>0</v>
      </c>
      <c r="G42" s="111">
        <v>0</v>
      </c>
      <c r="H42" s="111">
        <v>0</v>
      </c>
      <c r="I42" s="111">
        <v>0</v>
      </c>
      <c r="J42" s="111">
        <v>0</v>
      </c>
      <c r="K42" s="111">
        <v>0</v>
      </c>
      <c r="L42" s="111">
        <v>0</v>
      </c>
      <c r="M42" s="111">
        <v>0</v>
      </c>
      <c r="N42" s="111">
        <v>0</v>
      </c>
      <c r="O42" s="111">
        <v>0</v>
      </c>
      <c r="P42" s="111">
        <v>0</v>
      </c>
      <c r="Q42" s="111">
        <v>0</v>
      </c>
      <c r="R42" s="111">
        <v>0</v>
      </c>
      <c r="S42" s="111">
        <v>0</v>
      </c>
      <c r="T42" s="111">
        <v>0</v>
      </c>
      <c r="U42" s="111">
        <v>0</v>
      </c>
      <c r="V42" s="111">
        <v>0</v>
      </c>
      <c r="W42" s="111">
        <v>0</v>
      </c>
      <c r="X42" s="111">
        <v>0</v>
      </c>
      <c r="Y42" s="111">
        <v>0</v>
      </c>
      <c r="Z42" s="111">
        <v>0</v>
      </c>
      <c r="AA42" s="111">
        <v>0</v>
      </c>
      <c r="AB42" s="111">
        <v>0</v>
      </c>
      <c r="AC42" s="111">
        <v>0</v>
      </c>
      <c r="AD42" s="111">
        <v>0</v>
      </c>
      <c r="AE42" s="111">
        <v>0</v>
      </c>
      <c r="AF42" s="111">
        <v>0</v>
      </c>
      <c r="AG42" s="111">
        <v>0</v>
      </c>
      <c r="AH42" s="111">
        <v>0</v>
      </c>
      <c r="AI42" s="111">
        <v>0</v>
      </c>
      <c r="AJ42" s="111">
        <v>0</v>
      </c>
      <c r="AK42" s="111">
        <v>0</v>
      </c>
      <c r="AL42" s="111">
        <v>0</v>
      </c>
      <c r="AM42" s="111">
        <v>0</v>
      </c>
      <c r="AN42" s="111">
        <v>0</v>
      </c>
      <c r="AO42" s="111">
        <v>0</v>
      </c>
      <c r="AP42" s="111">
        <v>0</v>
      </c>
    </row>
    <row r="43" spans="1:42" x14ac:dyDescent="0.15">
      <c r="A43" s="157" t="s">
        <v>239</v>
      </c>
      <c r="B43" s="111">
        <v>0</v>
      </c>
      <c r="C43" s="111">
        <v>0</v>
      </c>
      <c r="D43" s="111">
        <v>0</v>
      </c>
      <c r="E43" s="111">
        <v>0</v>
      </c>
      <c r="F43" s="111">
        <v>0</v>
      </c>
      <c r="G43" s="111">
        <v>0</v>
      </c>
      <c r="H43" s="111">
        <v>0</v>
      </c>
      <c r="I43" s="111">
        <v>0</v>
      </c>
      <c r="J43" s="111">
        <v>0</v>
      </c>
      <c r="K43" s="111">
        <v>0</v>
      </c>
      <c r="L43" s="111">
        <v>0</v>
      </c>
      <c r="M43" s="111">
        <v>0</v>
      </c>
      <c r="N43" s="111">
        <v>0</v>
      </c>
      <c r="O43" s="111">
        <v>0</v>
      </c>
      <c r="P43" s="111">
        <v>0</v>
      </c>
      <c r="Q43" s="111">
        <v>0</v>
      </c>
      <c r="R43" s="111">
        <v>0</v>
      </c>
      <c r="S43" s="111">
        <v>0</v>
      </c>
      <c r="T43" s="111">
        <v>0</v>
      </c>
      <c r="U43" s="111">
        <v>0</v>
      </c>
      <c r="V43" s="111">
        <v>0</v>
      </c>
      <c r="W43" s="111">
        <v>0</v>
      </c>
      <c r="X43" s="111">
        <v>0</v>
      </c>
      <c r="Y43" s="111">
        <v>0</v>
      </c>
      <c r="Z43" s="111">
        <v>0</v>
      </c>
      <c r="AA43" s="111">
        <v>0</v>
      </c>
      <c r="AB43" s="111">
        <v>0</v>
      </c>
      <c r="AC43" s="111">
        <v>0</v>
      </c>
      <c r="AD43" s="111">
        <v>0</v>
      </c>
      <c r="AE43" s="111">
        <v>0</v>
      </c>
      <c r="AF43" s="111">
        <v>0</v>
      </c>
      <c r="AG43" s="111">
        <v>0</v>
      </c>
      <c r="AH43" s="111">
        <v>1</v>
      </c>
      <c r="AI43" s="111">
        <v>1</v>
      </c>
      <c r="AJ43" s="111">
        <v>1</v>
      </c>
      <c r="AK43" s="111">
        <v>1</v>
      </c>
      <c r="AL43" s="111">
        <v>0</v>
      </c>
      <c r="AM43" s="111">
        <v>1</v>
      </c>
      <c r="AN43" s="111">
        <v>0</v>
      </c>
      <c r="AO43" s="111">
        <v>0</v>
      </c>
      <c r="AP43" s="111">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indexed="51"/>
  </sheetPr>
  <dimension ref="A1:G185"/>
  <sheetViews>
    <sheetView workbookViewId="0">
      <selection activeCell="A3" sqref="A3"/>
    </sheetView>
  </sheetViews>
  <sheetFormatPr baseColWidth="10" defaultRowHeight="13" x14ac:dyDescent="0.15"/>
  <cols>
    <col min="1" max="1" width="3.33203125" customWidth="1"/>
    <col min="2" max="2" width="27.5" bestFit="1" customWidth="1"/>
    <col min="3" max="4" width="3.83203125" bestFit="1" customWidth="1"/>
    <col min="5" max="7" width="3.83203125" customWidth="1"/>
  </cols>
  <sheetData>
    <row r="1" spans="1:7" ht="112" x14ac:dyDescent="0.15">
      <c r="A1" s="5" t="s">
        <v>83</v>
      </c>
      <c r="B1" s="3" t="s">
        <v>0</v>
      </c>
      <c r="C1" s="160" t="s">
        <v>234</v>
      </c>
      <c r="D1" s="160" t="s">
        <v>235</v>
      </c>
      <c r="E1" s="160" t="s">
        <v>236</v>
      </c>
      <c r="F1" s="160" t="s">
        <v>237</v>
      </c>
      <c r="G1" s="160" t="s">
        <v>238</v>
      </c>
    </row>
    <row r="2" spans="1:7" x14ac:dyDescent="0.15">
      <c r="A2">
        <v>1</v>
      </c>
      <c r="B2" s="159" t="s">
        <v>193</v>
      </c>
      <c r="C2">
        <v>0</v>
      </c>
      <c r="D2">
        <v>0</v>
      </c>
      <c r="E2">
        <v>0</v>
      </c>
      <c r="F2">
        <v>0</v>
      </c>
      <c r="G2">
        <v>0</v>
      </c>
    </row>
    <row r="3" spans="1:7" x14ac:dyDescent="0.15">
      <c r="A3">
        <v>2</v>
      </c>
      <c r="B3" s="159" t="s">
        <v>194</v>
      </c>
      <c r="C3">
        <v>0</v>
      </c>
      <c r="D3">
        <v>0</v>
      </c>
      <c r="E3">
        <v>0</v>
      </c>
      <c r="F3">
        <v>0</v>
      </c>
      <c r="G3">
        <v>0</v>
      </c>
    </row>
    <row r="4" spans="1:7" x14ac:dyDescent="0.15">
      <c r="A4">
        <v>3</v>
      </c>
      <c r="B4" s="159" t="s">
        <v>195</v>
      </c>
      <c r="C4">
        <v>0</v>
      </c>
      <c r="D4">
        <v>0</v>
      </c>
      <c r="E4">
        <v>0</v>
      </c>
      <c r="F4">
        <v>0</v>
      </c>
      <c r="G4">
        <v>0</v>
      </c>
    </row>
    <row r="5" spans="1:7" x14ac:dyDescent="0.15">
      <c r="A5">
        <v>4</v>
      </c>
      <c r="B5" s="159" t="s">
        <v>196</v>
      </c>
      <c r="C5">
        <v>0</v>
      </c>
      <c r="D5">
        <v>0</v>
      </c>
      <c r="E5">
        <v>0</v>
      </c>
      <c r="F5">
        <v>0</v>
      </c>
      <c r="G5">
        <v>0</v>
      </c>
    </row>
    <row r="6" spans="1:7" x14ac:dyDescent="0.15">
      <c r="A6">
        <v>5</v>
      </c>
      <c r="B6" s="159" t="s">
        <v>197</v>
      </c>
      <c r="C6">
        <v>0</v>
      </c>
      <c r="D6">
        <v>0</v>
      </c>
      <c r="E6">
        <v>0</v>
      </c>
      <c r="F6">
        <v>0</v>
      </c>
      <c r="G6">
        <v>0</v>
      </c>
    </row>
    <row r="7" spans="1:7" x14ac:dyDescent="0.15">
      <c r="A7">
        <v>6</v>
      </c>
      <c r="B7" s="159" t="s">
        <v>198</v>
      </c>
      <c r="C7">
        <v>0</v>
      </c>
      <c r="D7">
        <v>0</v>
      </c>
      <c r="E7">
        <v>0</v>
      </c>
      <c r="F7">
        <v>0</v>
      </c>
      <c r="G7">
        <v>0</v>
      </c>
    </row>
    <row r="8" spans="1:7" x14ac:dyDescent="0.15">
      <c r="A8">
        <v>7</v>
      </c>
      <c r="B8" s="159" t="s">
        <v>199</v>
      </c>
      <c r="C8">
        <v>0</v>
      </c>
      <c r="D8">
        <v>0</v>
      </c>
      <c r="E8">
        <v>0</v>
      </c>
      <c r="F8">
        <v>0</v>
      </c>
      <c r="G8">
        <v>0</v>
      </c>
    </row>
    <row r="9" spans="1:7" x14ac:dyDescent="0.15">
      <c r="A9">
        <v>8</v>
      </c>
      <c r="B9" s="159" t="s">
        <v>200</v>
      </c>
      <c r="C9">
        <v>0</v>
      </c>
      <c r="D9">
        <v>0</v>
      </c>
      <c r="E9">
        <v>0</v>
      </c>
      <c r="F9">
        <v>0</v>
      </c>
      <c r="G9">
        <v>0</v>
      </c>
    </row>
    <row r="10" spans="1:7" x14ac:dyDescent="0.15">
      <c r="A10">
        <v>9</v>
      </c>
      <c r="B10" s="159" t="s">
        <v>201</v>
      </c>
      <c r="C10">
        <v>0.8</v>
      </c>
      <c r="D10">
        <v>0.8</v>
      </c>
      <c r="E10">
        <v>0</v>
      </c>
      <c r="F10">
        <v>0</v>
      </c>
      <c r="G10">
        <v>0</v>
      </c>
    </row>
    <row r="11" spans="1:7" x14ac:dyDescent="0.15">
      <c r="A11">
        <v>10</v>
      </c>
      <c r="B11" s="159" t="s">
        <v>202</v>
      </c>
      <c r="C11">
        <v>0.8</v>
      </c>
      <c r="D11">
        <v>0.8</v>
      </c>
      <c r="E11">
        <v>0</v>
      </c>
      <c r="F11">
        <v>0</v>
      </c>
      <c r="G11">
        <v>0</v>
      </c>
    </row>
    <row r="12" spans="1:7" x14ac:dyDescent="0.15">
      <c r="A12">
        <v>11</v>
      </c>
      <c r="B12" s="159" t="s">
        <v>203</v>
      </c>
      <c r="C12">
        <v>0.8</v>
      </c>
      <c r="D12">
        <v>0.8</v>
      </c>
      <c r="E12">
        <v>0</v>
      </c>
      <c r="F12">
        <v>0.8</v>
      </c>
      <c r="G12">
        <v>0.8</v>
      </c>
    </row>
    <row r="13" spans="1:7" x14ac:dyDescent="0.15">
      <c r="A13">
        <v>12</v>
      </c>
      <c r="B13" s="159" t="s">
        <v>204</v>
      </c>
      <c r="C13">
        <v>0.8</v>
      </c>
      <c r="D13">
        <v>0.8</v>
      </c>
      <c r="E13">
        <v>0.8</v>
      </c>
      <c r="F13">
        <v>0.8</v>
      </c>
      <c r="G13">
        <v>0</v>
      </c>
    </row>
    <row r="14" spans="1:7" x14ac:dyDescent="0.15">
      <c r="A14">
        <v>13</v>
      </c>
      <c r="B14" s="159" t="s">
        <v>205</v>
      </c>
      <c r="C14">
        <v>0.8</v>
      </c>
      <c r="D14">
        <v>0.8</v>
      </c>
      <c r="E14">
        <v>0</v>
      </c>
      <c r="F14">
        <v>0.8</v>
      </c>
      <c r="G14">
        <v>0</v>
      </c>
    </row>
    <row r="15" spans="1:7" x14ac:dyDescent="0.15">
      <c r="A15">
        <v>14</v>
      </c>
      <c r="B15" s="159" t="s">
        <v>206</v>
      </c>
      <c r="C15">
        <v>0.8</v>
      </c>
      <c r="D15">
        <v>0.8</v>
      </c>
      <c r="E15">
        <v>0</v>
      </c>
      <c r="F15">
        <v>0.8</v>
      </c>
      <c r="G15">
        <v>0</v>
      </c>
    </row>
    <row r="16" spans="1:7" x14ac:dyDescent="0.15">
      <c r="A16">
        <v>15</v>
      </c>
      <c r="B16" s="159" t="s">
        <v>207</v>
      </c>
      <c r="C16">
        <v>0.8</v>
      </c>
      <c r="D16">
        <v>0.8</v>
      </c>
      <c r="E16">
        <v>0</v>
      </c>
      <c r="F16">
        <v>0.8</v>
      </c>
      <c r="G16">
        <v>0</v>
      </c>
    </row>
    <row r="17" spans="1:7" x14ac:dyDescent="0.15">
      <c r="A17">
        <v>16</v>
      </c>
      <c r="B17" s="159" t="s">
        <v>208</v>
      </c>
      <c r="C17">
        <v>0.8</v>
      </c>
      <c r="D17">
        <v>0.8</v>
      </c>
      <c r="E17">
        <v>0</v>
      </c>
      <c r="F17">
        <v>0</v>
      </c>
      <c r="G17">
        <v>0</v>
      </c>
    </row>
    <row r="18" spans="1:7" x14ac:dyDescent="0.15">
      <c r="A18">
        <v>17</v>
      </c>
      <c r="B18" s="159" t="s">
        <v>209</v>
      </c>
      <c r="C18">
        <v>0.8</v>
      </c>
      <c r="D18">
        <v>0.8</v>
      </c>
      <c r="E18">
        <v>0</v>
      </c>
      <c r="F18">
        <v>0.8</v>
      </c>
      <c r="G18">
        <v>0.8</v>
      </c>
    </row>
    <row r="19" spans="1:7" x14ac:dyDescent="0.15">
      <c r="A19">
        <v>18</v>
      </c>
      <c r="B19" s="159" t="s">
        <v>210</v>
      </c>
      <c r="C19">
        <v>0.8</v>
      </c>
      <c r="D19">
        <v>0</v>
      </c>
      <c r="E19">
        <v>0</v>
      </c>
      <c r="F19">
        <v>0</v>
      </c>
      <c r="G19">
        <v>0</v>
      </c>
    </row>
    <row r="20" spans="1:7" x14ac:dyDescent="0.15">
      <c r="A20">
        <v>19</v>
      </c>
      <c r="B20" s="159" t="s">
        <v>211</v>
      </c>
      <c r="C20">
        <v>0.8</v>
      </c>
      <c r="D20">
        <v>0</v>
      </c>
      <c r="E20">
        <v>0</v>
      </c>
      <c r="F20">
        <v>0</v>
      </c>
      <c r="G20">
        <v>0</v>
      </c>
    </row>
    <row r="21" spans="1:7" x14ac:dyDescent="0.15">
      <c r="A21">
        <v>20</v>
      </c>
      <c r="B21" s="159" t="s">
        <v>212</v>
      </c>
      <c r="C21">
        <v>0.8</v>
      </c>
      <c r="D21">
        <v>0.8</v>
      </c>
      <c r="E21">
        <v>0</v>
      </c>
      <c r="F21">
        <v>0</v>
      </c>
      <c r="G21">
        <v>0</v>
      </c>
    </row>
    <row r="22" spans="1:7" x14ac:dyDescent="0.15">
      <c r="A22">
        <v>21</v>
      </c>
      <c r="B22" s="159" t="s">
        <v>213</v>
      </c>
      <c r="C22">
        <v>0.8</v>
      </c>
      <c r="D22">
        <v>0.8</v>
      </c>
      <c r="E22">
        <v>0</v>
      </c>
      <c r="F22">
        <v>0.8</v>
      </c>
      <c r="G22">
        <v>0</v>
      </c>
    </row>
    <row r="23" spans="1:7" x14ac:dyDescent="0.15">
      <c r="A23">
        <v>22</v>
      </c>
      <c r="B23" s="159" t="s">
        <v>214</v>
      </c>
      <c r="C23">
        <v>0.8</v>
      </c>
      <c r="D23">
        <v>0.8</v>
      </c>
      <c r="E23">
        <v>0</v>
      </c>
      <c r="F23">
        <v>0.8</v>
      </c>
      <c r="G23">
        <v>0.8</v>
      </c>
    </row>
    <row r="24" spans="1:7" x14ac:dyDescent="0.15">
      <c r="A24">
        <v>23</v>
      </c>
      <c r="B24" s="159" t="s">
        <v>215</v>
      </c>
      <c r="C24">
        <v>0.8</v>
      </c>
      <c r="D24">
        <v>0.8</v>
      </c>
      <c r="E24">
        <v>0</v>
      </c>
      <c r="F24">
        <v>0</v>
      </c>
      <c r="G24">
        <v>0</v>
      </c>
    </row>
    <row r="25" spans="1:7" x14ac:dyDescent="0.15">
      <c r="A25">
        <v>24</v>
      </c>
      <c r="B25" s="159" t="s">
        <v>216</v>
      </c>
      <c r="C25">
        <v>0.8</v>
      </c>
      <c r="D25">
        <v>0.8</v>
      </c>
      <c r="E25">
        <v>0</v>
      </c>
      <c r="F25">
        <v>0.8</v>
      </c>
      <c r="G25">
        <v>0</v>
      </c>
    </row>
    <row r="26" spans="1:7" x14ac:dyDescent="0.15">
      <c r="A26">
        <v>25</v>
      </c>
      <c r="B26" s="159" t="s">
        <v>217</v>
      </c>
      <c r="C26">
        <v>0.8</v>
      </c>
      <c r="D26">
        <v>0.8</v>
      </c>
      <c r="E26">
        <v>0.8</v>
      </c>
      <c r="F26">
        <v>0.8</v>
      </c>
      <c r="G26">
        <v>0</v>
      </c>
    </row>
    <row r="27" spans="1:7" x14ac:dyDescent="0.15">
      <c r="A27">
        <v>26</v>
      </c>
      <c r="B27" s="159" t="s">
        <v>218</v>
      </c>
      <c r="C27">
        <v>0.8</v>
      </c>
      <c r="D27">
        <v>0.8</v>
      </c>
      <c r="E27">
        <v>0</v>
      </c>
      <c r="F27">
        <v>0.8</v>
      </c>
      <c r="G27">
        <v>0.8</v>
      </c>
    </row>
    <row r="28" spans="1:7" x14ac:dyDescent="0.15">
      <c r="A28">
        <v>27</v>
      </c>
      <c r="B28" s="159" t="s">
        <v>219</v>
      </c>
      <c r="C28">
        <v>0.8</v>
      </c>
      <c r="D28">
        <v>0</v>
      </c>
      <c r="E28">
        <v>0</v>
      </c>
      <c r="F28">
        <v>0.8</v>
      </c>
      <c r="G28">
        <v>0</v>
      </c>
    </row>
    <row r="29" spans="1:7" x14ac:dyDescent="0.15">
      <c r="A29">
        <v>28</v>
      </c>
      <c r="B29" s="159" t="s">
        <v>220</v>
      </c>
      <c r="C29">
        <v>0.8</v>
      </c>
      <c r="D29">
        <v>0</v>
      </c>
      <c r="E29">
        <v>0</v>
      </c>
      <c r="F29">
        <v>0.8</v>
      </c>
      <c r="G29">
        <v>0</v>
      </c>
    </row>
    <row r="30" spans="1:7" x14ac:dyDescent="0.15">
      <c r="A30">
        <v>29</v>
      </c>
      <c r="B30" s="159" t="s">
        <v>221</v>
      </c>
      <c r="C30">
        <v>0.8</v>
      </c>
      <c r="D30">
        <v>0</v>
      </c>
      <c r="E30">
        <v>0</v>
      </c>
      <c r="F30">
        <v>0.8</v>
      </c>
      <c r="G30">
        <v>0</v>
      </c>
    </row>
    <row r="31" spans="1:7" x14ac:dyDescent="0.15">
      <c r="A31">
        <v>30</v>
      </c>
      <c r="B31" s="159" t="s">
        <v>222</v>
      </c>
      <c r="C31">
        <v>0.8</v>
      </c>
      <c r="D31">
        <v>0.8</v>
      </c>
      <c r="E31">
        <v>0</v>
      </c>
      <c r="F31">
        <v>0</v>
      </c>
      <c r="G31">
        <v>0</v>
      </c>
    </row>
    <row r="32" spans="1:7" x14ac:dyDescent="0.15">
      <c r="A32">
        <v>31</v>
      </c>
      <c r="B32" s="159" t="s">
        <v>223</v>
      </c>
      <c r="C32">
        <v>0.8</v>
      </c>
      <c r="D32">
        <v>0.8</v>
      </c>
      <c r="E32">
        <v>0.8</v>
      </c>
      <c r="F32">
        <v>0.8</v>
      </c>
      <c r="G32">
        <v>0</v>
      </c>
    </row>
    <row r="33" spans="1:7" x14ac:dyDescent="0.15">
      <c r="A33">
        <v>32</v>
      </c>
      <c r="B33" s="159" t="s">
        <v>224</v>
      </c>
      <c r="C33">
        <v>0.8</v>
      </c>
      <c r="D33">
        <v>0.8</v>
      </c>
      <c r="E33">
        <v>0.8</v>
      </c>
      <c r="F33">
        <v>0</v>
      </c>
      <c r="G33">
        <v>0</v>
      </c>
    </row>
    <row r="34" spans="1:7" x14ac:dyDescent="0.15">
      <c r="A34">
        <v>33</v>
      </c>
      <c r="B34" s="159" t="s">
        <v>225</v>
      </c>
      <c r="C34">
        <v>0.8</v>
      </c>
      <c r="D34">
        <v>0</v>
      </c>
      <c r="E34">
        <v>0</v>
      </c>
      <c r="F34">
        <v>0.8</v>
      </c>
      <c r="G34">
        <v>0</v>
      </c>
    </row>
    <row r="35" spans="1:7" x14ac:dyDescent="0.15">
      <c r="A35">
        <v>34</v>
      </c>
      <c r="B35" s="159" t="s">
        <v>226</v>
      </c>
      <c r="C35">
        <v>0.8</v>
      </c>
      <c r="D35">
        <v>0.8</v>
      </c>
      <c r="E35">
        <v>0.8</v>
      </c>
      <c r="F35">
        <v>0.8</v>
      </c>
      <c r="G35">
        <v>0</v>
      </c>
    </row>
    <row r="36" spans="1:7" x14ac:dyDescent="0.15">
      <c r="A36">
        <v>35</v>
      </c>
      <c r="B36" s="159" t="s">
        <v>227</v>
      </c>
      <c r="C36">
        <v>0.8</v>
      </c>
      <c r="D36">
        <v>0</v>
      </c>
      <c r="E36">
        <v>0</v>
      </c>
      <c r="F36">
        <v>0</v>
      </c>
      <c r="G36">
        <v>0</v>
      </c>
    </row>
    <row r="37" spans="1:7" x14ac:dyDescent="0.15">
      <c r="A37">
        <v>36</v>
      </c>
      <c r="B37" s="159" t="s">
        <v>228</v>
      </c>
      <c r="C37">
        <v>0</v>
      </c>
      <c r="D37">
        <v>0</v>
      </c>
      <c r="E37">
        <v>0</v>
      </c>
      <c r="F37">
        <v>0</v>
      </c>
      <c r="G37">
        <v>0</v>
      </c>
    </row>
    <row r="38" spans="1:7" x14ac:dyDescent="0.15">
      <c r="A38">
        <v>37</v>
      </c>
      <c r="B38" s="159" t="s">
        <v>229</v>
      </c>
      <c r="C38">
        <v>0</v>
      </c>
      <c r="D38">
        <v>0</v>
      </c>
      <c r="E38">
        <v>0</v>
      </c>
      <c r="F38">
        <v>0</v>
      </c>
      <c r="G38">
        <v>0</v>
      </c>
    </row>
    <row r="39" spans="1:7" x14ac:dyDescent="0.15">
      <c r="A39">
        <v>38</v>
      </c>
      <c r="B39" s="159" t="s">
        <v>230</v>
      </c>
      <c r="C39">
        <v>0</v>
      </c>
      <c r="D39">
        <v>0</v>
      </c>
      <c r="E39">
        <v>0</v>
      </c>
      <c r="F39">
        <v>0</v>
      </c>
      <c r="G39">
        <v>0</v>
      </c>
    </row>
    <row r="40" spans="1:7" x14ac:dyDescent="0.15">
      <c r="A40">
        <v>39</v>
      </c>
      <c r="B40" s="159" t="s">
        <v>231</v>
      </c>
      <c r="C40">
        <v>0</v>
      </c>
      <c r="D40">
        <v>0</v>
      </c>
      <c r="E40">
        <v>0</v>
      </c>
      <c r="F40">
        <v>0</v>
      </c>
      <c r="G40">
        <v>0</v>
      </c>
    </row>
    <row r="41" spans="1:7" x14ac:dyDescent="0.15">
      <c r="A41">
        <v>40</v>
      </c>
      <c r="B41" s="159" t="s">
        <v>232</v>
      </c>
      <c r="C41">
        <v>0</v>
      </c>
      <c r="D41">
        <v>0</v>
      </c>
      <c r="E41">
        <v>0</v>
      </c>
      <c r="F41">
        <v>0</v>
      </c>
      <c r="G41">
        <v>0</v>
      </c>
    </row>
    <row r="42" spans="1:7" x14ac:dyDescent="0.15">
      <c r="A42">
        <v>41</v>
      </c>
      <c r="B42" s="159" t="s">
        <v>233</v>
      </c>
      <c r="C42">
        <v>0</v>
      </c>
      <c r="D42">
        <v>0</v>
      </c>
      <c r="E42">
        <v>0</v>
      </c>
      <c r="F42">
        <v>0</v>
      </c>
      <c r="G42">
        <v>0</v>
      </c>
    </row>
    <row r="179" ht="15" customHeight="1" x14ac:dyDescent="0.15"/>
    <row r="180" ht="15" customHeight="1" x14ac:dyDescent="0.15"/>
    <row r="181" ht="15" customHeight="1" x14ac:dyDescent="0.15"/>
    <row r="182" ht="15" customHeight="1" x14ac:dyDescent="0.15"/>
    <row r="183" ht="15" customHeight="1" x14ac:dyDescent="0.15"/>
    <row r="184" ht="15" customHeight="1" x14ac:dyDescent="0.15"/>
    <row r="185" ht="15" customHeight="1" x14ac:dyDescent="0.15"/>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indexed="51"/>
  </sheetPr>
  <dimension ref="A1:G42"/>
  <sheetViews>
    <sheetView workbookViewId="0">
      <selection activeCell="A3" sqref="A3"/>
    </sheetView>
  </sheetViews>
  <sheetFormatPr baseColWidth="10" defaultRowHeight="13" x14ac:dyDescent="0.15"/>
  <cols>
    <col min="1" max="1" width="3.33203125" customWidth="1"/>
    <col min="2" max="2" width="27.5" bestFit="1" customWidth="1"/>
    <col min="3" max="4" width="3.83203125" bestFit="1" customWidth="1"/>
    <col min="5" max="7" width="3.83203125" customWidth="1"/>
  </cols>
  <sheetData>
    <row r="1" spans="1:7" ht="112" x14ac:dyDescent="0.15">
      <c r="A1" s="5" t="s">
        <v>82</v>
      </c>
      <c r="B1" s="3" t="s">
        <v>0</v>
      </c>
      <c r="C1" s="162" t="s">
        <v>234</v>
      </c>
      <c r="D1" s="162" t="s">
        <v>235</v>
      </c>
      <c r="E1" s="162" t="s">
        <v>236</v>
      </c>
      <c r="F1" s="162" t="s">
        <v>237</v>
      </c>
      <c r="G1" s="162" t="s">
        <v>238</v>
      </c>
    </row>
    <row r="2" spans="1:7" x14ac:dyDescent="0.15">
      <c r="A2">
        <v>1</v>
      </c>
      <c r="B2" s="161" t="s">
        <v>193</v>
      </c>
      <c r="C2">
        <v>0</v>
      </c>
      <c r="D2">
        <v>0</v>
      </c>
      <c r="E2">
        <v>0</v>
      </c>
      <c r="F2">
        <v>0</v>
      </c>
      <c r="G2">
        <v>0</v>
      </c>
    </row>
    <row r="3" spans="1:7" x14ac:dyDescent="0.15">
      <c r="A3">
        <v>2</v>
      </c>
      <c r="B3" s="161" t="s">
        <v>194</v>
      </c>
      <c r="C3">
        <v>0</v>
      </c>
      <c r="D3">
        <v>0</v>
      </c>
      <c r="E3">
        <v>0</v>
      </c>
      <c r="F3">
        <v>0</v>
      </c>
      <c r="G3">
        <v>0</v>
      </c>
    </row>
    <row r="4" spans="1:7" x14ac:dyDescent="0.15">
      <c r="A4">
        <v>3</v>
      </c>
      <c r="B4" s="161" t="s">
        <v>195</v>
      </c>
      <c r="C4">
        <v>0</v>
      </c>
      <c r="D4">
        <v>0</v>
      </c>
      <c r="E4">
        <v>0</v>
      </c>
      <c r="F4">
        <v>0</v>
      </c>
      <c r="G4">
        <v>0</v>
      </c>
    </row>
    <row r="5" spans="1:7" x14ac:dyDescent="0.15">
      <c r="A5">
        <v>4</v>
      </c>
      <c r="B5" s="161" t="s">
        <v>196</v>
      </c>
      <c r="C5">
        <v>0</v>
      </c>
      <c r="D5">
        <v>0</v>
      </c>
      <c r="E5">
        <v>0</v>
      </c>
      <c r="F5">
        <v>0</v>
      </c>
      <c r="G5">
        <v>0</v>
      </c>
    </row>
    <row r="6" spans="1:7" x14ac:dyDescent="0.15">
      <c r="A6">
        <v>5</v>
      </c>
      <c r="B6" s="161" t="s">
        <v>197</v>
      </c>
      <c r="C6">
        <v>0</v>
      </c>
      <c r="D6">
        <v>0</v>
      </c>
      <c r="E6">
        <v>0</v>
      </c>
      <c r="F6">
        <v>0</v>
      </c>
      <c r="G6">
        <v>0</v>
      </c>
    </row>
    <row r="7" spans="1:7" x14ac:dyDescent="0.15">
      <c r="A7">
        <v>6</v>
      </c>
      <c r="B7" s="161" t="s">
        <v>198</v>
      </c>
      <c r="C7">
        <v>0</v>
      </c>
      <c r="D7">
        <v>0</v>
      </c>
      <c r="E7">
        <v>0</v>
      </c>
      <c r="F7">
        <v>0</v>
      </c>
      <c r="G7">
        <v>0</v>
      </c>
    </row>
    <row r="8" spans="1:7" x14ac:dyDescent="0.15">
      <c r="A8">
        <v>7</v>
      </c>
      <c r="B8" s="161" t="s">
        <v>199</v>
      </c>
      <c r="C8">
        <v>0</v>
      </c>
      <c r="D8">
        <v>0</v>
      </c>
      <c r="E8">
        <v>0</v>
      </c>
      <c r="F8">
        <v>0</v>
      </c>
      <c r="G8">
        <v>0</v>
      </c>
    </row>
    <row r="9" spans="1:7" x14ac:dyDescent="0.15">
      <c r="A9">
        <v>8</v>
      </c>
      <c r="B9" s="161" t="s">
        <v>200</v>
      </c>
      <c r="C9">
        <v>0</v>
      </c>
      <c r="D9">
        <v>0</v>
      </c>
      <c r="E9">
        <v>0</v>
      </c>
      <c r="F9">
        <v>0</v>
      </c>
      <c r="G9">
        <v>0</v>
      </c>
    </row>
    <row r="10" spans="1:7" x14ac:dyDescent="0.15">
      <c r="A10">
        <v>9</v>
      </c>
      <c r="B10" s="161" t="s">
        <v>201</v>
      </c>
      <c r="C10">
        <v>0.8</v>
      </c>
      <c r="D10">
        <v>0.8</v>
      </c>
      <c r="E10">
        <v>0</v>
      </c>
      <c r="F10">
        <v>0</v>
      </c>
      <c r="G10">
        <v>0</v>
      </c>
    </row>
    <row r="11" spans="1:7" x14ac:dyDescent="0.15">
      <c r="A11">
        <v>10</v>
      </c>
      <c r="B11" s="161" t="s">
        <v>202</v>
      </c>
      <c r="C11">
        <v>0.8</v>
      </c>
      <c r="D11">
        <v>0.8</v>
      </c>
      <c r="E11">
        <v>0</v>
      </c>
      <c r="F11">
        <v>0</v>
      </c>
      <c r="G11">
        <v>0</v>
      </c>
    </row>
    <row r="12" spans="1:7" x14ac:dyDescent="0.15">
      <c r="A12">
        <v>11</v>
      </c>
      <c r="B12" s="161" t="s">
        <v>203</v>
      </c>
      <c r="C12">
        <v>0.8</v>
      </c>
      <c r="D12">
        <v>0.8</v>
      </c>
      <c r="E12">
        <v>0</v>
      </c>
      <c r="F12">
        <v>0.8</v>
      </c>
      <c r="G12">
        <v>0.8</v>
      </c>
    </row>
    <row r="13" spans="1:7" x14ac:dyDescent="0.15">
      <c r="A13">
        <v>12</v>
      </c>
      <c r="B13" s="161" t="s">
        <v>204</v>
      </c>
      <c r="C13">
        <v>0.8</v>
      </c>
      <c r="D13">
        <v>0.8</v>
      </c>
      <c r="E13">
        <v>0.8</v>
      </c>
      <c r="F13">
        <v>0.8</v>
      </c>
      <c r="G13">
        <v>0</v>
      </c>
    </row>
    <row r="14" spans="1:7" x14ac:dyDescent="0.15">
      <c r="A14">
        <v>13</v>
      </c>
      <c r="B14" s="161" t="s">
        <v>205</v>
      </c>
      <c r="C14">
        <v>0.8</v>
      </c>
      <c r="D14">
        <v>0.8</v>
      </c>
      <c r="E14">
        <v>0</v>
      </c>
      <c r="F14">
        <v>0.8</v>
      </c>
      <c r="G14">
        <v>0</v>
      </c>
    </row>
    <row r="15" spans="1:7" x14ac:dyDescent="0.15">
      <c r="A15">
        <v>14</v>
      </c>
      <c r="B15" s="161" t="s">
        <v>206</v>
      </c>
      <c r="C15">
        <v>0.8</v>
      </c>
      <c r="D15">
        <v>0.8</v>
      </c>
      <c r="E15">
        <v>0</v>
      </c>
      <c r="F15">
        <v>0.8</v>
      </c>
      <c r="G15">
        <v>0</v>
      </c>
    </row>
    <row r="16" spans="1:7" x14ac:dyDescent="0.15">
      <c r="A16">
        <v>15</v>
      </c>
      <c r="B16" s="161" t="s">
        <v>207</v>
      </c>
      <c r="C16">
        <v>0.8</v>
      </c>
      <c r="D16">
        <v>0.8</v>
      </c>
      <c r="E16">
        <v>0</v>
      </c>
      <c r="F16">
        <v>0.8</v>
      </c>
      <c r="G16">
        <v>0</v>
      </c>
    </row>
    <row r="17" spans="1:7" x14ac:dyDescent="0.15">
      <c r="A17">
        <v>16</v>
      </c>
      <c r="B17" s="161" t="s">
        <v>208</v>
      </c>
      <c r="C17">
        <v>0.8</v>
      </c>
      <c r="D17">
        <v>0.8</v>
      </c>
      <c r="E17">
        <v>0</v>
      </c>
      <c r="F17">
        <v>0</v>
      </c>
      <c r="G17">
        <v>0</v>
      </c>
    </row>
    <row r="18" spans="1:7" x14ac:dyDescent="0.15">
      <c r="A18">
        <v>17</v>
      </c>
      <c r="B18" s="161" t="s">
        <v>209</v>
      </c>
      <c r="C18">
        <v>0.8</v>
      </c>
      <c r="D18">
        <v>0.8</v>
      </c>
      <c r="E18">
        <v>0</v>
      </c>
      <c r="F18">
        <v>0.8</v>
      </c>
      <c r="G18">
        <v>0.8</v>
      </c>
    </row>
    <row r="19" spans="1:7" x14ac:dyDescent="0.15">
      <c r="A19">
        <v>18</v>
      </c>
      <c r="B19" s="161" t="s">
        <v>210</v>
      </c>
      <c r="C19">
        <v>0.8</v>
      </c>
      <c r="D19">
        <v>0</v>
      </c>
      <c r="E19">
        <v>0</v>
      </c>
      <c r="F19">
        <v>0</v>
      </c>
      <c r="G19">
        <v>0</v>
      </c>
    </row>
    <row r="20" spans="1:7" x14ac:dyDescent="0.15">
      <c r="A20">
        <v>19</v>
      </c>
      <c r="B20" s="161" t="s">
        <v>211</v>
      </c>
      <c r="C20">
        <v>0.8</v>
      </c>
      <c r="D20">
        <v>0</v>
      </c>
      <c r="E20">
        <v>0</v>
      </c>
      <c r="F20">
        <v>0</v>
      </c>
      <c r="G20">
        <v>0</v>
      </c>
    </row>
    <row r="21" spans="1:7" x14ac:dyDescent="0.15">
      <c r="A21">
        <v>20</v>
      </c>
      <c r="B21" s="161" t="s">
        <v>212</v>
      </c>
      <c r="C21">
        <v>0.8</v>
      </c>
      <c r="D21">
        <v>0.8</v>
      </c>
      <c r="E21">
        <v>0</v>
      </c>
      <c r="F21">
        <v>0</v>
      </c>
      <c r="G21">
        <v>0</v>
      </c>
    </row>
    <row r="22" spans="1:7" x14ac:dyDescent="0.15">
      <c r="A22">
        <v>21</v>
      </c>
      <c r="B22" s="161" t="s">
        <v>213</v>
      </c>
      <c r="C22">
        <v>0.8</v>
      </c>
      <c r="D22">
        <v>0.8</v>
      </c>
      <c r="E22">
        <v>0</v>
      </c>
      <c r="F22">
        <v>0.8</v>
      </c>
      <c r="G22">
        <v>0</v>
      </c>
    </row>
    <row r="23" spans="1:7" x14ac:dyDescent="0.15">
      <c r="A23">
        <v>22</v>
      </c>
      <c r="B23" s="161" t="s">
        <v>214</v>
      </c>
      <c r="C23">
        <v>0.8</v>
      </c>
      <c r="D23">
        <v>0.8</v>
      </c>
      <c r="E23">
        <v>0</v>
      </c>
      <c r="F23">
        <v>0.8</v>
      </c>
      <c r="G23">
        <v>0.8</v>
      </c>
    </row>
    <row r="24" spans="1:7" x14ac:dyDescent="0.15">
      <c r="A24">
        <v>23</v>
      </c>
      <c r="B24" s="161" t="s">
        <v>215</v>
      </c>
      <c r="C24">
        <v>0.8</v>
      </c>
      <c r="D24">
        <v>0.8</v>
      </c>
      <c r="E24">
        <v>0</v>
      </c>
      <c r="F24">
        <v>0</v>
      </c>
      <c r="G24">
        <v>0</v>
      </c>
    </row>
    <row r="25" spans="1:7" x14ac:dyDescent="0.15">
      <c r="A25">
        <v>24</v>
      </c>
      <c r="B25" s="161" t="s">
        <v>216</v>
      </c>
      <c r="C25">
        <v>0.8</v>
      </c>
      <c r="D25">
        <v>0.8</v>
      </c>
      <c r="E25">
        <v>0</v>
      </c>
      <c r="F25">
        <v>0.8</v>
      </c>
      <c r="G25">
        <v>0</v>
      </c>
    </row>
    <row r="26" spans="1:7" x14ac:dyDescent="0.15">
      <c r="A26">
        <v>25</v>
      </c>
      <c r="B26" s="161" t="s">
        <v>217</v>
      </c>
      <c r="C26">
        <v>0.8</v>
      </c>
      <c r="D26">
        <v>0.8</v>
      </c>
      <c r="E26">
        <v>0.8</v>
      </c>
      <c r="F26">
        <v>0.8</v>
      </c>
      <c r="G26">
        <v>0</v>
      </c>
    </row>
    <row r="27" spans="1:7" x14ac:dyDescent="0.15">
      <c r="A27">
        <v>26</v>
      </c>
      <c r="B27" s="161" t="s">
        <v>218</v>
      </c>
      <c r="C27">
        <v>0.8</v>
      </c>
      <c r="D27">
        <v>0.8</v>
      </c>
      <c r="E27">
        <v>0</v>
      </c>
      <c r="F27">
        <v>0.8</v>
      </c>
      <c r="G27">
        <v>0.8</v>
      </c>
    </row>
    <row r="28" spans="1:7" x14ac:dyDescent="0.15">
      <c r="A28">
        <v>27</v>
      </c>
      <c r="B28" s="161" t="s">
        <v>219</v>
      </c>
      <c r="C28">
        <v>0.8</v>
      </c>
      <c r="D28">
        <v>0</v>
      </c>
      <c r="E28">
        <v>0</v>
      </c>
      <c r="F28">
        <v>0.8</v>
      </c>
      <c r="G28">
        <v>0</v>
      </c>
    </row>
    <row r="29" spans="1:7" x14ac:dyDescent="0.15">
      <c r="A29">
        <v>28</v>
      </c>
      <c r="B29" s="161" t="s">
        <v>220</v>
      </c>
      <c r="C29">
        <v>0.8</v>
      </c>
      <c r="D29">
        <v>0</v>
      </c>
      <c r="E29">
        <v>0</v>
      </c>
      <c r="F29">
        <v>0.8</v>
      </c>
      <c r="G29">
        <v>0</v>
      </c>
    </row>
    <row r="30" spans="1:7" x14ac:dyDescent="0.15">
      <c r="A30">
        <v>29</v>
      </c>
      <c r="B30" s="161" t="s">
        <v>221</v>
      </c>
      <c r="C30">
        <v>0.8</v>
      </c>
      <c r="D30">
        <v>0</v>
      </c>
      <c r="E30">
        <v>0</v>
      </c>
      <c r="F30">
        <v>0.8</v>
      </c>
      <c r="G30">
        <v>0</v>
      </c>
    </row>
    <row r="31" spans="1:7" x14ac:dyDescent="0.15">
      <c r="A31">
        <v>30</v>
      </c>
      <c r="B31" s="161" t="s">
        <v>222</v>
      </c>
      <c r="C31">
        <v>0.8</v>
      </c>
      <c r="D31">
        <v>0.8</v>
      </c>
      <c r="E31">
        <v>0</v>
      </c>
      <c r="F31">
        <v>0</v>
      </c>
      <c r="G31">
        <v>0</v>
      </c>
    </row>
    <row r="32" spans="1:7" x14ac:dyDescent="0.15">
      <c r="A32">
        <v>31</v>
      </c>
      <c r="B32" s="161" t="s">
        <v>223</v>
      </c>
      <c r="C32">
        <v>0.8</v>
      </c>
      <c r="D32">
        <v>0.8</v>
      </c>
      <c r="E32">
        <v>0.8</v>
      </c>
      <c r="F32">
        <v>0.8</v>
      </c>
      <c r="G32">
        <v>0</v>
      </c>
    </row>
    <row r="33" spans="1:7" x14ac:dyDescent="0.15">
      <c r="A33">
        <v>32</v>
      </c>
      <c r="B33" s="161" t="s">
        <v>224</v>
      </c>
      <c r="C33">
        <v>0.8</v>
      </c>
      <c r="D33">
        <v>0.8</v>
      </c>
      <c r="E33">
        <v>0.8</v>
      </c>
      <c r="F33">
        <v>0</v>
      </c>
      <c r="G33">
        <v>0</v>
      </c>
    </row>
    <row r="34" spans="1:7" x14ac:dyDescent="0.15">
      <c r="A34">
        <v>33</v>
      </c>
      <c r="B34" s="161" t="s">
        <v>225</v>
      </c>
      <c r="C34">
        <v>0.8</v>
      </c>
      <c r="D34">
        <v>0</v>
      </c>
      <c r="E34">
        <v>0</v>
      </c>
      <c r="F34">
        <v>0.8</v>
      </c>
      <c r="G34">
        <v>0</v>
      </c>
    </row>
    <row r="35" spans="1:7" x14ac:dyDescent="0.15">
      <c r="A35">
        <v>34</v>
      </c>
      <c r="B35" s="161" t="s">
        <v>226</v>
      </c>
      <c r="C35">
        <v>0.8</v>
      </c>
      <c r="D35">
        <v>0.8</v>
      </c>
      <c r="E35">
        <v>0.8</v>
      </c>
      <c r="F35">
        <v>0.8</v>
      </c>
      <c r="G35">
        <v>0</v>
      </c>
    </row>
    <row r="36" spans="1:7" x14ac:dyDescent="0.15">
      <c r="A36">
        <v>35</v>
      </c>
      <c r="B36" s="161" t="s">
        <v>227</v>
      </c>
      <c r="C36">
        <v>0.8</v>
      </c>
      <c r="D36">
        <v>0</v>
      </c>
      <c r="E36">
        <v>0</v>
      </c>
      <c r="F36">
        <v>0</v>
      </c>
      <c r="G36">
        <v>0</v>
      </c>
    </row>
    <row r="37" spans="1:7" x14ac:dyDescent="0.15">
      <c r="A37">
        <v>36</v>
      </c>
      <c r="B37" s="161" t="s">
        <v>228</v>
      </c>
      <c r="C37">
        <v>0</v>
      </c>
      <c r="D37">
        <v>0</v>
      </c>
      <c r="E37">
        <v>0</v>
      </c>
      <c r="F37">
        <v>0</v>
      </c>
      <c r="G37">
        <v>0</v>
      </c>
    </row>
    <row r="38" spans="1:7" x14ac:dyDescent="0.15">
      <c r="A38">
        <v>37</v>
      </c>
      <c r="B38" s="161" t="s">
        <v>229</v>
      </c>
      <c r="C38">
        <v>0</v>
      </c>
      <c r="D38">
        <v>0</v>
      </c>
      <c r="E38">
        <v>0</v>
      </c>
      <c r="F38">
        <v>0</v>
      </c>
      <c r="G38">
        <v>0</v>
      </c>
    </row>
    <row r="39" spans="1:7" x14ac:dyDescent="0.15">
      <c r="A39">
        <v>38</v>
      </c>
      <c r="B39" s="161" t="s">
        <v>230</v>
      </c>
      <c r="C39">
        <v>0</v>
      </c>
      <c r="D39">
        <v>0</v>
      </c>
      <c r="E39">
        <v>0</v>
      </c>
      <c r="F39">
        <v>0</v>
      </c>
      <c r="G39">
        <v>0</v>
      </c>
    </row>
    <row r="40" spans="1:7" x14ac:dyDescent="0.15">
      <c r="A40">
        <v>39</v>
      </c>
      <c r="B40" s="161" t="s">
        <v>231</v>
      </c>
      <c r="C40">
        <v>0</v>
      </c>
      <c r="D40">
        <v>0</v>
      </c>
      <c r="E40">
        <v>0</v>
      </c>
      <c r="F40">
        <v>0</v>
      </c>
      <c r="G40">
        <v>0</v>
      </c>
    </row>
    <row r="41" spans="1:7" x14ac:dyDescent="0.15">
      <c r="A41">
        <v>40</v>
      </c>
      <c r="B41" s="161" t="s">
        <v>232</v>
      </c>
      <c r="C41">
        <v>0</v>
      </c>
      <c r="D41">
        <v>0</v>
      </c>
      <c r="E41">
        <v>0</v>
      </c>
      <c r="F41">
        <v>0</v>
      </c>
      <c r="G41">
        <v>0</v>
      </c>
    </row>
    <row r="42" spans="1:7" x14ac:dyDescent="0.15">
      <c r="A42">
        <v>41</v>
      </c>
      <c r="B42" s="161" t="s">
        <v>233</v>
      </c>
      <c r="C42">
        <v>0</v>
      </c>
      <c r="D42">
        <v>0</v>
      </c>
      <c r="E42">
        <v>0</v>
      </c>
      <c r="F42">
        <v>0</v>
      </c>
      <c r="G42">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tabColor indexed="15"/>
  </sheetPr>
  <dimension ref="A1:N500"/>
  <sheetViews>
    <sheetView workbookViewId="0">
      <pane xSplit="2" ySplit="1" topLeftCell="C29" activePane="bottomRight" state="frozen"/>
      <selection pane="topRight" activeCell="C1" sqref="C1"/>
      <selection pane="bottomLeft" activeCell="A3" sqref="A3"/>
      <selection pane="bottomRight" activeCell="L42" sqref="L42"/>
    </sheetView>
  </sheetViews>
  <sheetFormatPr baseColWidth="10" defaultColWidth="8.83203125" defaultRowHeight="15" customHeight="1" x14ac:dyDescent="0.15"/>
  <cols>
    <col min="1" max="1" width="8.83203125" style="83"/>
    <col min="2" max="2" width="41.83203125" style="83" bestFit="1" customWidth="1"/>
    <col min="3" max="3" width="9.33203125" style="83" bestFit="1" customWidth="1"/>
    <col min="4" max="4" width="13" style="83" bestFit="1" customWidth="1"/>
    <col min="5" max="6" width="9.33203125" style="83" bestFit="1" customWidth="1"/>
    <col min="7" max="7" width="9.33203125" style="99" bestFit="1" customWidth="1"/>
    <col min="8" max="8" width="9.33203125" style="83" bestFit="1" customWidth="1"/>
    <col min="9" max="9" width="11" style="83" customWidth="1"/>
    <col min="10" max="10" width="8.83203125" style="83"/>
    <col min="15" max="16384" width="8.83203125" style="83"/>
  </cols>
  <sheetData>
    <row r="1" spans="1:10" ht="15" customHeight="1" x14ac:dyDescent="0.15">
      <c r="A1" s="4" t="s">
        <v>25</v>
      </c>
      <c r="B1" s="1" t="s">
        <v>0</v>
      </c>
      <c r="C1" s="1" t="s">
        <v>12</v>
      </c>
      <c r="D1" s="1" t="s">
        <v>13</v>
      </c>
      <c r="E1" s="1" t="s">
        <v>1</v>
      </c>
      <c r="F1" s="1" t="s">
        <v>2</v>
      </c>
      <c r="G1" s="35" t="s">
        <v>14</v>
      </c>
      <c r="H1" s="1" t="s">
        <v>26</v>
      </c>
      <c r="I1" s="1" t="s">
        <v>24</v>
      </c>
    </row>
    <row r="2" spans="1:10" ht="15" customHeight="1" x14ac:dyDescent="0.15">
      <c r="A2" s="239">
        <v>1</v>
      </c>
      <c r="B2" s="239" t="s">
        <v>193</v>
      </c>
      <c r="C2" s="8">
        <v>1</v>
      </c>
      <c r="D2" s="9">
        <v>2.9226999282836914</v>
      </c>
      <c r="E2" s="9">
        <v>81.912498474121094</v>
      </c>
      <c r="F2" s="10"/>
      <c r="G2" s="9">
        <v>0.52891606092453003</v>
      </c>
      <c r="H2" s="10"/>
      <c r="I2">
        <v>0</v>
      </c>
      <c r="J2"/>
    </row>
    <row r="3" spans="1:10" ht="15" customHeight="1" x14ac:dyDescent="0.15">
      <c r="A3" s="240">
        <v>2</v>
      </c>
      <c r="B3" s="240" t="s">
        <v>194</v>
      </c>
      <c r="C3" s="8">
        <v>1</v>
      </c>
      <c r="D3" s="9">
        <v>1.1509947776794434</v>
      </c>
      <c r="E3" s="9">
        <v>4.8899998664855957</v>
      </c>
      <c r="F3" s="10"/>
      <c r="G3" s="9">
        <v>0.69999998807907104</v>
      </c>
      <c r="H3" s="10"/>
      <c r="I3">
        <v>0</v>
      </c>
      <c r="J3"/>
    </row>
    <row r="4" spans="1:10" ht="15" customHeight="1" x14ac:dyDescent="0.15">
      <c r="A4" s="241">
        <v>3</v>
      </c>
      <c r="B4" s="241" t="s">
        <v>195</v>
      </c>
      <c r="C4" s="8">
        <v>2.0030090808868408</v>
      </c>
      <c r="D4" s="9">
        <v>2.1110000610351562</v>
      </c>
      <c r="E4" s="9">
        <v>24.649999618530273</v>
      </c>
      <c r="F4" s="9">
        <v>74.694999694824219</v>
      </c>
      <c r="G4" s="9">
        <v>0.99405717849731445</v>
      </c>
      <c r="H4" s="9">
        <v>0.33000868558883667</v>
      </c>
      <c r="I4">
        <v>0</v>
      </c>
      <c r="J4"/>
    </row>
    <row r="5" spans="1:10" ht="15" customHeight="1" x14ac:dyDescent="0.15">
      <c r="A5" s="242">
        <v>4</v>
      </c>
      <c r="B5" s="242" t="s">
        <v>196</v>
      </c>
      <c r="C5" s="8">
        <v>2.4221611022949219</v>
      </c>
      <c r="D5" s="9">
        <v>0.15646913647651672</v>
      </c>
      <c r="E5" s="9">
        <v>20.520000457763672</v>
      </c>
      <c r="F5" s="9">
        <v>63.130001068115234</v>
      </c>
      <c r="G5" s="9">
        <v>0.94999986886978149</v>
      </c>
      <c r="H5" s="9">
        <v>0.32504355907440186</v>
      </c>
      <c r="I5">
        <v>0</v>
      </c>
      <c r="J5"/>
    </row>
    <row r="6" spans="1:10" ht="15" customHeight="1" x14ac:dyDescent="0.15">
      <c r="A6" s="243">
        <v>5</v>
      </c>
      <c r="B6" s="243" t="s">
        <v>197</v>
      </c>
      <c r="C6" s="8">
        <v>2.9211509227752686</v>
      </c>
      <c r="D6" s="9">
        <v>0.14688743650913239</v>
      </c>
      <c r="E6" s="9">
        <v>15.840000152587891</v>
      </c>
      <c r="F6" s="9">
        <v>56.450000762939453</v>
      </c>
      <c r="G6" s="9">
        <v>0.50000005960464478</v>
      </c>
      <c r="H6" s="9">
        <v>0.28060230612754822</v>
      </c>
      <c r="I6">
        <v>0</v>
      </c>
      <c r="J6"/>
    </row>
    <row r="7" spans="1:10" ht="15" customHeight="1" x14ac:dyDescent="0.15">
      <c r="A7" s="244">
        <v>6</v>
      </c>
      <c r="B7" s="244" t="s">
        <v>198</v>
      </c>
      <c r="C7" s="8">
        <v>2.3415102958679199</v>
      </c>
      <c r="D7" s="9">
        <v>0.79500001668930054</v>
      </c>
      <c r="E7" s="9">
        <v>5.0659999847412109</v>
      </c>
      <c r="F7" s="9">
        <v>18.257200241088867</v>
      </c>
      <c r="G7" s="9">
        <v>0.80842387676239014</v>
      </c>
      <c r="H7" s="9">
        <v>0.27747955918312073</v>
      </c>
      <c r="I7">
        <v>0</v>
      </c>
      <c r="J7"/>
    </row>
    <row r="8" spans="1:10" ht="15" customHeight="1" x14ac:dyDescent="0.15">
      <c r="A8" s="245">
        <v>7</v>
      </c>
      <c r="B8" s="245" t="s">
        <v>199</v>
      </c>
      <c r="C8" s="8">
        <v>2.1963784694671631</v>
      </c>
      <c r="D8" s="9">
        <v>0.79799127578735352</v>
      </c>
      <c r="E8" s="9">
        <v>13.949999809265137</v>
      </c>
      <c r="F8" s="9">
        <v>56.560001373291016</v>
      </c>
      <c r="G8" s="9">
        <v>0.9500001072883606</v>
      </c>
      <c r="H8" s="9">
        <v>0.24664072692394257</v>
      </c>
      <c r="I8">
        <v>0</v>
      </c>
      <c r="J8"/>
    </row>
    <row r="9" spans="1:10" ht="15" customHeight="1" x14ac:dyDescent="0.15">
      <c r="A9" s="246">
        <v>8</v>
      </c>
      <c r="B9" s="246" t="s">
        <v>200</v>
      </c>
      <c r="C9" s="8">
        <v>2.1602470874786377</v>
      </c>
      <c r="D9" s="9">
        <v>3.4902670383453369</v>
      </c>
      <c r="E9" s="9">
        <v>3.312000036239624</v>
      </c>
      <c r="F9" s="9">
        <v>10.729999542236328</v>
      </c>
      <c r="G9" s="9">
        <v>0.79999995231628418</v>
      </c>
      <c r="H9" s="9">
        <v>0.30866730213165283</v>
      </c>
      <c r="I9">
        <v>0</v>
      </c>
      <c r="J9"/>
    </row>
    <row r="10" spans="1:10" ht="15" customHeight="1" x14ac:dyDescent="0.15">
      <c r="A10" s="247">
        <v>9</v>
      </c>
      <c r="B10" s="247" t="s">
        <v>201</v>
      </c>
      <c r="C10" s="8">
        <v>2.9387302398681641</v>
      </c>
      <c r="D10" s="9">
        <v>0.13309001922607422</v>
      </c>
      <c r="E10" s="9">
        <v>3.4800000190734863</v>
      </c>
      <c r="F10" s="9">
        <v>10.815999984741211</v>
      </c>
      <c r="G10" s="9">
        <v>0.94999986886978149</v>
      </c>
      <c r="H10" s="9">
        <v>0.32174557447433472</v>
      </c>
      <c r="I10">
        <v>5.6826847139745951E-4</v>
      </c>
      <c r="J10"/>
    </row>
    <row r="11" spans="1:10" ht="15" customHeight="1" x14ac:dyDescent="0.15">
      <c r="A11" s="248">
        <v>10</v>
      </c>
      <c r="B11" s="248" t="s">
        <v>202</v>
      </c>
      <c r="C11" s="8">
        <v>2.9628610610961914</v>
      </c>
      <c r="D11" s="9">
        <v>0.15456578135490417</v>
      </c>
      <c r="E11" s="9">
        <v>2.7599999904632568</v>
      </c>
      <c r="F11" s="9">
        <v>9.2600002288818359</v>
      </c>
      <c r="G11" s="9">
        <v>0.95000004768371582</v>
      </c>
      <c r="H11" s="9">
        <v>0.29805615544319153</v>
      </c>
      <c r="I11">
        <v>1.0903951479122043E-3</v>
      </c>
      <c r="J11"/>
    </row>
    <row r="12" spans="1:10" ht="15" customHeight="1" x14ac:dyDescent="0.15">
      <c r="A12" s="249">
        <v>11</v>
      </c>
      <c r="B12" s="249" t="s">
        <v>203</v>
      </c>
      <c r="C12" s="8">
        <v>3.3330464363098145</v>
      </c>
      <c r="D12" s="9">
        <v>6.5055064857006073E-2</v>
      </c>
      <c r="E12" s="9">
        <v>1.6877156496047974</v>
      </c>
      <c r="F12" s="9">
        <v>6.7659788131713867</v>
      </c>
      <c r="G12" s="9">
        <v>0.96700495481491089</v>
      </c>
      <c r="H12" s="9">
        <v>0.24944145977497101</v>
      </c>
      <c r="I12">
        <v>4.5980919152498245E-2</v>
      </c>
      <c r="J12"/>
    </row>
    <row r="13" spans="1:10" ht="15" customHeight="1" x14ac:dyDescent="0.15">
      <c r="A13" s="250">
        <v>12</v>
      </c>
      <c r="B13" s="250" t="s">
        <v>204</v>
      </c>
      <c r="C13" s="8">
        <v>4.0328168869018555</v>
      </c>
      <c r="D13" s="9">
        <v>4.0756523609161377E-2</v>
      </c>
      <c r="E13" s="9">
        <v>2.907900333404541</v>
      </c>
      <c r="F13" s="9">
        <v>26.559999465942383</v>
      </c>
      <c r="G13" s="9">
        <v>0.94999992847442627</v>
      </c>
      <c r="H13" s="9">
        <v>0.10948420315980911</v>
      </c>
      <c r="I13">
        <v>1.2706024572253227E-2</v>
      </c>
      <c r="J13"/>
    </row>
    <row r="14" spans="1:10" ht="15" customHeight="1" x14ac:dyDescent="0.15">
      <c r="A14" s="251">
        <v>13</v>
      </c>
      <c r="B14" s="251" t="s">
        <v>205</v>
      </c>
      <c r="C14" s="8">
        <v>3.3819112777709961</v>
      </c>
      <c r="D14" s="9">
        <v>0.30788728594779968</v>
      </c>
      <c r="E14" s="9">
        <v>1.0561846494674683</v>
      </c>
      <c r="F14" s="9">
        <v>8.1185846328735352</v>
      </c>
      <c r="G14" s="9">
        <v>0.96566915512084961</v>
      </c>
      <c r="H14" s="9">
        <v>0.13009467720985413</v>
      </c>
      <c r="I14">
        <v>2.6025246828794479E-2</v>
      </c>
      <c r="J14"/>
    </row>
    <row r="15" spans="1:10" ht="15" customHeight="1" x14ac:dyDescent="0.15">
      <c r="A15" s="252">
        <v>14</v>
      </c>
      <c r="B15" s="252" t="s">
        <v>206</v>
      </c>
      <c r="C15" s="8">
        <v>3.110997200012207</v>
      </c>
      <c r="D15" s="9">
        <v>7.1765638887882233E-2</v>
      </c>
      <c r="E15" s="9">
        <v>1.6200330257415771</v>
      </c>
      <c r="F15" s="9">
        <v>7.167595386505127</v>
      </c>
      <c r="G15" s="9">
        <v>0.91055923700332642</v>
      </c>
      <c r="H15" s="9">
        <v>0.22602182626724243</v>
      </c>
      <c r="I15">
        <v>1.763218455016613E-2</v>
      </c>
      <c r="J15"/>
    </row>
    <row r="16" spans="1:10" ht="15" customHeight="1" x14ac:dyDescent="0.15">
      <c r="A16" s="253">
        <v>15</v>
      </c>
      <c r="B16" s="253" t="s">
        <v>207</v>
      </c>
      <c r="C16" s="8">
        <v>3.0845935344696045</v>
      </c>
      <c r="D16" s="9">
        <v>6.7571133375167847E-2</v>
      </c>
      <c r="E16" s="9">
        <v>1.9253921508789062</v>
      </c>
      <c r="F16" s="9">
        <v>8.8276119232177734</v>
      </c>
      <c r="G16" s="9">
        <v>0.90661495923995972</v>
      </c>
      <c r="H16" s="9">
        <v>0.21811018884181976</v>
      </c>
      <c r="I16">
        <v>1.6601629555225372E-2</v>
      </c>
      <c r="J16"/>
    </row>
    <row r="17" spans="1:10" ht="15" customHeight="1" x14ac:dyDescent="0.15">
      <c r="A17" s="254">
        <v>16</v>
      </c>
      <c r="B17" s="254" t="s">
        <v>208</v>
      </c>
      <c r="C17" s="8">
        <v>3.1919429302215576</v>
      </c>
      <c r="D17" s="9">
        <v>1.5201685018837452E-2</v>
      </c>
      <c r="E17" s="9">
        <v>1.4871065616607666</v>
      </c>
      <c r="F17" s="9">
        <v>8.3419561386108398</v>
      </c>
      <c r="G17" s="9">
        <v>0.61682254076004028</v>
      </c>
      <c r="H17" s="9">
        <v>0.17826832830905914</v>
      </c>
      <c r="I17">
        <v>5.0213205395266414E-4</v>
      </c>
      <c r="J17"/>
    </row>
    <row r="18" spans="1:10" ht="15" customHeight="1" x14ac:dyDescent="0.15">
      <c r="A18" s="255">
        <v>17</v>
      </c>
      <c r="B18" s="255" t="s">
        <v>209</v>
      </c>
      <c r="C18" s="8">
        <v>3.0964822769165039</v>
      </c>
      <c r="D18" s="9">
        <v>0.5706782341003418</v>
      </c>
      <c r="E18" s="9">
        <v>2.018906831741333</v>
      </c>
      <c r="F18" s="9">
        <v>9.7488136291503906</v>
      </c>
      <c r="G18" s="9">
        <v>0.42014625668525696</v>
      </c>
      <c r="H18" s="9">
        <v>0.20709256827831268</v>
      </c>
      <c r="I18">
        <v>9.3824185431003571E-2</v>
      </c>
      <c r="J18"/>
    </row>
    <row r="19" spans="1:10" ht="15" customHeight="1" x14ac:dyDescent="0.15">
      <c r="A19" s="256">
        <v>18</v>
      </c>
      <c r="B19" s="256" t="s">
        <v>210</v>
      </c>
      <c r="C19" s="8">
        <v>4.070622444152832</v>
      </c>
      <c r="D19" s="9">
        <v>1.1947709135711193E-2</v>
      </c>
      <c r="E19" s="9">
        <v>0.86132407188415527</v>
      </c>
      <c r="F19" s="9">
        <v>6</v>
      </c>
      <c r="G19" s="9">
        <v>0.19958901405334473</v>
      </c>
      <c r="H19" s="9">
        <v>0.14355401694774628</v>
      </c>
      <c r="I19">
        <v>5.8420000641490333E-6</v>
      </c>
      <c r="J19"/>
    </row>
    <row r="20" spans="1:10" ht="15" customHeight="1" x14ac:dyDescent="0.15">
      <c r="A20" s="257">
        <v>19</v>
      </c>
      <c r="B20" s="257" t="s">
        <v>211</v>
      </c>
      <c r="C20" s="8">
        <v>3.2826719284057617</v>
      </c>
      <c r="D20" s="9">
        <v>5.5763509124517441E-2</v>
      </c>
      <c r="E20" s="9">
        <v>1.0654191970825195</v>
      </c>
      <c r="F20" s="9">
        <v>7.5999999046325684</v>
      </c>
      <c r="G20" s="9">
        <v>0.97408437728881836</v>
      </c>
      <c r="H20" s="9">
        <v>0.14018674194812775</v>
      </c>
      <c r="I20">
        <v>9.4808535650372505E-3</v>
      </c>
      <c r="J20"/>
    </row>
    <row r="21" spans="1:10" ht="15" customHeight="1" x14ac:dyDescent="0.15">
      <c r="A21" s="258">
        <v>20</v>
      </c>
      <c r="B21" s="258" t="s">
        <v>212</v>
      </c>
      <c r="C21" s="8">
        <v>3.4760193824768066</v>
      </c>
      <c r="D21" s="9">
        <v>3.9111625403165817E-2</v>
      </c>
      <c r="E21" s="9">
        <v>1.1388000249862671</v>
      </c>
      <c r="F21" s="9">
        <v>6.679999828338623</v>
      </c>
      <c r="G21" s="9">
        <v>0.97134077548980713</v>
      </c>
      <c r="H21" s="9">
        <v>0.17047904431819916</v>
      </c>
      <c r="I21">
        <v>1.8084070179611444E-3</v>
      </c>
      <c r="J21"/>
    </row>
    <row r="22" spans="1:10" ht="15" customHeight="1" x14ac:dyDescent="0.15">
      <c r="A22" s="259">
        <v>21</v>
      </c>
      <c r="B22" s="259" t="s">
        <v>213</v>
      </c>
      <c r="C22" s="8">
        <v>3.6399991512298584</v>
      </c>
      <c r="D22" s="9">
        <v>7.9554937779903412E-2</v>
      </c>
      <c r="E22" s="9">
        <v>0.95802605152130127</v>
      </c>
      <c r="F22" s="9">
        <v>5.6999998092651367</v>
      </c>
      <c r="G22" s="9">
        <v>0.23332397639751434</v>
      </c>
      <c r="H22" s="9">
        <v>0.16807475686073303</v>
      </c>
      <c r="I22">
        <v>2.0693191327154636E-3</v>
      </c>
      <c r="J22"/>
    </row>
    <row r="23" spans="1:10" ht="15" customHeight="1" x14ac:dyDescent="0.15">
      <c r="A23" s="260">
        <v>22</v>
      </c>
      <c r="B23" s="260" t="s">
        <v>214</v>
      </c>
      <c r="C23" s="8">
        <v>4.0100374221801758</v>
      </c>
      <c r="D23" s="9">
        <v>0.16531316936016083</v>
      </c>
      <c r="E23" s="9">
        <v>0.87015014886856079</v>
      </c>
      <c r="F23" s="9">
        <v>5.9653396606445312</v>
      </c>
      <c r="G23" s="9">
        <v>0.66538673639297485</v>
      </c>
      <c r="H23" s="9">
        <v>0.14586766064167023</v>
      </c>
      <c r="I23">
        <v>6.7209474742412567E-2</v>
      </c>
      <c r="J23"/>
    </row>
    <row r="24" spans="1:10" ht="15" customHeight="1" x14ac:dyDescent="0.15">
      <c r="A24" s="261">
        <v>23</v>
      </c>
      <c r="B24" s="261" t="s">
        <v>215</v>
      </c>
      <c r="C24" s="8">
        <v>3.2971961498260498</v>
      </c>
      <c r="D24" s="9">
        <v>0.5316346287727356</v>
      </c>
      <c r="E24" s="9">
        <v>0.99064797163009644</v>
      </c>
      <c r="F24" s="9">
        <v>5.5491023063659668</v>
      </c>
      <c r="G24" s="9">
        <v>3.720637783408165E-2</v>
      </c>
      <c r="H24" s="9">
        <v>0.17852400243282318</v>
      </c>
      <c r="I24">
        <v>3.392247948795557E-3</v>
      </c>
      <c r="J24"/>
    </row>
    <row r="25" spans="1:10" ht="15" customHeight="1" x14ac:dyDescent="0.15">
      <c r="A25" s="262">
        <v>24</v>
      </c>
      <c r="B25" s="262" t="s">
        <v>216</v>
      </c>
      <c r="C25" s="8">
        <v>4.1132373809814453</v>
      </c>
      <c r="D25" s="9">
        <v>1.6202514991164207E-2</v>
      </c>
      <c r="E25" s="9">
        <v>0.46348118782043457</v>
      </c>
      <c r="F25" s="9">
        <v>4.4000000953674316</v>
      </c>
      <c r="G25" s="9">
        <v>0.12683345377445221</v>
      </c>
      <c r="H25" s="9">
        <v>0.10533662885427475</v>
      </c>
      <c r="I25">
        <v>8.8443618733435869E-4</v>
      </c>
      <c r="J25"/>
    </row>
    <row r="26" spans="1:10" ht="15" customHeight="1" x14ac:dyDescent="0.15">
      <c r="A26" s="263">
        <v>25</v>
      </c>
      <c r="B26" s="263" t="s">
        <v>217</v>
      </c>
      <c r="C26" s="8">
        <v>3.0194330215454102</v>
      </c>
      <c r="D26" s="9">
        <v>2.3432807922363281</v>
      </c>
      <c r="E26" s="9">
        <v>1.9642946720123291</v>
      </c>
      <c r="F26" s="9">
        <v>10.133177757263184</v>
      </c>
      <c r="G26" s="9">
        <v>0.96665066480636597</v>
      </c>
      <c r="H26" s="9">
        <v>0.19384784996509552</v>
      </c>
      <c r="I26">
        <v>0.14624841511249542</v>
      </c>
      <c r="J26"/>
    </row>
    <row r="27" spans="1:10" ht="15" customHeight="1" x14ac:dyDescent="0.15">
      <c r="A27" s="264">
        <v>26</v>
      </c>
      <c r="B27" s="264" t="s">
        <v>218</v>
      </c>
      <c r="C27" s="8">
        <v>3.0482354164123535</v>
      </c>
      <c r="D27" s="9">
        <v>0.14930561184883118</v>
      </c>
      <c r="E27" s="9">
        <v>1.1124057769775391</v>
      </c>
      <c r="F27" s="9">
        <v>9.903986930847168</v>
      </c>
      <c r="G27" s="9">
        <v>0.92002952098846436</v>
      </c>
      <c r="H27" s="9">
        <v>0.1123189851641655</v>
      </c>
      <c r="I27">
        <v>2.1578343585133553E-2</v>
      </c>
      <c r="J27"/>
    </row>
    <row r="28" spans="1:10" ht="15" customHeight="1" x14ac:dyDescent="0.15">
      <c r="A28" s="265">
        <v>27</v>
      </c>
      <c r="B28" s="265" t="s">
        <v>219</v>
      </c>
      <c r="C28" s="8">
        <v>2</v>
      </c>
      <c r="D28" s="9">
        <v>0.15006636083126068</v>
      </c>
      <c r="E28" s="9">
        <v>1.6972947120666504</v>
      </c>
      <c r="F28" s="9">
        <v>7.4829311370849609</v>
      </c>
      <c r="G28" s="9">
        <v>0.84427279233932495</v>
      </c>
      <c r="H28" s="9">
        <v>0.22682216763496399</v>
      </c>
      <c r="I28">
        <v>5.7793162763118744E-2</v>
      </c>
      <c r="J28"/>
    </row>
    <row r="29" spans="1:10" ht="15" customHeight="1" x14ac:dyDescent="0.15">
      <c r="A29" s="266">
        <v>28</v>
      </c>
      <c r="B29" s="266" t="s">
        <v>220</v>
      </c>
      <c r="C29" s="8">
        <v>4.0129718780517578</v>
      </c>
      <c r="D29" s="9">
        <v>8.8186375796794891E-2</v>
      </c>
      <c r="E29" s="9">
        <v>0.81596201658248901</v>
      </c>
      <c r="F29" s="9">
        <v>6.9000000953674316</v>
      </c>
      <c r="G29" s="9">
        <v>0.74771136045455933</v>
      </c>
      <c r="H29" s="9">
        <v>0.1182553619146347</v>
      </c>
      <c r="I29">
        <v>5.4159676656126976E-3</v>
      </c>
      <c r="J29"/>
    </row>
    <row r="30" spans="1:10" ht="15" customHeight="1" x14ac:dyDescent="0.15">
      <c r="A30" s="267">
        <v>29</v>
      </c>
      <c r="B30" s="267" t="s">
        <v>221</v>
      </c>
      <c r="C30" s="8">
        <v>4.0368132591247559</v>
      </c>
      <c r="D30" s="9">
        <v>0.14461249113082886</v>
      </c>
      <c r="E30" s="9">
        <v>0.91508722305297852</v>
      </c>
      <c r="F30" s="9">
        <v>7.0999999046325684</v>
      </c>
      <c r="G30" s="9">
        <v>0.99288594722747803</v>
      </c>
      <c r="H30" s="9">
        <v>0.12888552248477936</v>
      </c>
      <c r="I30">
        <v>3.7354836240410805E-3</v>
      </c>
      <c r="J30"/>
    </row>
    <row r="31" spans="1:10" ht="15" customHeight="1" x14ac:dyDescent="0.15">
      <c r="A31" s="268">
        <v>30</v>
      </c>
      <c r="B31" s="268" t="s">
        <v>222</v>
      </c>
      <c r="C31" s="8">
        <v>3.3011689186096191</v>
      </c>
      <c r="D31" s="9">
        <v>0.33288875222206116</v>
      </c>
      <c r="E31" s="9">
        <v>0.96781176328659058</v>
      </c>
      <c r="F31" s="9">
        <v>5.4000000953674316</v>
      </c>
      <c r="G31" s="9">
        <v>0.3556196391582489</v>
      </c>
      <c r="H31" s="9">
        <v>0.1792244017124176</v>
      </c>
      <c r="I31">
        <v>3.759872168302536E-2</v>
      </c>
      <c r="J31"/>
    </row>
    <row r="32" spans="1:10" ht="15" customHeight="1" x14ac:dyDescent="0.15">
      <c r="A32" s="269">
        <v>31</v>
      </c>
      <c r="B32" s="269" t="s">
        <v>223</v>
      </c>
      <c r="C32" s="8">
        <v>3.1182849407196045</v>
      </c>
      <c r="D32" s="9">
        <v>0.44198879599571228</v>
      </c>
      <c r="E32" s="9">
        <v>1.955487847328186</v>
      </c>
      <c r="F32" s="9">
        <v>13.819999694824219</v>
      </c>
      <c r="G32" s="9">
        <v>0.95000004768371582</v>
      </c>
      <c r="H32" s="9">
        <v>0.14149695634841919</v>
      </c>
      <c r="I32">
        <v>1.4429717324674129E-2</v>
      </c>
      <c r="J32"/>
    </row>
    <row r="33" spans="1:10" ht="15" customHeight="1" x14ac:dyDescent="0.15">
      <c r="A33" s="270">
        <v>32</v>
      </c>
      <c r="B33" s="270" t="s">
        <v>224</v>
      </c>
      <c r="C33" s="8">
        <v>3.0826480388641357</v>
      </c>
      <c r="D33" s="9">
        <v>0.48204037547111511</v>
      </c>
      <c r="E33" s="9">
        <v>1.7092771530151367</v>
      </c>
      <c r="F33" s="9">
        <v>9.5</v>
      </c>
      <c r="G33" s="9">
        <v>0.94999998807907104</v>
      </c>
      <c r="H33" s="9">
        <v>0.17992390692234039</v>
      </c>
      <c r="I33">
        <v>5.7550673373043537E-3</v>
      </c>
      <c r="J33"/>
    </row>
    <row r="34" spans="1:10" ht="15" customHeight="1" x14ac:dyDescent="0.15">
      <c r="A34" s="271">
        <v>33</v>
      </c>
      <c r="B34" s="271" t="s">
        <v>225</v>
      </c>
      <c r="C34" s="8">
        <v>4.0473079681396484</v>
      </c>
      <c r="D34" s="9">
        <v>0.2279997318983078</v>
      </c>
      <c r="E34" s="9">
        <v>0.72723692655563354</v>
      </c>
      <c r="F34" s="9">
        <v>7.2016654014587402</v>
      </c>
      <c r="G34" s="9">
        <v>0.43052428960800171</v>
      </c>
      <c r="H34" s="9">
        <v>0.10098177194595337</v>
      </c>
      <c r="I34">
        <v>8.9228590950369835E-3</v>
      </c>
      <c r="J34"/>
    </row>
    <row r="35" spans="1:10" ht="15" customHeight="1" x14ac:dyDescent="0.15">
      <c r="A35" s="272">
        <v>34</v>
      </c>
      <c r="B35" s="272" t="s">
        <v>226</v>
      </c>
      <c r="C35" s="8">
        <v>4.2865486145019531</v>
      </c>
      <c r="D35" s="9">
        <v>0.11942823976278305</v>
      </c>
      <c r="E35" s="9">
        <v>0.69482618570327759</v>
      </c>
      <c r="F35" s="9">
        <v>5.5732035636901855</v>
      </c>
      <c r="G35" s="9">
        <v>0.72386026382446289</v>
      </c>
      <c r="H35" s="9">
        <v>0.12467267364263535</v>
      </c>
      <c r="I35">
        <v>4.9416586756706238E-2</v>
      </c>
      <c r="J35"/>
    </row>
    <row r="36" spans="1:10" ht="15" customHeight="1" x14ac:dyDescent="0.15">
      <c r="A36" s="273">
        <v>35</v>
      </c>
      <c r="B36" s="273" t="s">
        <v>227</v>
      </c>
      <c r="C36" s="8">
        <v>2.4961411952972412</v>
      </c>
      <c r="D36" s="9">
        <v>0.35965976119041443</v>
      </c>
      <c r="E36" s="9">
        <v>0.17000000178813934</v>
      </c>
      <c r="F36" s="9">
        <v>2.7799999713897705</v>
      </c>
      <c r="G36" s="9">
        <v>4.9065981060266495E-2</v>
      </c>
      <c r="H36" s="9">
        <v>6.1151079833507538E-2</v>
      </c>
      <c r="I36">
        <v>3.0000000260770321E-3</v>
      </c>
      <c r="J36"/>
    </row>
    <row r="37" spans="1:10" ht="15" customHeight="1" x14ac:dyDescent="0.15">
      <c r="A37" s="274">
        <v>36</v>
      </c>
      <c r="B37" s="274" t="s">
        <v>228</v>
      </c>
      <c r="C37" s="8">
        <v>4.2905192375183105</v>
      </c>
      <c r="D37" s="9">
        <v>2.486800029873848E-2</v>
      </c>
      <c r="E37" s="9">
        <v>8.3999998867511749E-2</v>
      </c>
      <c r="F37" s="9">
        <v>11.010000228881836</v>
      </c>
      <c r="G37" s="7">
        <v>0</v>
      </c>
      <c r="H37" s="9">
        <v>7.6294275932013988E-3</v>
      </c>
      <c r="I37">
        <v>0</v>
      </c>
      <c r="J37"/>
    </row>
    <row r="38" spans="1:10" ht="15" customHeight="1" x14ac:dyDescent="0.15">
      <c r="A38" s="275">
        <v>37</v>
      </c>
      <c r="B38" s="275" t="s">
        <v>229</v>
      </c>
      <c r="C38" s="8">
        <v>4.2883148193359375</v>
      </c>
      <c r="D38" s="9">
        <v>2.0000000949949026E-3</v>
      </c>
      <c r="E38" s="9">
        <v>0.12600000202655792</v>
      </c>
      <c r="F38" s="9">
        <v>11.659999847412109</v>
      </c>
      <c r="G38" s="7">
        <v>0</v>
      </c>
      <c r="H38" s="9">
        <v>1.0806174948811531E-2</v>
      </c>
      <c r="I38">
        <v>0</v>
      </c>
      <c r="J38"/>
    </row>
    <row r="39" spans="1:10" ht="15" customHeight="1" x14ac:dyDescent="0.15">
      <c r="A39" s="276">
        <v>38</v>
      </c>
      <c r="B39" s="276" t="s">
        <v>230</v>
      </c>
      <c r="C39" s="8">
        <v>2.8338065147399902</v>
      </c>
      <c r="D39" s="9">
        <v>1.6226912848651409E-3</v>
      </c>
      <c r="E39" s="9">
        <v>5.8600001335144043</v>
      </c>
      <c r="F39" s="9">
        <v>68.654083251953125</v>
      </c>
      <c r="G39" s="7">
        <v>0</v>
      </c>
      <c r="H39" s="9">
        <v>8.5355445742607117E-2</v>
      </c>
      <c r="I39">
        <v>0</v>
      </c>
      <c r="J39"/>
    </row>
    <row r="40" spans="1:10" ht="15" customHeight="1" x14ac:dyDescent="0.15">
      <c r="A40" s="277">
        <v>39</v>
      </c>
      <c r="B40" s="277" t="s">
        <v>231</v>
      </c>
      <c r="C40" s="8">
        <v>1</v>
      </c>
      <c r="D40" s="9">
        <v>16.590000152587891</v>
      </c>
      <c r="E40" s="10"/>
      <c r="F40" s="10"/>
      <c r="G40" s="9">
        <v>0.48122546076774597</v>
      </c>
      <c r="H40" s="10"/>
      <c r="I40">
        <v>0</v>
      </c>
      <c r="J40"/>
    </row>
    <row r="41" spans="1:10" ht="15" customHeight="1" x14ac:dyDescent="0.15">
      <c r="A41" s="278">
        <v>40</v>
      </c>
      <c r="B41" s="278" t="s">
        <v>232</v>
      </c>
      <c r="C41" s="8">
        <v>1</v>
      </c>
      <c r="D41" s="9">
        <v>3.8066651672124863E-2</v>
      </c>
      <c r="E41" s="10"/>
      <c r="F41" s="10"/>
      <c r="G41" s="7">
        <v>0.87889164686203003</v>
      </c>
      <c r="H41" s="10"/>
      <c r="I41">
        <v>0</v>
      </c>
      <c r="J41"/>
    </row>
    <row r="42" spans="1:10" ht="15" customHeight="1" x14ac:dyDescent="0.15">
      <c r="A42" s="279">
        <v>41</v>
      </c>
      <c r="B42" s="279" t="s">
        <v>233</v>
      </c>
      <c r="C42" s="8">
        <v>1</v>
      </c>
      <c r="D42" s="9">
        <v>5</v>
      </c>
      <c r="E42" s="10"/>
      <c r="F42" s="10"/>
      <c r="G42" s="7">
        <v>0</v>
      </c>
      <c r="H42" s="10"/>
      <c r="I42">
        <v>0</v>
      </c>
      <c r="J42"/>
    </row>
    <row r="43" spans="1:10" ht="15" customHeight="1" x14ac:dyDescent="0.15">
      <c r="A43" s="280">
        <v>42</v>
      </c>
      <c r="B43" s="280" t="s">
        <v>234</v>
      </c>
      <c r="C43" s="8">
        <v>4.1761331558227539</v>
      </c>
      <c r="D43" s="10"/>
      <c r="E43" s="10"/>
      <c r="F43" s="10"/>
      <c r="G43" s="10"/>
      <c r="H43" s="10"/>
      <c r="I43">
        <v>0.39648160338401794</v>
      </c>
      <c r="J43"/>
    </row>
    <row r="44" spans="1:10" ht="15" customHeight="1" x14ac:dyDescent="0.15">
      <c r="A44" s="281">
        <v>43</v>
      </c>
      <c r="B44" s="281" t="s">
        <v>235</v>
      </c>
      <c r="C44" s="8">
        <v>4.1318001747131348</v>
      </c>
      <c r="D44" s="10"/>
      <c r="E44" s="10"/>
      <c r="F44" s="10"/>
      <c r="G44" s="10"/>
      <c r="H44" s="10"/>
      <c r="I44">
        <v>6.1270017176866531E-2</v>
      </c>
      <c r="J44"/>
    </row>
    <row r="45" spans="1:10" ht="15" customHeight="1" x14ac:dyDescent="0.15">
      <c r="A45" s="282">
        <v>44</v>
      </c>
      <c r="B45" s="282" t="s">
        <v>236</v>
      </c>
      <c r="C45" s="8">
        <v>4.0632996559143066</v>
      </c>
      <c r="D45" s="10"/>
      <c r="E45" s="10"/>
      <c r="F45" s="10"/>
      <c r="G45" s="10"/>
      <c r="H45" s="10"/>
      <c r="I45">
        <v>5.9941681101918221E-3</v>
      </c>
      <c r="J45"/>
    </row>
    <row r="46" spans="1:10" ht="15" customHeight="1" x14ac:dyDescent="0.15">
      <c r="A46" s="283">
        <v>45</v>
      </c>
      <c r="B46" s="283" t="s">
        <v>237</v>
      </c>
      <c r="C46" s="8">
        <v>4.4585409164428711</v>
      </c>
      <c r="D46" s="10"/>
      <c r="E46" s="10"/>
      <c r="F46" s="10"/>
      <c r="G46" s="10"/>
      <c r="H46" s="10"/>
      <c r="I46">
        <v>0.18746814131736755</v>
      </c>
      <c r="J46"/>
    </row>
    <row r="47" spans="1:10" ht="15" customHeight="1" x14ac:dyDescent="0.15">
      <c r="A47" s="284">
        <v>46</v>
      </c>
      <c r="B47" s="284" t="s">
        <v>238</v>
      </c>
      <c r="C47" s="8">
        <v>4.6801462173461914</v>
      </c>
      <c r="D47" s="10"/>
      <c r="E47" s="10"/>
      <c r="F47" s="10"/>
      <c r="G47" s="10"/>
      <c r="H47" s="10"/>
      <c r="I47">
        <v>2.4619516916573048E-3</v>
      </c>
      <c r="J47"/>
    </row>
    <row r="48" spans="1:10" ht="15" customHeight="1" x14ac:dyDescent="0.15">
      <c r="A48"/>
      <c r="B48"/>
      <c r="C48"/>
      <c r="D48"/>
      <c r="E48"/>
      <c r="F48"/>
      <c r="G48"/>
      <c r="H48"/>
      <c r="I48"/>
      <c r="J48"/>
    </row>
    <row r="49" spans="1:10" ht="15" customHeight="1" x14ac:dyDescent="0.15">
      <c r="A49"/>
      <c r="B49"/>
      <c r="C49"/>
      <c r="D49"/>
      <c r="E49"/>
      <c r="F49"/>
      <c r="G49"/>
      <c r="H49"/>
      <c r="I49"/>
      <c r="J49"/>
    </row>
    <row r="50" spans="1:10" ht="15" customHeight="1" x14ac:dyDescent="0.15">
      <c r="A50"/>
      <c r="B50"/>
      <c r="C50"/>
      <c r="D50"/>
      <c r="E50"/>
      <c r="F50"/>
      <c r="G50"/>
      <c r="H50"/>
      <c r="I50"/>
      <c r="J50"/>
    </row>
    <row r="51" spans="1:10" ht="15" customHeight="1" x14ac:dyDescent="0.15">
      <c r="A51"/>
      <c r="B51"/>
      <c r="C51"/>
      <c r="D51"/>
      <c r="E51"/>
      <c r="F51"/>
      <c r="G51"/>
      <c r="H51"/>
      <c r="I51"/>
      <c r="J51"/>
    </row>
    <row r="52" spans="1:10" ht="15" customHeight="1" x14ac:dyDescent="0.15">
      <c r="A52"/>
      <c r="B52"/>
      <c r="C52"/>
      <c r="D52"/>
      <c r="E52"/>
      <c r="F52"/>
      <c r="G52"/>
      <c r="H52"/>
      <c r="I52"/>
      <c r="J52"/>
    </row>
    <row r="53" spans="1:10" ht="15" customHeight="1" x14ac:dyDescent="0.15">
      <c r="A53"/>
      <c r="B53"/>
      <c r="C53"/>
      <c r="D53"/>
      <c r="E53"/>
      <c r="F53"/>
      <c r="G53"/>
      <c r="H53"/>
      <c r="I53"/>
      <c r="J53"/>
    </row>
    <row r="54" spans="1:10" ht="15" customHeight="1" x14ac:dyDescent="0.15">
      <c r="A54"/>
      <c r="B54"/>
      <c r="C54"/>
      <c r="D54"/>
      <c r="E54"/>
      <c r="F54"/>
      <c r="G54"/>
      <c r="H54"/>
      <c r="I54"/>
      <c r="J54"/>
    </row>
    <row r="55" spans="1:10" ht="15" customHeight="1" x14ac:dyDescent="0.15">
      <c r="A55"/>
      <c r="B55"/>
      <c r="C55"/>
      <c r="D55"/>
      <c r="E55"/>
      <c r="F55"/>
      <c r="G55"/>
      <c r="H55"/>
      <c r="I55"/>
      <c r="J55"/>
    </row>
    <row r="56" spans="1:10" ht="15" customHeight="1" x14ac:dyDescent="0.15">
      <c r="A56"/>
      <c r="B56"/>
      <c r="C56"/>
      <c r="D56"/>
      <c r="E56"/>
      <c r="F56"/>
      <c r="G56"/>
      <c r="H56"/>
      <c r="I56"/>
      <c r="J56"/>
    </row>
    <row r="57" spans="1:10" ht="15" customHeight="1" x14ac:dyDescent="0.15">
      <c r="A57"/>
      <c r="B57"/>
      <c r="C57"/>
      <c r="D57"/>
      <c r="E57"/>
      <c r="F57"/>
      <c r="G57"/>
      <c r="H57"/>
      <c r="I57"/>
      <c r="J57"/>
    </row>
    <row r="58" spans="1:10" ht="15" customHeight="1" x14ac:dyDescent="0.15">
      <c r="A58"/>
      <c r="B58"/>
      <c r="C58"/>
      <c r="D58"/>
      <c r="E58"/>
      <c r="F58"/>
      <c r="G58"/>
      <c r="H58"/>
      <c r="I58"/>
      <c r="J58"/>
    </row>
    <row r="59" spans="1:10" ht="15" customHeight="1" x14ac:dyDescent="0.15">
      <c r="A59"/>
      <c r="B59"/>
      <c r="C59"/>
      <c r="D59"/>
      <c r="E59"/>
      <c r="F59"/>
      <c r="G59"/>
      <c r="H59"/>
      <c r="I59"/>
      <c r="J59"/>
    </row>
    <row r="60" spans="1:10" ht="15" customHeight="1" x14ac:dyDescent="0.15">
      <c r="A60"/>
      <c r="B60"/>
      <c r="C60"/>
      <c r="D60"/>
      <c r="E60"/>
      <c r="F60"/>
      <c r="G60"/>
      <c r="H60"/>
      <c r="I60"/>
      <c r="J60"/>
    </row>
    <row r="61" spans="1:10" ht="15" customHeight="1" x14ac:dyDescent="0.15">
      <c r="A61"/>
      <c r="B61"/>
      <c r="C61"/>
      <c r="D61"/>
      <c r="E61"/>
      <c r="F61"/>
      <c r="G61"/>
      <c r="H61"/>
      <c r="I61"/>
      <c r="J61"/>
    </row>
    <row r="62" spans="1:10" ht="15" customHeight="1" x14ac:dyDescent="0.15">
      <c r="A62"/>
      <c r="B62"/>
      <c r="C62"/>
      <c r="D62"/>
      <c r="E62"/>
      <c r="F62"/>
      <c r="G62"/>
      <c r="H62"/>
      <c r="I62"/>
      <c r="J62"/>
    </row>
    <row r="63" spans="1:10" ht="15" customHeight="1" x14ac:dyDescent="0.15">
      <c r="A63"/>
      <c r="B63"/>
      <c r="C63"/>
      <c r="D63"/>
      <c r="E63"/>
      <c r="F63"/>
      <c r="G63"/>
      <c r="H63"/>
      <c r="I63"/>
      <c r="J63"/>
    </row>
    <row r="64" spans="1:10" ht="15" customHeight="1" x14ac:dyDescent="0.15">
      <c r="A64"/>
      <c r="B64"/>
      <c r="C64"/>
      <c r="D64"/>
      <c r="E64"/>
      <c r="F64"/>
      <c r="G64"/>
      <c r="H64"/>
      <c r="I64"/>
      <c r="J64"/>
    </row>
    <row r="65" spans="1:10" ht="15" customHeight="1" x14ac:dyDescent="0.15">
      <c r="A65"/>
      <c r="B65"/>
      <c r="C65"/>
      <c r="D65"/>
      <c r="E65"/>
      <c r="F65"/>
      <c r="G65"/>
      <c r="H65"/>
      <c r="I65"/>
      <c r="J65"/>
    </row>
    <row r="66" spans="1:10" ht="15" customHeight="1" x14ac:dyDescent="0.15">
      <c r="A66"/>
      <c r="B66"/>
      <c r="C66"/>
      <c r="D66"/>
      <c r="E66"/>
      <c r="F66"/>
      <c r="G66"/>
      <c r="H66"/>
      <c r="I66"/>
      <c r="J66"/>
    </row>
    <row r="67" spans="1:10" ht="15" customHeight="1" x14ac:dyDescent="0.15">
      <c r="A67"/>
      <c r="B67"/>
      <c r="C67"/>
      <c r="D67"/>
      <c r="E67"/>
      <c r="F67"/>
      <c r="G67"/>
      <c r="H67"/>
      <c r="I67"/>
      <c r="J67"/>
    </row>
    <row r="68" spans="1:10" ht="15" customHeight="1" x14ac:dyDescent="0.15">
      <c r="A68"/>
      <c r="B68"/>
      <c r="C68"/>
      <c r="D68"/>
      <c r="E68"/>
      <c r="F68"/>
      <c r="G68"/>
      <c r="H68"/>
      <c r="I68"/>
      <c r="J68"/>
    </row>
    <row r="69" spans="1:10" ht="15" customHeight="1" x14ac:dyDescent="0.15">
      <c r="A69"/>
      <c r="B69"/>
      <c r="C69"/>
      <c r="D69"/>
      <c r="E69"/>
      <c r="F69"/>
      <c r="G69"/>
      <c r="H69"/>
      <c r="I69"/>
      <c r="J69"/>
    </row>
    <row r="70" spans="1:10" ht="15" customHeight="1" x14ac:dyDescent="0.15">
      <c r="A70"/>
      <c r="B70"/>
      <c r="C70"/>
      <c r="D70"/>
      <c r="E70"/>
      <c r="F70"/>
      <c r="G70"/>
      <c r="H70"/>
      <c r="I70"/>
      <c r="J70"/>
    </row>
    <row r="71" spans="1:10" ht="15" customHeight="1" x14ac:dyDescent="0.15">
      <c r="A71"/>
      <c r="B71"/>
      <c r="C71"/>
      <c r="D71"/>
      <c r="E71"/>
      <c r="F71"/>
      <c r="G71"/>
      <c r="H71"/>
      <c r="I71"/>
      <c r="J71"/>
    </row>
    <row r="72" spans="1:10" ht="15" customHeight="1" x14ac:dyDescent="0.15">
      <c r="A72"/>
      <c r="B72"/>
      <c r="C72"/>
      <c r="D72"/>
      <c r="E72"/>
      <c r="F72"/>
      <c r="G72"/>
      <c r="H72"/>
      <c r="I72"/>
      <c r="J72"/>
    </row>
    <row r="73" spans="1:10" ht="15" customHeight="1" x14ac:dyDescent="0.15">
      <c r="A73"/>
      <c r="B73"/>
      <c r="C73"/>
      <c r="D73"/>
      <c r="E73"/>
      <c r="F73"/>
      <c r="G73"/>
      <c r="H73"/>
      <c r="I73"/>
      <c r="J73"/>
    </row>
    <row r="74" spans="1:10" ht="15" customHeight="1" x14ac:dyDescent="0.15">
      <c r="A74"/>
      <c r="B74"/>
      <c r="C74"/>
      <c r="D74"/>
      <c r="E74"/>
      <c r="F74"/>
      <c r="G74"/>
      <c r="H74"/>
      <c r="I74"/>
      <c r="J74"/>
    </row>
    <row r="75" spans="1:10" ht="15" customHeight="1" x14ac:dyDescent="0.15">
      <c r="A75"/>
      <c r="B75"/>
      <c r="C75"/>
      <c r="D75"/>
      <c r="E75"/>
      <c r="F75"/>
      <c r="G75"/>
      <c r="H75"/>
      <c r="I75"/>
      <c r="J75"/>
    </row>
    <row r="76" spans="1:10" ht="15" customHeight="1" x14ac:dyDescent="0.15">
      <c r="A76"/>
      <c r="B76"/>
      <c r="C76"/>
      <c r="D76"/>
      <c r="E76"/>
      <c r="F76"/>
      <c r="G76"/>
      <c r="H76"/>
      <c r="I76"/>
      <c r="J76"/>
    </row>
    <row r="77" spans="1:10" ht="15" customHeight="1" x14ac:dyDescent="0.15">
      <c r="A77"/>
      <c r="B77"/>
      <c r="C77"/>
      <c r="D77"/>
      <c r="E77"/>
      <c r="F77"/>
      <c r="G77"/>
      <c r="H77"/>
      <c r="I77"/>
      <c r="J77"/>
    </row>
    <row r="78" spans="1:10" ht="15" customHeight="1" x14ac:dyDescent="0.15">
      <c r="A78"/>
      <c r="B78"/>
      <c r="C78"/>
      <c r="D78"/>
      <c r="E78"/>
      <c r="F78"/>
      <c r="G78"/>
      <c r="H78"/>
      <c r="I78"/>
      <c r="J78"/>
    </row>
    <row r="79" spans="1:10" ht="15" customHeight="1" x14ac:dyDescent="0.15">
      <c r="A79"/>
      <c r="B79"/>
      <c r="C79"/>
      <c r="D79"/>
      <c r="E79"/>
      <c r="F79"/>
      <c r="G79"/>
      <c r="H79"/>
      <c r="I79"/>
      <c r="J79"/>
    </row>
    <row r="80" spans="1:10" ht="15" customHeight="1" x14ac:dyDescent="0.15">
      <c r="A80"/>
      <c r="B80"/>
      <c r="C80"/>
      <c r="D80"/>
      <c r="E80"/>
      <c r="F80"/>
      <c r="G80"/>
      <c r="H80"/>
      <c r="I80"/>
      <c r="J80"/>
    </row>
    <row r="81" spans="1:10" ht="15" customHeight="1" x14ac:dyDescent="0.15">
      <c r="A81"/>
      <c r="B81"/>
      <c r="C81"/>
      <c r="D81"/>
      <c r="E81"/>
      <c r="F81"/>
      <c r="G81"/>
      <c r="H81"/>
      <c r="I81"/>
      <c r="J81"/>
    </row>
    <row r="82" spans="1:10" ht="15" customHeight="1" x14ac:dyDescent="0.15">
      <c r="A82"/>
      <c r="B82"/>
      <c r="C82"/>
      <c r="D82"/>
      <c r="E82"/>
      <c r="F82"/>
      <c r="G82"/>
      <c r="H82"/>
      <c r="I82"/>
      <c r="J82"/>
    </row>
    <row r="83" spans="1:10" ht="15" customHeight="1" x14ac:dyDescent="0.15">
      <c r="A83"/>
      <c r="B83"/>
      <c r="C83"/>
      <c r="D83"/>
      <c r="E83"/>
      <c r="F83"/>
      <c r="G83"/>
      <c r="H83"/>
      <c r="I83"/>
      <c r="J83"/>
    </row>
    <row r="84" spans="1:10" ht="15" customHeight="1" x14ac:dyDescent="0.15">
      <c r="A84"/>
      <c r="B84"/>
      <c r="C84"/>
      <c r="D84"/>
      <c r="E84"/>
      <c r="F84"/>
      <c r="G84"/>
      <c r="H84"/>
      <c r="I84"/>
      <c r="J84"/>
    </row>
    <row r="85" spans="1:10" ht="15" customHeight="1" x14ac:dyDescent="0.15">
      <c r="A85"/>
      <c r="B85"/>
      <c r="C85"/>
      <c r="D85"/>
      <c r="E85"/>
      <c r="F85"/>
      <c r="G85"/>
      <c r="H85"/>
      <c r="I85"/>
      <c r="J85"/>
    </row>
    <row r="86" spans="1:10" ht="15" customHeight="1" x14ac:dyDescent="0.15">
      <c r="A86"/>
      <c r="B86"/>
      <c r="C86"/>
      <c r="D86"/>
      <c r="E86"/>
      <c r="F86"/>
      <c r="G86"/>
      <c r="H86"/>
      <c r="I86"/>
      <c r="J86"/>
    </row>
    <row r="87" spans="1:10" ht="15" customHeight="1" x14ac:dyDescent="0.15">
      <c r="A87"/>
      <c r="B87"/>
      <c r="C87"/>
      <c r="D87"/>
      <c r="E87"/>
      <c r="F87"/>
      <c r="G87"/>
      <c r="H87"/>
      <c r="I87"/>
      <c r="J87"/>
    </row>
    <row r="88" spans="1:10" ht="15" customHeight="1" x14ac:dyDescent="0.15">
      <c r="A88"/>
      <c r="B88"/>
      <c r="C88"/>
      <c r="D88"/>
      <c r="E88"/>
      <c r="F88"/>
      <c r="G88"/>
      <c r="H88"/>
      <c r="I88"/>
      <c r="J88"/>
    </row>
    <row r="89" spans="1:10" ht="15" customHeight="1" x14ac:dyDescent="0.15">
      <c r="A89"/>
      <c r="B89"/>
      <c r="C89"/>
      <c r="D89"/>
      <c r="E89"/>
      <c r="F89"/>
      <c r="G89"/>
      <c r="H89"/>
      <c r="I89"/>
      <c r="J89"/>
    </row>
    <row r="90" spans="1:10" ht="15" customHeight="1" x14ac:dyDescent="0.15">
      <c r="A90"/>
      <c r="B90"/>
      <c r="C90"/>
      <c r="D90"/>
      <c r="E90"/>
      <c r="F90"/>
      <c r="G90"/>
      <c r="H90"/>
      <c r="I90"/>
      <c r="J90"/>
    </row>
    <row r="91" spans="1:10" ht="15" customHeight="1" x14ac:dyDescent="0.15">
      <c r="A91"/>
      <c r="B91"/>
      <c r="C91"/>
      <c r="D91"/>
      <c r="E91"/>
      <c r="F91"/>
      <c r="G91"/>
      <c r="H91"/>
      <c r="I91"/>
      <c r="J91"/>
    </row>
    <row r="92" spans="1:10" ht="15" customHeight="1" x14ac:dyDescent="0.15">
      <c r="A92"/>
      <c r="B92"/>
      <c r="C92"/>
      <c r="D92"/>
      <c r="E92"/>
      <c r="F92"/>
      <c r="G92"/>
      <c r="H92"/>
      <c r="I92"/>
      <c r="J92"/>
    </row>
    <row r="93" spans="1:10" ht="15" customHeight="1" x14ac:dyDescent="0.15">
      <c r="A93"/>
      <c r="B93"/>
      <c r="C93"/>
      <c r="D93"/>
      <c r="E93"/>
      <c r="F93"/>
      <c r="G93"/>
      <c r="H93"/>
      <c r="I93"/>
      <c r="J93"/>
    </row>
    <row r="94" spans="1:10" ht="15" customHeight="1" x14ac:dyDescent="0.15">
      <c r="A94"/>
      <c r="B94"/>
      <c r="C94"/>
      <c r="D94"/>
      <c r="E94"/>
      <c r="F94"/>
      <c r="G94"/>
      <c r="H94"/>
      <c r="I94"/>
      <c r="J94"/>
    </row>
    <row r="95" spans="1:10" ht="15" customHeight="1" x14ac:dyDescent="0.15">
      <c r="A95"/>
      <c r="B95"/>
      <c r="C95"/>
      <c r="D95"/>
      <c r="E95"/>
      <c r="F95"/>
      <c r="G95"/>
      <c r="H95"/>
      <c r="I95"/>
      <c r="J95"/>
    </row>
    <row r="96" spans="1:10" ht="15" customHeight="1" x14ac:dyDescent="0.15">
      <c r="A96"/>
      <c r="B96"/>
      <c r="C96"/>
      <c r="D96"/>
      <c r="E96"/>
      <c r="F96"/>
      <c r="G96"/>
      <c r="H96"/>
      <c r="I96"/>
      <c r="J96"/>
    </row>
    <row r="97" spans="1:10" ht="15" customHeight="1" x14ac:dyDescent="0.15">
      <c r="A97"/>
      <c r="B97"/>
      <c r="C97"/>
      <c r="D97"/>
      <c r="E97"/>
      <c r="F97"/>
      <c r="G97"/>
      <c r="H97"/>
      <c r="I97"/>
      <c r="J97"/>
    </row>
    <row r="98" spans="1:10" ht="15" customHeight="1" x14ac:dyDescent="0.15">
      <c r="A98"/>
      <c r="B98"/>
      <c r="C98"/>
      <c r="D98"/>
      <c r="E98"/>
      <c r="F98"/>
      <c r="G98"/>
      <c r="H98"/>
      <c r="I98"/>
      <c r="J98"/>
    </row>
    <row r="99" spans="1:10" ht="15" customHeight="1" x14ac:dyDescent="0.15">
      <c r="A99"/>
      <c r="B99"/>
      <c r="C99"/>
      <c r="D99"/>
      <c r="E99"/>
      <c r="F99"/>
      <c r="G99"/>
      <c r="H99"/>
      <c r="I99"/>
      <c r="J99"/>
    </row>
    <row r="100" spans="1:10" ht="15" customHeight="1" x14ac:dyDescent="0.15">
      <c r="A100"/>
      <c r="B100"/>
      <c r="C100"/>
      <c r="D100"/>
      <c r="E100"/>
      <c r="F100"/>
      <c r="G100"/>
      <c r="H100"/>
      <c r="I100"/>
      <c r="J100"/>
    </row>
    <row r="101" spans="1:10" ht="15" customHeight="1" x14ac:dyDescent="0.15">
      <c r="A101"/>
      <c r="B101"/>
      <c r="C101"/>
      <c r="D101"/>
      <c r="E101"/>
      <c r="F101"/>
      <c r="G101"/>
      <c r="H101"/>
      <c r="I101"/>
      <c r="J101"/>
    </row>
    <row r="102" spans="1:10" ht="15" customHeight="1" x14ac:dyDescent="0.15">
      <c r="A102"/>
      <c r="B102"/>
      <c r="C102"/>
      <c r="D102"/>
      <c r="E102"/>
      <c r="F102"/>
      <c r="G102"/>
      <c r="H102"/>
      <c r="I102"/>
      <c r="J102"/>
    </row>
    <row r="103" spans="1:10" ht="15" customHeight="1" x14ac:dyDescent="0.15">
      <c r="A103"/>
      <c r="B103"/>
      <c r="C103"/>
      <c r="D103"/>
      <c r="E103"/>
      <c r="F103"/>
      <c r="G103"/>
      <c r="H103"/>
      <c r="I103"/>
      <c r="J103"/>
    </row>
    <row r="104" spans="1:10" ht="15" customHeight="1" x14ac:dyDescent="0.15">
      <c r="A104"/>
      <c r="B104"/>
      <c r="C104"/>
      <c r="D104"/>
      <c r="E104"/>
      <c r="F104"/>
      <c r="G104"/>
      <c r="H104"/>
      <c r="I104"/>
      <c r="J104"/>
    </row>
    <row r="105" spans="1:10" ht="15" customHeight="1" x14ac:dyDescent="0.15">
      <c r="A105"/>
      <c r="B105"/>
      <c r="C105"/>
      <c r="D105"/>
      <c r="E105"/>
      <c r="F105"/>
      <c r="G105"/>
      <c r="H105"/>
      <c r="I105"/>
      <c r="J105"/>
    </row>
    <row r="106" spans="1:10" ht="15" customHeight="1" x14ac:dyDescent="0.15">
      <c r="A106"/>
      <c r="B106"/>
      <c r="C106"/>
      <c r="D106"/>
      <c r="E106"/>
      <c r="F106"/>
      <c r="G106"/>
      <c r="H106"/>
      <c r="I106"/>
      <c r="J106"/>
    </row>
    <row r="107" spans="1:10" ht="15" customHeight="1" x14ac:dyDescent="0.15">
      <c r="A107"/>
      <c r="B107"/>
      <c r="C107"/>
      <c r="D107"/>
      <c r="E107"/>
      <c r="F107"/>
      <c r="G107"/>
      <c r="H107"/>
      <c r="I107"/>
      <c r="J107"/>
    </row>
    <row r="108" spans="1:10" ht="15" customHeight="1" x14ac:dyDescent="0.15">
      <c r="A108"/>
      <c r="B108"/>
      <c r="C108"/>
      <c r="D108"/>
      <c r="E108"/>
      <c r="F108"/>
      <c r="G108"/>
      <c r="H108"/>
      <c r="I108"/>
      <c r="J108"/>
    </row>
    <row r="109" spans="1:10" ht="15" customHeight="1" x14ac:dyDescent="0.15">
      <c r="A109"/>
      <c r="B109"/>
      <c r="C109"/>
      <c r="D109"/>
      <c r="E109"/>
      <c r="F109"/>
      <c r="G109"/>
      <c r="H109"/>
      <c r="I109"/>
      <c r="J109"/>
    </row>
    <row r="110" spans="1:10" ht="15" customHeight="1" x14ac:dyDescent="0.15">
      <c r="A110"/>
      <c r="B110"/>
      <c r="C110"/>
      <c r="D110"/>
      <c r="E110"/>
      <c r="F110"/>
      <c r="G110"/>
      <c r="H110"/>
      <c r="I110"/>
      <c r="J110"/>
    </row>
    <row r="111" spans="1:10" ht="15" customHeight="1" x14ac:dyDescent="0.15">
      <c r="A111"/>
      <c r="B111"/>
      <c r="C111"/>
      <c r="D111"/>
      <c r="E111"/>
      <c r="F111"/>
      <c r="G111"/>
      <c r="H111"/>
      <c r="I111"/>
      <c r="J111"/>
    </row>
    <row r="112" spans="1:10" ht="15" customHeight="1" x14ac:dyDescent="0.15">
      <c r="A112"/>
      <c r="B112"/>
      <c r="C112"/>
      <c r="D112"/>
      <c r="E112"/>
      <c r="F112"/>
      <c r="G112"/>
      <c r="H112"/>
      <c r="I112"/>
      <c r="J112"/>
    </row>
    <row r="113" spans="1:10" ht="15" customHeight="1" x14ac:dyDescent="0.15">
      <c r="A113"/>
      <c r="B113"/>
      <c r="C113"/>
      <c r="D113"/>
      <c r="E113"/>
      <c r="F113"/>
      <c r="G113"/>
      <c r="H113"/>
      <c r="I113"/>
      <c r="J113"/>
    </row>
    <row r="114" spans="1:10" ht="15" customHeight="1" x14ac:dyDescent="0.15">
      <c r="A114"/>
      <c r="B114"/>
      <c r="C114"/>
      <c r="D114"/>
      <c r="E114"/>
      <c r="F114"/>
      <c r="G114"/>
      <c r="H114"/>
      <c r="I114"/>
      <c r="J114"/>
    </row>
    <row r="115" spans="1:10" ht="15" customHeight="1" x14ac:dyDescent="0.15">
      <c r="A115"/>
      <c r="B115"/>
      <c r="C115"/>
      <c r="D115"/>
      <c r="E115"/>
      <c r="F115"/>
      <c r="G115"/>
      <c r="H115"/>
      <c r="I115"/>
      <c r="J115"/>
    </row>
    <row r="116" spans="1:10" ht="15" customHeight="1" x14ac:dyDescent="0.15">
      <c r="A116"/>
      <c r="B116"/>
      <c r="C116"/>
      <c r="D116"/>
      <c r="E116"/>
      <c r="F116"/>
      <c r="G116"/>
      <c r="H116"/>
      <c r="I116"/>
      <c r="J116"/>
    </row>
    <row r="117" spans="1:10" ht="15" customHeight="1" x14ac:dyDescent="0.15">
      <c r="A117"/>
      <c r="B117"/>
      <c r="C117"/>
      <c r="D117"/>
      <c r="E117"/>
      <c r="F117"/>
      <c r="G117"/>
      <c r="H117"/>
      <c r="I117"/>
      <c r="J117"/>
    </row>
    <row r="118" spans="1:10" ht="15" customHeight="1" x14ac:dyDescent="0.15">
      <c r="A118"/>
      <c r="B118"/>
      <c r="C118"/>
      <c r="D118"/>
      <c r="E118"/>
      <c r="F118"/>
      <c r="G118"/>
      <c r="H118"/>
      <c r="I118"/>
      <c r="J118"/>
    </row>
    <row r="119" spans="1:10" ht="15" customHeight="1" x14ac:dyDescent="0.15">
      <c r="A119"/>
      <c r="B119"/>
      <c r="C119"/>
      <c r="D119"/>
      <c r="E119"/>
      <c r="F119"/>
      <c r="G119"/>
      <c r="H119"/>
      <c r="I119"/>
      <c r="J119"/>
    </row>
    <row r="120" spans="1:10" ht="15" customHeight="1" x14ac:dyDescent="0.15">
      <c r="A120"/>
      <c r="B120"/>
      <c r="C120"/>
      <c r="D120"/>
      <c r="E120"/>
      <c r="F120"/>
      <c r="G120"/>
      <c r="H120"/>
      <c r="I120"/>
      <c r="J120"/>
    </row>
    <row r="121" spans="1:10" ht="15" customHeight="1" x14ac:dyDescent="0.15">
      <c r="A121"/>
      <c r="B121"/>
      <c r="C121"/>
      <c r="D121"/>
      <c r="E121"/>
      <c r="F121"/>
      <c r="G121"/>
      <c r="H121"/>
      <c r="I121"/>
      <c r="J121"/>
    </row>
    <row r="122" spans="1:10" ht="15" customHeight="1" x14ac:dyDescent="0.15">
      <c r="A122"/>
      <c r="B122"/>
      <c r="C122"/>
      <c r="D122"/>
      <c r="E122"/>
      <c r="F122"/>
      <c r="G122"/>
      <c r="H122"/>
      <c r="I122"/>
      <c r="J122"/>
    </row>
    <row r="123" spans="1:10" ht="15" customHeight="1" x14ac:dyDescent="0.15">
      <c r="A123"/>
      <c r="B123"/>
      <c r="C123"/>
      <c r="D123"/>
      <c r="E123"/>
      <c r="F123"/>
      <c r="G123"/>
      <c r="H123"/>
      <c r="I123"/>
      <c r="J123"/>
    </row>
    <row r="124" spans="1:10" ht="15" customHeight="1" x14ac:dyDescent="0.15">
      <c r="A124"/>
      <c r="B124"/>
      <c r="C124"/>
      <c r="D124"/>
      <c r="E124"/>
      <c r="F124"/>
      <c r="G124"/>
      <c r="H124"/>
      <c r="I124"/>
      <c r="J124"/>
    </row>
    <row r="125" spans="1:10" ht="15" customHeight="1" x14ac:dyDescent="0.15">
      <c r="A125"/>
      <c r="B125"/>
      <c r="C125"/>
      <c r="D125"/>
      <c r="E125"/>
      <c r="F125"/>
      <c r="G125"/>
      <c r="H125"/>
      <c r="I125"/>
      <c r="J125"/>
    </row>
    <row r="126" spans="1:10" ht="15" customHeight="1" x14ac:dyDescent="0.15">
      <c r="A126"/>
      <c r="B126"/>
      <c r="C126"/>
      <c r="D126"/>
      <c r="E126"/>
      <c r="F126"/>
      <c r="G126"/>
      <c r="H126"/>
      <c r="I126"/>
      <c r="J126"/>
    </row>
    <row r="127" spans="1:10" ht="15" customHeight="1" x14ac:dyDescent="0.15">
      <c r="A127"/>
      <c r="B127"/>
      <c r="C127"/>
      <c r="D127"/>
      <c r="E127"/>
      <c r="F127"/>
      <c r="G127"/>
      <c r="H127"/>
      <c r="I127"/>
      <c r="J127"/>
    </row>
    <row r="128" spans="1:10" ht="15" customHeight="1" x14ac:dyDescent="0.15">
      <c r="A128"/>
      <c r="B128"/>
      <c r="C128"/>
      <c r="D128"/>
      <c r="E128"/>
      <c r="F128"/>
      <c r="G128"/>
      <c r="H128"/>
      <c r="I128"/>
      <c r="J128"/>
    </row>
    <row r="129" spans="1:10" ht="15" customHeight="1" x14ac:dyDescent="0.15">
      <c r="A129"/>
      <c r="B129"/>
      <c r="C129"/>
      <c r="D129"/>
      <c r="E129"/>
      <c r="F129"/>
      <c r="G129"/>
      <c r="H129"/>
      <c r="I129"/>
      <c r="J129"/>
    </row>
    <row r="130" spans="1:10" ht="15" customHeight="1" x14ac:dyDescent="0.15">
      <c r="A130"/>
      <c r="B130"/>
      <c r="C130"/>
      <c r="D130"/>
      <c r="E130"/>
      <c r="F130"/>
      <c r="G130"/>
      <c r="H130"/>
      <c r="I130"/>
      <c r="J130"/>
    </row>
    <row r="131" spans="1:10" ht="15" customHeight="1" x14ac:dyDescent="0.15">
      <c r="A131"/>
      <c r="B131"/>
      <c r="C131"/>
      <c r="D131"/>
      <c r="E131"/>
      <c r="F131"/>
      <c r="G131"/>
      <c r="H131"/>
      <c r="I131"/>
      <c r="J131"/>
    </row>
    <row r="132" spans="1:10" ht="15" customHeight="1" x14ac:dyDescent="0.15">
      <c r="A132"/>
      <c r="B132"/>
      <c r="C132"/>
      <c r="D132"/>
      <c r="E132"/>
      <c r="F132"/>
      <c r="G132"/>
      <c r="H132"/>
      <c r="I132"/>
      <c r="J132"/>
    </row>
    <row r="133" spans="1:10" ht="15" customHeight="1" x14ac:dyDescent="0.15">
      <c r="A133"/>
      <c r="B133"/>
      <c r="C133"/>
      <c r="D133"/>
      <c r="E133"/>
      <c r="F133"/>
      <c r="G133"/>
      <c r="H133"/>
      <c r="I133"/>
      <c r="J133"/>
    </row>
    <row r="134" spans="1:10" ht="15" customHeight="1" x14ac:dyDescent="0.15">
      <c r="A134"/>
      <c r="B134"/>
      <c r="C134"/>
      <c r="D134"/>
      <c r="E134"/>
      <c r="F134"/>
      <c r="G134"/>
      <c r="H134"/>
      <c r="I134"/>
      <c r="J134"/>
    </row>
    <row r="135" spans="1:10" ht="15" customHeight="1" x14ac:dyDescent="0.15">
      <c r="A135"/>
      <c r="B135"/>
      <c r="C135"/>
      <c r="D135"/>
      <c r="E135"/>
      <c r="F135"/>
      <c r="G135"/>
      <c r="H135"/>
      <c r="I135"/>
      <c r="J135"/>
    </row>
    <row r="136" spans="1:10" ht="15" customHeight="1" x14ac:dyDescent="0.15">
      <c r="A136"/>
      <c r="B136"/>
      <c r="C136"/>
      <c r="D136"/>
      <c r="E136"/>
      <c r="F136"/>
      <c r="G136"/>
      <c r="H136"/>
      <c r="I136"/>
      <c r="J136"/>
    </row>
    <row r="137" spans="1:10" ht="15" customHeight="1" x14ac:dyDescent="0.15">
      <c r="A137"/>
      <c r="B137"/>
      <c r="C137"/>
      <c r="D137"/>
      <c r="E137"/>
      <c r="F137"/>
      <c r="G137"/>
      <c r="H137"/>
      <c r="I137"/>
      <c r="J137"/>
    </row>
    <row r="138" spans="1:10" ht="15" customHeight="1" x14ac:dyDescent="0.15">
      <c r="A138"/>
      <c r="B138"/>
      <c r="C138"/>
      <c r="D138"/>
      <c r="E138"/>
      <c r="F138"/>
      <c r="G138"/>
      <c r="H138"/>
      <c r="I138"/>
      <c r="J138"/>
    </row>
    <row r="139" spans="1:10" ht="15" customHeight="1" x14ac:dyDescent="0.15">
      <c r="A139"/>
      <c r="B139"/>
      <c r="C139"/>
      <c r="D139"/>
      <c r="E139"/>
      <c r="F139"/>
      <c r="G139"/>
      <c r="H139"/>
      <c r="I139"/>
      <c r="J139"/>
    </row>
    <row r="140" spans="1:10" ht="15" customHeight="1" x14ac:dyDescent="0.15">
      <c r="A140"/>
      <c r="B140"/>
      <c r="C140"/>
      <c r="D140"/>
      <c r="E140"/>
      <c r="F140"/>
      <c r="G140"/>
      <c r="H140"/>
      <c r="I140"/>
      <c r="J140"/>
    </row>
    <row r="141" spans="1:10" ht="15" customHeight="1" x14ac:dyDescent="0.15">
      <c r="A141"/>
      <c r="B141"/>
      <c r="C141"/>
      <c r="D141"/>
      <c r="E141"/>
      <c r="F141"/>
      <c r="G141"/>
      <c r="H141"/>
      <c r="I141"/>
      <c r="J141"/>
    </row>
    <row r="142" spans="1:10" ht="15" customHeight="1" x14ac:dyDescent="0.15">
      <c r="A142"/>
      <c r="B142"/>
      <c r="C142"/>
      <c r="D142"/>
      <c r="E142"/>
      <c r="F142"/>
      <c r="G142"/>
      <c r="H142"/>
      <c r="I142"/>
      <c r="J142"/>
    </row>
    <row r="143" spans="1:10" ht="15" customHeight="1" x14ac:dyDescent="0.15">
      <c r="A143"/>
      <c r="B143"/>
      <c r="C143"/>
      <c r="D143"/>
      <c r="E143"/>
      <c r="F143"/>
      <c r="G143"/>
      <c r="H143"/>
      <c r="I143"/>
      <c r="J143"/>
    </row>
    <row r="144" spans="1:10" ht="15" customHeight="1" x14ac:dyDescent="0.15">
      <c r="A144"/>
      <c r="B144"/>
      <c r="C144"/>
      <c r="D144"/>
      <c r="E144"/>
      <c r="F144"/>
      <c r="G144"/>
      <c r="H144"/>
      <c r="I144"/>
      <c r="J144"/>
    </row>
    <row r="145" spans="1:10" ht="15" customHeight="1" x14ac:dyDescent="0.15">
      <c r="A145"/>
      <c r="B145"/>
      <c r="C145"/>
      <c r="D145"/>
      <c r="E145"/>
      <c r="F145"/>
      <c r="G145"/>
      <c r="H145"/>
      <c r="I145"/>
      <c r="J145"/>
    </row>
    <row r="146" spans="1:10" ht="15" customHeight="1" x14ac:dyDescent="0.15">
      <c r="A146"/>
      <c r="B146"/>
      <c r="C146"/>
      <c r="D146"/>
      <c r="E146"/>
      <c r="F146"/>
      <c r="G146"/>
      <c r="H146"/>
      <c r="I146"/>
      <c r="J146"/>
    </row>
    <row r="147" spans="1:10" ht="15" customHeight="1" x14ac:dyDescent="0.15">
      <c r="A147"/>
      <c r="B147"/>
      <c r="C147"/>
      <c r="D147"/>
      <c r="E147"/>
      <c r="F147"/>
      <c r="G147"/>
      <c r="H147"/>
      <c r="I147"/>
      <c r="J147"/>
    </row>
    <row r="148" spans="1:10" ht="15" customHeight="1" x14ac:dyDescent="0.15">
      <c r="A148"/>
      <c r="B148"/>
      <c r="C148"/>
      <c r="D148"/>
      <c r="E148"/>
      <c r="F148"/>
      <c r="G148"/>
      <c r="H148"/>
      <c r="I148"/>
      <c r="J148"/>
    </row>
    <row r="149" spans="1:10" ht="15" customHeight="1" x14ac:dyDescent="0.15">
      <c r="A149"/>
      <c r="B149"/>
      <c r="C149"/>
      <c r="D149"/>
      <c r="E149"/>
      <c r="F149"/>
      <c r="G149"/>
      <c r="H149"/>
      <c r="I149"/>
      <c r="J149"/>
    </row>
    <row r="150" spans="1:10" ht="15" customHeight="1" x14ac:dyDescent="0.15">
      <c r="A150"/>
      <c r="B150"/>
      <c r="C150"/>
      <c r="D150"/>
      <c r="E150"/>
      <c r="F150"/>
      <c r="G150"/>
      <c r="H150"/>
      <c r="I150"/>
      <c r="J150"/>
    </row>
    <row r="151" spans="1:10" ht="15" customHeight="1" x14ac:dyDescent="0.15">
      <c r="A151"/>
      <c r="B151"/>
      <c r="C151"/>
      <c r="D151"/>
      <c r="E151"/>
      <c r="F151"/>
      <c r="G151"/>
      <c r="H151"/>
      <c r="I151"/>
      <c r="J151"/>
    </row>
    <row r="152" spans="1:10" ht="15" customHeight="1" x14ac:dyDescent="0.15">
      <c r="A152"/>
      <c r="B152"/>
      <c r="C152"/>
      <c r="D152"/>
      <c r="E152"/>
      <c r="F152"/>
      <c r="G152"/>
      <c r="H152"/>
      <c r="I152"/>
      <c r="J152"/>
    </row>
    <row r="153" spans="1:10" ht="15" customHeight="1" x14ac:dyDescent="0.15">
      <c r="A153"/>
      <c r="B153"/>
      <c r="C153"/>
      <c r="D153"/>
      <c r="E153"/>
      <c r="F153"/>
      <c r="G153"/>
      <c r="H153"/>
      <c r="I153"/>
      <c r="J153"/>
    </row>
    <row r="154" spans="1:10" ht="15" customHeight="1" x14ac:dyDescent="0.15">
      <c r="A154"/>
      <c r="B154"/>
      <c r="C154"/>
      <c r="D154"/>
      <c r="E154"/>
      <c r="F154"/>
      <c r="G154"/>
      <c r="H154"/>
      <c r="I154"/>
      <c r="J154"/>
    </row>
    <row r="155" spans="1:10" ht="15" customHeight="1" x14ac:dyDescent="0.15">
      <c r="A155"/>
      <c r="B155"/>
      <c r="C155"/>
      <c r="D155"/>
      <c r="E155"/>
      <c r="F155"/>
      <c r="G155"/>
      <c r="H155"/>
      <c r="I155"/>
      <c r="J155"/>
    </row>
    <row r="156" spans="1:10" ht="15" customHeight="1" x14ac:dyDescent="0.15">
      <c r="A156"/>
      <c r="B156"/>
      <c r="C156"/>
      <c r="D156"/>
      <c r="E156"/>
      <c r="F156"/>
      <c r="G156"/>
      <c r="H156"/>
      <c r="I156"/>
      <c r="J156"/>
    </row>
    <row r="157" spans="1:10" ht="15" customHeight="1" x14ac:dyDescent="0.15">
      <c r="A157"/>
      <c r="B157"/>
      <c r="C157"/>
      <c r="D157"/>
      <c r="E157"/>
      <c r="F157"/>
      <c r="G157"/>
      <c r="H157"/>
      <c r="I157"/>
      <c r="J157"/>
    </row>
    <row r="158" spans="1:10" ht="15" customHeight="1" x14ac:dyDescent="0.15">
      <c r="A158"/>
      <c r="B158"/>
      <c r="C158"/>
      <c r="D158"/>
      <c r="E158"/>
      <c r="F158"/>
      <c r="G158"/>
      <c r="H158"/>
      <c r="I158"/>
      <c r="J158"/>
    </row>
    <row r="159" spans="1:10" ht="15" customHeight="1" x14ac:dyDescent="0.15">
      <c r="A159"/>
      <c r="B159"/>
      <c r="C159"/>
      <c r="D159"/>
      <c r="E159"/>
      <c r="F159"/>
      <c r="G159"/>
      <c r="H159"/>
      <c r="I159"/>
      <c r="J159"/>
    </row>
    <row r="160" spans="1:10" ht="15" customHeight="1" x14ac:dyDescent="0.15">
      <c r="A160"/>
      <c r="B160"/>
      <c r="C160"/>
      <c r="D160"/>
      <c r="E160"/>
      <c r="F160"/>
      <c r="G160"/>
      <c r="H160"/>
      <c r="I160"/>
      <c r="J160"/>
    </row>
    <row r="161" spans="1:10" ht="15" customHeight="1" x14ac:dyDescent="0.15">
      <c r="A161"/>
      <c r="B161"/>
      <c r="C161"/>
      <c r="D161"/>
      <c r="E161"/>
      <c r="F161"/>
      <c r="G161"/>
      <c r="H161"/>
      <c r="I161"/>
      <c r="J161"/>
    </row>
    <row r="162" spans="1:10" ht="15" customHeight="1" x14ac:dyDescent="0.15">
      <c r="A162"/>
      <c r="B162"/>
      <c r="C162"/>
      <c r="D162"/>
      <c r="E162"/>
      <c r="F162"/>
      <c r="G162"/>
      <c r="H162"/>
      <c r="I162"/>
      <c r="J162"/>
    </row>
    <row r="163" spans="1:10" ht="15" customHeight="1" x14ac:dyDescent="0.15">
      <c r="A163"/>
      <c r="B163"/>
      <c r="C163"/>
      <c r="D163"/>
      <c r="E163"/>
      <c r="F163"/>
      <c r="G163"/>
      <c r="H163"/>
      <c r="I163"/>
      <c r="J163"/>
    </row>
    <row r="164" spans="1:10" ht="15" customHeight="1" x14ac:dyDescent="0.15">
      <c r="A164"/>
      <c r="B164"/>
      <c r="C164"/>
      <c r="D164"/>
      <c r="E164"/>
      <c r="F164"/>
      <c r="G164"/>
      <c r="H164"/>
      <c r="I164"/>
      <c r="J164"/>
    </row>
    <row r="165" spans="1:10" ht="15" customHeight="1" x14ac:dyDescent="0.15">
      <c r="A165"/>
      <c r="B165"/>
      <c r="C165"/>
      <c r="D165"/>
      <c r="E165"/>
      <c r="F165"/>
      <c r="G165"/>
      <c r="H165"/>
      <c r="I165"/>
      <c r="J165"/>
    </row>
    <row r="166" spans="1:10" ht="15" customHeight="1" x14ac:dyDescent="0.15">
      <c r="A166"/>
      <c r="B166"/>
      <c r="C166"/>
      <c r="D166"/>
      <c r="E166"/>
      <c r="F166"/>
      <c r="G166"/>
      <c r="H166"/>
      <c r="I166"/>
      <c r="J166"/>
    </row>
    <row r="167" spans="1:10" ht="15" customHeight="1" x14ac:dyDescent="0.15">
      <c r="A167"/>
      <c r="B167"/>
      <c r="C167"/>
      <c r="D167"/>
      <c r="E167"/>
      <c r="F167"/>
      <c r="G167"/>
      <c r="H167"/>
      <c r="I167"/>
      <c r="J167"/>
    </row>
    <row r="168" spans="1:10" ht="15" customHeight="1" x14ac:dyDescent="0.15">
      <c r="A168"/>
      <c r="B168"/>
      <c r="C168"/>
      <c r="D168"/>
      <c r="E168"/>
      <c r="F168"/>
      <c r="G168"/>
      <c r="H168"/>
      <c r="I168"/>
      <c r="J168"/>
    </row>
    <row r="169" spans="1:10" ht="15" customHeight="1" x14ac:dyDescent="0.15">
      <c r="A169"/>
      <c r="B169"/>
      <c r="C169"/>
      <c r="D169"/>
      <c r="E169"/>
      <c r="F169"/>
      <c r="G169"/>
      <c r="H169"/>
      <c r="I169"/>
      <c r="J169"/>
    </row>
    <row r="170" spans="1:10" ht="15" customHeight="1" x14ac:dyDescent="0.15">
      <c r="A170"/>
      <c r="B170"/>
      <c r="C170"/>
      <c r="D170"/>
      <c r="E170"/>
      <c r="F170"/>
      <c r="G170"/>
      <c r="H170"/>
      <c r="I170"/>
      <c r="J170"/>
    </row>
    <row r="171" spans="1:10" ht="15" customHeight="1" x14ac:dyDescent="0.15">
      <c r="A171"/>
      <c r="B171"/>
      <c r="C171"/>
      <c r="D171"/>
      <c r="E171"/>
      <c r="F171"/>
      <c r="G171"/>
      <c r="H171"/>
      <c r="I171"/>
      <c r="J171"/>
    </row>
    <row r="172" spans="1:10" ht="15" customHeight="1" x14ac:dyDescent="0.15">
      <c r="A172"/>
      <c r="B172"/>
      <c r="C172"/>
      <c r="D172"/>
      <c r="E172"/>
      <c r="F172"/>
      <c r="G172"/>
      <c r="H172"/>
      <c r="I172"/>
      <c r="J172"/>
    </row>
    <row r="173" spans="1:10" ht="15" customHeight="1" x14ac:dyDescent="0.15">
      <c r="A173"/>
      <c r="B173"/>
      <c r="C173"/>
      <c r="D173"/>
      <c r="E173"/>
      <c r="F173"/>
      <c r="G173"/>
      <c r="H173"/>
      <c r="I173"/>
      <c r="J173"/>
    </row>
    <row r="174" spans="1:10" ht="15" customHeight="1" x14ac:dyDescent="0.15">
      <c r="A174"/>
      <c r="B174"/>
      <c r="C174"/>
      <c r="D174"/>
      <c r="E174"/>
      <c r="F174"/>
      <c r="G174"/>
      <c r="H174"/>
      <c r="I174"/>
      <c r="J174"/>
    </row>
    <row r="175" spans="1:10" ht="15" customHeight="1" x14ac:dyDescent="0.15">
      <c r="A175"/>
      <c r="B175"/>
      <c r="C175"/>
      <c r="D175"/>
      <c r="E175"/>
      <c r="F175"/>
      <c r="G175"/>
      <c r="H175"/>
      <c r="I175"/>
      <c r="J175"/>
    </row>
    <row r="176" spans="1:10" ht="15" customHeight="1" x14ac:dyDescent="0.15">
      <c r="A176"/>
      <c r="B176"/>
      <c r="C176"/>
      <c r="D176"/>
      <c r="E176"/>
      <c r="F176"/>
      <c r="G176"/>
      <c r="H176"/>
      <c r="I176"/>
      <c r="J176"/>
    </row>
    <row r="177" spans="1:10" ht="15" customHeight="1" x14ac:dyDescent="0.15">
      <c r="A177"/>
      <c r="B177"/>
      <c r="C177"/>
      <c r="D177"/>
      <c r="E177"/>
      <c r="F177"/>
      <c r="G177"/>
      <c r="H177"/>
      <c r="I177"/>
      <c r="J177"/>
    </row>
    <row r="178" spans="1:10" ht="15" customHeight="1" x14ac:dyDescent="0.15">
      <c r="A178"/>
      <c r="B178"/>
      <c r="C178"/>
      <c r="D178"/>
      <c r="E178"/>
      <c r="F178"/>
      <c r="G178"/>
      <c r="H178"/>
      <c r="I178"/>
      <c r="J178"/>
    </row>
    <row r="179" spans="1:10" ht="15" customHeight="1" x14ac:dyDescent="0.15">
      <c r="A179"/>
      <c r="B179"/>
      <c r="C179"/>
      <c r="D179"/>
      <c r="E179"/>
      <c r="F179"/>
      <c r="G179"/>
      <c r="H179"/>
      <c r="I179"/>
      <c r="J179"/>
    </row>
    <row r="180" spans="1:10" ht="15" customHeight="1" x14ac:dyDescent="0.15">
      <c r="A180"/>
      <c r="B180"/>
      <c r="C180"/>
      <c r="D180"/>
      <c r="E180"/>
      <c r="F180"/>
      <c r="G180"/>
      <c r="H180"/>
      <c r="I180"/>
      <c r="J180"/>
    </row>
    <row r="181" spans="1:10" ht="15" customHeight="1" x14ac:dyDescent="0.15">
      <c r="A181"/>
      <c r="B181"/>
      <c r="C181"/>
      <c r="D181"/>
      <c r="E181"/>
      <c r="F181"/>
      <c r="G181"/>
      <c r="H181"/>
      <c r="I181"/>
      <c r="J181"/>
    </row>
    <row r="182" spans="1:10" ht="15" customHeight="1" x14ac:dyDescent="0.15">
      <c r="A182"/>
      <c r="B182"/>
      <c r="C182"/>
      <c r="D182"/>
      <c r="E182"/>
      <c r="F182"/>
      <c r="G182"/>
      <c r="H182"/>
      <c r="I182"/>
      <c r="J182"/>
    </row>
    <row r="183" spans="1:10" ht="15" customHeight="1" x14ac:dyDescent="0.15">
      <c r="A183"/>
      <c r="B183"/>
      <c r="C183"/>
      <c r="D183"/>
      <c r="E183"/>
      <c r="F183"/>
      <c r="G183"/>
      <c r="H183"/>
      <c r="I183"/>
      <c r="J183"/>
    </row>
    <row r="184" spans="1:10" ht="15" customHeight="1" x14ac:dyDescent="0.15">
      <c r="A184"/>
      <c r="B184"/>
      <c r="C184"/>
      <c r="D184"/>
      <c r="E184"/>
      <c r="F184"/>
      <c r="G184"/>
      <c r="H184"/>
      <c r="I184"/>
      <c r="J184"/>
    </row>
    <row r="185" spans="1:10" ht="15" customHeight="1" x14ac:dyDescent="0.15">
      <c r="A185"/>
      <c r="B185"/>
      <c r="C185"/>
      <c r="D185"/>
      <c r="E185"/>
      <c r="F185"/>
      <c r="G185"/>
      <c r="H185"/>
      <c r="I185"/>
      <c r="J185"/>
    </row>
    <row r="186" spans="1:10" ht="15" customHeight="1" x14ac:dyDescent="0.15">
      <c r="A186"/>
      <c r="B186"/>
      <c r="C186"/>
      <c r="D186"/>
      <c r="E186"/>
      <c r="F186"/>
      <c r="G186"/>
      <c r="H186"/>
      <c r="I186"/>
      <c r="J186"/>
    </row>
    <row r="187" spans="1:10" ht="15" customHeight="1" x14ac:dyDescent="0.15">
      <c r="A187"/>
      <c r="B187"/>
      <c r="C187"/>
      <c r="D187"/>
      <c r="E187"/>
      <c r="F187"/>
      <c r="G187"/>
      <c r="H187"/>
      <c r="I187"/>
      <c r="J187"/>
    </row>
    <row r="188" spans="1:10" ht="15" customHeight="1" x14ac:dyDescent="0.15">
      <c r="A188"/>
      <c r="B188"/>
      <c r="C188"/>
      <c r="D188"/>
      <c r="E188"/>
      <c r="F188"/>
      <c r="G188"/>
      <c r="H188"/>
      <c r="I188"/>
      <c r="J188"/>
    </row>
    <row r="189" spans="1:10" ht="15" customHeight="1" x14ac:dyDescent="0.15">
      <c r="A189"/>
      <c r="B189"/>
      <c r="C189"/>
      <c r="D189"/>
      <c r="E189"/>
      <c r="F189"/>
      <c r="G189"/>
      <c r="H189"/>
      <c r="I189"/>
      <c r="J189"/>
    </row>
    <row r="190" spans="1:10" ht="15" customHeight="1" x14ac:dyDescent="0.15">
      <c r="A190"/>
      <c r="B190"/>
      <c r="C190"/>
      <c r="D190"/>
      <c r="E190"/>
      <c r="F190"/>
      <c r="G190"/>
      <c r="H190"/>
      <c r="I190"/>
      <c r="J190"/>
    </row>
    <row r="191" spans="1:10" ht="15" customHeight="1" x14ac:dyDescent="0.15">
      <c r="A191"/>
      <c r="B191"/>
      <c r="C191"/>
      <c r="D191"/>
      <c r="E191"/>
      <c r="F191"/>
      <c r="G191"/>
      <c r="H191"/>
      <c r="I191"/>
      <c r="J191"/>
    </row>
    <row r="192" spans="1:10" ht="15" customHeight="1" x14ac:dyDescent="0.15">
      <c r="A192"/>
      <c r="B192"/>
      <c r="C192"/>
      <c r="D192"/>
      <c r="E192"/>
      <c r="F192"/>
      <c r="G192"/>
      <c r="H192"/>
      <c r="I192"/>
      <c r="J192"/>
    </row>
    <row r="193" spans="1:10" ht="15" customHeight="1" x14ac:dyDescent="0.15">
      <c r="A193"/>
      <c r="B193"/>
      <c r="C193"/>
      <c r="D193"/>
      <c r="E193"/>
      <c r="F193"/>
      <c r="G193"/>
      <c r="H193"/>
      <c r="I193"/>
      <c r="J193"/>
    </row>
    <row r="194" spans="1:10" ht="15" customHeight="1" x14ac:dyDescent="0.15">
      <c r="A194"/>
      <c r="B194"/>
      <c r="C194"/>
      <c r="D194"/>
      <c r="E194"/>
      <c r="F194"/>
      <c r="G194"/>
      <c r="H194"/>
      <c r="I194"/>
      <c r="J194"/>
    </row>
    <row r="195" spans="1:10" ht="15" customHeight="1" x14ac:dyDescent="0.15">
      <c r="A195"/>
      <c r="B195"/>
      <c r="C195"/>
      <c r="D195"/>
      <c r="E195"/>
      <c r="F195"/>
      <c r="G195"/>
      <c r="H195"/>
      <c r="I195"/>
      <c r="J195"/>
    </row>
    <row r="196" spans="1:10" ht="15" customHeight="1" x14ac:dyDescent="0.15">
      <c r="A196"/>
      <c r="B196"/>
      <c r="C196"/>
      <c r="D196"/>
      <c r="E196"/>
      <c r="F196"/>
      <c r="G196"/>
      <c r="H196"/>
      <c r="I196"/>
      <c r="J196"/>
    </row>
    <row r="197" spans="1:10" ht="15" customHeight="1" x14ac:dyDescent="0.15">
      <c r="A197"/>
      <c r="B197"/>
      <c r="C197"/>
      <c r="D197"/>
      <c r="E197"/>
      <c r="F197"/>
      <c r="G197"/>
      <c r="H197"/>
      <c r="I197"/>
      <c r="J197"/>
    </row>
    <row r="198" spans="1:10" ht="15" customHeight="1" x14ac:dyDescent="0.15">
      <c r="A198"/>
      <c r="B198"/>
      <c r="C198"/>
      <c r="D198"/>
      <c r="E198"/>
      <c r="F198"/>
      <c r="G198"/>
      <c r="H198"/>
      <c r="I198"/>
      <c r="J198"/>
    </row>
    <row r="199" spans="1:10" ht="15" customHeight="1" x14ac:dyDescent="0.15">
      <c r="A199"/>
      <c r="B199"/>
      <c r="C199"/>
      <c r="D199"/>
      <c r="E199"/>
      <c r="F199"/>
      <c r="G199"/>
      <c r="H199"/>
      <c r="I199"/>
      <c r="J199"/>
    </row>
    <row r="200" spans="1:10" ht="15" customHeight="1" x14ac:dyDescent="0.15">
      <c r="A200"/>
      <c r="B200"/>
      <c r="C200"/>
      <c r="D200"/>
      <c r="E200"/>
      <c r="F200"/>
      <c r="G200"/>
      <c r="H200"/>
      <c r="I200"/>
      <c r="J200"/>
    </row>
    <row r="201" spans="1:10" ht="15" customHeight="1" x14ac:dyDescent="0.15">
      <c r="A201"/>
      <c r="B201"/>
      <c r="C201"/>
      <c r="D201"/>
      <c r="E201"/>
      <c r="F201"/>
      <c r="G201"/>
      <c r="H201"/>
      <c r="I201"/>
      <c r="J201"/>
    </row>
    <row r="202" spans="1:10" ht="15" customHeight="1" x14ac:dyDescent="0.15">
      <c r="A202"/>
      <c r="B202"/>
      <c r="C202"/>
      <c r="D202"/>
      <c r="E202"/>
      <c r="F202"/>
      <c r="G202"/>
      <c r="H202"/>
      <c r="I202"/>
      <c r="J202"/>
    </row>
    <row r="203" spans="1:10" ht="15" customHeight="1" x14ac:dyDescent="0.15">
      <c r="A203"/>
      <c r="B203"/>
      <c r="C203"/>
      <c r="D203"/>
      <c r="E203"/>
      <c r="F203"/>
      <c r="G203"/>
      <c r="H203"/>
      <c r="I203"/>
      <c r="J203"/>
    </row>
    <row r="204" spans="1:10" ht="15" customHeight="1" x14ac:dyDescent="0.15">
      <c r="A204"/>
      <c r="B204"/>
      <c r="C204"/>
      <c r="D204"/>
      <c r="E204"/>
      <c r="F204"/>
      <c r="G204"/>
      <c r="H204"/>
      <c r="I204"/>
      <c r="J204"/>
    </row>
    <row r="205" spans="1:10" ht="15" customHeight="1" x14ac:dyDescent="0.15">
      <c r="A205"/>
      <c r="B205"/>
      <c r="C205"/>
      <c r="D205"/>
      <c r="E205"/>
      <c r="F205"/>
      <c r="G205"/>
      <c r="H205"/>
      <c r="I205"/>
      <c r="J205"/>
    </row>
    <row r="206" spans="1:10" ht="15" customHeight="1" x14ac:dyDescent="0.15">
      <c r="A206"/>
      <c r="B206"/>
      <c r="C206"/>
      <c r="D206"/>
      <c r="E206"/>
      <c r="F206"/>
      <c r="G206"/>
      <c r="H206"/>
      <c r="I206"/>
      <c r="J206"/>
    </row>
    <row r="207" spans="1:10" ht="15" customHeight="1" x14ac:dyDescent="0.15">
      <c r="A207"/>
      <c r="B207"/>
      <c r="C207"/>
      <c r="D207"/>
      <c r="E207"/>
      <c r="F207"/>
      <c r="G207"/>
      <c r="H207"/>
      <c r="I207"/>
      <c r="J207"/>
    </row>
    <row r="208" spans="1:10" ht="15" customHeight="1" x14ac:dyDescent="0.15">
      <c r="A208"/>
      <c r="B208"/>
      <c r="C208"/>
      <c r="D208"/>
      <c r="E208"/>
      <c r="F208"/>
      <c r="G208"/>
      <c r="H208"/>
      <c r="I208"/>
      <c r="J208"/>
    </row>
    <row r="209" spans="1:10" ht="15" customHeight="1" x14ac:dyDescent="0.15">
      <c r="A209"/>
      <c r="B209"/>
      <c r="C209"/>
      <c r="D209"/>
      <c r="E209"/>
      <c r="F209"/>
      <c r="G209"/>
      <c r="H209"/>
      <c r="I209"/>
      <c r="J209"/>
    </row>
    <row r="210" spans="1:10" ht="15" customHeight="1" x14ac:dyDescent="0.15">
      <c r="A210"/>
      <c r="B210"/>
      <c r="C210"/>
      <c r="D210"/>
      <c r="E210"/>
      <c r="F210"/>
      <c r="G210"/>
      <c r="H210"/>
      <c r="I210"/>
      <c r="J210"/>
    </row>
    <row r="211" spans="1:10" ht="15" customHeight="1" x14ac:dyDescent="0.15">
      <c r="A211"/>
      <c r="B211"/>
      <c r="C211"/>
      <c r="D211"/>
      <c r="E211"/>
      <c r="F211"/>
      <c r="G211"/>
      <c r="H211"/>
      <c r="I211"/>
      <c r="J211"/>
    </row>
    <row r="212" spans="1:10" ht="15" customHeight="1" x14ac:dyDescent="0.15">
      <c r="A212"/>
      <c r="B212"/>
      <c r="C212"/>
      <c r="D212"/>
      <c r="E212"/>
      <c r="F212"/>
      <c r="G212"/>
      <c r="H212"/>
      <c r="I212"/>
      <c r="J212"/>
    </row>
    <row r="213" spans="1:10" ht="15" customHeight="1" x14ac:dyDescent="0.15">
      <c r="A213"/>
      <c r="B213"/>
      <c r="C213"/>
      <c r="D213"/>
      <c r="E213"/>
      <c r="F213"/>
      <c r="G213"/>
      <c r="H213"/>
      <c r="I213"/>
      <c r="J213"/>
    </row>
    <row r="214" spans="1:10" ht="15" customHeight="1" x14ac:dyDescent="0.15">
      <c r="A214"/>
      <c r="B214"/>
      <c r="C214"/>
      <c r="D214"/>
      <c r="E214"/>
      <c r="F214"/>
      <c r="G214"/>
      <c r="H214"/>
      <c r="I214"/>
      <c r="J214"/>
    </row>
    <row r="215" spans="1:10" ht="15" customHeight="1" x14ac:dyDescent="0.15">
      <c r="A215"/>
      <c r="B215"/>
      <c r="C215"/>
      <c r="D215"/>
      <c r="E215"/>
      <c r="F215"/>
      <c r="G215"/>
      <c r="H215"/>
      <c r="I215"/>
      <c r="J215"/>
    </row>
    <row r="216" spans="1:10" ht="15" customHeight="1" x14ac:dyDescent="0.15">
      <c r="A216"/>
      <c r="B216"/>
      <c r="C216"/>
      <c r="D216"/>
      <c r="E216"/>
      <c r="F216"/>
      <c r="G216"/>
      <c r="H216"/>
      <c r="I216"/>
      <c r="J216"/>
    </row>
    <row r="217" spans="1:10" ht="15" customHeight="1" x14ac:dyDescent="0.15">
      <c r="A217"/>
      <c r="B217"/>
      <c r="C217"/>
      <c r="D217"/>
      <c r="E217"/>
      <c r="F217"/>
      <c r="G217"/>
      <c r="H217"/>
      <c r="I217"/>
      <c r="J217"/>
    </row>
    <row r="218" spans="1:10" ht="15" customHeight="1" x14ac:dyDescent="0.15">
      <c r="A218"/>
      <c r="B218"/>
      <c r="C218"/>
      <c r="D218"/>
      <c r="E218"/>
      <c r="F218"/>
      <c r="G218"/>
      <c r="H218"/>
      <c r="I218"/>
      <c r="J218"/>
    </row>
    <row r="219" spans="1:10" ht="15" customHeight="1" x14ac:dyDescent="0.15">
      <c r="A219"/>
      <c r="B219"/>
      <c r="C219"/>
      <c r="D219"/>
      <c r="E219"/>
      <c r="F219"/>
      <c r="G219"/>
      <c r="H219"/>
      <c r="I219"/>
      <c r="J219"/>
    </row>
    <row r="220" spans="1:10" ht="15" customHeight="1" x14ac:dyDescent="0.15">
      <c r="A220"/>
      <c r="B220"/>
      <c r="C220"/>
      <c r="D220"/>
      <c r="E220"/>
      <c r="F220"/>
      <c r="G220"/>
      <c r="H220"/>
      <c r="I220"/>
      <c r="J220"/>
    </row>
    <row r="221" spans="1:10" ht="15" customHeight="1" x14ac:dyDescent="0.15">
      <c r="A221"/>
      <c r="B221"/>
      <c r="C221"/>
      <c r="D221"/>
      <c r="E221"/>
      <c r="F221"/>
      <c r="G221"/>
      <c r="H221"/>
      <c r="I221"/>
      <c r="J221"/>
    </row>
    <row r="222" spans="1:10" ht="15" customHeight="1" x14ac:dyDescent="0.15">
      <c r="A222"/>
      <c r="B222"/>
      <c r="C222"/>
      <c r="D222"/>
      <c r="E222"/>
      <c r="F222"/>
      <c r="G222"/>
      <c r="H222"/>
      <c r="I222"/>
      <c r="J222"/>
    </row>
    <row r="223" spans="1:10" ht="15" customHeight="1" x14ac:dyDescent="0.15">
      <c r="A223"/>
      <c r="B223"/>
      <c r="C223"/>
      <c r="D223"/>
      <c r="E223"/>
      <c r="F223"/>
      <c r="G223"/>
      <c r="H223"/>
      <c r="I223"/>
      <c r="J223"/>
    </row>
    <row r="224" spans="1:10" ht="15" customHeight="1" x14ac:dyDescent="0.15">
      <c r="A224"/>
      <c r="B224"/>
      <c r="C224"/>
      <c r="D224"/>
      <c r="E224"/>
      <c r="F224"/>
      <c r="G224"/>
      <c r="H224"/>
      <c r="I224"/>
      <c r="J224"/>
    </row>
    <row r="225" spans="1:10" ht="15" customHeight="1" x14ac:dyDescent="0.15">
      <c r="A225"/>
      <c r="B225"/>
      <c r="C225"/>
      <c r="D225"/>
      <c r="E225"/>
      <c r="F225"/>
      <c r="G225"/>
      <c r="H225"/>
      <c r="I225"/>
      <c r="J225"/>
    </row>
    <row r="226" spans="1:10" ht="15" customHeight="1" x14ac:dyDescent="0.15">
      <c r="A226"/>
      <c r="B226"/>
      <c r="C226"/>
      <c r="D226"/>
      <c r="E226"/>
      <c r="F226"/>
      <c r="G226"/>
      <c r="H226"/>
      <c r="I226"/>
      <c r="J226"/>
    </row>
    <row r="227" spans="1:10" ht="15" customHeight="1" x14ac:dyDescent="0.15">
      <c r="A227"/>
      <c r="B227"/>
      <c r="C227"/>
      <c r="D227"/>
      <c r="E227"/>
      <c r="F227"/>
      <c r="G227"/>
      <c r="H227"/>
      <c r="I227"/>
      <c r="J227"/>
    </row>
    <row r="228" spans="1:10" ht="15" customHeight="1" x14ac:dyDescent="0.15">
      <c r="A228"/>
      <c r="B228"/>
      <c r="C228"/>
      <c r="D228"/>
      <c r="E228"/>
      <c r="F228"/>
      <c r="G228"/>
      <c r="H228"/>
      <c r="I228"/>
      <c r="J228"/>
    </row>
    <row r="229" spans="1:10" ht="15" customHeight="1" x14ac:dyDescent="0.15">
      <c r="A229"/>
      <c r="B229"/>
      <c r="C229"/>
      <c r="D229"/>
      <c r="E229"/>
      <c r="F229"/>
      <c r="G229"/>
      <c r="H229"/>
      <c r="I229"/>
      <c r="J229"/>
    </row>
    <row r="230" spans="1:10" ht="15" customHeight="1" x14ac:dyDescent="0.15">
      <c r="A230"/>
      <c r="B230"/>
      <c r="C230"/>
      <c r="D230"/>
      <c r="E230"/>
      <c r="F230"/>
      <c r="G230"/>
      <c r="H230"/>
      <c r="I230"/>
      <c r="J230"/>
    </row>
    <row r="231" spans="1:10" ht="15" customHeight="1" x14ac:dyDescent="0.15">
      <c r="A231"/>
      <c r="B231"/>
      <c r="C231"/>
      <c r="D231"/>
      <c r="E231"/>
      <c r="F231"/>
      <c r="G231"/>
      <c r="H231"/>
      <c r="I231"/>
      <c r="J231"/>
    </row>
    <row r="232" spans="1:10" ht="15" customHeight="1" x14ac:dyDescent="0.15">
      <c r="A232"/>
      <c r="B232"/>
      <c r="C232"/>
      <c r="D232"/>
      <c r="E232"/>
      <c r="F232"/>
      <c r="G232"/>
      <c r="H232"/>
      <c r="I232"/>
      <c r="J232"/>
    </row>
    <row r="233" spans="1:10" ht="15" customHeight="1" x14ac:dyDescent="0.15">
      <c r="A233"/>
      <c r="B233"/>
      <c r="C233"/>
      <c r="D233"/>
      <c r="E233"/>
      <c r="F233"/>
      <c r="G233"/>
      <c r="H233"/>
      <c r="I233"/>
      <c r="J233"/>
    </row>
    <row r="234" spans="1:10" ht="15" customHeight="1" x14ac:dyDescent="0.15">
      <c r="A234"/>
      <c r="B234"/>
      <c r="C234"/>
      <c r="D234"/>
      <c r="E234"/>
      <c r="F234"/>
      <c r="G234"/>
      <c r="H234"/>
      <c r="I234"/>
      <c r="J234"/>
    </row>
    <row r="235" spans="1:10" ht="15" customHeight="1" x14ac:dyDescent="0.15">
      <c r="A235"/>
      <c r="B235"/>
      <c r="C235"/>
      <c r="D235"/>
      <c r="E235"/>
      <c r="F235"/>
      <c r="G235"/>
      <c r="H235"/>
      <c r="I235"/>
      <c r="J235"/>
    </row>
    <row r="236" spans="1:10" ht="15" customHeight="1" x14ac:dyDescent="0.15">
      <c r="A236"/>
      <c r="B236"/>
      <c r="C236"/>
      <c r="D236"/>
      <c r="E236"/>
      <c r="F236"/>
      <c r="G236"/>
      <c r="H236"/>
      <c r="I236"/>
      <c r="J236"/>
    </row>
    <row r="237" spans="1:10" ht="15" customHeight="1" x14ac:dyDescent="0.15">
      <c r="A237"/>
      <c r="B237"/>
      <c r="C237"/>
      <c r="D237"/>
      <c r="E237"/>
      <c r="F237"/>
      <c r="G237"/>
      <c r="H237"/>
      <c r="I237"/>
      <c r="J237"/>
    </row>
    <row r="238" spans="1:10" ht="15" customHeight="1" x14ac:dyDescent="0.15">
      <c r="A238"/>
      <c r="B238"/>
      <c r="C238"/>
      <c r="D238"/>
      <c r="E238"/>
      <c r="F238"/>
      <c r="G238"/>
      <c r="H238"/>
      <c r="I238"/>
      <c r="J238"/>
    </row>
    <row r="239" spans="1:10" ht="15" customHeight="1" x14ac:dyDescent="0.15">
      <c r="A239"/>
      <c r="B239"/>
      <c r="C239"/>
      <c r="D239"/>
      <c r="E239"/>
      <c r="F239"/>
      <c r="G239"/>
      <c r="H239"/>
      <c r="I239"/>
      <c r="J239"/>
    </row>
    <row r="240" spans="1:10" ht="15" customHeight="1" x14ac:dyDescent="0.15">
      <c r="A240"/>
      <c r="B240"/>
      <c r="C240"/>
      <c r="D240"/>
      <c r="E240"/>
      <c r="F240"/>
      <c r="G240"/>
      <c r="H240"/>
      <c r="I240"/>
      <c r="J240"/>
    </row>
    <row r="241" spans="1:10" ht="15" customHeight="1" x14ac:dyDescent="0.15">
      <c r="A241"/>
      <c r="B241"/>
      <c r="C241"/>
      <c r="D241"/>
      <c r="E241"/>
      <c r="F241"/>
      <c r="G241"/>
      <c r="H241"/>
      <c r="I241"/>
      <c r="J241"/>
    </row>
    <row r="242" spans="1:10" ht="15" customHeight="1" x14ac:dyDescent="0.15">
      <c r="A242"/>
      <c r="B242"/>
      <c r="C242"/>
      <c r="D242"/>
      <c r="E242"/>
      <c r="F242"/>
      <c r="G242"/>
      <c r="H242"/>
      <c r="I242"/>
      <c r="J242"/>
    </row>
    <row r="243" spans="1:10" ht="15" customHeight="1" x14ac:dyDescent="0.15">
      <c r="A243"/>
      <c r="B243"/>
      <c r="C243"/>
      <c r="D243"/>
      <c r="E243"/>
      <c r="F243"/>
      <c r="G243"/>
      <c r="H243"/>
      <c r="I243"/>
      <c r="J243"/>
    </row>
    <row r="244" spans="1:10" ht="15" customHeight="1" x14ac:dyDescent="0.15">
      <c r="A244"/>
      <c r="B244"/>
      <c r="C244"/>
      <c r="D244"/>
      <c r="E244"/>
      <c r="F244"/>
      <c r="G244"/>
      <c r="H244"/>
      <c r="I244"/>
      <c r="J244"/>
    </row>
    <row r="245" spans="1:10" ht="15" customHeight="1" x14ac:dyDescent="0.15">
      <c r="A245"/>
      <c r="B245"/>
      <c r="C245"/>
      <c r="D245"/>
      <c r="E245"/>
      <c r="F245"/>
      <c r="G245"/>
      <c r="H245"/>
      <c r="I245"/>
      <c r="J245"/>
    </row>
    <row r="246" spans="1:10" ht="15" customHeight="1" x14ac:dyDescent="0.15">
      <c r="A246"/>
      <c r="B246"/>
      <c r="C246"/>
      <c r="D246"/>
      <c r="E246"/>
      <c r="F246"/>
      <c r="G246"/>
      <c r="H246"/>
      <c r="I246"/>
      <c r="J246"/>
    </row>
    <row r="247" spans="1:10" ht="15" customHeight="1" x14ac:dyDescent="0.15">
      <c r="A247"/>
      <c r="B247"/>
      <c r="C247"/>
      <c r="D247"/>
      <c r="E247"/>
      <c r="F247"/>
      <c r="G247"/>
      <c r="H247"/>
      <c r="I247"/>
      <c r="J247"/>
    </row>
    <row r="248" spans="1:10" ht="15" customHeight="1" x14ac:dyDescent="0.15">
      <c r="A248"/>
      <c r="B248"/>
      <c r="C248"/>
      <c r="D248"/>
      <c r="E248"/>
      <c r="F248"/>
      <c r="G248"/>
      <c r="H248"/>
      <c r="I248"/>
      <c r="J248"/>
    </row>
    <row r="249" spans="1:10" ht="15" customHeight="1" x14ac:dyDescent="0.15">
      <c r="A249"/>
      <c r="B249"/>
      <c r="C249"/>
      <c r="D249"/>
      <c r="E249"/>
      <c r="F249"/>
      <c r="G249"/>
      <c r="H249"/>
      <c r="I249"/>
      <c r="J249"/>
    </row>
    <row r="250" spans="1:10" ht="15" customHeight="1" x14ac:dyDescent="0.15">
      <c r="A250"/>
      <c r="B250"/>
      <c r="C250"/>
      <c r="D250"/>
      <c r="E250"/>
      <c r="F250"/>
      <c r="G250"/>
      <c r="H250"/>
      <c r="I250"/>
      <c r="J250"/>
    </row>
    <row r="251" spans="1:10" ht="15" customHeight="1" x14ac:dyDescent="0.15">
      <c r="A251"/>
      <c r="B251"/>
      <c r="C251"/>
      <c r="D251"/>
      <c r="E251"/>
      <c r="F251"/>
      <c r="G251"/>
      <c r="H251"/>
      <c r="I251"/>
      <c r="J251"/>
    </row>
    <row r="252" spans="1:10" ht="15" customHeight="1" x14ac:dyDescent="0.15">
      <c r="A252"/>
      <c r="B252"/>
      <c r="C252"/>
      <c r="D252"/>
      <c r="E252"/>
      <c r="F252"/>
      <c r="G252"/>
      <c r="H252"/>
      <c r="I252"/>
      <c r="J252"/>
    </row>
    <row r="253" spans="1:10" ht="15" customHeight="1" x14ac:dyDescent="0.15">
      <c r="A253"/>
      <c r="B253"/>
      <c r="C253"/>
      <c r="D253"/>
      <c r="E253"/>
      <c r="F253"/>
      <c r="G253"/>
      <c r="H253"/>
      <c r="I253"/>
      <c r="J253"/>
    </row>
    <row r="254" spans="1:10" ht="15" customHeight="1" x14ac:dyDescent="0.15">
      <c r="A254"/>
      <c r="B254"/>
      <c r="C254"/>
      <c r="D254"/>
      <c r="E254"/>
      <c r="F254"/>
      <c r="G254"/>
      <c r="H254"/>
      <c r="I254"/>
      <c r="J254"/>
    </row>
    <row r="255" spans="1:10" ht="15" customHeight="1" x14ac:dyDescent="0.15">
      <c r="A255"/>
      <c r="B255"/>
      <c r="C255"/>
      <c r="D255"/>
      <c r="E255"/>
      <c r="F255"/>
      <c r="G255"/>
      <c r="H255"/>
      <c r="I255"/>
      <c r="J255"/>
    </row>
    <row r="256" spans="1:10" ht="15" customHeight="1" x14ac:dyDescent="0.15">
      <c r="A256"/>
      <c r="B256"/>
      <c r="C256"/>
      <c r="D256"/>
      <c r="E256"/>
      <c r="F256"/>
      <c r="G256"/>
      <c r="H256"/>
      <c r="I256"/>
      <c r="J256"/>
    </row>
    <row r="257" spans="1:10" ht="15" customHeight="1" x14ac:dyDescent="0.15">
      <c r="A257"/>
      <c r="B257"/>
      <c r="C257"/>
      <c r="D257"/>
      <c r="E257"/>
      <c r="F257"/>
      <c r="G257"/>
      <c r="H257"/>
      <c r="I257"/>
      <c r="J257"/>
    </row>
    <row r="258" spans="1:10" ht="15" customHeight="1" x14ac:dyDescent="0.15">
      <c r="A258"/>
      <c r="B258"/>
      <c r="C258"/>
      <c r="D258"/>
      <c r="E258"/>
      <c r="F258"/>
      <c r="G258"/>
      <c r="H258"/>
      <c r="I258"/>
      <c r="J258"/>
    </row>
    <row r="259" spans="1:10" ht="15" customHeight="1" x14ac:dyDescent="0.15">
      <c r="A259"/>
      <c r="B259"/>
      <c r="C259"/>
      <c r="D259"/>
      <c r="E259"/>
      <c r="F259"/>
      <c r="G259"/>
      <c r="H259"/>
      <c r="I259"/>
      <c r="J259"/>
    </row>
    <row r="260" spans="1:10" ht="15" customHeight="1" x14ac:dyDescent="0.15">
      <c r="A260"/>
      <c r="B260"/>
      <c r="C260"/>
      <c r="D260"/>
      <c r="E260"/>
      <c r="F260"/>
      <c r="G260"/>
      <c r="H260"/>
      <c r="I260"/>
      <c r="J260"/>
    </row>
    <row r="261" spans="1:10" ht="15" customHeight="1" x14ac:dyDescent="0.15">
      <c r="A261"/>
      <c r="B261"/>
      <c r="C261"/>
      <c r="D261"/>
      <c r="E261"/>
      <c r="F261"/>
      <c r="G261"/>
      <c r="H261"/>
      <c r="I261"/>
      <c r="J261"/>
    </row>
    <row r="262" spans="1:10" ht="15" customHeight="1" x14ac:dyDescent="0.15">
      <c r="A262"/>
      <c r="B262"/>
      <c r="C262"/>
      <c r="D262"/>
      <c r="E262"/>
      <c r="F262"/>
      <c r="G262"/>
      <c r="H262"/>
      <c r="I262"/>
      <c r="J262"/>
    </row>
    <row r="263" spans="1:10" ht="15" customHeight="1" x14ac:dyDescent="0.15">
      <c r="A263"/>
      <c r="B263"/>
      <c r="C263"/>
      <c r="D263"/>
      <c r="E263"/>
      <c r="F263"/>
      <c r="G263"/>
      <c r="H263"/>
      <c r="I263"/>
      <c r="J263"/>
    </row>
    <row r="264" spans="1:10" ht="15" customHeight="1" x14ac:dyDescent="0.15">
      <c r="A264"/>
      <c r="B264"/>
      <c r="C264"/>
      <c r="D264"/>
      <c r="E264"/>
      <c r="F264"/>
      <c r="G264"/>
      <c r="H264"/>
      <c r="I264"/>
      <c r="J264"/>
    </row>
    <row r="265" spans="1:10" ht="15" customHeight="1" x14ac:dyDescent="0.15">
      <c r="A265"/>
      <c r="B265"/>
      <c r="C265"/>
      <c r="D265"/>
      <c r="E265"/>
      <c r="F265"/>
      <c r="G265"/>
      <c r="H265"/>
      <c r="I265"/>
      <c r="J265"/>
    </row>
    <row r="266" spans="1:10" ht="15" customHeight="1" x14ac:dyDescent="0.15">
      <c r="A266"/>
      <c r="B266"/>
      <c r="C266"/>
      <c r="D266"/>
      <c r="E266"/>
      <c r="F266"/>
      <c r="G266"/>
      <c r="H266"/>
      <c r="I266"/>
      <c r="J266"/>
    </row>
    <row r="267" spans="1:10" ht="15" customHeight="1" x14ac:dyDescent="0.15">
      <c r="A267"/>
      <c r="B267"/>
      <c r="C267"/>
      <c r="D267"/>
      <c r="E267"/>
      <c r="F267"/>
      <c r="G267"/>
      <c r="H267"/>
      <c r="I267"/>
      <c r="J267"/>
    </row>
    <row r="268" spans="1:10" ht="15" customHeight="1" x14ac:dyDescent="0.15">
      <c r="A268"/>
      <c r="B268"/>
      <c r="C268"/>
      <c r="D268"/>
      <c r="E268"/>
      <c r="F268"/>
      <c r="G268"/>
      <c r="H268"/>
      <c r="I268"/>
      <c r="J268"/>
    </row>
    <row r="269" spans="1:10" ht="15" customHeight="1" x14ac:dyDescent="0.15">
      <c r="A269"/>
      <c r="B269"/>
      <c r="C269"/>
      <c r="D269"/>
      <c r="E269"/>
      <c r="F269"/>
      <c r="G269"/>
      <c r="H269"/>
      <c r="I269"/>
      <c r="J269"/>
    </row>
    <row r="270" spans="1:10" ht="15" customHeight="1" x14ac:dyDescent="0.15">
      <c r="A270"/>
      <c r="B270"/>
      <c r="C270"/>
      <c r="D270"/>
      <c r="E270"/>
      <c r="F270"/>
      <c r="G270"/>
      <c r="H270"/>
      <c r="I270"/>
      <c r="J270"/>
    </row>
    <row r="271" spans="1:10" ht="15" customHeight="1" x14ac:dyDescent="0.15">
      <c r="A271"/>
      <c r="B271"/>
      <c r="C271"/>
      <c r="D271"/>
      <c r="E271"/>
      <c r="F271"/>
      <c r="G271"/>
      <c r="H271"/>
      <c r="I271"/>
      <c r="J271"/>
    </row>
    <row r="272" spans="1:10" ht="15" customHeight="1" x14ac:dyDescent="0.15">
      <c r="A272"/>
      <c r="B272"/>
      <c r="C272"/>
      <c r="D272"/>
      <c r="E272"/>
      <c r="F272"/>
      <c r="G272"/>
      <c r="H272"/>
      <c r="I272"/>
      <c r="J272"/>
    </row>
    <row r="273" spans="1:10" ht="15" customHeight="1" x14ac:dyDescent="0.15">
      <c r="A273"/>
      <c r="B273"/>
      <c r="C273"/>
      <c r="D273"/>
      <c r="E273"/>
      <c r="F273"/>
      <c r="G273"/>
      <c r="H273"/>
      <c r="I273"/>
      <c r="J273"/>
    </row>
    <row r="274" spans="1:10" ht="15" customHeight="1" x14ac:dyDescent="0.15">
      <c r="A274"/>
      <c r="B274"/>
      <c r="C274"/>
      <c r="D274"/>
      <c r="E274"/>
      <c r="F274"/>
      <c r="G274"/>
      <c r="H274"/>
      <c r="I274"/>
      <c r="J274"/>
    </row>
    <row r="275" spans="1:10" ht="15" customHeight="1" x14ac:dyDescent="0.15">
      <c r="A275"/>
      <c r="B275"/>
      <c r="C275"/>
      <c r="D275"/>
      <c r="E275"/>
      <c r="F275"/>
      <c r="G275"/>
      <c r="H275"/>
      <c r="I275"/>
      <c r="J275"/>
    </row>
    <row r="276" spans="1:10" ht="15" customHeight="1" x14ac:dyDescent="0.15">
      <c r="A276"/>
      <c r="B276"/>
      <c r="C276"/>
      <c r="D276"/>
      <c r="E276"/>
      <c r="F276"/>
      <c r="G276"/>
      <c r="H276"/>
      <c r="I276"/>
      <c r="J276"/>
    </row>
    <row r="277" spans="1:10" ht="15" customHeight="1" x14ac:dyDescent="0.15">
      <c r="A277"/>
      <c r="B277"/>
      <c r="C277"/>
      <c r="D277"/>
      <c r="E277"/>
      <c r="F277"/>
      <c r="G277"/>
      <c r="H277"/>
      <c r="I277"/>
      <c r="J277"/>
    </row>
    <row r="278" spans="1:10" ht="15" customHeight="1" x14ac:dyDescent="0.15">
      <c r="A278"/>
      <c r="B278"/>
      <c r="C278"/>
      <c r="D278"/>
      <c r="E278"/>
      <c r="F278"/>
      <c r="G278"/>
      <c r="H278"/>
      <c r="I278"/>
      <c r="J278"/>
    </row>
    <row r="279" spans="1:10" ht="15" customHeight="1" x14ac:dyDescent="0.15">
      <c r="A279"/>
      <c r="B279"/>
      <c r="C279"/>
      <c r="D279"/>
      <c r="E279"/>
      <c r="F279"/>
      <c r="G279"/>
      <c r="H279"/>
      <c r="I279"/>
      <c r="J279"/>
    </row>
    <row r="280" spans="1:10" ht="15" customHeight="1" x14ac:dyDescent="0.15">
      <c r="A280"/>
      <c r="B280"/>
      <c r="C280"/>
      <c r="D280"/>
      <c r="E280"/>
      <c r="F280"/>
      <c r="G280"/>
      <c r="H280"/>
      <c r="I280"/>
      <c r="J280"/>
    </row>
    <row r="281" spans="1:10" ht="15" customHeight="1" x14ac:dyDescent="0.15">
      <c r="A281"/>
      <c r="B281"/>
      <c r="C281"/>
      <c r="D281"/>
      <c r="E281"/>
      <c r="F281"/>
      <c r="G281"/>
      <c r="H281"/>
      <c r="I281"/>
      <c r="J281"/>
    </row>
    <row r="282" spans="1:10" ht="15" customHeight="1" x14ac:dyDescent="0.15">
      <c r="A282"/>
      <c r="B282"/>
      <c r="C282"/>
      <c r="D282"/>
      <c r="E282"/>
      <c r="F282"/>
      <c r="G282"/>
      <c r="H282"/>
      <c r="I282"/>
      <c r="J282"/>
    </row>
    <row r="283" spans="1:10" ht="15" customHeight="1" x14ac:dyDescent="0.15">
      <c r="A283"/>
      <c r="B283"/>
      <c r="C283"/>
      <c r="D283"/>
      <c r="E283"/>
      <c r="F283"/>
      <c r="G283"/>
      <c r="H283"/>
      <c r="I283"/>
      <c r="J283"/>
    </row>
    <row r="284" spans="1:10" ht="15" customHeight="1" x14ac:dyDescent="0.15">
      <c r="A284"/>
      <c r="B284"/>
      <c r="C284"/>
      <c r="D284"/>
      <c r="E284"/>
      <c r="F284"/>
      <c r="G284"/>
      <c r="H284"/>
      <c r="I284"/>
      <c r="J284"/>
    </row>
    <row r="285" spans="1:10" ht="15" customHeight="1" x14ac:dyDescent="0.15">
      <c r="A285"/>
      <c r="B285"/>
      <c r="C285"/>
      <c r="D285"/>
      <c r="E285"/>
      <c r="F285"/>
      <c r="G285"/>
      <c r="H285"/>
      <c r="I285"/>
      <c r="J285"/>
    </row>
    <row r="286" spans="1:10" ht="15" customHeight="1" x14ac:dyDescent="0.15">
      <c r="A286"/>
      <c r="B286"/>
      <c r="C286"/>
      <c r="D286"/>
      <c r="E286"/>
      <c r="F286"/>
      <c r="G286"/>
      <c r="H286"/>
      <c r="I286"/>
      <c r="J286"/>
    </row>
    <row r="287" spans="1:10" ht="15" customHeight="1" x14ac:dyDescent="0.15">
      <c r="A287"/>
      <c r="B287"/>
      <c r="C287"/>
      <c r="D287"/>
      <c r="E287"/>
      <c r="F287"/>
      <c r="G287"/>
      <c r="H287"/>
      <c r="I287"/>
      <c r="J287"/>
    </row>
    <row r="288" spans="1:10" ht="15" customHeight="1" x14ac:dyDescent="0.15">
      <c r="A288"/>
      <c r="B288"/>
      <c r="C288"/>
      <c r="D288"/>
      <c r="E288"/>
      <c r="F288"/>
      <c r="G288"/>
      <c r="H288"/>
      <c r="I288"/>
      <c r="J288"/>
    </row>
    <row r="289" spans="1:10" ht="15" customHeight="1" x14ac:dyDescent="0.15">
      <c r="A289"/>
      <c r="B289"/>
      <c r="C289"/>
      <c r="D289"/>
      <c r="E289"/>
      <c r="F289"/>
      <c r="G289"/>
      <c r="H289"/>
      <c r="I289"/>
      <c r="J289"/>
    </row>
    <row r="290" spans="1:10" ht="15" customHeight="1" x14ac:dyDescent="0.15">
      <c r="A290"/>
      <c r="B290"/>
      <c r="C290"/>
      <c r="D290"/>
      <c r="E290"/>
      <c r="F290"/>
      <c r="G290"/>
      <c r="H290"/>
      <c r="I290"/>
      <c r="J290"/>
    </row>
    <row r="291" spans="1:10" ht="15" customHeight="1" x14ac:dyDescent="0.15">
      <c r="A291"/>
      <c r="B291"/>
      <c r="C291"/>
      <c r="D291"/>
      <c r="E291"/>
      <c r="F291"/>
      <c r="G291"/>
      <c r="H291"/>
      <c r="I291"/>
      <c r="J291"/>
    </row>
    <row r="292" spans="1:10" ht="15" customHeight="1" x14ac:dyDescent="0.15">
      <c r="A292"/>
      <c r="B292"/>
      <c r="C292"/>
      <c r="D292"/>
      <c r="E292"/>
      <c r="F292"/>
      <c r="G292"/>
      <c r="H292"/>
      <c r="I292"/>
      <c r="J292"/>
    </row>
    <row r="293" spans="1:10" ht="15" customHeight="1" x14ac:dyDescent="0.15">
      <c r="A293"/>
      <c r="B293"/>
      <c r="C293"/>
      <c r="D293"/>
      <c r="E293"/>
      <c r="F293"/>
      <c r="G293"/>
      <c r="H293"/>
      <c r="I293"/>
      <c r="J293"/>
    </row>
    <row r="294" spans="1:10" ht="15" customHeight="1" x14ac:dyDescent="0.15">
      <c r="A294"/>
      <c r="B294"/>
      <c r="C294"/>
      <c r="D294"/>
      <c r="E294"/>
      <c r="F294"/>
      <c r="G294"/>
      <c r="H294"/>
      <c r="I294"/>
      <c r="J294"/>
    </row>
    <row r="295" spans="1:10" ht="15" customHeight="1" x14ac:dyDescent="0.15">
      <c r="A295"/>
      <c r="B295"/>
      <c r="C295"/>
      <c r="D295"/>
      <c r="E295"/>
      <c r="F295"/>
      <c r="G295"/>
      <c r="H295"/>
      <c r="I295"/>
      <c r="J295"/>
    </row>
    <row r="296" spans="1:10" ht="15" customHeight="1" x14ac:dyDescent="0.15">
      <c r="A296"/>
      <c r="B296"/>
      <c r="C296"/>
      <c r="D296"/>
      <c r="E296"/>
      <c r="F296"/>
      <c r="G296"/>
      <c r="H296"/>
      <c r="I296"/>
      <c r="J296"/>
    </row>
    <row r="297" spans="1:10" ht="15" customHeight="1" x14ac:dyDescent="0.15">
      <c r="A297"/>
      <c r="B297"/>
      <c r="C297"/>
      <c r="D297"/>
      <c r="E297"/>
      <c r="F297"/>
      <c r="G297"/>
      <c r="H297"/>
      <c r="I297"/>
      <c r="J297"/>
    </row>
    <row r="298" spans="1:10" ht="15" customHeight="1" x14ac:dyDescent="0.15">
      <c r="A298"/>
      <c r="B298"/>
      <c r="C298"/>
      <c r="D298"/>
      <c r="E298"/>
      <c r="F298"/>
      <c r="G298"/>
      <c r="H298"/>
      <c r="I298"/>
      <c r="J298"/>
    </row>
    <row r="299" spans="1:10" ht="15" customHeight="1" x14ac:dyDescent="0.15">
      <c r="A299"/>
      <c r="B299"/>
      <c r="C299"/>
      <c r="D299"/>
      <c r="E299"/>
      <c r="F299"/>
      <c r="G299"/>
      <c r="H299"/>
      <c r="I299"/>
      <c r="J299"/>
    </row>
    <row r="300" spans="1:10" ht="15" customHeight="1" x14ac:dyDescent="0.15">
      <c r="A300"/>
      <c r="B300"/>
      <c r="C300"/>
      <c r="D300"/>
      <c r="E300"/>
      <c r="F300"/>
      <c r="G300"/>
      <c r="H300"/>
      <c r="I300"/>
      <c r="J300"/>
    </row>
    <row r="301" spans="1:10" ht="15" customHeight="1" x14ac:dyDescent="0.15">
      <c r="A301"/>
      <c r="B301"/>
      <c r="C301"/>
      <c r="D301"/>
      <c r="E301"/>
      <c r="F301"/>
      <c r="G301"/>
      <c r="H301"/>
      <c r="I301"/>
      <c r="J301"/>
    </row>
    <row r="302" spans="1:10" ht="15" customHeight="1" x14ac:dyDescent="0.15">
      <c r="A302"/>
      <c r="B302"/>
      <c r="C302"/>
      <c r="D302"/>
      <c r="E302"/>
      <c r="F302"/>
      <c r="G302"/>
      <c r="H302"/>
      <c r="I302"/>
      <c r="J302"/>
    </row>
    <row r="303" spans="1:10" ht="15" customHeight="1" x14ac:dyDescent="0.15">
      <c r="A303"/>
      <c r="B303"/>
      <c r="C303"/>
      <c r="D303"/>
      <c r="E303"/>
      <c r="F303"/>
      <c r="G303"/>
      <c r="H303"/>
      <c r="I303"/>
      <c r="J303"/>
    </row>
    <row r="304" spans="1:10" ht="15" customHeight="1" x14ac:dyDescent="0.15">
      <c r="A304"/>
      <c r="B304"/>
      <c r="C304"/>
      <c r="D304"/>
      <c r="E304"/>
      <c r="F304"/>
      <c r="G304"/>
      <c r="H304"/>
      <c r="I304"/>
      <c r="J304"/>
    </row>
    <row r="305" spans="1:10" ht="15" customHeight="1" x14ac:dyDescent="0.15">
      <c r="A305"/>
      <c r="B305"/>
      <c r="C305"/>
      <c r="D305"/>
      <c r="E305"/>
      <c r="F305"/>
      <c r="G305"/>
      <c r="H305"/>
      <c r="I305"/>
      <c r="J305"/>
    </row>
    <row r="306" spans="1:10" ht="15" customHeight="1" x14ac:dyDescent="0.15">
      <c r="A306"/>
      <c r="B306"/>
      <c r="C306"/>
      <c r="D306"/>
      <c r="E306"/>
      <c r="F306"/>
      <c r="G306"/>
      <c r="H306"/>
      <c r="I306"/>
      <c r="J306"/>
    </row>
    <row r="307" spans="1:10" ht="15" customHeight="1" x14ac:dyDescent="0.15">
      <c r="A307"/>
      <c r="B307"/>
      <c r="C307"/>
      <c r="D307"/>
      <c r="E307"/>
      <c r="F307"/>
      <c r="G307"/>
      <c r="H307"/>
      <c r="I307"/>
      <c r="J307"/>
    </row>
    <row r="308" spans="1:10" ht="15" customHeight="1" x14ac:dyDescent="0.15">
      <c r="A308"/>
      <c r="B308"/>
      <c r="C308"/>
      <c r="D308"/>
      <c r="E308"/>
      <c r="F308"/>
      <c r="G308"/>
      <c r="H308"/>
      <c r="I308"/>
      <c r="J308"/>
    </row>
    <row r="309" spans="1:10" ht="15" customHeight="1" x14ac:dyDescent="0.15">
      <c r="A309"/>
      <c r="B309"/>
      <c r="C309"/>
      <c r="D309"/>
      <c r="E309"/>
      <c r="F309"/>
      <c r="G309"/>
      <c r="H309"/>
      <c r="I309"/>
      <c r="J309"/>
    </row>
    <row r="310" spans="1:10" ht="15" customHeight="1" x14ac:dyDescent="0.15">
      <c r="A310"/>
      <c r="B310"/>
      <c r="C310"/>
      <c r="D310"/>
      <c r="E310"/>
      <c r="F310"/>
      <c r="G310"/>
      <c r="H310"/>
      <c r="I310"/>
      <c r="J310"/>
    </row>
    <row r="311" spans="1:10" ht="15" customHeight="1" x14ac:dyDescent="0.15">
      <c r="A311"/>
      <c r="B311"/>
      <c r="C311"/>
      <c r="D311"/>
      <c r="E311"/>
      <c r="F311"/>
      <c r="G311"/>
      <c r="H311"/>
      <c r="I311"/>
      <c r="J311"/>
    </row>
    <row r="312" spans="1:10" ht="15" customHeight="1" x14ac:dyDescent="0.15">
      <c r="A312"/>
      <c r="B312"/>
      <c r="C312"/>
      <c r="D312"/>
      <c r="E312"/>
      <c r="F312"/>
      <c r="G312"/>
      <c r="H312"/>
      <c r="I312"/>
      <c r="J312"/>
    </row>
    <row r="313" spans="1:10" ht="15" customHeight="1" x14ac:dyDescent="0.15">
      <c r="A313"/>
      <c r="B313"/>
      <c r="C313"/>
      <c r="D313"/>
      <c r="E313"/>
      <c r="F313"/>
      <c r="G313"/>
      <c r="H313"/>
      <c r="I313"/>
      <c r="J313"/>
    </row>
    <row r="314" spans="1:10" ht="15" customHeight="1" x14ac:dyDescent="0.15">
      <c r="A314"/>
      <c r="B314"/>
      <c r="C314"/>
      <c r="D314"/>
      <c r="E314"/>
      <c r="F314"/>
      <c r="G314"/>
      <c r="H314"/>
      <c r="I314"/>
      <c r="J314"/>
    </row>
    <row r="315" spans="1:10" ht="15" customHeight="1" x14ac:dyDescent="0.15">
      <c r="A315"/>
      <c r="B315"/>
      <c r="C315"/>
      <c r="D315"/>
      <c r="E315"/>
      <c r="F315"/>
      <c r="G315"/>
      <c r="H315"/>
      <c r="I315"/>
      <c r="J315"/>
    </row>
    <row r="316" spans="1:10" ht="15" customHeight="1" x14ac:dyDescent="0.15">
      <c r="A316"/>
      <c r="B316"/>
      <c r="C316"/>
      <c r="D316"/>
      <c r="E316"/>
      <c r="F316"/>
      <c r="G316"/>
      <c r="H316"/>
      <c r="I316"/>
      <c r="J316"/>
    </row>
    <row r="317" spans="1:10" ht="15" customHeight="1" x14ac:dyDescent="0.15">
      <c r="A317"/>
      <c r="B317"/>
      <c r="C317"/>
      <c r="D317"/>
      <c r="E317"/>
      <c r="F317"/>
      <c r="G317"/>
      <c r="H317"/>
      <c r="I317"/>
      <c r="J317"/>
    </row>
    <row r="318" spans="1:10" ht="15" customHeight="1" x14ac:dyDescent="0.15">
      <c r="A318"/>
      <c r="B318"/>
      <c r="C318"/>
      <c r="D318"/>
      <c r="E318"/>
      <c r="F318"/>
      <c r="G318"/>
      <c r="H318"/>
      <c r="I318"/>
      <c r="J318"/>
    </row>
    <row r="319" spans="1:10" ht="15" customHeight="1" x14ac:dyDescent="0.15">
      <c r="A319"/>
      <c r="B319"/>
      <c r="C319"/>
      <c r="D319"/>
      <c r="E319"/>
      <c r="F319"/>
      <c r="G319"/>
      <c r="H319"/>
      <c r="I319"/>
      <c r="J319"/>
    </row>
    <row r="320" spans="1:10" ht="15" customHeight="1" x14ac:dyDescent="0.15">
      <c r="A320"/>
      <c r="B320"/>
      <c r="C320"/>
      <c r="D320"/>
      <c r="E320"/>
      <c r="F320"/>
      <c r="G320"/>
      <c r="H320"/>
      <c r="I320"/>
      <c r="J320"/>
    </row>
    <row r="321" spans="1:10" ht="15" customHeight="1" x14ac:dyDescent="0.15">
      <c r="A321"/>
      <c r="B321"/>
      <c r="C321"/>
      <c r="D321"/>
      <c r="E321"/>
      <c r="F321"/>
      <c r="G321"/>
      <c r="H321"/>
      <c r="I321"/>
      <c r="J321"/>
    </row>
    <row r="322" spans="1:10" ht="15" customHeight="1" x14ac:dyDescent="0.15">
      <c r="A322"/>
      <c r="B322"/>
      <c r="C322"/>
      <c r="D322"/>
      <c r="E322"/>
      <c r="F322"/>
      <c r="G322"/>
      <c r="H322"/>
      <c r="I322"/>
      <c r="J322"/>
    </row>
    <row r="323" spans="1:10" ht="15" customHeight="1" x14ac:dyDescent="0.15">
      <c r="A323"/>
      <c r="B323"/>
      <c r="C323"/>
      <c r="D323"/>
      <c r="E323"/>
      <c r="F323"/>
      <c r="G323"/>
      <c r="H323"/>
      <c r="I323"/>
      <c r="J323"/>
    </row>
    <row r="324" spans="1:10" ht="15" customHeight="1" x14ac:dyDescent="0.15">
      <c r="A324"/>
      <c r="B324"/>
      <c r="C324"/>
      <c r="D324"/>
      <c r="E324"/>
      <c r="F324"/>
      <c r="G324"/>
      <c r="H324"/>
      <c r="I324"/>
      <c r="J324"/>
    </row>
    <row r="325" spans="1:10" ht="15" customHeight="1" x14ac:dyDescent="0.15">
      <c r="A325"/>
      <c r="B325"/>
      <c r="C325"/>
      <c r="D325"/>
      <c r="E325"/>
      <c r="F325"/>
      <c r="G325"/>
      <c r="H325"/>
      <c r="I325"/>
      <c r="J325"/>
    </row>
    <row r="326" spans="1:10" ht="15" customHeight="1" x14ac:dyDescent="0.15">
      <c r="A326"/>
      <c r="B326"/>
      <c r="C326"/>
      <c r="D326"/>
      <c r="E326"/>
      <c r="F326"/>
      <c r="G326"/>
      <c r="H326"/>
      <c r="I326"/>
      <c r="J326"/>
    </row>
    <row r="327" spans="1:10" ht="15" customHeight="1" x14ac:dyDescent="0.15">
      <c r="A327"/>
      <c r="B327"/>
      <c r="C327"/>
      <c r="D327"/>
      <c r="E327"/>
      <c r="F327"/>
      <c r="G327"/>
      <c r="H327"/>
      <c r="I327"/>
      <c r="J327"/>
    </row>
    <row r="328" spans="1:10" ht="15" customHeight="1" x14ac:dyDescent="0.15">
      <c r="A328"/>
      <c r="B328"/>
      <c r="C328"/>
      <c r="D328"/>
      <c r="E328"/>
      <c r="F328"/>
      <c r="G328"/>
      <c r="H328"/>
      <c r="I328"/>
      <c r="J328"/>
    </row>
    <row r="329" spans="1:10" ht="15" customHeight="1" x14ac:dyDescent="0.15">
      <c r="A329"/>
      <c r="B329"/>
      <c r="C329"/>
      <c r="D329"/>
      <c r="E329"/>
      <c r="F329"/>
      <c r="G329"/>
      <c r="H329"/>
      <c r="I329"/>
      <c r="J329"/>
    </row>
    <row r="330" spans="1:10" ht="15" customHeight="1" x14ac:dyDescent="0.15">
      <c r="A330"/>
      <c r="B330"/>
      <c r="C330"/>
      <c r="D330"/>
      <c r="E330"/>
      <c r="F330"/>
      <c r="G330"/>
      <c r="H330"/>
      <c r="I330"/>
      <c r="J330"/>
    </row>
    <row r="331" spans="1:10" ht="15" customHeight="1" x14ac:dyDescent="0.15">
      <c r="A331"/>
      <c r="B331"/>
      <c r="C331"/>
      <c r="D331"/>
      <c r="E331"/>
      <c r="F331"/>
      <c r="G331"/>
      <c r="H331"/>
      <c r="I331"/>
      <c r="J331"/>
    </row>
    <row r="332" spans="1:10" ht="15" customHeight="1" x14ac:dyDescent="0.15">
      <c r="A332"/>
      <c r="B332"/>
      <c r="C332"/>
      <c r="D332"/>
      <c r="E332"/>
      <c r="F332"/>
      <c r="G332"/>
      <c r="H332"/>
      <c r="I332"/>
      <c r="J332"/>
    </row>
    <row r="333" spans="1:10" ht="15" customHeight="1" x14ac:dyDescent="0.15">
      <c r="A333"/>
      <c r="B333"/>
      <c r="C333"/>
      <c r="D333"/>
      <c r="E333"/>
      <c r="F333"/>
      <c r="G333"/>
      <c r="H333"/>
      <c r="I333"/>
      <c r="J333"/>
    </row>
    <row r="334" spans="1:10" ht="15" customHeight="1" x14ac:dyDescent="0.15">
      <c r="A334"/>
      <c r="B334"/>
      <c r="C334"/>
      <c r="D334"/>
      <c r="E334"/>
      <c r="F334"/>
      <c r="G334"/>
      <c r="H334"/>
      <c r="I334"/>
      <c r="J334"/>
    </row>
    <row r="335" spans="1:10" ht="15" customHeight="1" x14ac:dyDescent="0.15">
      <c r="A335"/>
      <c r="B335"/>
      <c r="C335"/>
      <c r="D335"/>
      <c r="E335"/>
      <c r="F335"/>
      <c r="G335"/>
      <c r="H335"/>
      <c r="I335"/>
      <c r="J335"/>
    </row>
    <row r="336" spans="1:10" ht="15" customHeight="1" x14ac:dyDescent="0.15">
      <c r="A336"/>
      <c r="B336"/>
      <c r="C336"/>
      <c r="D336"/>
      <c r="E336"/>
      <c r="F336"/>
      <c r="G336"/>
      <c r="H336"/>
      <c r="I336"/>
      <c r="J336"/>
    </row>
    <row r="337" spans="1:10" ht="15" customHeight="1" x14ac:dyDescent="0.15">
      <c r="A337"/>
      <c r="B337"/>
      <c r="C337"/>
      <c r="D337"/>
      <c r="E337"/>
      <c r="F337"/>
      <c r="G337"/>
      <c r="H337"/>
      <c r="I337"/>
      <c r="J337"/>
    </row>
    <row r="338" spans="1:10" ht="15" customHeight="1" x14ac:dyDescent="0.15">
      <c r="A338"/>
      <c r="B338"/>
      <c r="C338"/>
      <c r="D338"/>
      <c r="E338"/>
      <c r="F338"/>
      <c r="G338"/>
      <c r="H338"/>
      <c r="I338"/>
      <c r="J338"/>
    </row>
    <row r="339" spans="1:10" ht="15" customHeight="1" x14ac:dyDescent="0.15">
      <c r="A339"/>
      <c r="B339"/>
      <c r="C339"/>
      <c r="D339"/>
      <c r="E339"/>
      <c r="F339"/>
      <c r="G339"/>
      <c r="H339"/>
      <c r="I339"/>
      <c r="J339"/>
    </row>
    <row r="340" spans="1:10" ht="15" customHeight="1" x14ac:dyDescent="0.15">
      <c r="A340"/>
      <c r="B340"/>
      <c r="C340"/>
      <c r="D340"/>
      <c r="E340"/>
      <c r="F340"/>
      <c r="G340"/>
      <c r="H340"/>
      <c r="I340"/>
      <c r="J340"/>
    </row>
    <row r="341" spans="1:10" ht="15" customHeight="1" x14ac:dyDescent="0.15">
      <c r="A341"/>
      <c r="B341"/>
      <c r="C341"/>
      <c r="D341"/>
      <c r="E341"/>
      <c r="F341"/>
      <c r="G341"/>
      <c r="H341"/>
      <c r="I341"/>
      <c r="J341"/>
    </row>
    <row r="342" spans="1:10" ht="15" customHeight="1" x14ac:dyDescent="0.15">
      <c r="A342"/>
      <c r="B342"/>
      <c r="C342"/>
      <c r="D342"/>
      <c r="E342"/>
      <c r="F342"/>
      <c r="G342"/>
      <c r="H342"/>
      <c r="I342"/>
      <c r="J342"/>
    </row>
    <row r="343" spans="1:10" ht="15" customHeight="1" x14ac:dyDescent="0.15">
      <c r="A343"/>
      <c r="B343"/>
      <c r="C343"/>
      <c r="D343"/>
      <c r="E343"/>
      <c r="F343"/>
      <c r="G343"/>
      <c r="H343"/>
      <c r="I343"/>
      <c r="J343"/>
    </row>
    <row r="344" spans="1:10" ht="15" customHeight="1" x14ac:dyDescent="0.15">
      <c r="A344"/>
      <c r="B344"/>
      <c r="C344"/>
      <c r="D344"/>
      <c r="E344"/>
      <c r="F344"/>
      <c r="G344"/>
      <c r="H344"/>
      <c r="I344"/>
      <c r="J344"/>
    </row>
    <row r="345" spans="1:10" ht="15" customHeight="1" x14ac:dyDescent="0.15">
      <c r="A345"/>
      <c r="B345"/>
      <c r="C345"/>
      <c r="D345"/>
      <c r="E345"/>
      <c r="F345"/>
      <c r="G345"/>
      <c r="H345"/>
      <c r="I345"/>
      <c r="J345"/>
    </row>
    <row r="346" spans="1:10" ht="15" customHeight="1" x14ac:dyDescent="0.15">
      <c r="A346"/>
      <c r="B346"/>
      <c r="C346"/>
      <c r="D346"/>
      <c r="E346"/>
      <c r="F346"/>
      <c r="G346"/>
      <c r="H346"/>
      <c r="I346"/>
      <c r="J346"/>
    </row>
    <row r="347" spans="1:10" ht="15" customHeight="1" x14ac:dyDescent="0.15">
      <c r="A347"/>
      <c r="B347"/>
      <c r="C347"/>
      <c r="D347"/>
      <c r="E347"/>
      <c r="F347"/>
      <c r="G347"/>
      <c r="H347"/>
      <c r="I347"/>
      <c r="J347"/>
    </row>
    <row r="348" spans="1:10" ht="15" customHeight="1" x14ac:dyDescent="0.15">
      <c r="A348"/>
      <c r="B348"/>
      <c r="C348"/>
      <c r="D348"/>
      <c r="E348"/>
      <c r="F348"/>
      <c r="G348"/>
      <c r="H348"/>
      <c r="I348"/>
      <c r="J348"/>
    </row>
    <row r="349" spans="1:10" ht="15" customHeight="1" x14ac:dyDescent="0.15">
      <c r="A349"/>
      <c r="B349"/>
      <c r="C349"/>
      <c r="D349"/>
      <c r="E349"/>
      <c r="F349"/>
      <c r="G349"/>
      <c r="H349"/>
      <c r="I349"/>
      <c r="J349"/>
    </row>
    <row r="350" spans="1:10" ht="15" customHeight="1" x14ac:dyDescent="0.15">
      <c r="A350"/>
      <c r="B350"/>
      <c r="C350"/>
      <c r="D350"/>
      <c r="E350"/>
      <c r="F350"/>
      <c r="G350"/>
      <c r="H350"/>
      <c r="I350"/>
      <c r="J350"/>
    </row>
    <row r="351" spans="1:10" ht="15" customHeight="1" x14ac:dyDescent="0.15">
      <c r="A351"/>
      <c r="B351"/>
      <c r="C351"/>
      <c r="D351"/>
      <c r="E351"/>
      <c r="F351"/>
      <c r="G351"/>
      <c r="H351"/>
      <c r="I351"/>
      <c r="J351"/>
    </row>
    <row r="352" spans="1:10" ht="15" customHeight="1" x14ac:dyDescent="0.15">
      <c r="A352"/>
      <c r="B352"/>
      <c r="C352"/>
      <c r="D352"/>
      <c r="E352"/>
      <c r="F352"/>
      <c r="G352"/>
      <c r="H352"/>
      <c r="I352"/>
      <c r="J352"/>
    </row>
    <row r="353" spans="1:10" ht="15" customHeight="1" x14ac:dyDescent="0.15">
      <c r="A353"/>
      <c r="B353"/>
      <c r="C353"/>
      <c r="D353"/>
      <c r="E353"/>
      <c r="F353"/>
      <c r="G353"/>
      <c r="H353"/>
      <c r="I353"/>
      <c r="J353"/>
    </row>
    <row r="354" spans="1:10" ht="15" customHeight="1" x14ac:dyDescent="0.15">
      <c r="A354"/>
      <c r="B354"/>
      <c r="C354"/>
      <c r="D354"/>
      <c r="E354"/>
      <c r="F354"/>
      <c r="G354"/>
      <c r="H354"/>
      <c r="I354"/>
      <c r="J354"/>
    </row>
    <row r="355" spans="1:10" ht="15" customHeight="1" x14ac:dyDescent="0.15">
      <c r="A355"/>
      <c r="B355"/>
      <c r="C355"/>
      <c r="D355"/>
      <c r="E355"/>
      <c r="F355"/>
      <c r="G355"/>
      <c r="H355"/>
      <c r="I355"/>
      <c r="J355"/>
    </row>
    <row r="356" spans="1:10" ht="15" customHeight="1" x14ac:dyDescent="0.15">
      <c r="A356"/>
      <c r="B356"/>
      <c r="C356"/>
      <c r="D356"/>
      <c r="E356"/>
      <c r="F356"/>
      <c r="G356"/>
      <c r="H356"/>
      <c r="I356"/>
      <c r="J356"/>
    </row>
    <row r="357" spans="1:10" ht="15" customHeight="1" x14ac:dyDescent="0.15">
      <c r="A357"/>
      <c r="B357"/>
      <c r="C357"/>
      <c r="D357"/>
      <c r="E357"/>
      <c r="F357"/>
      <c r="G357"/>
      <c r="H357"/>
      <c r="I357"/>
      <c r="J357"/>
    </row>
    <row r="358" spans="1:10" ht="15" customHeight="1" x14ac:dyDescent="0.15">
      <c r="A358"/>
      <c r="B358"/>
      <c r="C358"/>
      <c r="D358"/>
      <c r="E358"/>
      <c r="F358"/>
      <c r="G358"/>
      <c r="H358"/>
      <c r="I358"/>
      <c r="J358"/>
    </row>
    <row r="359" spans="1:10" ht="15" customHeight="1" x14ac:dyDescent="0.15">
      <c r="A359"/>
      <c r="B359"/>
      <c r="C359"/>
      <c r="D359"/>
      <c r="E359"/>
      <c r="F359"/>
      <c r="G359"/>
      <c r="H359"/>
      <c r="I359"/>
      <c r="J359"/>
    </row>
    <row r="360" spans="1:10" ht="15" customHeight="1" x14ac:dyDescent="0.15">
      <c r="A360"/>
      <c r="B360"/>
      <c r="C360"/>
      <c r="D360"/>
      <c r="E360"/>
      <c r="F360"/>
      <c r="G360"/>
      <c r="H360"/>
      <c r="I360"/>
      <c r="J360"/>
    </row>
    <row r="361" spans="1:10" ht="15" customHeight="1" x14ac:dyDescent="0.15">
      <c r="A361"/>
      <c r="B361"/>
      <c r="C361"/>
      <c r="D361"/>
      <c r="E361"/>
      <c r="F361"/>
      <c r="G361"/>
      <c r="H361"/>
      <c r="I361"/>
      <c r="J361"/>
    </row>
    <row r="362" spans="1:10" ht="15" customHeight="1" x14ac:dyDescent="0.15">
      <c r="A362"/>
      <c r="B362"/>
      <c r="C362"/>
      <c r="D362"/>
      <c r="E362"/>
      <c r="F362"/>
      <c r="G362"/>
      <c r="H362"/>
      <c r="I362"/>
      <c r="J362"/>
    </row>
    <row r="363" spans="1:10" ht="15" customHeight="1" x14ac:dyDescent="0.15">
      <c r="A363"/>
      <c r="B363"/>
      <c r="C363"/>
      <c r="D363"/>
      <c r="E363"/>
      <c r="F363"/>
      <c r="G363"/>
      <c r="H363"/>
      <c r="I363"/>
      <c r="J363"/>
    </row>
    <row r="364" spans="1:10" ht="15" customHeight="1" x14ac:dyDescent="0.15">
      <c r="A364"/>
      <c r="B364"/>
      <c r="C364"/>
      <c r="D364"/>
      <c r="E364"/>
      <c r="F364"/>
      <c r="G364"/>
      <c r="H364"/>
      <c r="I364"/>
      <c r="J364"/>
    </row>
    <row r="365" spans="1:10" ht="15" customHeight="1" x14ac:dyDescent="0.15">
      <c r="A365"/>
      <c r="B365"/>
      <c r="C365"/>
      <c r="D365"/>
      <c r="E365"/>
      <c r="F365"/>
      <c r="G365"/>
      <c r="H365"/>
      <c r="I365"/>
      <c r="J365"/>
    </row>
    <row r="366" spans="1:10" ht="15" customHeight="1" x14ac:dyDescent="0.15">
      <c r="A366"/>
      <c r="B366"/>
      <c r="C366"/>
      <c r="D366"/>
      <c r="E366"/>
      <c r="F366"/>
      <c r="G366"/>
      <c r="H366"/>
      <c r="I366"/>
      <c r="J366"/>
    </row>
    <row r="367" spans="1:10" ht="15" customHeight="1" x14ac:dyDescent="0.15">
      <c r="A367"/>
      <c r="B367"/>
      <c r="C367"/>
      <c r="D367"/>
      <c r="E367"/>
      <c r="F367"/>
      <c r="G367"/>
      <c r="H367"/>
      <c r="I367"/>
      <c r="J367"/>
    </row>
    <row r="368" spans="1:10" ht="15" customHeight="1" x14ac:dyDescent="0.15">
      <c r="A368"/>
      <c r="B368"/>
      <c r="C368"/>
      <c r="D368"/>
      <c r="E368"/>
      <c r="F368"/>
      <c r="G368"/>
      <c r="H368"/>
      <c r="I368"/>
      <c r="J368"/>
    </row>
    <row r="369" spans="1:10" ht="15" customHeight="1" x14ac:dyDescent="0.15">
      <c r="A369"/>
      <c r="B369"/>
      <c r="C369"/>
      <c r="D369"/>
      <c r="E369"/>
      <c r="F369"/>
      <c r="G369"/>
      <c r="H369"/>
      <c r="I369"/>
      <c r="J369"/>
    </row>
    <row r="370" spans="1:10" ht="15" customHeight="1" x14ac:dyDescent="0.15">
      <c r="A370"/>
      <c r="B370"/>
      <c r="C370"/>
      <c r="D370"/>
      <c r="E370"/>
      <c r="F370"/>
      <c r="G370"/>
      <c r="H370"/>
      <c r="I370"/>
      <c r="J370"/>
    </row>
    <row r="371" spans="1:10" ht="15" customHeight="1" x14ac:dyDescent="0.15">
      <c r="A371"/>
      <c r="B371"/>
      <c r="C371"/>
      <c r="D371"/>
      <c r="E371"/>
      <c r="F371"/>
      <c r="G371"/>
      <c r="H371"/>
      <c r="I371"/>
      <c r="J371"/>
    </row>
    <row r="372" spans="1:10" ht="15" customHeight="1" x14ac:dyDescent="0.15">
      <c r="A372"/>
      <c r="B372"/>
      <c r="C372"/>
      <c r="D372"/>
      <c r="E372"/>
      <c r="F372"/>
      <c r="G372"/>
      <c r="H372"/>
      <c r="I372"/>
      <c r="J372"/>
    </row>
    <row r="373" spans="1:10" ht="15" customHeight="1" x14ac:dyDescent="0.15">
      <c r="A373"/>
      <c r="B373"/>
      <c r="C373"/>
      <c r="D373"/>
      <c r="E373"/>
      <c r="F373"/>
      <c r="G373"/>
      <c r="H373"/>
      <c r="I373"/>
      <c r="J373"/>
    </row>
    <row r="374" spans="1:10" ht="15" customHeight="1" x14ac:dyDescent="0.15">
      <c r="A374"/>
      <c r="B374"/>
      <c r="C374"/>
      <c r="D374"/>
      <c r="E374"/>
      <c r="F374"/>
      <c r="G374"/>
      <c r="H374"/>
      <c r="I374"/>
      <c r="J374"/>
    </row>
    <row r="375" spans="1:10" ht="15" customHeight="1" x14ac:dyDescent="0.15">
      <c r="A375"/>
      <c r="B375"/>
      <c r="C375"/>
      <c r="D375"/>
      <c r="E375"/>
      <c r="F375"/>
      <c r="G375"/>
      <c r="H375"/>
      <c r="I375"/>
      <c r="J375"/>
    </row>
    <row r="376" spans="1:10" ht="15" customHeight="1" x14ac:dyDescent="0.15">
      <c r="A376"/>
      <c r="B376"/>
      <c r="C376"/>
      <c r="D376"/>
      <c r="E376"/>
      <c r="F376"/>
      <c r="G376"/>
      <c r="H376"/>
      <c r="I376"/>
      <c r="J376"/>
    </row>
    <row r="377" spans="1:10" ht="15" customHeight="1" x14ac:dyDescent="0.15">
      <c r="A377"/>
      <c r="B377"/>
      <c r="C377"/>
      <c r="D377"/>
      <c r="E377"/>
      <c r="F377"/>
      <c r="G377"/>
      <c r="H377"/>
      <c r="I377"/>
      <c r="J377"/>
    </row>
    <row r="378" spans="1:10" ht="15" customHeight="1" x14ac:dyDescent="0.15">
      <c r="A378"/>
      <c r="B378"/>
      <c r="C378"/>
      <c r="D378"/>
      <c r="E378"/>
      <c r="F378"/>
      <c r="G378"/>
      <c r="H378"/>
      <c r="I378"/>
      <c r="J378"/>
    </row>
    <row r="379" spans="1:10" ht="15" customHeight="1" x14ac:dyDescent="0.15">
      <c r="A379"/>
      <c r="B379"/>
      <c r="C379"/>
      <c r="D379"/>
      <c r="E379"/>
      <c r="F379"/>
      <c r="G379"/>
      <c r="H379"/>
      <c r="I379"/>
      <c r="J379"/>
    </row>
    <row r="380" spans="1:10" ht="15" customHeight="1" x14ac:dyDescent="0.15">
      <c r="A380"/>
      <c r="B380"/>
      <c r="C380"/>
      <c r="D380"/>
      <c r="E380"/>
      <c r="F380"/>
      <c r="G380"/>
      <c r="H380"/>
      <c r="I380"/>
      <c r="J380"/>
    </row>
    <row r="381" spans="1:10" ht="15" customHeight="1" x14ac:dyDescent="0.15">
      <c r="A381"/>
      <c r="B381"/>
      <c r="C381"/>
      <c r="D381"/>
      <c r="E381"/>
      <c r="F381"/>
      <c r="G381"/>
      <c r="H381"/>
      <c r="I381"/>
      <c r="J381"/>
    </row>
    <row r="382" spans="1:10" ht="15" customHeight="1" x14ac:dyDescent="0.15">
      <c r="A382"/>
      <c r="B382"/>
      <c r="C382"/>
      <c r="D382"/>
      <c r="E382"/>
      <c r="F382"/>
      <c r="G382"/>
      <c r="H382"/>
      <c r="I382"/>
      <c r="J382"/>
    </row>
    <row r="383" spans="1:10" ht="15" customHeight="1" x14ac:dyDescent="0.15">
      <c r="A383"/>
      <c r="B383"/>
      <c r="C383"/>
      <c r="D383"/>
      <c r="E383"/>
      <c r="F383"/>
      <c r="G383"/>
      <c r="H383"/>
      <c r="I383"/>
      <c r="J383"/>
    </row>
    <row r="384" spans="1:10" ht="15" customHeight="1" x14ac:dyDescent="0.15">
      <c r="A384"/>
      <c r="B384"/>
      <c r="C384"/>
      <c r="D384"/>
      <c r="E384"/>
      <c r="F384"/>
      <c r="G384"/>
      <c r="H384"/>
      <c r="I384"/>
      <c r="J384"/>
    </row>
    <row r="385" spans="1:10" ht="15" customHeight="1" x14ac:dyDescent="0.15">
      <c r="A385"/>
      <c r="B385"/>
      <c r="C385"/>
      <c r="D385"/>
      <c r="E385"/>
      <c r="F385"/>
      <c r="G385"/>
      <c r="H385"/>
      <c r="I385"/>
      <c r="J385"/>
    </row>
    <row r="386" spans="1:10" ht="15" customHeight="1" x14ac:dyDescent="0.15">
      <c r="A386"/>
      <c r="B386"/>
      <c r="C386"/>
      <c r="D386"/>
      <c r="E386"/>
      <c r="F386"/>
      <c r="G386"/>
      <c r="H386"/>
      <c r="I386"/>
      <c r="J386"/>
    </row>
    <row r="387" spans="1:10" ht="15" customHeight="1" x14ac:dyDescent="0.15">
      <c r="A387"/>
      <c r="B387"/>
      <c r="C387"/>
      <c r="D387"/>
      <c r="E387"/>
      <c r="F387"/>
      <c r="G387"/>
      <c r="H387"/>
      <c r="I387"/>
      <c r="J387"/>
    </row>
    <row r="388" spans="1:10" ht="15" customHeight="1" x14ac:dyDescent="0.15">
      <c r="A388"/>
      <c r="B388"/>
      <c r="C388"/>
      <c r="D388"/>
      <c r="E388"/>
      <c r="F388"/>
      <c r="G388"/>
      <c r="H388"/>
      <c r="I388"/>
      <c r="J388"/>
    </row>
    <row r="389" spans="1:10" ht="15" customHeight="1" x14ac:dyDescent="0.15">
      <c r="A389"/>
      <c r="B389"/>
      <c r="C389"/>
      <c r="D389"/>
      <c r="E389"/>
      <c r="F389"/>
      <c r="G389"/>
      <c r="H389"/>
      <c r="I389"/>
      <c r="J389"/>
    </row>
    <row r="390" spans="1:10" ht="15" customHeight="1" x14ac:dyDescent="0.15">
      <c r="A390"/>
      <c r="B390"/>
      <c r="C390"/>
      <c r="D390"/>
      <c r="E390"/>
      <c r="F390"/>
      <c r="G390"/>
      <c r="H390"/>
      <c r="I390"/>
      <c r="J390"/>
    </row>
    <row r="391" spans="1:10" ht="15" customHeight="1" x14ac:dyDescent="0.15">
      <c r="A391"/>
      <c r="B391"/>
      <c r="C391"/>
      <c r="D391"/>
      <c r="E391"/>
      <c r="F391"/>
      <c r="G391"/>
      <c r="H391"/>
      <c r="I391"/>
      <c r="J391"/>
    </row>
    <row r="392" spans="1:10" ht="15" customHeight="1" x14ac:dyDescent="0.15">
      <c r="A392"/>
      <c r="B392"/>
      <c r="C392"/>
      <c r="D392"/>
      <c r="E392"/>
      <c r="F392"/>
      <c r="G392"/>
      <c r="H392"/>
      <c r="I392"/>
      <c r="J392"/>
    </row>
    <row r="393" spans="1:10" ht="15" customHeight="1" x14ac:dyDescent="0.15">
      <c r="A393"/>
      <c r="B393"/>
      <c r="C393"/>
      <c r="D393"/>
      <c r="E393"/>
      <c r="F393"/>
      <c r="G393"/>
      <c r="H393"/>
      <c r="I393"/>
      <c r="J393"/>
    </row>
    <row r="394" spans="1:10" ht="15" customHeight="1" x14ac:dyDescent="0.15">
      <c r="A394"/>
      <c r="B394"/>
      <c r="C394"/>
      <c r="D394"/>
      <c r="E394"/>
      <c r="F394"/>
      <c r="G394"/>
      <c r="H394"/>
      <c r="I394"/>
      <c r="J394"/>
    </row>
    <row r="395" spans="1:10" ht="15" customHeight="1" x14ac:dyDescent="0.15">
      <c r="A395"/>
      <c r="B395"/>
      <c r="C395"/>
      <c r="D395"/>
      <c r="E395"/>
      <c r="F395"/>
      <c r="G395"/>
      <c r="H395"/>
      <c r="I395"/>
      <c r="J395"/>
    </row>
    <row r="396" spans="1:10" ht="15" customHeight="1" x14ac:dyDescent="0.15">
      <c r="A396"/>
      <c r="B396"/>
      <c r="C396"/>
      <c r="D396"/>
      <c r="E396"/>
      <c r="F396"/>
      <c r="G396"/>
      <c r="H396"/>
      <c r="I396"/>
      <c r="J396"/>
    </row>
    <row r="397" spans="1:10" ht="15" customHeight="1" x14ac:dyDescent="0.15">
      <c r="A397"/>
      <c r="B397"/>
      <c r="C397"/>
      <c r="D397"/>
      <c r="E397"/>
      <c r="F397"/>
      <c r="G397"/>
      <c r="H397"/>
      <c r="I397"/>
      <c r="J397"/>
    </row>
    <row r="398" spans="1:10" ht="15" customHeight="1" x14ac:dyDescent="0.15">
      <c r="A398"/>
      <c r="B398"/>
      <c r="C398"/>
      <c r="D398"/>
      <c r="E398"/>
      <c r="F398"/>
      <c r="G398"/>
      <c r="H398"/>
      <c r="I398"/>
      <c r="J398"/>
    </row>
    <row r="399" spans="1:10" ht="15" customHeight="1" x14ac:dyDescent="0.15">
      <c r="A399"/>
      <c r="B399"/>
      <c r="C399"/>
      <c r="D399"/>
      <c r="E399"/>
      <c r="F399"/>
      <c r="G399"/>
      <c r="H399"/>
      <c r="I399"/>
      <c r="J399"/>
    </row>
    <row r="400" spans="1:10" ht="15" customHeight="1" x14ac:dyDescent="0.15">
      <c r="A400"/>
      <c r="B400"/>
      <c r="C400"/>
      <c r="D400"/>
      <c r="E400"/>
      <c r="F400"/>
      <c r="G400"/>
      <c r="H400"/>
      <c r="I400"/>
      <c r="J400"/>
    </row>
    <row r="401" spans="1:10" ht="15" customHeight="1" x14ac:dyDescent="0.15">
      <c r="A401"/>
      <c r="B401"/>
      <c r="C401"/>
      <c r="D401"/>
      <c r="E401"/>
      <c r="F401"/>
      <c r="G401"/>
      <c r="H401"/>
      <c r="I401"/>
      <c r="J401"/>
    </row>
    <row r="402" spans="1:10" ht="15" customHeight="1" x14ac:dyDescent="0.15">
      <c r="A402"/>
      <c r="B402"/>
      <c r="C402"/>
      <c r="D402"/>
      <c r="E402"/>
      <c r="F402"/>
      <c r="G402"/>
      <c r="H402"/>
      <c r="I402"/>
      <c r="J402"/>
    </row>
    <row r="403" spans="1:10" ht="15" customHeight="1" x14ac:dyDescent="0.15">
      <c r="A403"/>
      <c r="B403"/>
      <c r="C403"/>
      <c r="D403"/>
      <c r="E403"/>
      <c r="F403"/>
      <c r="G403"/>
      <c r="H403"/>
      <c r="I403"/>
      <c r="J403"/>
    </row>
    <row r="404" spans="1:10" ht="15" customHeight="1" x14ac:dyDescent="0.15">
      <c r="A404"/>
      <c r="B404"/>
      <c r="C404"/>
      <c r="D404"/>
      <c r="E404"/>
      <c r="F404"/>
      <c r="G404"/>
      <c r="H404"/>
      <c r="I404"/>
      <c r="J404"/>
    </row>
    <row r="405" spans="1:10" ht="15" customHeight="1" x14ac:dyDescent="0.15">
      <c r="A405"/>
      <c r="B405"/>
      <c r="C405"/>
      <c r="D405"/>
      <c r="E405"/>
      <c r="F405"/>
      <c r="G405"/>
      <c r="H405"/>
      <c r="I405"/>
      <c r="J405"/>
    </row>
    <row r="406" spans="1:10" ht="15" customHeight="1" x14ac:dyDescent="0.15">
      <c r="A406"/>
      <c r="B406"/>
      <c r="C406"/>
      <c r="D406"/>
      <c r="E406"/>
      <c r="F406"/>
      <c r="G406"/>
      <c r="H406"/>
      <c r="I406"/>
      <c r="J406"/>
    </row>
    <row r="407" spans="1:10" ht="15" customHeight="1" x14ac:dyDescent="0.15">
      <c r="A407"/>
      <c r="B407"/>
      <c r="C407"/>
      <c r="D407"/>
      <c r="E407"/>
      <c r="F407"/>
      <c r="G407"/>
      <c r="H407"/>
      <c r="I407"/>
      <c r="J407"/>
    </row>
    <row r="408" spans="1:10" ht="15" customHeight="1" x14ac:dyDescent="0.15">
      <c r="A408"/>
      <c r="B408"/>
      <c r="C408"/>
      <c r="D408"/>
      <c r="E408"/>
      <c r="F408"/>
      <c r="G408"/>
      <c r="H408"/>
      <c r="I408"/>
      <c r="J408"/>
    </row>
    <row r="409" spans="1:10" ht="15" customHeight="1" x14ac:dyDescent="0.15">
      <c r="A409"/>
      <c r="B409"/>
      <c r="C409"/>
      <c r="D409"/>
      <c r="E409"/>
      <c r="F409"/>
      <c r="G409"/>
      <c r="H409"/>
      <c r="I409"/>
      <c r="J409"/>
    </row>
    <row r="410" spans="1:10" ht="15" customHeight="1" x14ac:dyDescent="0.15">
      <c r="A410"/>
      <c r="B410"/>
      <c r="C410"/>
      <c r="D410"/>
      <c r="E410"/>
      <c r="F410"/>
      <c r="G410"/>
      <c r="H410"/>
      <c r="I410"/>
      <c r="J410"/>
    </row>
    <row r="411" spans="1:10" ht="15" customHeight="1" x14ac:dyDescent="0.15">
      <c r="A411"/>
      <c r="B411"/>
      <c r="C411"/>
      <c r="D411"/>
      <c r="E411"/>
      <c r="F411"/>
      <c r="G411"/>
      <c r="H411"/>
      <c r="I411"/>
      <c r="J411"/>
    </row>
    <row r="412" spans="1:10" ht="15" customHeight="1" x14ac:dyDescent="0.15">
      <c r="A412"/>
      <c r="B412"/>
      <c r="C412"/>
      <c r="D412"/>
      <c r="E412"/>
      <c r="F412"/>
      <c r="G412"/>
      <c r="H412"/>
      <c r="I412"/>
      <c r="J412"/>
    </row>
    <row r="413" spans="1:10" ht="15" customHeight="1" x14ac:dyDescent="0.15">
      <c r="A413"/>
      <c r="B413"/>
      <c r="C413"/>
      <c r="D413"/>
      <c r="E413"/>
      <c r="F413"/>
      <c r="G413"/>
      <c r="H413"/>
      <c r="I413"/>
      <c r="J413"/>
    </row>
    <row r="414" spans="1:10" ht="15" customHeight="1" x14ac:dyDescent="0.15">
      <c r="A414"/>
      <c r="B414"/>
      <c r="C414"/>
      <c r="D414"/>
      <c r="E414"/>
      <c r="F414"/>
      <c r="G414"/>
      <c r="H414"/>
      <c r="I414"/>
      <c r="J414"/>
    </row>
    <row r="415" spans="1:10" ht="15" customHeight="1" x14ac:dyDescent="0.15">
      <c r="A415"/>
      <c r="B415"/>
      <c r="C415"/>
      <c r="D415"/>
      <c r="E415"/>
      <c r="F415"/>
      <c r="G415"/>
      <c r="H415"/>
      <c r="I415"/>
      <c r="J415"/>
    </row>
    <row r="416" spans="1:10" ht="15" customHeight="1" x14ac:dyDescent="0.15">
      <c r="A416"/>
      <c r="B416"/>
      <c r="C416"/>
      <c r="D416"/>
      <c r="E416"/>
      <c r="F416"/>
      <c r="G416"/>
      <c r="H416"/>
      <c r="I416"/>
      <c r="J416"/>
    </row>
    <row r="417" spans="1:10" ht="15" customHeight="1" x14ac:dyDescent="0.15">
      <c r="A417"/>
      <c r="B417"/>
      <c r="C417"/>
      <c r="D417"/>
      <c r="E417"/>
      <c r="F417"/>
      <c r="G417"/>
      <c r="H417"/>
      <c r="I417"/>
      <c r="J417"/>
    </row>
    <row r="418" spans="1:10" ht="15" customHeight="1" x14ac:dyDescent="0.15">
      <c r="A418"/>
      <c r="B418"/>
      <c r="C418"/>
      <c r="D418"/>
      <c r="E418"/>
      <c r="F418"/>
      <c r="G418"/>
      <c r="H418"/>
      <c r="I418"/>
      <c r="J418"/>
    </row>
    <row r="419" spans="1:10" ht="15" customHeight="1" x14ac:dyDescent="0.15">
      <c r="A419"/>
      <c r="B419"/>
      <c r="C419"/>
      <c r="D419"/>
      <c r="E419"/>
      <c r="F419"/>
      <c r="G419"/>
      <c r="H419"/>
      <c r="I419"/>
      <c r="J419"/>
    </row>
    <row r="420" spans="1:10" ht="15" customHeight="1" x14ac:dyDescent="0.15">
      <c r="A420"/>
      <c r="B420"/>
      <c r="C420"/>
      <c r="D420"/>
      <c r="E420"/>
      <c r="F420"/>
      <c r="G420"/>
      <c r="H420"/>
      <c r="I420"/>
      <c r="J420"/>
    </row>
    <row r="421" spans="1:10" ht="15" customHeight="1" x14ac:dyDescent="0.15">
      <c r="A421"/>
      <c r="B421"/>
      <c r="C421"/>
      <c r="D421"/>
      <c r="E421"/>
      <c r="F421"/>
      <c r="G421"/>
      <c r="H421"/>
      <c r="I421"/>
      <c r="J421"/>
    </row>
    <row r="422" spans="1:10" ht="15" customHeight="1" x14ac:dyDescent="0.15">
      <c r="A422"/>
      <c r="B422"/>
      <c r="C422"/>
      <c r="D422"/>
      <c r="E422"/>
      <c r="F422"/>
      <c r="G422"/>
      <c r="H422"/>
      <c r="I422"/>
      <c r="J422"/>
    </row>
    <row r="423" spans="1:10" ht="15" customHeight="1" x14ac:dyDescent="0.15">
      <c r="A423"/>
      <c r="B423"/>
      <c r="C423"/>
      <c r="D423"/>
      <c r="E423"/>
      <c r="F423"/>
      <c r="G423"/>
      <c r="H423"/>
      <c r="I423"/>
      <c r="J423"/>
    </row>
    <row r="424" spans="1:10" ht="15" customHeight="1" x14ac:dyDescent="0.15">
      <c r="A424"/>
      <c r="B424"/>
      <c r="C424"/>
      <c r="D424"/>
      <c r="E424"/>
      <c r="F424"/>
      <c r="G424"/>
      <c r="H424"/>
      <c r="I424"/>
      <c r="J424"/>
    </row>
    <row r="425" spans="1:10" ht="15" customHeight="1" x14ac:dyDescent="0.15">
      <c r="A425"/>
      <c r="B425"/>
      <c r="C425"/>
      <c r="D425"/>
      <c r="E425"/>
      <c r="F425"/>
      <c r="G425"/>
      <c r="H425"/>
      <c r="I425"/>
      <c r="J425"/>
    </row>
    <row r="426" spans="1:10" ht="15" customHeight="1" x14ac:dyDescent="0.15">
      <c r="A426"/>
      <c r="B426"/>
      <c r="C426"/>
      <c r="D426"/>
      <c r="E426"/>
      <c r="F426"/>
      <c r="G426"/>
      <c r="H426"/>
      <c r="I426"/>
      <c r="J426"/>
    </row>
    <row r="427" spans="1:10" ht="15" customHeight="1" x14ac:dyDescent="0.15">
      <c r="A427"/>
      <c r="B427"/>
      <c r="C427"/>
      <c r="D427"/>
      <c r="E427"/>
      <c r="F427"/>
      <c r="G427"/>
      <c r="H427"/>
      <c r="I427"/>
      <c r="J427"/>
    </row>
    <row r="428" spans="1:10" ht="15" customHeight="1" x14ac:dyDescent="0.15">
      <c r="A428"/>
      <c r="B428"/>
      <c r="C428"/>
      <c r="D428"/>
      <c r="E428"/>
      <c r="F428"/>
      <c r="G428"/>
      <c r="H428"/>
      <c r="I428"/>
      <c r="J428"/>
    </row>
    <row r="429" spans="1:10" ht="15" customHeight="1" x14ac:dyDescent="0.15">
      <c r="A429"/>
      <c r="B429"/>
      <c r="C429"/>
      <c r="D429"/>
      <c r="E429"/>
      <c r="F429"/>
      <c r="G429"/>
      <c r="H429"/>
      <c r="I429"/>
      <c r="J429"/>
    </row>
    <row r="430" spans="1:10" ht="15" customHeight="1" x14ac:dyDescent="0.15">
      <c r="A430"/>
      <c r="B430"/>
      <c r="C430"/>
      <c r="D430"/>
      <c r="E430"/>
      <c r="F430"/>
      <c r="G430"/>
      <c r="H430"/>
      <c r="I430"/>
      <c r="J430"/>
    </row>
    <row r="431" spans="1:10" ht="15" customHeight="1" x14ac:dyDescent="0.15">
      <c r="A431"/>
      <c r="B431"/>
      <c r="C431"/>
      <c r="D431"/>
      <c r="E431"/>
      <c r="F431"/>
      <c r="G431"/>
      <c r="H431"/>
      <c r="I431"/>
      <c r="J431"/>
    </row>
    <row r="432" spans="1:10" ht="15" customHeight="1" x14ac:dyDescent="0.15">
      <c r="A432"/>
      <c r="B432"/>
      <c r="C432"/>
      <c r="D432"/>
      <c r="E432"/>
      <c r="F432"/>
      <c r="G432"/>
      <c r="H432"/>
      <c r="I432"/>
      <c r="J432"/>
    </row>
    <row r="433" spans="1:10" ht="15" customHeight="1" x14ac:dyDescent="0.15">
      <c r="A433"/>
      <c r="B433"/>
      <c r="C433"/>
      <c r="D433"/>
      <c r="E433"/>
      <c r="F433"/>
      <c r="G433"/>
      <c r="H433"/>
      <c r="I433"/>
      <c r="J433"/>
    </row>
    <row r="434" spans="1:10" ht="15" customHeight="1" x14ac:dyDescent="0.15">
      <c r="A434"/>
      <c r="B434"/>
      <c r="C434"/>
      <c r="D434"/>
      <c r="E434"/>
      <c r="F434"/>
      <c r="G434"/>
      <c r="H434"/>
      <c r="I434"/>
      <c r="J434"/>
    </row>
    <row r="435" spans="1:10" ht="15" customHeight="1" x14ac:dyDescent="0.15">
      <c r="A435"/>
      <c r="B435"/>
      <c r="C435"/>
      <c r="D435"/>
      <c r="E435"/>
      <c r="F435"/>
      <c r="G435"/>
      <c r="H435"/>
      <c r="I435"/>
      <c r="J435"/>
    </row>
    <row r="436" spans="1:10" ht="15" customHeight="1" x14ac:dyDescent="0.15">
      <c r="A436"/>
      <c r="B436"/>
      <c r="C436"/>
      <c r="D436"/>
      <c r="E436"/>
      <c r="F436"/>
      <c r="G436"/>
      <c r="H436"/>
      <c r="I436"/>
      <c r="J436"/>
    </row>
    <row r="437" spans="1:10" ht="15" customHeight="1" x14ac:dyDescent="0.15">
      <c r="A437"/>
      <c r="B437"/>
      <c r="C437"/>
      <c r="D437"/>
      <c r="E437"/>
      <c r="F437"/>
      <c r="G437"/>
      <c r="H437"/>
      <c r="I437"/>
      <c r="J437"/>
    </row>
    <row r="438" spans="1:10" ht="15" customHeight="1" x14ac:dyDescent="0.15">
      <c r="A438"/>
      <c r="B438"/>
      <c r="C438"/>
      <c r="D438"/>
      <c r="E438"/>
      <c r="F438"/>
      <c r="G438"/>
      <c r="H438"/>
      <c r="I438"/>
      <c r="J438"/>
    </row>
    <row r="439" spans="1:10" ht="15" customHeight="1" x14ac:dyDescent="0.15">
      <c r="A439"/>
      <c r="B439"/>
      <c r="C439"/>
      <c r="D439"/>
      <c r="E439"/>
      <c r="F439"/>
      <c r="G439"/>
      <c r="H439"/>
      <c r="I439"/>
      <c r="J439"/>
    </row>
    <row r="440" spans="1:10" ht="15" customHeight="1" x14ac:dyDescent="0.15">
      <c r="A440"/>
      <c r="B440"/>
      <c r="C440"/>
      <c r="D440"/>
      <c r="E440"/>
      <c r="F440"/>
      <c r="G440"/>
      <c r="H440"/>
      <c r="I440"/>
      <c r="J440"/>
    </row>
    <row r="441" spans="1:10" ht="15" customHeight="1" x14ac:dyDescent="0.15">
      <c r="A441"/>
      <c r="B441"/>
      <c r="C441"/>
      <c r="D441"/>
      <c r="E441"/>
      <c r="F441"/>
      <c r="G441"/>
      <c r="H441"/>
      <c r="I441"/>
      <c r="J441"/>
    </row>
    <row r="442" spans="1:10" ht="15" customHeight="1" x14ac:dyDescent="0.15">
      <c r="A442"/>
      <c r="B442"/>
      <c r="C442"/>
      <c r="D442"/>
      <c r="E442"/>
      <c r="F442"/>
      <c r="G442"/>
      <c r="H442"/>
      <c r="I442"/>
      <c r="J442"/>
    </row>
    <row r="443" spans="1:10" ht="15" customHeight="1" x14ac:dyDescent="0.15">
      <c r="A443"/>
      <c r="B443"/>
      <c r="C443"/>
      <c r="D443"/>
      <c r="E443"/>
      <c r="F443"/>
      <c r="G443"/>
      <c r="H443"/>
      <c r="I443"/>
      <c r="J443"/>
    </row>
    <row r="444" spans="1:10" ht="15" customHeight="1" x14ac:dyDescent="0.15">
      <c r="A444"/>
      <c r="B444"/>
      <c r="C444"/>
      <c r="D444"/>
      <c r="E444"/>
      <c r="F444"/>
      <c r="G444"/>
      <c r="H444"/>
      <c r="I444"/>
      <c r="J444"/>
    </row>
    <row r="445" spans="1:10" ht="15" customHeight="1" x14ac:dyDescent="0.15">
      <c r="A445"/>
      <c r="B445"/>
      <c r="C445"/>
      <c r="D445"/>
      <c r="E445"/>
      <c r="F445"/>
      <c r="G445"/>
      <c r="H445"/>
      <c r="I445"/>
      <c r="J445"/>
    </row>
    <row r="446" spans="1:10" ht="15" customHeight="1" x14ac:dyDescent="0.15">
      <c r="A446"/>
      <c r="B446"/>
      <c r="C446"/>
      <c r="D446"/>
      <c r="E446"/>
      <c r="F446"/>
      <c r="G446"/>
      <c r="H446"/>
      <c r="I446"/>
      <c r="J446"/>
    </row>
    <row r="447" spans="1:10" ht="15" customHeight="1" x14ac:dyDescent="0.15">
      <c r="A447"/>
      <c r="B447"/>
      <c r="C447"/>
      <c r="D447"/>
      <c r="E447"/>
      <c r="F447"/>
      <c r="G447"/>
      <c r="H447"/>
      <c r="I447"/>
      <c r="J447"/>
    </row>
    <row r="448" spans="1:10" ht="15" customHeight="1" x14ac:dyDescent="0.15">
      <c r="A448"/>
      <c r="B448"/>
      <c r="C448"/>
      <c r="D448"/>
      <c r="E448"/>
      <c r="F448"/>
      <c r="G448"/>
      <c r="H448"/>
      <c r="I448"/>
      <c r="J448"/>
    </row>
    <row r="449" spans="1:10" ht="15" customHeight="1" x14ac:dyDescent="0.15">
      <c r="A449"/>
      <c r="B449"/>
      <c r="C449"/>
      <c r="D449"/>
      <c r="E449"/>
      <c r="F449"/>
      <c r="G449"/>
      <c r="H449"/>
      <c r="I449"/>
      <c r="J449"/>
    </row>
    <row r="450" spans="1:10" ht="15" customHeight="1" x14ac:dyDescent="0.15">
      <c r="A450"/>
      <c r="B450"/>
      <c r="C450"/>
      <c r="D450"/>
      <c r="E450"/>
      <c r="F450"/>
      <c r="G450"/>
      <c r="H450"/>
      <c r="I450"/>
      <c r="J450"/>
    </row>
    <row r="451" spans="1:10" ht="15" customHeight="1" x14ac:dyDescent="0.15">
      <c r="A451"/>
      <c r="B451"/>
      <c r="C451"/>
      <c r="D451"/>
      <c r="E451"/>
      <c r="F451"/>
      <c r="G451"/>
      <c r="H451"/>
      <c r="I451"/>
      <c r="J451"/>
    </row>
    <row r="452" spans="1:10" ht="15" customHeight="1" x14ac:dyDescent="0.15">
      <c r="A452"/>
      <c r="B452"/>
      <c r="C452"/>
      <c r="D452"/>
      <c r="E452"/>
      <c r="F452"/>
      <c r="G452"/>
      <c r="H452"/>
      <c r="I452"/>
      <c r="J452"/>
    </row>
    <row r="453" spans="1:10" ht="15" customHeight="1" x14ac:dyDescent="0.15">
      <c r="A453"/>
      <c r="B453"/>
      <c r="C453"/>
      <c r="D453"/>
      <c r="E453"/>
      <c r="F453"/>
      <c r="G453"/>
      <c r="H453"/>
      <c r="I453"/>
      <c r="J453"/>
    </row>
    <row r="454" spans="1:10" ht="15" customHeight="1" x14ac:dyDescent="0.15">
      <c r="A454"/>
      <c r="B454"/>
      <c r="C454"/>
      <c r="D454"/>
      <c r="E454"/>
      <c r="F454"/>
      <c r="G454"/>
      <c r="H454"/>
      <c r="I454"/>
      <c r="J454"/>
    </row>
    <row r="455" spans="1:10" ht="15" customHeight="1" x14ac:dyDescent="0.15">
      <c r="A455"/>
      <c r="B455"/>
      <c r="C455"/>
      <c r="D455"/>
      <c r="E455"/>
      <c r="F455"/>
      <c r="G455"/>
      <c r="H455"/>
      <c r="I455"/>
      <c r="J455"/>
    </row>
    <row r="456" spans="1:10" ht="15" customHeight="1" x14ac:dyDescent="0.15">
      <c r="A456"/>
      <c r="B456"/>
      <c r="C456"/>
      <c r="D456"/>
      <c r="E456"/>
      <c r="F456"/>
      <c r="G456"/>
      <c r="H456"/>
      <c r="I456"/>
      <c r="J456"/>
    </row>
    <row r="457" spans="1:10" ht="15" customHeight="1" x14ac:dyDescent="0.15">
      <c r="A457"/>
      <c r="B457"/>
      <c r="C457"/>
      <c r="D457"/>
      <c r="E457"/>
      <c r="F457"/>
      <c r="G457"/>
      <c r="H457"/>
      <c r="I457"/>
      <c r="J457"/>
    </row>
    <row r="458" spans="1:10" ht="15" customHeight="1" x14ac:dyDescent="0.15">
      <c r="A458"/>
      <c r="B458"/>
      <c r="C458"/>
      <c r="D458"/>
      <c r="E458"/>
      <c r="F458"/>
      <c r="G458"/>
      <c r="H458"/>
      <c r="I458"/>
      <c r="J458"/>
    </row>
    <row r="459" spans="1:10" ht="15" customHeight="1" x14ac:dyDescent="0.15">
      <c r="A459"/>
      <c r="B459"/>
      <c r="C459"/>
      <c r="D459"/>
      <c r="E459"/>
      <c r="F459"/>
      <c r="G459"/>
      <c r="H459"/>
      <c r="I459"/>
      <c r="J459"/>
    </row>
    <row r="460" spans="1:10" ht="15" customHeight="1" x14ac:dyDescent="0.15">
      <c r="A460"/>
      <c r="B460"/>
      <c r="C460"/>
      <c r="D460"/>
      <c r="E460"/>
      <c r="F460"/>
      <c r="G460"/>
      <c r="H460"/>
      <c r="I460"/>
      <c r="J460"/>
    </row>
    <row r="461" spans="1:10" ht="15" customHeight="1" x14ac:dyDescent="0.15">
      <c r="A461"/>
      <c r="B461"/>
      <c r="C461"/>
      <c r="D461"/>
      <c r="E461"/>
      <c r="F461"/>
      <c r="G461"/>
      <c r="H461"/>
      <c r="I461"/>
      <c r="J461"/>
    </row>
    <row r="462" spans="1:10" ht="15" customHeight="1" x14ac:dyDescent="0.15">
      <c r="A462"/>
      <c r="B462"/>
      <c r="C462"/>
      <c r="D462"/>
      <c r="E462"/>
      <c r="F462"/>
      <c r="G462"/>
      <c r="H462"/>
      <c r="I462"/>
      <c r="J462"/>
    </row>
    <row r="463" spans="1:10" ht="15" customHeight="1" x14ac:dyDescent="0.15">
      <c r="A463"/>
      <c r="B463"/>
      <c r="C463"/>
      <c r="D463"/>
      <c r="E463"/>
      <c r="F463"/>
      <c r="G463"/>
      <c r="H463"/>
      <c r="I463"/>
      <c r="J463"/>
    </row>
    <row r="464" spans="1:10" ht="15" customHeight="1" x14ac:dyDescent="0.15">
      <c r="A464"/>
      <c r="B464"/>
      <c r="C464"/>
      <c r="D464"/>
      <c r="E464"/>
      <c r="F464"/>
      <c r="G464"/>
      <c r="H464"/>
      <c r="I464"/>
      <c r="J464"/>
    </row>
    <row r="465" spans="1:10" ht="15" customHeight="1" x14ac:dyDescent="0.15">
      <c r="A465"/>
      <c r="B465"/>
      <c r="C465"/>
      <c r="D465"/>
      <c r="E465"/>
      <c r="F465"/>
      <c r="G465"/>
      <c r="H465"/>
      <c r="I465"/>
      <c r="J465"/>
    </row>
    <row r="466" spans="1:10" ht="15" customHeight="1" x14ac:dyDescent="0.15">
      <c r="A466"/>
      <c r="B466"/>
      <c r="C466"/>
      <c r="D466"/>
      <c r="E466"/>
      <c r="F466"/>
      <c r="G466"/>
      <c r="H466"/>
      <c r="I466"/>
      <c r="J466"/>
    </row>
    <row r="467" spans="1:10" ht="15" customHeight="1" x14ac:dyDescent="0.15">
      <c r="A467"/>
      <c r="B467"/>
      <c r="C467"/>
      <c r="D467"/>
      <c r="E467"/>
      <c r="F467"/>
      <c r="G467"/>
      <c r="H467"/>
      <c r="I467"/>
      <c r="J467"/>
    </row>
    <row r="468" spans="1:10" ht="15" customHeight="1" x14ac:dyDescent="0.15">
      <c r="A468"/>
      <c r="B468"/>
      <c r="C468"/>
      <c r="D468"/>
      <c r="E468"/>
      <c r="F468"/>
      <c r="G468"/>
      <c r="H468"/>
      <c r="I468"/>
      <c r="J468"/>
    </row>
    <row r="469" spans="1:10" ht="15" customHeight="1" x14ac:dyDescent="0.15">
      <c r="A469"/>
      <c r="B469"/>
      <c r="C469"/>
      <c r="D469"/>
      <c r="E469"/>
      <c r="F469"/>
      <c r="G469"/>
      <c r="H469"/>
      <c r="I469"/>
      <c r="J469"/>
    </row>
    <row r="470" spans="1:10" ht="15" customHeight="1" x14ac:dyDescent="0.15">
      <c r="A470"/>
      <c r="B470"/>
      <c r="C470"/>
      <c r="D470"/>
      <c r="E470"/>
      <c r="F470"/>
      <c r="G470"/>
      <c r="H470"/>
      <c r="I470"/>
      <c r="J470"/>
    </row>
    <row r="471" spans="1:10" ht="15" customHeight="1" x14ac:dyDescent="0.15">
      <c r="A471"/>
      <c r="B471"/>
      <c r="C471"/>
      <c r="D471"/>
      <c r="E471"/>
      <c r="F471"/>
      <c r="G471"/>
      <c r="H471"/>
      <c r="I471"/>
      <c r="J471"/>
    </row>
    <row r="472" spans="1:10" ht="15" customHeight="1" x14ac:dyDescent="0.15">
      <c r="A472"/>
      <c r="B472"/>
      <c r="C472"/>
      <c r="D472"/>
      <c r="E472"/>
      <c r="F472"/>
      <c r="G472"/>
      <c r="H472"/>
      <c r="I472"/>
      <c r="J472"/>
    </row>
    <row r="473" spans="1:10" ht="15" customHeight="1" x14ac:dyDescent="0.15">
      <c r="A473"/>
      <c r="B473"/>
      <c r="C473"/>
      <c r="D473"/>
      <c r="E473"/>
      <c r="F473"/>
      <c r="G473"/>
      <c r="H473"/>
      <c r="I473"/>
      <c r="J473"/>
    </row>
    <row r="474" spans="1:10" ht="15" customHeight="1" x14ac:dyDescent="0.15">
      <c r="A474"/>
      <c r="B474"/>
      <c r="C474"/>
      <c r="D474"/>
      <c r="E474"/>
      <c r="F474"/>
      <c r="G474"/>
      <c r="H474"/>
      <c r="I474"/>
      <c r="J474"/>
    </row>
    <row r="475" spans="1:10" ht="15" customHeight="1" x14ac:dyDescent="0.15">
      <c r="A475"/>
      <c r="B475"/>
      <c r="C475"/>
      <c r="D475"/>
      <c r="E475"/>
      <c r="F475"/>
      <c r="G475"/>
      <c r="H475"/>
      <c r="I475"/>
      <c r="J475"/>
    </row>
    <row r="476" spans="1:10" ht="15" customHeight="1" x14ac:dyDescent="0.15">
      <c r="A476"/>
      <c r="B476"/>
      <c r="C476"/>
      <c r="D476"/>
      <c r="E476"/>
      <c r="F476"/>
      <c r="G476"/>
      <c r="H476"/>
      <c r="I476"/>
      <c r="J476"/>
    </row>
    <row r="477" spans="1:10" ht="15" customHeight="1" x14ac:dyDescent="0.15">
      <c r="A477"/>
      <c r="B477"/>
      <c r="C477"/>
      <c r="D477"/>
      <c r="E477"/>
      <c r="F477"/>
      <c r="G477"/>
      <c r="H477"/>
      <c r="I477"/>
      <c r="J477"/>
    </row>
    <row r="478" spans="1:10" ht="15" customHeight="1" x14ac:dyDescent="0.15">
      <c r="A478"/>
      <c r="B478"/>
      <c r="C478"/>
      <c r="D478"/>
      <c r="E478"/>
      <c r="F478"/>
      <c r="G478"/>
      <c r="H478"/>
      <c r="I478"/>
      <c r="J478"/>
    </row>
    <row r="479" spans="1:10" ht="15" customHeight="1" x14ac:dyDescent="0.15">
      <c r="A479"/>
      <c r="B479"/>
      <c r="C479"/>
      <c r="D479"/>
      <c r="E479"/>
      <c r="F479"/>
      <c r="G479"/>
      <c r="H479"/>
      <c r="I479"/>
      <c r="J479"/>
    </row>
    <row r="480" spans="1:10" ht="15" customHeight="1" x14ac:dyDescent="0.15">
      <c r="A480"/>
      <c r="B480"/>
      <c r="C480"/>
      <c r="D480"/>
      <c r="E480"/>
      <c r="F480"/>
      <c r="G480"/>
      <c r="H480"/>
      <c r="I480"/>
      <c r="J480"/>
    </row>
    <row r="481" spans="1:10" ht="15" customHeight="1" x14ac:dyDescent="0.15">
      <c r="A481"/>
      <c r="B481"/>
      <c r="C481"/>
      <c r="D481"/>
      <c r="E481"/>
      <c r="F481"/>
      <c r="G481"/>
      <c r="H481"/>
      <c r="I481"/>
      <c r="J481"/>
    </row>
    <row r="482" spans="1:10" ht="15" customHeight="1" x14ac:dyDescent="0.15">
      <c r="A482"/>
      <c r="B482"/>
      <c r="C482"/>
      <c r="D482"/>
      <c r="E482"/>
      <c r="F482"/>
      <c r="G482"/>
      <c r="H482"/>
      <c r="I482"/>
      <c r="J482"/>
    </row>
    <row r="483" spans="1:10" ht="15" customHeight="1" x14ac:dyDescent="0.15">
      <c r="A483"/>
      <c r="B483"/>
      <c r="C483"/>
      <c r="D483"/>
      <c r="E483"/>
      <c r="F483"/>
      <c r="G483"/>
      <c r="H483"/>
      <c r="I483"/>
      <c r="J483"/>
    </row>
    <row r="484" spans="1:10" ht="15" customHeight="1" x14ac:dyDescent="0.15">
      <c r="A484"/>
      <c r="B484"/>
      <c r="C484"/>
      <c r="D484"/>
      <c r="E484"/>
      <c r="F484"/>
      <c r="G484"/>
      <c r="H484"/>
      <c r="I484"/>
      <c r="J484"/>
    </row>
    <row r="485" spans="1:10" ht="15" customHeight="1" x14ac:dyDescent="0.15">
      <c r="A485"/>
      <c r="B485"/>
      <c r="C485"/>
      <c r="D485"/>
      <c r="E485"/>
      <c r="F485"/>
      <c r="G485"/>
      <c r="H485"/>
      <c r="I485"/>
      <c r="J485"/>
    </row>
    <row r="486" spans="1:10" ht="15" customHeight="1" x14ac:dyDescent="0.15">
      <c r="A486"/>
      <c r="B486"/>
      <c r="C486"/>
      <c r="D486"/>
      <c r="E486"/>
      <c r="F486"/>
      <c r="G486"/>
      <c r="H486"/>
      <c r="I486"/>
      <c r="J486"/>
    </row>
    <row r="487" spans="1:10" ht="15" customHeight="1" x14ac:dyDescent="0.15">
      <c r="A487"/>
      <c r="B487"/>
      <c r="C487"/>
      <c r="D487"/>
      <c r="E487"/>
      <c r="F487"/>
      <c r="G487"/>
      <c r="H487"/>
      <c r="I487"/>
      <c r="J487"/>
    </row>
    <row r="488" spans="1:10" ht="15" customHeight="1" x14ac:dyDescent="0.15">
      <c r="A488"/>
      <c r="B488"/>
      <c r="C488"/>
      <c r="D488"/>
      <c r="E488"/>
      <c r="F488"/>
      <c r="G488"/>
      <c r="H488"/>
      <c r="I488"/>
      <c r="J488"/>
    </row>
    <row r="489" spans="1:10" ht="15" customHeight="1" x14ac:dyDescent="0.15">
      <c r="A489"/>
      <c r="B489"/>
      <c r="C489"/>
      <c r="D489"/>
      <c r="E489"/>
      <c r="F489"/>
      <c r="G489"/>
      <c r="H489"/>
      <c r="I489"/>
      <c r="J489"/>
    </row>
    <row r="490" spans="1:10" ht="15" customHeight="1" x14ac:dyDescent="0.15">
      <c r="A490"/>
      <c r="B490"/>
      <c r="C490"/>
      <c r="D490"/>
      <c r="E490"/>
      <c r="F490"/>
      <c r="G490"/>
      <c r="H490"/>
      <c r="I490"/>
      <c r="J490"/>
    </row>
    <row r="491" spans="1:10" ht="15" customHeight="1" x14ac:dyDescent="0.15">
      <c r="A491"/>
      <c r="B491"/>
      <c r="C491"/>
      <c r="D491"/>
      <c r="E491"/>
      <c r="F491"/>
      <c r="G491"/>
      <c r="H491"/>
      <c r="I491"/>
      <c r="J491"/>
    </row>
    <row r="492" spans="1:10" ht="15" customHeight="1" x14ac:dyDescent="0.15">
      <c r="A492"/>
      <c r="B492"/>
      <c r="C492"/>
      <c r="D492"/>
      <c r="E492"/>
      <c r="F492"/>
      <c r="G492"/>
      <c r="H492"/>
      <c r="I492"/>
      <c r="J492"/>
    </row>
    <row r="493" spans="1:10" ht="15" customHeight="1" x14ac:dyDescent="0.15">
      <c r="A493"/>
      <c r="B493"/>
      <c r="C493"/>
      <c r="D493"/>
      <c r="E493"/>
      <c r="F493"/>
      <c r="G493"/>
      <c r="H493"/>
      <c r="I493"/>
      <c r="J493"/>
    </row>
    <row r="494" spans="1:10" ht="15" customHeight="1" x14ac:dyDescent="0.15">
      <c r="A494"/>
      <c r="B494"/>
      <c r="C494"/>
      <c r="D494"/>
      <c r="E494"/>
      <c r="F494"/>
      <c r="G494"/>
      <c r="H494"/>
      <c r="I494"/>
      <c r="J494"/>
    </row>
    <row r="495" spans="1:10" ht="15" customHeight="1" x14ac:dyDescent="0.15">
      <c r="A495"/>
      <c r="B495"/>
      <c r="C495"/>
      <c r="D495"/>
      <c r="E495"/>
      <c r="F495"/>
      <c r="G495"/>
      <c r="H495"/>
      <c r="I495"/>
      <c r="J495"/>
    </row>
    <row r="496" spans="1:10" ht="15" customHeight="1" x14ac:dyDescent="0.15">
      <c r="A496"/>
      <c r="B496"/>
      <c r="C496"/>
      <c r="D496"/>
      <c r="E496"/>
      <c r="F496"/>
      <c r="G496"/>
      <c r="H496"/>
      <c r="I496"/>
      <c r="J496"/>
    </row>
    <row r="497" spans="1:10" ht="15" customHeight="1" x14ac:dyDescent="0.15">
      <c r="A497"/>
      <c r="B497"/>
      <c r="C497"/>
      <c r="D497"/>
      <c r="E497"/>
      <c r="F497"/>
      <c r="G497"/>
      <c r="H497"/>
      <c r="I497"/>
      <c r="J497"/>
    </row>
    <row r="498" spans="1:10" ht="15" customHeight="1" x14ac:dyDescent="0.15">
      <c r="A498"/>
      <c r="B498"/>
      <c r="C498"/>
      <c r="D498"/>
      <c r="E498"/>
      <c r="F498"/>
      <c r="G498"/>
      <c r="H498"/>
      <c r="I498"/>
      <c r="J498"/>
    </row>
    <row r="499" spans="1:10" ht="15" customHeight="1" x14ac:dyDescent="0.15">
      <c r="A499"/>
      <c r="B499"/>
      <c r="C499"/>
      <c r="D499"/>
      <c r="E499"/>
      <c r="F499"/>
      <c r="G499"/>
      <c r="H499"/>
      <c r="I499"/>
      <c r="J499"/>
    </row>
    <row r="500" spans="1:10" ht="15" customHeight="1" x14ac:dyDescent="0.15">
      <c r="A500"/>
      <c r="B500"/>
      <c r="C500"/>
      <c r="D500"/>
      <c r="E500"/>
      <c r="F500"/>
      <c r="G500"/>
      <c r="H500"/>
      <c r="I500"/>
      <c r="J500"/>
    </row>
  </sheetData>
  <dataConsolidate/>
  <phoneticPr fontId="2" type="noConversion"/>
  <pageMargins left="0.75" right="0.75" top="1" bottom="1" header="0.5" footer="0.5"/>
  <pageSetup orientation="portrait" horizontalDpi="4294967292" verticalDpi="4294967292"/>
  <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tabColor indexed="15"/>
  </sheetPr>
  <dimension ref="A1:HA500"/>
  <sheetViews>
    <sheetView zoomScale="125" zoomScaleNormal="125" zoomScalePageLayoutView="125" workbookViewId="0">
      <pane xSplit="3" ySplit="1" topLeftCell="D26" activePane="bottomRight" state="frozen"/>
      <selection pane="topRight" activeCell="D1" sqref="D1"/>
      <selection pane="bottomLeft" activeCell="A2" sqref="A2"/>
      <selection pane="bottomRight" activeCell="A41" sqref="A41:XFD41"/>
    </sheetView>
  </sheetViews>
  <sheetFormatPr baseColWidth="10" defaultColWidth="8.83203125" defaultRowHeight="15" customHeight="1" x14ac:dyDescent="0.15"/>
  <cols>
    <col min="1" max="1" width="40.33203125" style="83" bestFit="1" customWidth="1"/>
    <col min="2" max="4" width="9.5" style="83" bestFit="1" customWidth="1"/>
    <col min="5" max="7" width="9" style="83" bestFit="1" customWidth="1"/>
    <col min="8" max="16" width="12.6640625" style="83" bestFit="1" customWidth="1"/>
    <col min="17" max="17" width="12.33203125" style="83" bestFit="1" customWidth="1"/>
    <col min="18" max="18" width="8.83203125" style="83"/>
    <col min="19" max="21" width="9.33203125" style="83" bestFit="1" customWidth="1"/>
    <col min="22" max="23" width="8.83203125" style="83"/>
    <col min="24" max="24" width="9.33203125" style="83" bestFit="1" customWidth="1"/>
    <col min="25" max="27" width="8.83203125" style="83"/>
    <col min="28" max="58" width="9" style="83" bestFit="1" customWidth="1"/>
    <col min="59" max="59" width="12.33203125" style="83" bestFit="1" customWidth="1"/>
    <col min="60" max="60" width="9" style="83" bestFit="1" customWidth="1"/>
    <col min="61" max="61" width="11.33203125" style="83" bestFit="1" customWidth="1"/>
    <col min="62" max="77" width="9" style="83" bestFit="1" customWidth="1"/>
    <col min="78" max="78" width="12.33203125" style="83" bestFit="1" customWidth="1"/>
    <col min="79" max="79" width="9" style="83" bestFit="1" customWidth="1"/>
    <col min="80" max="80" width="12.33203125" style="83" bestFit="1" customWidth="1"/>
    <col min="81" max="107" width="9" style="83" bestFit="1" customWidth="1"/>
    <col min="108" max="108" width="11.33203125" style="83" bestFit="1" customWidth="1"/>
    <col min="109" max="124" width="9" style="83" bestFit="1" customWidth="1"/>
    <col min="125" max="125" width="10.33203125" style="83" bestFit="1" customWidth="1"/>
    <col min="126" max="129" width="9.33203125" style="83" bestFit="1" customWidth="1"/>
    <col min="130" max="130" width="9" style="83" bestFit="1" customWidth="1"/>
    <col min="131" max="134" width="9.33203125" style="83" bestFit="1" customWidth="1"/>
    <col min="135" max="165" width="9" style="83" bestFit="1" customWidth="1"/>
    <col min="166" max="166" width="12.33203125" style="83" bestFit="1" customWidth="1"/>
    <col min="167" max="170" width="9" style="83" bestFit="1" customWidth="1"/>
    <col min="171" max="176" width="8.83203125" style="83"/>
    <col min="177" max="177" width="13.83203125" style="83" bestFit="1" customWidth="1"/>
    <col min="178" max="16384" width="8.83203125" style="83"/>
  </cols>
  <sheetData>
    <row r="1" spans="1:209" ht="15" customHeight="1" x14ac:dyDescent="0.15">
      <c r="A1" t="s">
        <v>15</v>
      </c>
      <c r="B1" t="s">
        <v>1</v>
      </c>
      <c r="C1" t="s">
        <v>16</v>
      </c>
      <c r="D1" t="s">
        <v>243</v>
      </c>
      <c r="E1" t="s">
        <v>244</v>
      </c>
      <c r="F1" t="s">
        <v>245</v>
      </c>
      <c r="G1" t="s">
        <v>246</v>
      </c>
      <c r="H1" t="s">
        <v>247</v>
      </c>
      <c r="I1" t="s">
        <v>193</v>
      </c>
      <c r="J1" t="s">
        <v>194</v>
      </c>
      <c r="K1" t="s">
        <v>195</v>
      </c>
      <c r="L1" t="s">
        <v>196</v>
      </c>
      <c r="M1" t="s">
        <v>197</v>
      </c>
      <c r="N1" t="s">
        <v>198</v>
      </c>
      <c r="O1" t="s">
        <v>199</v>
      </c>
      <c r="P1" t="s">
        <v>200</v>
      </c>
      <c r="Q1" t="s">
        <v>201</v>
      </c>
      <c r="R1" t="s">
        <v>202</v>
      </c>
      <c r="S1" t="s">
        <v>203</v>
      </c>
      <c r="T1" t="s">
        <v>204</v>
      </c>
      <c r="U1" t="s">
        <v>205</v>
      </c>
      <c r="V1" t="s">
        <v>206</v>
      </c>
      <c r="W1" t="s">
        <v>207</v>
      </c>
      <c r="X1" t="s">
        <v>208</v>
      </c>
      <c r="Y1" t="s">
        <v>209</v>
      </c>
      <c r="Z1" t="s">
        <v>210</v>
      </c>
      <c r="AA1" t="s">
        <v>211</v>
      </c>
      <c r="AB1" t="s">
        <v>212</v>
      </c>
      <c r="AC1" t="s">
        <v>213</v>
      </c>
      <c r="AD1" t="s">
        <v>214</v>
      </c>
      <c r="AE1" t="s">
        <v>215</v>
      </c>
      <c r="AF1" t="s">
        <v>216</v>
      </c>
      <c r="AG1" t="s">
        <v>217</v>
      </c>
      <c r="AH1" t="s">
        <v>218</v>
      </c>
      <c r="AI1" t="s">
        <v>219</v>
      </c>
      <c r="AJ1" t="s">
        <v>220</v>
      </c>
      <c r="AK1" t="s">
        <v>221</v>
      </c>
      <c r="AL1" t="s">
        <v>222</v>
      </c>
      <c r="AM1" t="s">
        <v>223</v>
      </c>
      <c r="AN1" t="s">
        <v>224</v>
      </c>
      <c r="AO1" t="s">
        <v>225</v>
      </c>
      <c r="AP1" t="s">
        <v>226</v>
      </c>
      <c r="AQ1" t="s">
        <v>227</v>
      </c>
      <c r="AR1" t="s">
        <v>228</v>
      </c>
      <c r="AS1" t="s">
        <v>229</v>
      </c>
      <c r="AT1" t="s">
        <v>230</v>
      </c>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row>
    <row r="2" spans="1:209" ht="15" customHeight="1" x14ac:dyDescent="0.15">
      <c r="A2" t="s">
        <v>193</v>
      </c>
      <c r="B2">
        <v>81.912498474121094</v>
      </c>
      <c r="C2">
        <v>38.587661743164062</v>
      </c>
      <c r="D2"/>
      <c r="E2"/>
      <c r="F2"/>
      <c r="G2"/>
      <c r="H2"/>
      <c r="I2"/>
      <c r="J2"/>
      <c r="K2" s="234">
        <v>40.301029205322266</v>
      </c>
      <c r="L2" s="65">
        <v>1.689858078956604</v>
      </c>
      <c r="M2"/>
      <c r="N2"/>
      <c r="O2" s="12">
        <v>0.30885404348373413</v>
      </c>
      <c r="P2" s="18">
        <v>1.0250949859619141</v>
      </c>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c r="DJ2"/>
      <c r="DK2"/>
      <c r="DL2"/>
      <c r="DM2"/>
      <c r="DN2"/>
      <c r="DO2"/>
      <c r="DP2"/>
      <c r="DQ2"/>
      <c r="DR2"/>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row>
    <row r="3" spans="1:209" ht="15" customHeight="1" x14ac:dyDescent="0.15">
      <c r="A3" t="s">
        <v>194</v>
      </c>
      <c r="B3">
        <v>4.8899998664855957</v>
      </c>
      <c r="C3">
        <v>1.4670000076293945</v>
      </c>
      <c r="D3"/>
      <c r="E3"/>
      <c r="F3"/>
      <c r="G3"/>
      <c r="H3"/>
      <c r="I3"/>
      <c r="J3"/>
      <c r="K3"/>
      <c r="L3"/>
      <c r="M3"/>
      <c r="N3" s="198">
        <v>0.88272619247436523</v>
      </c>
      <c r="O3"/>
      <c r="P3" s="109">
        <v>0.32537561655044556</v>
      </c>
      <c r="Q3"/>
      <c r="R3"/>
      <c r="S3"/>
      <c r="T3"/>
      <c r="U3" s="11">
        <v>8.6867797654122114E-4</v>
      </c>
      <c r="V3"/>
      <c r="W3"/>
      <c r="X3"/>
      <c r="Y3" s="192">
        <v>0.65785139799118042</v>
      </c>
      <c r="Z3"/>
      <c r="AA3"/>
      <c r="AB3"/>
      <c r="AC3"/>
      <c r="AD3"/>
      <c r="AE3"/>
      <c r="AF3"/>
      <c r="AG3" s="181">
        <v>0.22280271351337433</v>
      </c>
      <c r="AH3" s="188">
        <v>0.26311326026916504</v>
      </c>
      <c r="AI3" s="110">
        <v>0.89435303211212158</v>
      </c>
      <c r="AJ3"/>
      <c r="AK3"/>
      <c r="AL3"/>
      <c r="AM3"/>
      <c r="AN3"/>
      <c r="AO3"/>
      <c r="AP3"/>
      <c r="AQ3" s="28">
        <v>0.17590911686420441</v>
      </c>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row>
    <row r="4" spans="1:209" ht="15" customHeight="1" x14ac:dyDescent="0.15">
      <c r="A4" t="s">
        <v>195</v>
      </c>
      <c r="B4">
        <v>24.649999618530273</v>
      </c>
      <c r="C4">
        <v>0.14649054408073425</v>
      </c>
      <c r="D4"/>
      <c r="E4"/>
      <c r="F4"/>
      <c r="G4"/>
      <c r="H4"/>
      <c r="I4"/>
      <c r="J4"/>
      <c r="K4" s="15">
        <v>0.2240850031375885</v>
      </c>
      <c r="L4" s="109">
        <v>1.6377373933792114</v>
      </c>
      <c r="M4" s="232">
        <v>3.3622820377349854</v>
      </c>
      <c r="N4" s="26">
        <v>0.61880755424499512</v>
      </c>
      <c r="O4" s="229">
        <v>2.1380572319030762</v>
      </c>
      <c r="P4" s="78">
        <v>1.5966607332229614</v>
      </c>
      <c r="Q4" s="14">
        <v>4.5005735009908676E-2</v>
      </c>
      <c r="R4"/>
      <c r="S4"/>
      <c r="T4"/>
      <c r="U4" s="14">
        <v>5.1981456577777863E-2</v>
      </c>
      <c r="V4" s="11">
        <v>5.8480765437707305E-4</v>
      </c>
      <c r="W4"/>
      <c r="X4" s="11">
        <v>2.402876089035999E-5</v>
      </c>
      <c r="Y4" s="11">
        <v>1.52856120839715E-2</v>
      </c>
      <c r="Z4"/>
      <c r="AA4"/>
      <c r="AB4"/>
      <c r="AC4"/>
      <c r="AD4"/>
      <c r="AE4"/>
      <c r="AF4"/>
      <c r="AG4" s="233">
        <v>10.458545684814453</v>
      </c>
      <c r="AH4" s="11">
        <v>2.8019340243190527E-4</v>
      </c>
      <c r="AI4"/>
      <c r="AJ4"/>
      <c r="AK4"/>
      <c r="AL4"/>
      <c r="AM4" s="205">
        <v>2.4343440532684326</v>
      </c>
      <c r="AN4" s="76">
        <v>1.9198267459869385</v>
      </c>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row>
    <row r="5" spans="1:209" ht="15" customHeight="1" x14ac:dyDescent="0.15">
      <c r="A5" t="s">
        <v>196</v>
      </c>
      <c r="B5">
        <v>20.520000457763672</v>
      </c>
      <c r="C5">
        <v>1.0260027647018433</v>
      </c>
      <c r="D5"/>
      <c r="E5"/>
      <c r="F5"/>
      <c r="G5"/>
      <c r="H5"/>
      <c r="I5"/>
      <c r="J5"/>
      <c r="K5"/>
      <c r="L5" s="225">
        <v>3.1565001010894775</v>
      </c>
      <c r="M5" s="201">
        <v>2.3316996097564697</v>
      </c>
      <c r="N5"/>
      <c r="O5"/>
      <c r="P5"/>
      <c r="Q5" s="174">
        <v>2.2355775833129883</v>
      </c>
      <c r="R5" s="64">
        <v>1.1434197425842285</v>
      </c>
      <c r="S5"/>
      <c r="T5"/>
      <c r="U5" s="181">
        <v>0.91058045625686646</v>
      </c>
      <c r="V5" s="14">
        <v>4.9640744924545288E-2</v>
      </c>
      <c r="W5" s="14">
        <v>2.47793048620224E-2</v>
      </c>
      <c r="X5" s="12">
        <v>8.825896680355072E-2</v>
      </c>
      <c r="Y5" s="27">
        <v>1.5680251121520996</v>
      </c>
      <c r="Z5"/>
      <c r="AA5"/>
      <c r="AB5"/>
      <c r="AC5"/>
      <c r="AD5"/>
      <c r="AE5"/>
      <c r="AF5"/>
      <c r="AG5" s="202">
        <v>3.0502636432647705</v>
      </c>
      <c r="AH5" s="64">
        <v>1.1170558929443359</v>
      </c>
      <c r="AI5"/>
      <c r="AJ5" s="12">
        <v>7.8943789005279541E-2</v>
      </c>
      <c r="AK5"/>
      <c r="AL5"/>
      <c r="AM5" s="205">
        <v>2.0221827030181885</v>
      </c>
      <c r="AN5" s="217">
        <v>1.5218844413757324</v>
      </c>
      <c r="AO5" s="15">
        <v>0.19518731534481049</v>
      </c>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row>
    <row r="6" spans="1:209" ht="15" customHeight="1" x14ac:dyDescent="0.15">
      <c r="A6" t="s">
        <v>197</v>
      </c>
      <c r="B6">
        <v>15.840000152587891</v>
      </c>
      <c r="C6">
        <v>7.9199991226196289</v>
      </c>
      <c r="D6"/>
      <c r="E6"/>
      <c r="F6"/>
      <c r="G6"/>
      <c r="H6"/>
      <c r="I6"/>
      <c r="J6"/>
      <c r="K6"/>
      <c r="L6"/>
      <c r="M6"/>
      <c r="N6"/>
      <c r="O6"/>
      <c r="P6"/>
      <c r="Q6"/>
      <c r="R6"/>
      <c r="S6"/>
      <c r="T6"/>
      <c r="U6" s="11">
        <v>3.4034354612231255E-3</v>
      </c>
      <c r="V6"/>
      <c r="W6"/>
      <c r="X6"/>
      <c r="Y6" s="12">
        <v>4.9238156527280807E-2</v>
      </c>
      <c r="Z6"/>
      <c r="AA6"/>
      <c r="AB6"/>
      <c r="AC6"/>
      <c r="AD6"/>
      <c r="AE6"/>
      <c r="AF6"/>
      <c r="AG6" s="220">
        <v>2.618788480758667</v>
      </c>
      <c r="AH6"/>
      <c r="AI6"/>
      <c r="AJ6"/>
      <c r="AK6"/>
      <c r="AL6"/>
      <c r="AM6" s="221">
        <v>2.7113289833068848</v>
      </c>
      <c r="AN6" s="107">
        <v>1.9640970230102539</v>
      </c>
      <c r="AO6"/>
      <c r="AP6"/>
      <c r="AQ6" s="28">
        <v>0.57314443588256836</v>
      </c>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c r="EX6"/>
      <c r="EY6"/>
      <c r="EZ6"/>
      <c r="FA6"/>
      <c r="FB6"/>
      <c r="FC6"/>
      <c r="FD6"/>
      <c r="FE6"/>
      <c r="FF6"/>
      <c r="FG6"/>
      <c r="FH6"/>
      <c r="FI6"/>
      <c r="FJ6"/>
      <c r="FK6"/>
      <c r="FL6"/>
      <c r="FM6"/>
      <c r="FN6"/>
      <c r="FO6"/>
      <c r="FP6"/>
      <c r="FQ6"/>
      <c r="FR6"/>
      <c r="FS6"/>
      <c r="FT6"/>
      <c r="FU6"/>
      <c r="FV6"/>
      <c r="FW6"/>
      <c r="FX6"/>
      <c r="FY6"/>
      <c r="FZ6"/>
      <c r="GA6"/>
      <c r="GB6"/>
      <c r="GC6"/>
      <c r="GD6"/>
      <c r="GE6"/>
      <c r="GF6"/>
      <c r="GG6"/>
      <c r="GH6"/>
      <c r="GI6"/>
      <c r="GJ6"/>
      <c r="GK6"/>
      <c r="GL6"/>
      <c r="GM6"/>
      <c r="GN6"/>
      <c r="GO6"/>
      <c r="GP6"/>
      <c r="GQ6"/>
      <c r="GR6"/>
      <c r="GS6"/>
      <c r="GT6"/>
      <c r="GU6"/>
      <c r="GV6"/>
      <c r="GW6"/>
      <c r="GX6"/>
      <c r="GY6"/>
      <c r="GZ6"/>
      <c r="HA6"/>
    </row>
    <row r="7" spans="1:209" ht="15" customHeight="1" x14ac:dyDescent="0.15">
      <c r="A7" t="s">
        <v>198</v>
      </c>
      <c r="B7">
        <v>5.0659999847412109</v>
      </c>
      <c r="C7">
        <v>0.97052460908889771</v>
      </c>
      <c r="D7"/>
      <c r="E7"/>
      <c r="F7"/>
      <c r="G7"/>
      <c r="H7"/>
      <c r="I7"/>
      <c r="J7"/>
      <c r="K7"/>
      <c r="L7"/>
      <c r="M7"/>
      <c r="N7"/>
      <c r="O7" s="222">
        <v>0.56772810220718384</v>
      </c>
      <c r="P7"/>
      <c r="Q7" s="72">
        <v>0.35489597916603088</v>
      </c>
      <c r="R7" s="205">
        <v>0.49509656429290771</v>
      </c>
      <c r="S7" s="11">
        <v>5.5366189917549491E-4</v>
      </c>
      <c r="T7"/>
      <c r="U7" s="190">
        <v>0.19651018083095551</v>
      </c>
      <c r="V7" s="187">
        <v>0.12034716457128525</v>
      </c>
      <c r="W7" s="19">
        <v>9.1387026011943817E-2</v>
      </c>
      <c r="X7" s="12">
        <v>1.8710721284151077E-2</v>
      </c>
      <c r="Y7" s="25">
        <v>0.16095474362373352</v>
      </c>
      <c r="Z7"/>
      <c r="AA7" s="23">
        <v>3.1985104084014893E-2</v>
      </c>
      <c r="AB7" s="12">
        <v>1.5708800405263901E-2</v>
      </c>
      <c r="AC7"/>
      <c r="AD7" s="11">
        <v>2.8530100826174021E-3</v>
      </c>
      <c r="AE7" s="140">
        <v>0.60337787866592407</v>
      </c>
      <c r="AF7" s="11">
        <v>4.3940410250797868E-4</v>
      </c>
      <c r="AG7" s="209">
        <v>0.44801664352416992</v>
      </c>
      <c r="AH7" s="223">
        <v>0.58479219675064087</v>
      </c>
      <c r="AI7"/>
      <c r="AJ7"/>
      <c r="AK7"/>
      <c r="AL7" s="68">
        <v>0.32221120595932007</v>
      </c>
      <c r="AM7" s="16">
        <v>7.9907119274139404E-2</v>
      </c>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row>
    <row r="8" spans="1:209" ht="15" customHeight="1" x14ac:dyDescent="0.15">
      <c r="A8" t="s">
        <v>199</v>
      </c>
      <c r="B8">
        <v>13.949999809265137</v>
      </c>
      <c r="C8">
        <v>0.69749850034713745</v>
      </c>
      <c r="D8"/>
      <c r="E8"/>
      <c r="F8"/>
      <c r="G8"/>
      <c r="H8"/>
      <c r="I8"/>
      <c r="J8"/>
      <c r="K8"/>
      <c r="L8"/>
      <c r="M8"/>
      <c r="N8" s="231">
        <v>3.8196401596069336</v>
      </c>
      <c r="O8" s="230">
        <v>2.2623999118804932</v>
      </c>
      <c r="P8" s="196">
        <v>0.46931043267250061</v>
      </c>
      <c r="Q8" s="21">
        <v>0.26337036490440369</v>
      </c>
      <c r="R8" s="16">
        <v>0.22958113253116608</v>
      </c>
      <c r="S8" s="18">
        <v>0.16575174033641815</v>
      </c>
      <c r="T8" s="14">
        <v>3.9474811404943466E-2</v>
      </c>
      <c r="U8" s="28">
        <v>0.48583167791366577</v>
      </c>
      <c r="V8" s="65">
        <v>0.30367216467857361</v>
      </c>
      <c r="W8" s="26">
        <v>0.36574763059616089</v>
      </c>
      <c r="X8" s="22">
        <v>0.10319859534502029</v>
      </c>
      <c r="Y8" s="225">
        <v>2.120821475982666</v>
      </c>
      <c r="Z8"/>
      <c r="AA8" s="25">
        <v>0.42996788024902344</v>
      </c>
      <c r="AB8" s="18">
        <v>0.16782733798027039</v>
      </c>
      <c r="AC8"/>
      <c r="AD8"/>
      <c r="AE8" s="229">
        <v>1.1918809413909912</v>
      </c>
      <c r="AF8" s="11">
        <v>8.0404349137097597E-4</v>
      </c>
      <c r="AG8" s="15">
        <v>0.13390117883682251</v>
      </c>
      <c r="AH8" s="23">
        <v>9.0243719518184662E-2</v>
      </c>
      <c r="AI8"/>
      <c r="AJ8"/>
      <c r="AK8"/>
      <c r="AL8" s="66">
        <v>0.57420188188552856</v>
      </c>
      <c r="AM8" s="14">
        <v>2.602555975317955E-2</v>
      </c>
      <c r="AN8"/>
      <c r="AO8" s="11">
        <v>8.847847580909729E-3</v>
      </c>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row>
    <row r="9" spans="1:209" ht="15" customHeight="1" x14ac:dyDescent="0.15">
      <c r="A9" t="s">
        <v>200</v>
      </c>
      <c r="B9">
        <v>3.312000036239624</v>
      </c>
      <c r="C9">
        <v>0.66240018606185913</v>
      </c>
      <c r="D9"/>
      <c r="E9"/>
      <c r="F9"/>
      <c r="G9"/>
      <c r="H9"/>
      <c r="I9"/>
      <c r="J9"/>
      <c r="K9"/>
      <c r="L9"/>
      <c r="M9"/>
      <c r="N9"/>
      <c r="O9" s="180">
        <v>0.38794496655464172</v>
      </c>
      <c r="P9" s="230">
        <v>0.53649997711181641</v>
      </c>
      <c r="Q9" s="15">
        <v>3.1757347285747528E-2</v>
      </c>
      <c r="R9" s="26">
        <v>8.6116224527359009E-2</v>
      </c>
      <c r="S9" s="15">
        <v>3.5184979438781738E-2</v>
      </c>
      <c r="T9"/>
      <c r="U9" s="194">
        <v>0.26827564835548401</v>
      </c>
      <c r="V9" s="22">
        <v>2.4361511692404747E-2</v>
      </c>
      <c r="W9" s="18">
        <v>3.9068073034286499E-2</v>
      </c>
      <c r="X9" s="11">
        <v>1.1699219467118382E-3</v>
      </c>
      <c r="Y9" s="191">
        <v>0.51485741138458252</v>
      </c>
      <c r="Z9"/>
      <c r="AA9" s="14">
        <v>4.8569655045866966E-3</v>
      </c>
      <c r="AB9" s="11">
        <v>2.3878898937255144E-3</v>
      </c>
      <c r="AC9" s="23">
        <v>1.9371399655938148E-2</v>
      </c>
      <c r="AD9" s="23">
        <v>2.0879896357655525E-2</v>
      </c>
      <c r="AE9" s="186">
        <v>0.34874385595321655</v>
      </c>
      <c r="AF9" s="11">
        <v>1.0519224451854825E-3</v>
      </c>
      <c r="AG9"/>
      <c r="AH9" s="17">
        <v>4.5756340026855469E-2</v>
      </c>
      <c r="AI9"/>
      <c r="AJ9"/>
      <c r="AK9"/>
      <c r="AL9" s="179">
        <v>0.2433011382818222</v>
      </c>
      <c r="AM9"/>
      <c r="AN9"/>
      <c r="AO9"/>
      <c r="AP9"/>
      <c r="AQ9" s="18">
        <v>3.8014467805624008E-2</v>
      </c>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row>
    <row r="10" spans="1:209" ht="15" customHeight="1" x14ac:dyDescent="0.15">
      <c r="A10" t="s">
        <v>201</v>
      </c>
      <c r="B10">
        <v>3.4800000190734863</v>
      </c>
      <c r="C10">
        <v>0.17400045692920685</v>
      </c>
      <c r="D10" s="11">
        <v>3.0510108917951584E-3</v>
      </c>
      <c r="E10" s="11">
        <v>1.2187946122139692E-3</v>
      </c>
      <c r="F10"/>
      <c r="G10"/>
      <c r="H10"/>
      <c r="I10"/>
      <c r="J10"/>
      <c r="K10"/>
      <c r="L10"/>
      <c r="M10"/>
      <c r="N10"/>
      <c r="O10"/>
      <c r="P10"/>
      <c r="Q10"/>
      <c r="R10" s="25">
        <v>0.10754218697547913</v>
      </c>
      <c r="S10" s="28">
        <v>0.12468310445547104</v>
      </c>
      <c r="T10" s="69">
        <v>0.31883484125137329</v>
      </c>
      <c r="U10" s="18">
        <v>3.7562690675258636E-2</v>
      </c>
      <c r="V10" s="190">
        <v>0.13411396741867065</v>
      </c>
      <c r="W10" s="24">
        <v>9.2326462268829346E-2</v>
      </c>
      <c r="X10" s="23">
        <v>1.9723525270819664E-2</v>
      </c>
      <c r="Y10" s="219">
        <v>1.814208984375</v>
      </c>
      <c r="Z10" s="196">
        <v>0.11311225593090057</v>
      </c>
      <c r="AA10" s="15">
        <v>3.1206442043185234E-2</v>
      </c>
      <c r="AB10" s="20">
        <v>0.15331612527370453</v>
      </c>
      <c r="AC10" s="12">
        <v>1.2265889905393124E-2</v>
      </c>
      <c r="AD10" s="188">
        <v>0.18153616786003113</v>
      </c>
      <c r="AE10" s="18">
        <v>4.4332325458526611E-2</v>
      </c>
      <c r="AF10" s="12">
        <v>1.3284382410347462E-2</v>
      </c>
      <c r="AG10" s="15">
        <v>3.5682439804077148E-2</v>
      </c>
      <c r="AH10" s="15">
        <v>3.3332042396068573E-2</v>
      </c>
      <c r="AI10"/>
      <c r="AJ10"/>
      <c r="AK10"/>
      <c r="AL10"/>
      <c r="AM10"/>
      <c r="AN10"/>
      <c r="AO10" s="14">
        <v>8.6361439898610115E-3</v>
      </c>
      <c r="AP10" s="14">
        <v>9.5021100714802742E-3</v>
      </c>
      <c r="AQ10" s="12">
        <v>1.6527755185961723E-2</v>
      </c>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row>
    <row r="11" spans="1:209" ht="15" customHeight="1" x14ac:dyDescent="0.15">
      <c r="A11" t="s">
        <v>202</v>
      </c>
      <c r="B11">
        <v>2.7599999904632568</v>
      </c>
      <c r="C11">
        <v>0.13799986243247986</v>
      </c>
      <c r="D11" s="14">
        <v>6.8988073617219925E-3</v>
      </c>
      <c r="E11" s="11">
        <v>1.5576279838569462E-4</v>
      </c>
      <c r="F11"/>
      <c r="G11"/>
      <c r="H11"/>
      <c r="I11"/>
      <c r="J11"/>
      <c r="K11"/>
      <c r="L11"/>
      <c r="M11"/>
      <c r="N11"/>
      <c r="O11"/>
      <c r="P11"/>
      <c r="Q11"/>
      <c r="R11"/>
      <c r="S11" s="29">
        <v>0.13184976577758789</v>
      </c>
      <c r="T11" s="20">
        <v>0.11765789985656738</v>
      </c>
      <c r="U11" s="194">
        <v>0.22155387699604034</v>
      </c>
      <c r="V11" s="15">
        <v>2.5292413309216499E-2</v>
      </c>
      <c r="W11" s="16">
        <v>4.206467792391777E-2</v>
      </c>
      <c r="X11" s="14">
        <v>7.0557761937379837E-3</v>
      </c>
      <c r="Y11" s="218">
        <v>1.5477406978607178</v>
      </c>
      <c r="Z11" s="22">
        <v>2.3189559578895569E-2</v>
      </c>
      <c r="AA11" s="21">
        <v>5.648297443985939E-2</v>
      </c>
      <c r="AB11" s="21">
        <v>5.5611532181501389E-2</v>
      </c>
      <c r="AC11" s="22">
        <v>2.2590164095163345E-2</v>
      </c>
      <c r="AD11" s="19">
        <v>5.1041010767221451E-2</v>
      </c>
      <c r="AE11" s="187">
        <v>6.4893551170825958E-2</v>
      </c>
      <c r="AF11" s="18">
        <v>3.5099945962429047E-2</v>
      </c>
      <c r="AG11" s="18">
        <v>3.0724631622433662E-2</v>
      </c>
      <c r="AH11" s="12">
        <v>1.0523629374802113E-2</v>
      </c>
      <c r="AI11"/>
      <c r="AJ11"/>
      <c r="AK11"/>
      <c r="AL11" s="26">
        <v>7.2105973958969116E-2</v>
      </c>
      <c r="AM11" s="23">
        <v>1.5807600691914558E-2</v>
      </c>
      <c r="AN11"/>
      <c r="AO11"/>
      <c r="AP11" s="11">
        <v>2.1531218662858009E-3</v>
      </c>
      <c r="AQ11" s="144">
        <v>8.1506796181201935E-2</v>
      </c>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row>
    <row r="12" spans="1:209" ht="15" customHeight="1" x14ac:dyDescent="0.15">
      <c r="A12" t="s">
        <v>203</v>
      </c>
      <c r="B12">
        <v>1.6877156496047974</v>
      </c>
      <c r="C12">
        <v>5.5686254054307938E-2</v>
      </c>
      <c r="D12" s="173">
        <v>0.35982140898704529</v>
      </c>
      <c r="E12" s="15">
        <v>1.6531772911548615E-2</v>
      </c>
      <c r="F12"/>
      <c r="G12" s="184">
        <v>0.32471281290054321</v>
      </c>
      <c r="H12" s="12">
        <v>5.7339579798281193E-3</v>
      </c>
      <c r="I12"/>
      <c r="J12"/>
      <c r="K12"/>
      <c r="L12"/>
      <c r="M12"/>
      <c r="N12"/>
      <c r="O12"/>
      <c r="P12"/>
      <c r="Q12"/>
      <c r="R12"/>
      <c r="S12" s="66">
        <v>6.968957930803299E-2</v>
      </c>
      <c r="T12" s="109">
        <v>0.11314959824085236</v>
      </c>
      <c r="U12" s="18">
        <v>1.9211491569876671E-2</v>
      </c>
      <c r="V12"/>
      <c r="W12"/>
      <c r="X12"/>
      <c r="Y12" s="25">
        <v>5.1311325281858444E-2</v>
      </c>
      <c r="Z12" s="14">
        <v>2.4242503568530083E-3</v>
      </c>
      <c r="AA12"/>
      <c r="AB12"/>
      <c r="AC12" s="15">
        <v>1.6729084774851799E-2</v>
      </c>
      <c r="AD12" s="195">
        <v>0.21525329351425171</v>
      </c>
      <c r="AE12" s="183">
        <v>8.1625789403915405E-2</v>
      </c>
      <c r="AF12" s="144">
        <v>4.821772500872612E-2</v>
      </c>
      <c r="AG12" s="65">
        <v>3.6499671638011932E-2</v>
      </c>
      <c r="AH12"/>
      <c r="AI12"/>
      <c r="AJ12"/>
      <c r="AK12" s="15">
        <v>1.5782762318849564E-2</v>
      </c>
      <c r="AL12" s="64">
        <v>9.3948677182197571E-2</v>
      </c>
      <c r="AM12"/>
      <c r="AN12"/>
      <c r="AO12"/>
      <c r="AP12" s="19">
        <v>3.069390170276165E-2</v>
      </c>
      <c r="AQ12" s="22">
        <v>1.3832416385412216E-2</v>
      </c>
      <c r="AR12"/>
      <c r="AS12" s="189">
        <v>0.11685977876186371</v>
      </c>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row>
    <row r="13" spans="1:209" ht="15" customHeight="1" x14ac:dyDescent="0.15">
      <c r="A13" t="s">
        <v>204</v>
      </c>
      <c r="B13">
        <v>2.907900333404541</v>
      </c>
      <c r="C13">
        <v>0.14539521932601929</v>
      </c>
      <c r="D13" s="65">
        <v>6.3104636967182159E-2</v>
      </c>
      <c r="E13" s="65">
        <v>6.0015548020601273E-2</v>
      </c>
      <c r="F13" s="11">
        <v>7.6723908932763152E-6</v>
      </c>
      <c r="G13" s="78">
        <v>0.18862651288509369</v>
      </c>
      <c r="H13"/>
      <c r="I13"/>
      <c r="J13"/>
      <c r="K13"/>
      <c r="L13"/>
      <c r="M13"/>
      <c r="N13"/>
      <c r="O13"/>
      <c r="P13"/>
      <c r="Q13"/>
      <c r="R13"/>
      <c r="S13" s="22">
        <v>2.4839479476213455E-2</v>
      </c>
      <c r="T13" s="27">
        <v>0.22310398519039154</v>
      </c>
      <c r="U13"/>
      <c r="V13"/>
      <c r="W13"/>
      <c r="X13"/>
      <c r="Y13"/>
      <c r="Z13" s="23">
        <v>1.9347792491316795E-2</v>
      </c>
      <c r="AA13"/>
      <c r="AB13"/>
      <c r="AC13"/>
      <c r="AD13" s="212">
        <v>0.89283621311187744</v>
      </c>
      <c r="AE13" s="15">
        <v>2.8953351080417633E-2</v>
      </c>
      <c r="AF13" s="12">
        <v>9.9704070016741753E-3</v>
      </c>
      <c r="AG13" s="190">
        <v>0.11652065068483353</v>
      </c>
      <c r="AH13"/>
      <c r="AI13"/>
      <c r="AJ13"/>
      <c r="AK13" s="65">
        <v>6.5499857068061829E-2</v>
      </c>
      <c r="AL13" s="78">
        <v>0.18965496122837067</v>
      </c>
      <c r="AM13" s="26">
        <v>7.4936293065547943E-2</v>
      </c>
      <c r="AN13"/>
      <c r="AO13"/>
      <c r="AP13" s="13">
        <v>0.10941821336746216</v>
      </c>
      <c r="AQ13"/>
      <c r="AR13" s="207">
        <v>0.67850399017333984</v>
      </c>
      <c r="AS13" s="23">
        <v>1.7165351659059525E-2</v>
      </c>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row>
    <row r="14" spans="1:209" ht="15" customHeight="1" x14ac:dyDescent="0.15">
      <c r="A14" t="s">
        <v>205</v>
      </c>
      <c r="B14">
        <v>1.0561846494674683</v>
      </c>
      <c r="C14">
        <v>3.6259710788726807E-2</v>
      </c>
      <c r="D14" s="66">
        <v>4.417877271771431E-2</v>
      </c>
      <c r="E14" s="19">
        <v>1.8992746248841286E-2</v>
      </c>
      <c r="F14"/>
      <c r="G14" s="21">
        <v>2.1356971934437752E-2</v>
      </c>
      <c r="H14"/>
      <c r="I14"/>
      <c r="J14"/>
      <c r="K14"/>
      <c r="L14"/>
      <c r="M14"/>
      <c r="N14"/>
      <c r="O14"/>
      <c r="P14"/>
      <c r="Q14"/>
      <c r="R14"/>
      <c r="S14" s="14">
        <v>1.4296179870143533E-3</v>
      </c>
      <c r="T14" s="214">
        <v>0.15926913917064667</v>
      </c>
      <c r="U14" s="209">
        <v>9.417559951543808E-2</v>
      </c>
      <c r="V14"/>
      <c r="W14"/>
      <c r="X14" s="11">
        <v>5.766282556578517E-4</v>
      </c>
      <c r="Y14" s="28">
        <v>3.7946399301290512E-2</v>
      </c>
      <c r="Z14" s="11">
        <v>6.9849833380430937E-4</v>
      </c>
      <c r="AA14"/>
      <c r="AB14" s="20">
        <v>4.5653365552425385E-2</v>
      </c>
      <c r="AC14" s="197">
        <v>8.9547581970691681E-2</v>
      </c>
      <c r="AD14" s="187">
        <v>2.5303343310952187E-2</v>
      </c>
      <c r="AE14" s="141">
        <v>0.10539910942316055</v>
      </c>
      <c r="AF14" s="188">
        <v>5.6868501007556915E-2</v>
      </c>
      <c r="AG14"/>
      <c r="AH14" s="190">
        <v>4.2264632880687714E-2</v>
      </c>
      <c r="AI14"/>
      <c r="AJ14" s="178">
        <v>0.12905415892601013</v>
      </c>
      <c r="AK14" s="27">
        <v>8.1036120653152466E-2</v>
      </c>
      <c r="AL14"/>
      <c r="AM14"/>
      <c r="AN14"/>
      <c r="AO14"/>
      <c r="AP14" s="24">
        <v>2.983316034078598E-2</v>
      </c>
      <c r="AQ14" s="11">
        <v>6.4949359511956573E-4</v>
      </c>
      <c r="AR14" s="196">
        <v>3.4592822194099426E-2</v>
      </c>
      <c r="AS14" s="14">
        <v>1.0982591193169355E-3</v>
      </c>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row>
    <row r="15" spans="1:209" ht="15" customHeight="1" x14ac:dyDescent="0.15">
      <c r="A15" t="s">
        <v>206</v>
      </c>
      <c r="B15">
        <v>1.6200330257415771</v>
      </c>
      <c r="C15">
        <v>0.1448969841003418</v>
      </c>
      <c r="D15" s="174">
        <v>0.17830881476402283</v>
      </c>
      <c r="E15" s="66">
        <v>6.6405557096004486E-2</v>
      </c>
      <c r="F15"/>
      <c r="G15" s="11">
        <v>9.7681849729269743E-4</v>
      </c>
      <c r="H15"/>
      <c r="I15"/>
      <c r="J15"/>
      <c r="K15"/>
      <c r="L15"/>
      <c r="M15"/>
      <c r="N15"/>
      <c r="O15"/>
      <c r="P15"/>
      <c r="Q15"/>
      <c r="R15"/>
      <c r="S15" s="11">
        <v>1.2266626581549644E-3</v>
      </c>
      <c r="T15" s="140">
        <v>0.194580078125</v>
      </c>
      <c r="U15" s="144">
        <v>4.8762235790491104E-2</v>
      </c>
      <c r="V15"/>
      <c r="W15"/>
      <c r="X15" s="11">
        <v>5.301080527715385E-4</v>
      </c>
      <c r="Y15"/>
      <c r="Z15" s="21">
        <v>3.1864713877439499E-2</v>
      </c>
      <c r="AA15"/>
      <c r="AB15" s="144">
        <v>4.6598900109529495E-2</v>
      </c>
      <c r="AC15" s="78">
        <v>0.10488986968994141</v>
      </c>
      <c r="AD15" s="204">
        <v>0.32978981733322144</v>
      </c>
      <c r="AE15" s="25">
        <v>4.9328815191984177E-2</v>
      </c>
      <c r="AF15" s="181">
        <v>7.1523882448673248E-2</v>
      </c>
      <c r="AG15"/>
      <c r="AH15" s="18">
        <v>2.0604860037565231E-2</v>
      </c>
      <c r="AI15"/>
      <c r="AJ15" s="194">
        <v>0.1314212828874588</v>
      </c>
      <c r="AK15" s="188">
        <v>8.7272502481937408E-2</v>
      </c>
      <c r="AL15" s="21">
        <v>3.256264328956604E-2</v>
      </c>
      <c r="AM15"/>
      <c r="AN15"/>
      <c r="AO15"/>
      <c r="AP15" s="144">
        <v>4.7300484031438828E-2</v>
      </c>
      <c r="AQ15"/>
      <c r="AR15" s="19">
        <v>2.9758168384432793E-2</v>
      </c>
      <c r="AS15" s="11">
        <v>1.4297651359811425E-3</v>
      </c>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row>
    <row r="16" spans="1:209" ht="15" customHeight="1" x14ac:dyDescent="0.15">
      <c r="A16" t="s">
        <v>207</v>
      </c>
      <c r="B16">
        <v>1.9253921508789062</v>
      </c>
      <c r="C16">
        <v>0.17980282008647919</v>
      </c>
      <c r="D16" s="69">
        <v>0.17830879986286163</v>
      </c>
      <c r="E16" s="28">
        <v>6.6405549645423889E-2</v>
      </c>
      <c r="F16"/>
      <c r="G16" s="11">
        <v>9.7681803163141012E-4</v>
      </c>
      <c r="H16"/>
      <c r="I16"/>
      <c r="J16"/>
      <c r="K16"/>
      <c r="L16"/>
      <c r="M16"/>
      <c r="N16"/>
      <c r="O16"/>
      <c r="P16"/>
      <c r="Q16"/>
      <c r="R16"/>
      <c r="S16" s="11">
        <v>1.3028082903474569E-3</v>
      </c>
      <c r="T16" s="197">
        <v>0.16180254518985748</v>
      </c>
      <c r="U16" s="26">
        <v>4.8089947551488876E-2</v>
      </c>
      <c r="V16"/>
      <c r="W16"/>
      <c r="X16" s="11">
        <v>5.6301470613107085E-4</v>
      </c>
      <c r="Y16"/>
      <c r="Z16" s="16">
        <v>3.203919529914856E-2</v>
      </c>
      <c r="AA16"/>
      <c r="AB16" s="187">
        <v>4.6784978359937668E-2</v>
      </c>
      <c r="AC16" s="176">
        <v>0.11072986572980881</v>
      </c>
      <c r="AD16" s="213">
        <v>0.62755221128463745</v>
      </c>
      <c r="AE16" s="26">
        <v>4.8025008291006088E-2</v>
      </c>
      <c r="AF16" s="13">
        <v>7.1532540023326874E-2</v>
      </c>
      <c r="AG16"/>
      <c r="AH16" s="18">
        <v>2.188391424715519E-2</v>
      </c>
      <c r="AI16"/>
      <c r="AJ16" s="189">
        <v>0.13237522542476654</v>
      </c>
      <c r="AK16" s="181">
        <v>8.6611948907375336E-2</v>
      </c>
      <c r="AL16" s="16">
        <v>3.1923681497573853E-2</v>
      </c>
      <c r="AM16"/>
      <c r="AN16"/>
      <c r="AO16"/>
      <c r="AP16" s="26">
        <v>4.7281581908464432E-2</v>
      </c>
      <c r="AQ16"/>
      <c r="AR16" s="16">
        <v>2.9984628781676292E-2</v>
      </c>
      <c r="AS16" s="11">
        <v>1.4149830676615238E-3</v>
      </c>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row>
    <row r="17" spans="1:209" ht="15" customHeight="1" x14ac:dyDescent="0.15">
      <c r="A17" t="s">
        <v>208</v>
      </c>
      <c r="B17">
        <v>1.4871065616607666</v>
      </c>
      <c r="C17">
        <v>0.56982570886611938</v>
      </c>
      <c r="D17" s="22">
        <v>1.1604509316384792E-2</v>
      </c>
      <c r="E17" s="17">
        <v>2.1426834166049957E-2</v>
      </c>
      <c r="F17"/>
      <c r="G17"/>
      <c r="H17"/>
      <c r="I17"/>
      <c r="J17"/>
      <c r="K17"/>
      <c r="L17"/>
      <c r="M17"/>
      <c r="N17"/>
      <c r="O17"/>
      <c r="P17"/>
      <c r="Q17"/>
      <c r="R17"/>
      <c r="S17" s="78">
        <v>9.5550715923309326E-2</v>
      </c>
      <c r="T17" s="186">
        <v>0.15665929019451141</v>
      </c>
      <c r="U17" s="109">
        <v>9.8657861351966858E-2</v>
      </c>
      <c r="V17"/>
      <c r="W17"/>
      <c r="X17" s="11">
        <v>8.3419564180076122E-4</v>
      </c>
      <c r="Y17" s="26">
        <v>3.6597494035959244E-2</v>
      </c>
      <c r="Z17" s="65">
        <v>3.3481314778327942E-2</v>
      </c>
      <c r="AA17"/>
      <c r="AB17" s="25">
        <v>4.6403877437114716E-2</v>
      </c>
      <c r="AC17" s="19">
        <v>2.6846818625926971E-2</v>
      </c>
      <c r="AD17" s="26">
        <v>3.8922626525163651E-2</v>
      </c>
      <c r="AE17" s="188">
        <v>7.7625468373298645E-2</v>
      </c>
      <c r="AF17" s="67">
        <v>8.7228089570999146E-2</v>
      </c>
      <c r="AG17"/>
      <c r="AH17" s="17">
        <v>1.9454693421721458E-2</v>
      </c>
      <c r="AI17"/>
      <c r="AJ17"/>
      <c r="AK17"/>
      <c r="AL17"/>
      <c r="AM17"/>
      <c r="AN17"/>
      <c r="AO17"/>
      <c r="AP17" s="187">
        <v>3.5027585923671722E-2</v>
      </c>
      <c r="AQ17"/>
      <c r="AR17" s="189">
        <v>0.10086128115653992</v>
      </c>
      <c r="AS17" s="12">
        <v>4.4487174600362778E-3</v>
      </c>
      <c r="AT17" s="19">
        <v>2.5649482384324074E-2</v>
      </c>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row>
    <row r="18" spans="1:209" ht="15" customHeight="1" x14ac:dyDescent="0.15">
      <c r="A18" t="s">
        <v>209</v>
      </c>
      <c r="B18">
        <v>2.018906831741333</v>
      </c>
      <c r="C18">
        <v>1.1706706285476685</v>
      </c>
      <c r="D18" s="70">
        <v>0.10355353355407715</v>
      </c>
      <c r="E18" s="14">
        <v>5.7382397353649139E-3</v>
      </c>
      <c r="F18"/>
      <c r="G18" s="24">
        <v>5.4593518376350403E-2</v>
      </c>
      <c r="H18" s="11">
        <v>5.2291882457211614E-4</v>
      </c>
      <c r="I18"/>
      <c r="J18"/>
      <c r="K18"/>
      <c r="L18"/>
      <c r="M18"/>
      <c r="N18"/>
      <c r="O18"/>
      <c r="P18"/>
      <c r="Q18"/>
      <c r="R18"/>
      <c r="S18" s="183">
        <v>9.9805556237697601E-2</v>
      </c>
      <c r="T18" s="177">
        <v>0.1953759640455246</v>
      </c>
      <c r="U18" s="18">
        <v>2.4528378620743752E-2</v>
      </c>
      <c r="V18"/>
      <c r="W18"/>
      <c r="X18"/>
      <c r="Y18" s="16">
        <v>3.31459641456604E-2</v>
      </c>
      <c r="Z18" s="187">
        <v>4.7507926821708679E-2</v>
      </c>
      <c r="AA18" s="21">
        <v>3.9285119622945786E-2</v>
      </c>
      <c r="AB18" s="15">
        <v>1.9319832324981689E-2</v>
      </c>
      <c r="AC18" s="15">
        <v>2.1136466413736343E-2</v>
      </c>
      <c r="AD18" s="181">
        <v>9.2449605464935303E-2</v>
      </c>
      <c r="AE18" s="17">
        <v>2.5847269222140312E-2</v>
      </c>
      <c r="AF18"/>
      <c r="AG18"/>
      <c r="AH18"/>
      <c r="AI18"/>
      <c r="AJ18" s="21">
        <v>3.9131395518779755E-2</v>
      </c>
      <c r="AK18" s="15">
        <v>2.1050320938229561E-2</v>
      </c>
      <c r="AL18" s="23">
        <v>1.2914733029901981E-2</v>
      </c>
      <c r="AM18"/>
      <c r="AN18"/>
      <c r="AO18" s="11">
        <v>2.8772393125109375E-4</v>
      </c>
      <c r="AP18" s="14">
        <v>3.6156163550913334E-3</v>
      </c>
      <c r="AQ18"/>
      <c r="AR18"/>
      <c r="AS18" s="11">
        <v>5.3940026555210352E-4</v>
      </c>
      <c r="AT18" s="12">
        <v>7.8866453841328621E-3</v>
      </c>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row>
    <row r="19" spans="1:209" ht="15" customHeight="1" x14ac:dyDescent="0.15">
      <c r="A19" t="s">
        <v>210</v>
      </c>
      <c r="B19">
        <v>0.86132407188415527</v>
      </c>
      <c r="C19">
        <v>0.68941324949264526</v>
      </c>
      <c r="D19" s="11">
        <v>4.8896402586251497E-4</v>
      </c>
      <c r="E19"/>
      <c r="F19"/>
      <c r="G19"/>
      <c r="H19"/>
      <c r="I19"/>
      <c r="J19"/>
      <c r="K19"/>
      <c r="L19"/>
      <c r="M19"/>
      <c r="N19"/>
      <c r="O19"/>
      <c r="P19"/>
      <c r="Q19"/>
      <c r="R19"/>
      <c r="S19"/>
      <c r="T19"/>
      <c r="U19"/>
      <c r="V19"/>
      <c r="W19"/>
      <c r="X19"/>
      <c r="Y19"/>
      <c r="Z19"/>
      <c r="AA19"/>
      <c r="AB19"/>
      <c r="AC19" s="20">
        <v>3.7953987717628479E-2</v>
      </c>
      <c r="AD19" s="177">
        <v>8.2538768649101257E-2</v>
      </c>
      <c r="AE19"/>
      <c r="AF19"/>
      <c r="AG19"/>
      <c r="AH19"/>
      <c r="AI19"/>
      <c r="AJ19" s="67">
        <v>5.0929095596075058E-2</v>
      </c>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row>
    <row r="20" spans="1:209" ht="15" customHeight="1" x14ac:dyDescent="0.15">
      <c r="A20" t="s">
        <v>211</v>
      </c>
      <c r="B20">
        <v>1.0654191970825195</v>
      </c>
      <c r="C20">
        <v>2.7611002326011658E-2</v>
      </c>
      <c r="D20" s="175">
        <v>0.17001895606517792</v>
      </c>
      <c r="E20"/>
      <c r="F20"/>
      <c r="G20"/>
      <c r="H20"/>
      <c r="I20"/>
      <c r="J20"/>
      <c r="K20"/>
      <c r="L20"/>
      <c r="M20"/>
      <c r="N20"/>
      <c r="O20"/>
      <c r="P20"/>
      <c r="Q20"/>
      <c r="R20"/>
      <c r="S20" s="181">
        <v>4.73601333796978E-2</v>
      </c>
      <c r="T20" s="178">
        <v>0.13006183505058289</v>
      </c>
      <c r="U20"/>
      <c r="V20"/>
      <c r="W20"/>
      <c r="X20" s="12">
        <v>3.1837399583309889E-3</v>
      </c>
      <c r="Y20" s="29">
        <v>4.9884200096130371E-2</v>
      </c>
      <c r="Z20" s="13">
        <v>4.0237423032522202E-2</v>
      </c>
      <c r="AA20" s="24">
        <v>2.8879998251795769E-2</v>
      </c>
      <c r="AB20" s="17">
        <v>1.405572984367609E-2</v>
      </c>
      <c r="AC20" s="192">
        <v>0.14393459260463715</v>
      </c>
      <c r="AD20" s="67">
        <v>6.1895709484815598E-2</v>
      </c>
      <c r="AE20"/>
      <c r="AF20"/>
      <c r="AG20"/>
      <c r="AH20"/>
      <c r="AI20"/>
      <c r="AJ20" s="192">
        <v>0.14512830972671509</v>
      </c>
      <c r="AK20"/>
      <c r="AL20" s="110">
        <v>0.19341672956943512</v>
      </c>
      <c r="AM20"/>
      <c r="AN20"/>
      <c r="AO20"/>
      <c r="AP20" s="12">
        <v>3.5808251705020666E-3</v>
      </c>
      <c r="AQ20"/>
      <c r="AR20"/>
      <c r="AS20" s="11">
        <v>3.7637515924870968E-4</v>
      </c>
      <c r="AT20" s="23">
        <v>5.7936222292482853E-3</v>
      </c>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row>
    <row r="21" spans="1:209" ht="15" customHeight="1" x14ac:dyDescent="0.15">
      <c r="A21" t="s">
        <v>212</v>
      </c>
      <c r="B21">
        <v>1.1388000249862671</v>
      </c>
      <c r="C21">
        <v>3.2637126743793488E-2</v>
      </c>
      <c r="D21" s="66">
        <v>4.6167485415935516E-2</v>
      </c>
      <c r="E21" s="11">
        <v>6.9588000769726932E-5</v>
      </c>
      <c r="F21"/>
      <c r="G21"/>
      <c r="H21"/>
      <c r="I21"/>
      <c r="J21"/>
      <c r="K21"/>
      <c r="L21"/>
      <c r="M21"/>
      <c r="N21"/>
      <c r="O21"/>
      <c r="P21"/>
      <c r="Q21"/>
      <c r="R21"/>
      <c r="S21" s="70">
        <v>5.8520659804344177E-2</v>
      </c>
      <c r="T21" s="191">
        <v>0.17713293433189392</v>
      </c>
      <c r="U21" s="70">
        <v>5.7518668472766876E-2</v>
      </c>
      <c r="V21"/>
      <c r="W21"/>
      <c r="X21"/>
      <c r="Y21" s="26">
        <v>2.8449013829231262E-2</v>
      </c>
      <c r="Z21" s="179">
        <v>8.3211988210678101E-2</v>
      </c>
      <c r="AA21" s="25">
        <v>3.5757880657911301E-2</v>
      </c>
      <c r="AB21" s="16">
        <v>1.7367996275424957E-2</v>
      </c>
      <c r="AC21" s="70">
        <v>5.912979319691658E-2</v>
      </c>
      <c r="AD21" s="78">
        <v>7.3119752109050751E-2</v>
      </c>
      <c r="AE21" s="190">
        <v>4.5256543904542923E-2</v>
      </c>
      <c r="AF21"/>
      <c r="AG21"/>
      <c r="AH21"/>
      <c r="AI21"/>
      <c r="AJ21" s="191">
        <v>0.1773575097322464</v>
      </c>
      <c r="AK21"/>
      <c r="AL21" s="193">
        <v>0.23439979553222656</v>
      </c>
      <c r="AM21"/>
      <c r="AN21"/>
      <c r="AO21"/>
      <c r="AP21" s="12">
        <v>5.1053715869784355E-3</v>
      </c>
      <c r="AQ21"/>
      <c r="AR21"/>
      <c r="AS21" s="11">
        <v>4.7699376591481268E-4</v>
      </c>
      <c r="AT21" s="23">
        <v>7.120924536138773E-3</v>
      </c>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row>
    <row r="22" spans="1:209" ht="15" customHeight="1" x14ac:dyDescent="0.15">
      <c r="A22" t="s">
        <v>213</v>
      </c>
      <c r="B22">
        <v>0.95802605152130127</v>
      </c>
      <c r="C22">
        <v>0.73449558019638062</v>
      </c>
      <c r="D22" s="65">
        <v>2.1595366299152374E-2</v>
      </c>
      <c r="E22" s="12">
        <v>3.2964413985610008E-3</v>
      </c>
      <c r="F22"/>
      <c r="G22" s="14">
        <v>1.119390013627708E-3</v>
      </c>
      <c r="H22"/>
      <c r="I22"/>
      <c r="J22"/>
      <c r="K22"/>
      <c r="L22"/>
      <c r="M22"/>
      <c r="N22"/>
      <c r="O22"/>
      <c r="P22"/>
      <c r="Q22"/>
      <c r="R22"/>
      <c r="S22"/>
      <c r="T22"/>
      <c r="U22" s="28">
        <v>3.4561906009912491E-2</v>
      </c>
      <c r="V22"/>
      <c r="W22"/>
      <c r="X22"/>
      <c r="Y22"/>
      <c r="Z22"/>
      <c r="AA22"/>
      <c r="AB22" s="176">
        <v>5.4844312369823456E-2</v>
      </c>
      <c r="AC22" s="23">
        <v>5.700000561773777E-3</v>
      </c>
      <c r="AD22" s="76">
        <v>7.4374951422214508E-2</v>
      </c>
      <c r="AE22" s="12">
        <v>3.7082487251609564E-3</v>
      </c>
      <c r="AF22"/>
      <c r="AG22"/>
      <c r="AH22"/>
      <c r="AI22"/>
      <c r="AJ22"/>
      <c r="AK22"/>
      <c r="AL22"/>
      <c r="AM22"/>
      <c r="AN22"/>
      <c r="AO22"/>
      <c r="AP22"/>
      <c r="AQ22"/>
      <c r="AR22"/>
      <c r="AS22" s="26">
        <v>2.4329854175448418E-2</v>
      </c>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row>
    <row r="23" spans="1:209" ht="15" customHeight="1" x14ac:dyDescent="0.15">
      <c r="A23" t="s">
        <v>214</v>
      </c>
      <c r="B23">
        <v>0.87015014886856079</v>
      </c>
      <c r="C23">
        <v>0.29116377234458923</v>
      </c>
      <c r="D23" s="176">
        <v>4.8937447369098663E-2</v>
      </c>
      <c r="E23" s="12">
        <v>2.8028595261275768E-3</v>
      </c>
      <c r="F23"/>
      <c r="G23" s="185">
        <v>0.34579235315322876</v>
      </c>
      <c r="H23" s="15">
        <v>9.0258503332734108E-3</v>
      </c>
      <c r="I23"/>
      <c r="J23"/>
      <c r="K23"/>
      <c r="L23"/>
      <c r="M23"/>
      <c r="N23"/>
      <c r="O23"/>
      <c r="P23"/>
      <c r="Q23"/>
      <c r="R23"/>
      <c r="S23"/>
      <c r="T23"/>
      <c r="U23" s="14">
        <v>1.5120450407266617E-3</v>
      </c>
      <c r="V23"/>
      <c r="W23"/>
      <c r="X23"/>
      <c r="Y23"/>
      <c r="Z23"/>
      <c r="AA23"/>
      <c r="AB23"/>
      <c r="AC23" s="208">
        <v>0.17006944119930267</v>
      </c>
      <c r="AD23"/>
      <c r="AE23"/>
      <c r="AF23"/>
      <c r="AG23"/>
      <c r="AH23"/>
      <c r="AI23"/>
      <c r="AJ23"/>
      <c r="AK23"/>
      <c r="AL23"/>
      <c r="AM23"/>
      <c r="AN23"/>
      <c r="AO23"/>
      <c r="AP23"/>
      <c r="AQ23"/>
      <c r="AR23"/>
      <c r="AS23" s="11">
        <v>8.4639363922178745E-4</v>
      </c>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row>
    <row r="24" spans="1:209" ht="15" customHeight="1" x14ac:dyDescent="0.15">
      <c r="A24" t="s">
        <v>215</v>
      </c>
      <c r="B24">
        <v>0.99064797163009644</v>
      </c>
      <c r="C24">
        <v>0.95378953218460083</v>
      </c>
      <c r="D24" s="23">
        <v>5.43594965711236E-3</v>
      </c>
      <c r="E24" s="11">
        <v>9.4483821885660291E-4</v>
      </c>
      <c r="F24"/>
      <c r="G24"/>
      <c r="H24"/>
      <c r="I24"/>
      <c r="J24"/>
      <c r="K24"/>
      <c r="L24"/>
      <c r="M24"/>
      <c r="N24"/>
      <c r="O24"/>
      <c r="P24"/>
      <c r="Q24"/>
      <c r="R24"/>
      <c r="S24"/>
      <c r="T24"/>
      <c r="U24"/>
      <c r="V24"/>
      <c r="W24"/>
      <c r="X24"/>
      <c r="Y24"/>
      <c r="Z24"/>
      <c r="AA24"/>
      <c r="AB24"/>
      <c r="AC24"/>
      <c r="AD24"/>
      <c r="AE24"/>
      <c r="AF24" s="15">
        <v>1.054009236395359E-2</v>
      </c>
      <c r="AG24"/>
      <c r="AH24"/>
      <c r="AI24"/>
      <c r="AJ24"/>
      <c r="AK24"/>
      <c r="AL24"/>
      <c r="AM24"/>
      <c r="AN24"/>
      <c r="AO24"/>
      <c r="AP24"/>
      <c r="AQ24"/>
      <c r="AR24" s="23">
        <v>5.7166013866662979E-3</v>
      </c>
      <c r="AS24" s="17">
        <v>1.4220940880477428E-2</v>
      </c>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row>
    <row r="25" spans="1:209" ht="15" customHeight="1" x14ac:dyDescent="0.15">
      <c r="A25" t="s">
        <v>216</v>
      </c>
      <c r="B25">
        <v>0.46348118782043457</v>
      </c>
      <c r="C25">
        <v>0.4046962559223175</v>
      </c>
      <c r="D25" s="174">
        <v>5.0724390894174576E-2</v>
      </c>
      <c r="E25" s="14">
        <v>1.3329350622370839E-3</v>
      </c>
      <c r="F25"/>
      <c r="G25" s="23">
        <v>2.5290271732956171E-3</v>
      </c>
      <c r="H25"/>
      <c r="I25"/>
      <c r="J25"/>
      <c r="K25"/>
      <c r="L25"/>
      <c r="M25"/>
      <c r="N25"/>
      <c r="O25"/>
      <c r="P25"/>
      <c r="Q25"/>
      <c r="R25"/>
      <c r="S25"/>
      <c r="T25"/>
      <c r="U25"/>
      <c r="V25"/>
      <c r="W25"/>
      <c r="X25"/>
      <c r="Y25"/>
      <c r="Z25"/>
      <c r="AA25"/>
      <c r="AB25"/>
      <c r="AC25"/>
      <c r="AD25"/>
      <c r="AE25"/>
      <c r="AF25" s="14">
        <v>1.3200001558288932E-3</v>
      </c>
      <c r="AG25"/>
      <c r="AH25"/>
      <c r="AI25"/>
      <c r="AJ25"/>
      <c r="AK25"/>
      <c r="AL25"/>
      <c r="AM25"/>
      <c r="AN25"/>
      <c r="AO25"/>
      <c r="AP25"/>
      <c r="AQ25"/>
      <c r="AR25"/>
      <c r="AS25" s="23">
        <v>2.8785658068954945E-3</v>
      </c>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row>
    <row r="26" spans="1:209" ht="15" customHeight="1" x14ac:dyDescent="0.15">
      <c r="A26" t="s">
        <v>217</v>
      </c>
      <c r="B26">
        <v>1.9642946720123291</v>
      </c>
      <c r="C26">
        <v>6.55079185962677E-2</v>
      </c>
      <c r="D26" s="65">
        <v>4.3878734111785889E-2</v>
      </c>
      <c r="E26" s="22">
        <v>1.550383772701025E-2</v>
      </c>
      <c r="F26" s="11">
        <v>1.3966322876513004E-3</v>
      </c>
      <c r="G26" s="11">
        <v>1.6326169716194272E-3</v>
      </c>
      <c r="H26"/>
      <c r="I26"/>
      <c r="J26"/>
      <c r="K26"/>
      <c r="L26"/>
      <c r="M26"/>
      <c r="N26"/>
      <c r="O26"/>
      <c r="P26"/>
      <c r="Q26"/>
      <c r="R26"/>
      <c r="S26" s="22">
        <v>1.350567489862442E-2</v>
      </c>
      <c r="T26" s="107">
        <v>0.24257323145866394</v>
      </c>
      <c r="U26" s="209">
        <v>0.17270092666149139</v>
      </c>
      <c r="V26"/>
      <c r="W26"/>
      <c r="X26"/>
      <c r="Y26" s="28">
        <v>6.861460953950882E-2</v>
      </c>
      <c r="Z26" s="14">
        <v>4.0687709115445614E-3</v>
      </c>
      <c r="AA26"/>
      <c r="AB26" s="12">
        <v>7.4256104417145252E-3</v>
      </c>
      <c r="AC26" s="28">
        <v>6.7595265805721283E-2</v>
      </c>
      <c r="AD26" s="227">
        <v>0.2744305431842804</v>
      </c>
      <c r="AE26" s="26">
        <v>4.9980685114860535E-2</v>
      </c>
      <c r="AF26" s="14">
        <v>5.5492674000561237E-3</v>
      </c>
      <c r="AG26"/>
      <c r="AH26" s="13">
        <v>7.4400462210178375E-2</v>
      </c>
      <c r="AI26"/>
      <c r="AJ26" s="141">
        <v>0.19774074852466583</v>
      </c>
      <c r="AK26" s="228">
        <v>0.39513912796974182</v>
      </c>
      <c r="AL26" s="18">
        <v>2.2170035168528557E-2</v>
      </c>
      <c r="AM26" s="26">
        <v>4.8485059291124344E-2</v>
      </c>
      <c r="AN26"/>
      <c r="AO26" s="67">
        <v>0.11575853079557419</v>
      </c>
      <c r="AP26" s="19">
        <v>3.4113839268684387E-2</v>
      </c>
      <c r="AQ26"/>
      <c r="AR26" s="65">
        <v>4.1678011417388916E-2</v>
      </c>
      <c r="AS26" s="11">
        <v>4.9759295507101342E-5</v>
      </c>
      <c r="AT26" s="11">
        <v>3.9459904655814171E-4</v>
      </c>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c r="GU26"/>
      <c r="GV26"/>
      <c r="GW26"/>
      <c r="GX26"/>
      <c r="GY26"/>
      <c r="GZ26"/>
      <c r="HA26"/>
    </row>
    <row r="27" spans="1:209" ht="15" customHeight="1" x14ac:dyDescent="0.15">
      <c r="A27" t="s">
        <v>218</v>
      </c>
      <c r="B27">
        <v>1.1124057769775391</v>
      </c>
      <c r="C27">
        <v>8.8959619402885437E-2</v>
      </c>
      <c r="D27" s="177">
        <v>0.10585232079029083</v>
      </c>
      <c r="E27" s="11">
        <v>7.7873299596831203E-4</v>
      </c>
      <c r="F27"/>
      <c r="G27" s="25">
        <v>3.5894908010959625E-2</v>
      </c>
      <c r="H27" s="14">
        <v>1.9987085834145546E-3</v>
      </c>
      <c r="I27"/>
      <c r="J27"/>
      <c r="K27"/>
      <c r="L27"/>
      <c r="M27"/>
      <c r="N27"/>
      <c r="O27"/>
      <c r="P27"/>
      <c r="Q27"/>
      <c r="R27"/>
      <c r="S27"/>
      <c r="T27" s="200">
        <v>0.11600296199321747</v>
      </c>
      <c r="U27" s="197">
        <v>9.3752749264240265E-2</v>
      </c>
      <c r="V27"/>
      <c r="W27"/>
      <c r="X27"/>
      <c r="Y27" s="144">
        <v>3.3535860478878021E-2</v>
      </c>
      <c r="Z27" s="23">
        <v>7.3940171860158443E-3</v>
      </c>
      <c r="AA27"/>
      <c r="AB27"/>
      <c r="AC27" s="181">
        <v>5.1024075597524643E-2</v>
      </c>
      <c r="AD27" s="66">
        <v>4.4913340359926224E-2</v>
      </c>
      <c r="AE27" s="197">
        <v>9.2866204679012299E-2</v>
      </c>
      <c r="AF27"/>
      <c r="AG27"/>
      <c r="AH27"/>
      <c r="AI27"/>
      <c r="AJ27"/>
      <c r="AK27"/>
      <c r="AL27" s="15">
        <v>1.0835756547749043E-2</v>
      </c>
      <c r="AM27"/>
      <c r="AN27"/>
      <c r="AO27"/>
      <c r="AP27" s="215">
        <v>0.39140856266021729</v>
      </c>
      <c r="AQ27"/>
      <c r="AR27" s="65">
        <v>2.4939684197306633E-2</v>
      </c>
      <c r="AS27" s="22">
        <v>8.2936743274331093E-3</v>
      </c>
      <c r="AT27" s="12">
        <v>3.9545949548482895E-3</v>
      </c>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c r="HA27"/>
    </row>
    <row r="28" spans="1:209" ht="15" customHeight="1" x14ac:dyDescent="0.15">
      <c r="A28" t="s">
        <v>219</v>
      </c>
      <c r="B28">
        <v>1.6972947120666504</v>
      </c>
      <c r="C28">
        <v>0.26431497931480408</v>
      </c>
      <c r="D28" s="178">
        <v>0.20639126002788544</v>
      </c>
      <c r="E28"/>
      <c r="F28"/>
      <c r="G28" s="186">
        <v>0.17872609198093414</v>
      </c>
      <c r="H28"/>
      <c r="I28"/>
      <c r="J28"/>
      <c r="K28"/>
      <c r="L28"/>
      <c r="M28"/>
      <c r="N28"/>
      <c r="O28"/>
      <c r="P28"/>
      <c r="Q28"/>
      <c r="R28"/>
      <c r="S28"/>
      <c r="T28" s="107">
        <v>0.20846812427043915</v>
      </c>
      <c r="U28" s="21">
        <v>3.3313389867544174E-2</v>
      </c>
      <c r="V28"/>
      <c r="W28"/>
      <c r="X28"/>
      <c r="Y28"/>
      <c r="Z28" s="22">
        <v>1.327997725456953E-2</v>
      </c>
      <c r="AA28"/>
      <c r="AB28"/>
      <c r="AC28" s="206">
        <v>0.18311811983585358</v>
      </c>
      <c r="AD28" s="29">
        <v>8.0171316862106323E-2</v>
      </c>
      <c r="AE28" s="205">
        <v>0.16709813475608826</v>
      </c>
      <c r="AF28"/>
      <c r="AG28"/>
      <c r="AH28"/>
      <c r="AI28"/>
      <c r="AJ28" s="203">
        <v>0.13948442041873932</v>
      </c>
      <c r="AK28"/>
      <c r="AL28" s="21">
        <v>3.2342478632926941E-2</v>
      </c>
      <c r="AM28"/>
      <c r="AN28"/>
      <c r="AO28"/>
      <c r="AP28" s="188">
        <v>8.8263608515262604E-2</v>
      </c>
      <c r="AQ28"/>
      <c r="AR28" s="183">
        <v>8.4839440882205963E-2</v>
      </c>
      <c r="AS28" s="22">
        <v>1.1841322295367718E-2</v>
      </c>
      <c r="AT28" s="12">
        <v>5.6419926695525646E-3</v>
      </c>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c r="FC28"/>
      <c r="FD28"/>
      <c r="FE28"/>
      <c r="FF28"/>
      <c r="FG28"/>
      <c r="FH28"/>
      <c r="FI28"/>
      <c r="FJ28"/>
      <c r="FK28"/>
      <c r="FL28"/>
      <c r="FM28"/>
      <c r="FN28"/>
      <c r="FO28"/>
      <c r="FP28"/>
      <c r="FQ28"/>
      <c r="FR28"/>
      <c r="FS28"/>
      <c r="FT28"/>
      <c r="FU28"/>
      <c r="FV28"/>
      <c r="FW28"/>
      <c r="FX28"/>
      <c r="FY28"/>
      <c r="FZ28"/>
      <c r="GA28"/>
      <c r="GB28"/>
      <c r="GC28"/>
      <c r="GD28"/>
      <c r="GE28"/>
      <c r="GF28"/>
      <c r="GG28"/>
      <c r="GH28"/>
      <c r="GI28"/>
      <c r="GJ28"/>
      <c r="GK28"/>
      <c r="GL28"/>
      <c r="GM28"/>
      <c r="GN28"/>
      <c r="GO28"/>
      <c r="GP28"/>
      <c r="GQ28"/>
      <c r="GR28"/>
      <c r="GS28"/>
      <c r="GT28"/>
      <c r="GU28"/>
      <c r="GV28"/>
      <c r="GW28"/>
      <c r="GX28"/>
      <c r="GY28"/>
      <c r="GZ28"/>
      <c r="HA28"/>
    </row>
    <row r="29" spans="1:209" ht="15" customHeight="1" x14ac:dyDescent="0.15">
      <c r="A29" t="s">
        <v>220</v>
      </c>
      <c r="B29">
        <v>0.81596201658248901</v>
      </c>
      <c r="C29">
        <v>0.20585794746875763</v>
      </c>
      <c r="D29" s="179">
        <v>5.9028271585702896E-2</v>
      </c>
      <c r="E29"/>
      <c r="F29"/>
      <c r="G29" s="14">
        <v>2.3867429699748755E-3</v>
      </c>
      <c r="H29"/>
      <c r="I29"/>
      <c r="J29"/>
      <c r="K29"/>
      <c r="L29"/>
      <c r="M29"/>
      <c r="N29"/>
      <c r="O29"/>
      <c r="P29"/>
      <c r="Q29"/>
      <c r="R29"/>
      <c r="S29"/>
      <c r="T29"/>
      <c r="U29" s="187">
        <v>1.9841233268380165E-2</v>
      </c>
      <c r="V29"/>
      <c r="W29"/>
      <c r="X29"/>
      <c r="Y29"/>
      <c r="Z29" s="11">
        <v>4.0644744876772165E-4</v>
      </c>
      <c r="AA29"/>
      <c r="AB29"/>
      <c r="AC29"/>
      <c r="AD29"/>
      <c r="AE29" s="198">
        <v>0.14719299972057343</v>
      </c>
      <c r="AF29"/>
      <c r="AG29"/>
      <c r="AH29"/>
      <c r="AI29"/>
      <c r="AJ29"/>
      <c r="AK29"/>
      <c r="AL29"/>
      <c r="AM29"/>
      <c r="AN29"/>
      <c r="AO29"/>
      <c r="AP29" s="210">
        <v>0.36077660322189331</v>
      </c>
      <c r="AQ29"/>
      <c r="AR29" s="26">
        <v>2.0180877298116684E-2</v>
      </c>
      <c r="AS29" s="11">
        <v>2.9088396695442498E-4</v>
      </c>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c r="GQ29"/>
      <c r="GR29"/>
      <c r="GS29"/>
      <c r="GT29"/>
      <c r="GU29"/>
      <c r="GV29"/>
      <c r="GW29"/>
      <c r="GX29"/>
      <c r="GY29"/>
      <c r="GZ29"/>
      <c r="HA29"/>
    </row>
    <row r="30" spans="1:209" ht="15" customHeight="1" x14ac:dyDescent="0.15">
      <c r="A30" t="s">
        <v>221</v>
      </c>
      <c r="B30">
        <v>0.91508722305297852</v>
      </c>
      <c r="C30">
        <v>6.5099787898361683E-3</v>
      </c>
      <c r="D30" s="21">
        <v>1.7432060092687607E-2</v>
      </c>
      <c r="E30"/>
      <c r="F30"/>
      <c r="G30" s="15">
        <v>8.3989277482032776E-3</v>
      </c>
      <c r="H30"/>
      <c r="I30"/>
      <c r="J30"/>
      <c r="K30"/>
      <c r="L30"/>
      <c r="M30"/>
      <c r="N30"/>
      <c r="O30"/>
      <c r="P30"/>
      <c r="Q30"/>
      <c r="R30"/>
      <c r="S30"/>
      <c r="T30" s="202">
        <v>0.13548710942268372</v>
      </c>
      <c r="U30" s="140">
        <v>0.10889474302530289</v>
      </c>
      <c r="V30"/>
      <c r="W30"/>
      <c r="X30"/>
      <c r="Y30"/>
      <c r="Z30" s="15">
        <v>8.67497269064188E-3</v>
      </c>
      <c r="AA30"/>
      <c r="AB30"/>
      <c r="AC30" s="75">
        <v>8.5604950785636902E-2</v>
      </c>
      <c r="AD30" s="176">
        <v>5.2508242428302765E-2</v>
      </c>
      <c r="AE30" s="180">
        <v>0.10812000930309296</v>
      </c>
      <c r="AF30"/>
      <c r="AG30"/>
      <c r="AH30"/>
      <c r="AI30"/>
      <c r="AJ30"/>
      <c r="AK30"/>
      <c r="AL30" s="141">
        <v>9.198538213968277E-2</v>
      </c>
      <c r="AM30"/>
      <c r="AN30"/>
      <c r="AO30"/>
      <c r="AP30" s="199">
        <v>0.11460550874471664</v>
      </c>
      <c r="AQ30"/>
      <c r="AR30" s="198">
        <v>0.16547554731369019</v>
      </c>
      <c r="AS30" s="22">
        <v>7.6920324936509132E-3</v>
      </c>
      <c r="AT30" s="12">
        <v>3.697751322761178E-3</v>
      </c>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row>
    <row r="31" spans="1:209" ht="15" customHeight="1" x14ac:dyDescent="0.15">
      <c r="A31" t="s">
        <v>222</v>
      </c>
      <c r="B31">
        <v>0.96781176328659058</v>
      </c>
      <c r="C31">
        <v>0.62363886833190918</v>
      </c>
      <c r="D31" s="180">
        <v>0.11293584853410721</v>
      </c>
      <c r="E31" s="11">
        <v>1.0952308002742939E-5</v>
      </c>
      <c r="F31"/>
      <c r="G31"/>
      <c r="H31"/>
      <c r="I31"/>
      <c r="J31"/>
      <c r="K31"/>
      <c r="L31"/>
      <c r="M31"/>
      <c r="N31"/>
      <c r="O31"/>
      <c r="P31"/>
      <c r="Q31"/>
      <c r="R31"/>
      <c r="S31"/>
      <c r="T31"/>
      <c r="U31"/>
      <c r="V31"/>
      <c r="W31"/>
      <c r="X31"/>
      <c r="Y31"/>
      <c r="Z31" s="11">
        <v>6.4603792270645499E-4</v>
      </c>
      <c r="AA31"/>
      <c r="AB31"/>
      <c r="AC31"/>
      <c r="AD31"/>
      <c r="AE31"/>
      <c r="AF31"/>
      <c r="AG31"/>
      <c r="AH31"/>
      <c r="AI31"/>
      <c r="AJ31"/>
      <c r="AK31"/>
      <c r="AL31" s="216">
        <v>0.23058000206947327</v>
      </c>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c r="GQ31"/>
      <c r="GR31"/>
      <c r="GS31"/>
      <c r="GT31"/>
      <c r="GU31"/>
      <c r="GV31"/>
      <c r="GW31"/>
      <c r="GX31"/>
      <c r="GY31"/>
      <c r="GZ31"/>
      <c r="HA31"/>
    </row>
    <row r="32" spans="1:209" ht="15" customHeight="1" x14ac:dyDescent="0.15">
      <c r="A32" t="s">
        <v>223</v>
      </c>
      <c r="B32">
        <v>1.955487847328186</v>
      </c>
      <c r="C32">
        <v>9.7774296998977661E-2</v>
      </c>
      <c r="D32" s="17">
        <v>2.5358311831951141E-2</v>
      </c>
      <c r="E32" s="11">
        <v>1.7022182000800967E-3</v>
      </c>
      <c r="F32" s="14">
        <v>4.5578605495393276E-3</v>
      </c>
      <c r="G32" s="11">
        <v>1.0288563789799809E-3</v>
      </c>
      <c r="H32"/>
      <c r="I32"/>
      <c r="J32"/>
      <c r="K32"/>
      <c r="L32"/>
      <c r="M32"/>
      <c r="N32"/>
      <c r="O32"/>
      <c r="P32"/>
      <c r="Q32"/>
      <c r="R32"/>
      <c r="S32"/>
      <c r="T32" s="76">
        <v>0.15307135879993439</v>
      </c>
      <c r="U32" s="109">
        <v>0.13177007436752319</v>
      </c>
      <c r="V32"/>
      <c r="W32"/>
      <c r="X32"/>
      <c r="Y32" s="19">
        <v>3.5244375467300415E-2</v>
      </c>
      <c r="Z32"/>
      <c r="AA32"/>
      <c r="AB32" s="23">
        <v>1.1112937703728676E-2</v>
      </c>
      <c r="AC32" s="12">
        <v>9.4388397410511971E-3</v>
      </c>
      <c r="AD32" s="18">
        <v>2.1196048706769943E-2</v>
      </c>
      <c r="AE32" s="65">
        <v>4.2717389762401581E-2</v>
      </c>
      <c r="AF32" s="23">
        <v>1.179074589163065E-2</v>
      </c>
      <c r="AG32"/>
      <c r="AH32" s="14">
        <v>2.3419247008860111E-3</v>
      </c>
      <c r="AI32"/>
      <c r="AJ32" s="15">
        <v>1.7897099256515503E-2</v>
      </c>
      <c r="AK32" s="24">
        <v>5.435866117477417E-2</v>
      </c>
      <c r="AL32"/>
      <c r="AM32" s="144">
        <v>5.804399773478508E-2</v>
      </c>
      <c r="AN32"/>
      <c r="AO32" s="226">
        <v>1.1323248147964478</v>
      </c>
      <c r="AP32" s="188">
        <v>0.10195049643516541</v>
      </c>
      <c r="AQ32"/>
      <c r="AR32" s="17">
        <v>2.6079487055540085E-2</v>
      </c>
      <c r="AS32"/>
      <c r="AT32" s="22">
        <v>1.5728076919913292E-2</v>
      </c>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c r="EX32"/>
      <c r="EY32"/>
      <c r="EZ32"/>
      <c r="FA32"/>
      <c r="FB32"/>
      <c r="FC32"/>
      <c r="FD32"/>
      <c r="FE32"/>
      <c r="FF32"/>
      <c r="FG32"/>
      <c r="FH32"/>
      <c r="FI32"/>
      <c r="FJ32"/>
      <c r="FK32"/>
      <c r="FL32"/>
      <c r="FM32"/>
      <c r="FN32"/>
      <c r="FO32"/>
      <c r="FP32"/>
      <c r="FQ32"/>
      <c r="FR32"/>
      <c r="FS32"/>
      <c r="FT32"/>
      <c r="FU32"/>
      <c r="FV32"/>
      <c r="FW32"/>
      <c r="FX32"/>
      <c r="FY32"/>
      <c r="FZ32"/>
      <c r="GA32"/>
      <c r="GB32"/>
      <c r="GC32"/>
      <c r="GD32"/>
      <c r="GE32"/>
      <c r="GF32"/>
      <c r="GG32"/>
      <c r="GH32"/>
      <c r="GI32"/>
      <c r="GJ32"/>
      <c r="GK32"/>
      <c r="GL32"/>
      <c r="GM32"/>
      <c r="GN32"/>
      <c r="GO32"/>
      <c r="GP32"/>
      <c r="GQ32"/>
      <c r="GR32"/>
      <c r="GS32"/>
      <c r="GT32"/>
      <c r="GU32"/>
      <c r="GV32"/>
      <c r="GW32"/>
      <c r="GX32"/>
      <c r="GY32"/>
      <c r="GZ32"/>
      <c r="HA32"/>
    </row>
    <row r="33" spans="1:209" ht="15" customHeight="1" x14ac:dyDescent="0.15">
      <c r="A33" t="s">
        <v>224</v>
      </c>
      <c r="B33">
        <v>1.7092771530151367</v>
      </c>
      <c r="C33">
        <v>8.5463881492614746E-2</v>
      </c>
      <c r="D33" s="23">
        <v>9.7223864868283272E-3</v>
      </c>
      <c r="E33" s="11">
        <v>7.8310247045010328E-4</v>
      </c>
      <c r="F33" s="11">
        <v>1.4334847219288349E-3</v>
      </c>
      <c r="G33"/>
      <c r="H33"/>
      <c r="I33"/>
      <c r="J33"/>
      <c r="K33"/>
      <c r="L33"/>
      <c r="M33"/>
      <c r="N33"/>
      <c r="O33"/>
      <c r="P33"/>
      <c r="Q33"/>
      <c r="R33"/>
      <c r="S33"/>
      <c r="T33" s="203">
        <v>0.14035302400588989</v>
      </c>
      <c r="U33" s="72">
        <v>0.12082161754369736</v>
      </c>
      <c r="V33"/>
      <c r="W33"/>
      <c r="X33"/>
      <c r="Y33" s="21">
        <v>3.2316006720066071E-2</v>
      </c>
      <c r="Z33"/>
      <c r="AA33"/>
      <c r="AB33" s="23">
        <v>1.018959004431963E-2</v>
      </c>
      <c r="AC33" s="23">
        <v>8.6545888334512711E-3</v>
      </c>
      <c r="AD33" s="18">
        <v>1.9434919580817223E-2</v>
      </c>
      <c r="AE33" s="187">
        <v>3.9168104529380798E-2</v>
      </c>
      <c r="AF33" s="12">
        <v>6.7439847625792027E-3</v>
      </c>
      <c r="AG33"/>
      <c r="AH33" s="14">
        <v>1.8405772279947996E-3</v>
      </c>
      <c r="AI33"/>
      <c r="AJ33" s="15">
        <v>1.6283843666315079E-2</v>
      </c>
      <c r="AK33" s="144">
        <v>4.9842130392789841E-2</v>
      </c>
      <c r="AL33"/>
      <c r="AM33" s="25">
        <v>5.3221259266138077E-2</v>
      </c>
      <c r="AN33"/>
      <c r="AO33" s="224">
        <v>1.0229142904281616</v>
      </c>
      <c r="AP33" s="144">
        <v>5.177973210811615E-2</v>
      </c>
      <c r="AQ33"/>
      <c r="AR33" s="17">
        <v>2.391260489821434E-2</v>
      </c>
      <c r="AS33"/>
      <c r="AT33" s="22">
        <v>1.439815666526556E-2</v>
      </c>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EW33"/>
      <c r="EX33"/>
      <c r="EY33"/>
      <c r="EZ33"/>
      <c r="FA33"/>
      <c r="FB33"/>
      <c r="FC33"/>
      <c r="FD33"/>
      <c r="FE33"/>
      <c r="FF33"/>
      <c r="FG33"/>
      <c r="FH33"/>
      <c r="FI33"/>
      <c r="FJ33"/>
      <c r="FK33"/>
      <c r="FL33"/>
      <c r="FM33"/>
      <c r="FN33"/>
      <c r="FO33"/>
      <c r="FP33"/>
      <c r="FQ33"/>
      <c r="FR33"/>
      <c r="FS33"/>
      <c r="FT33"/>
      <c r="FU33"/>
      <c r="FV33"/>
      <c r="FW33"/>
      <c r="FX33"/>
      <c r="FY33"/>
      <c r="FZ33"/>
      <c r="GA33"/>
      <c r="GB33"/>
      <c r="GC33"/>
      <c r="GD33"/>
      <c r="GE33"/>
      <c r="GF33"/>
      <c r="GG33"/>
      <c r="GH33"/>
      <c r="GI33"/>
      <c r="GJ33"/>
      <c r="GK33"/>
      <c r="GL33"/>
      <c r="GM33"/>
      <c r="GN33"/>
      <c r="GO33"/>
      <c r="GP33"/>
      <c r="GQ33"/>
      <c r="GR33"/>
      <c r="GS33"/>
      <c r="GT33"/>
      <c r="GU33"/>
      <c r="GV33"/>
      <c r="GW33"/>
      <c r="GX33"/>
      <c r="GY33"/>
      <c r="GZ33"/>
      <c r="HA33"/>
    </row>
    <row r="34" spans="1:209" ht="15" customHeight="1" x14ac:dyDescent="0.15">
      <c r="A34" t="s">
        <v>225</v>
      </c>
      <c r="B34">
        <v>0.72723692655563354</v>
      </c>
      <c r="C34">
        <v>0.41414377093315125</v>
      </c>
      <c r="D34" s="181">
        <v>3.2332703471183777E-2</v>
      </c>
      <c r="E34"/>
      <c r="F34"/>
      <c r="G34" s="15">
        <v>6.8026920780539513E-3</v>
      </c>
      <c r="H34"/>
      <c r="I34"/>
      <c r="J34"/>
      <c r="K34"/>
      <c r="L34"/>
      <c r="M34"/>
      <c r="N34"/>
      <c r="O34"/>
      <c r="P34"/>
      <c r="Q34"/>
      <c r="R34"/>
      <c r="S34"/>
      <c r="T34"/>
      <c r="U34" s="181">
        <v>3.2889638096094131E-2</v>
      </c>
      <c r="V34"/>
      <c r="W34"/>
      <c r="X34"/>
      <c r="Y34"/>
      <c r="Z34" s="14">
        <v>7.8603444853797555E-4</v>
      </c>
      <c r="AA34"/>
      <c r="AB34"/>
      <c r="AC34"/>
      <c r="AD34"/>
      <c r="AE34"/>
      <c r="AF34"/>
      <c r="AG34"/>
      <c r="AH34"/>
      <c r="AI34"/>
      <c r="AJ34"/>
      <c r="AK34"/>
      <c r="AL34"/>
      <c r="AM34"/>
      <c r="AN34"/>
      <c r="AO34"/>
      <c r="AP34" s="211">
        <v>0.15764179825782776</v>
      </c>
      <c r="AQ34"/>
      <c r="AR34" s="201">
        <v>8.2139104604721069E-2</v>
      </c>
      <c r="AS34" s="11">
        <v>5.0117605132982135E-4</v>
      </c>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c r="EX34"/>
      <c r="EY34"/>
      <c r="EZ34"/>
      <c r="FA34"/>
      <c r="FB34"/>
      <c r="FC34"/>
      <c r="FD34"/>
      <c r="FE34"/>
      <c r="FF34"/>
      <c r="FG34"/>
      <c r="FH34"/>
      <c r="FI34"/>
      <c r="FJ34"/>
      <c r="FK34"/>
      <c r="FL34"/>
      <c r="FM34"/>
      <c r="FN34"/>
      <c r="FO34"/>
      <c r="FP34"/>
      <c r="FQ34"/>
      <c r="FR34"/>
      <c r="FS34"/>
      <c r="FT34"/>
      <c r="FU34"/>
      <c r="FV34"/>
      <c r="FW34"/>
      <c r="FX34"/>
      <c r="FY34"/>
      <c r="FZ34"/>
      <c r="GA34"/>
      <c r="GB34"/>
      <c r="GC34"/>
      <c r="GD34"/>
      <c r="GE34"/>
      <c r="GF34"/>
      <c r="GG34"/>
      <c r="GH34"/>
      <c r="GI34"/>
      <c r="GJ34"/>
      <c r="GK34"/>
      <c r="GL34"/>
      <c r="GM34"/>
      <c r="GN34"/>
      <c r="GO34"/>
      <c r="GP34"/>
      <c r="GQ34"/>
      <c r="GR34"/>
      <c r="GS34"/>
      <c r="GT34"/>
      <c r="GU34"/>
      <c r="GV34"/>
      <c r="GW34"/>
      <c r="GX34"/>
      <c r="GY34"/>
      <c r="GZ34"/>
      <c r="HA34"/>
    </row>
    <row r="35" spans="1:209" ht="15" customHeight="1" x14ac:dyDescent="0.15">
      <c r="A35" t="s">
        <v>226</v>
      </c>
      <c r="B35">
        <v>0.69482618570327759</v>
      </c>
      <c r="C35">
        <v>0.19186912477016449</v>
      </c>
      <c r="D35" s="182">
        <v>0.21194986999034882</v>
      </c>
      <c r="E35" s="11">
        <v>2.48056894633919E-4</v>
      </c>
      <c r="F35" s="11">
        <v>1.3090204447507858E-4</v>
      </c>
      <c r="G35" s="108">
        <v>0.20144757628440857</v>
      </c>
      <c r="H35"/>
      <c r="I35"/>
      <c r="J35"/>
      <c r="K35"/>
      <c r="L35"/>
      <c r="M35"/>
      <c r="N35"/>
      <c r="O35"/>
      <c r="P35"/>
      <c r="Q35"/>
      <c r="R35"/>
      <c r="S35"/>
      <c r="T35"/>
      <c r="U35"/>
      <c r="V35"/>
      <c r="W35"/>
      <c r="X35"/>
      <c r="Y35"/>
      <c r="Z35"/>
      <c r="AA35"/>
      <c r="AB35"/>
      <c r="AC35"/>
      <c r="AD35"/>
      <c r="AE35"/>
      <c r="AF35"/>
      <c r="AG35"/>
      <c r="AH35"/>
      <c r="AI35"/>
      <c r="AJ35"/>
      <c r="AK35"/>
      <c r="AL35"/>
      <c r="AM35"/>
      <c r="AN35"/>
      <c r="AO35"/>
      <c r="AP35"/>
      <c r="AQ35"/>
      <c r="AR35" s="195">
        <v>8.918067067861557E-2</v>
      </c>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EW35"/>
      <c r="EX35"/>
      <c r="EY35"/>
      <c r="EZ35"/>
      <c r="FA35"/>
      <c r="FB35"/>
      <c r="FC35"/>
      <c r="FD35"/>
      <c r="FE35"/>
      <c r="FF35"/>
      <c r="FG35"/>
      <c r="FH35"/>
      <c r="FI35"/>
      <c r="FJ35"/>
      <c r="FK35"/>
      <c r="FL35"/>
      <c r="FM35"/>
      <c r="FN35"/>
      <c r="FO35"/>
      <c r="FP35"/>
      <c r="FQ35"/>
      <c r="FR35"/>
      <c r="FS35"/>
      <c r="FT35"/>
      <c r="FU35"/>
      <c r="FV35"/>
      <c r="FW35"/>
      <c r="FX35"/>
      <c r="FY35"/>
      <c r="FZ35"/>
      <c r="GA35"/>
      <c r="GB35"/>
      <c r="GC35"/>
      <c r="GD35"/>
      <c r="GE35"/>
      <c r="GF35"/>
      <c r="GG35"/>
      <c r="GH35"/>
      <c r="GI35"/>
      <c r="GJ35"/>
      <c r="GK35"/>
      <c r="GL35"/>
      <c r="GM35"/>
      <c r="GN35"/>
      <c r="GO35"/>
      <c r="GP35"/>
      <c r="GQ35"/>
      <c r="GR35"/>
      <c r="GS35"/>
      <c r="GT35"/>
      <c r="GU35"/>
      <c r="GV35"/>
      <c r="GW35"/>
      <c r="GX35"/>
      <c r="GY35"/>
      <c r="GZ35"/>
      <c r="HA35"/>
    </row>
    <row r="36" spans="1:209" ht="15" customHeight="1" x14ac:dyDescent="0.15">
      <c r="A36" t="s">
        <v>227</v>
      </c>
      <c r="B36">
        <v>0.17000000178813934</v>
      </c>
      <c r="C36">
        <v>0.16165877878665924</v>
      </c>
      <c r="D36" s="183">
        <v>8.3412164822220802E-3</v>
      </c>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c r="EZ36"/>
      <c r="FA36"/>
      <c r="FB36"/>
      <c r="FC36"/>
      <c r="FD36"/>
      <c r="FE36"/>
      <c r="FF36"/>
      <c r="FG36"/>
      <c r="FH36"/>
      <c r="FI36"/>
      <c r="FJ36"/>
      <c r="FK36"/>
      <c r="FL36"/>
      <c r="FM36"/>
      <c r="FN36"/>
      <c r="FO36"/>
      <c r="FP36"/>
      <c r="FQ36"/>
      <c r="FR36"/>
      <c r="FS36"/>
      <c r="FT36"/>
      <c r="FU36"/>
      <c r="FV36"/>
      <c r="FW36"/>
      <c r="FX36"/>
      <c r="FY36"/>
      <c r="FZ36"/>
      <c r="GA36"/>
      <c r="GB36"/>
      <c r="GC36"/>
      <c r="GD36"/>
      <c r="GE36"/>
      <c r="GF36"/>
      <c r="GG36"/>
      <c r="GH36"/>
      <c r="GI36"/>
      <c r="GJ36"/>
      <c r="GK36"/>
      <c r="GL36"/>
      <c r="GM36"/>
      <c r="GN36"/>
      <c r="GO36"/>
      <c r="GP36"/>
      <c r="GQ36"/>
      <c r="GR36"/>
      <c r="GS36"/>
      <c r="GT36"/>
      <c r="GU36"/>
      <c r="GV36"/>
      <c r="GW36"/>
      <c r="GX36"/>
      <c r="GY36"/>
      <c r="GZ36"/>
      <c r="HA36"/>
    </row>
    <row r="37" spans="1:209" ht="15" customHeight="1" x14ac:dyDescent="0.15">
      <c r="A37" t="s">
        <v>228</v>
      </c>
      <c r="B37">
        <v>8.3999998867511749E-2</v>
      </c>
      <c r="C37">
        <v>8.3999998867511749E-2</v>
      </c>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row>
    <row r="38" spans="1:209" ht="15" customHeight="1" x14ac:dyDescent="0.15">
      <c r="A38" t="s">
        <v>229</v>
      </c>
      <c r="B38">
        <v>0.12600000202655792</v>
      </c>
      <c r="C38">
        <v>0.12600000202655792</v>
      </c>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row>
    <row r="39" spans="1:209" ht="15" customHeight="1" x14ac:dyDescent="0.15">
      <c r="A39" t="s">
        <v>230</v>
      </c>
      <c r="B39">
        <v>5.8600001335144043</v>
      </c>
      <c r="C39">
        <v>5.8600001335144043</v>
      </c>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row>
    <row r="40" spans="1:209" ht="15" customHeight="1" x14ac:dyDescent="0.15">
      <c r="A40" t="s">
        <v>231</v>
      </c>
      <c r="B40"/>
      <c r="C40">
        <v>0.48122546076774597</v>
      </c>
      <c r="D40"/>
      <c r="E40"/>
      <c r="F40"/>
      <c r="G40"/>
      <c r="H40"/>
      <c r="I40"/>
      <c r="J40"/>
      <c r="K40" s="9">
        <v>39.4202880859375</v>
      </c>
      <c r="L40" s="9">
        <v>0.98778969049453735</v>
      </c>
      <c r="M40" s="9">
        <v>0.82917958498001099</v>
      </c>
      <c r="N40" s="9">
        <v>9.1441192626953125</v>
      </c>
      <c r="O40" s="9">
        <v>36.107509613037109</v>
      </c>
      <c r="P40" s="9">
        <v>28.462427139282227</v>
      </c>
      <c r="Q40" s="9">
        <v>0.39154446125030518</v>
      </c>
      <c r="R40" s="9">
        <v>0.36068236827850342</v>
      </c>
      <c r="S40" s="9">
        <v>4.6525038778781891E-2</v>
      </c>
      <c r="T40"/>
      <c r="U40" s="9">
        <v>0.10348383337259293</v>
      </c>
      <c r="V40" s="9">
        <v>6.0594793409109116E-2</v>
      </c>
      <c r="W40" s="9">
        <v>7.2950936853885651E-2</v>
      </c>
      <c r="X40" s="9">
        <v>7.4818963184952736E-3</v>
      </c>
      <c r="Y40" s="9">
        <v>0.18804411590099335</v>
      </c>
      <c r="Z40"/>
      <c r="AA40"/>
      <c r="AB40" s="9">
        <v>1.2174976989626884E-2</v>
      </c>
      <c r="AC40" s="9">
        <v>7.1012333035469055E-2</v>
      </c>
      <c r="AD40"/>
      <c r="AE40"/>
      <c r="AF40"/>
      <c r="AG40" s="9">
        <v>6.8860158324241638E-2</v>
      </c>
      <c r="AH40" s="9">
        <v>0.1052849218249321</v>
      </c>
      <c r="AI40" s="9">
        <v>9.3540593981742859E-2</v>
      </c>
      <c r="AJ40"/>
      <c r="AK40"/>
      <c r="AL40" s="9">
        <v>2.8761589899659157E-2</v>
      </c>
      <c r="AM40"/>
      <c r="AN40"/>
      <c r="AO40" s="9">
        <v>9.8518673330545425E-3</v>
      </c>
      <c r="AP40"/>
      <c r="AQ40" s="9">
        <v>0.26466137170791626</v>
      </c>
      <c r="AR40" s="9">
        <v>7.1187135763466358E-3</v>
      </c>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row>
    <row r="41" spans="1:209" ht="15" customHeight="1" x14ac:dyDescent="0.15">
      <c r="A41" t="s">
        <v>232</v>
      </c>
      <c r="B41"/>
      <c r="C41">
        <v>0.87889164686203003</v>
      </c>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s="9">
        <v>3.3421315252780914E-2</v>
      </c>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row>
    <row r="42" spans="1:209" ht="15" customHeight="1" x14ac:dyDescent="0.15">
      <c r="A42" t="s">
        <v>233</v>
      </c>
      <c r="B42"/>
      <c r="C42">
        <v>0</v>
      </c>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row>
    <row r="43" spans="1:209" ht="15" customHeight="1" x14ac:dyDescent="0.15">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row>
    <row r="44" spans="1:209" ht="15" customHeight="1" x14ac:dyDescent="0.15">
      <c r="A44"/>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c r="GR44"/>
      <c r="GS44"/>
      <c r="GT44"/>
      <c r="GU44"/>
      <c r="GV44"/>
      <c r="GW44"/>
      <c r="GX44"/>
      <c r="GY44"/>
      <c r="GZ44"/>
      <c r="HA44"/>
    </row>
    <row r="45" spans="1:209" ht="15" customHeight="1" x14ac:dyDescent="0.15">
      <c r="A45"/>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c r="GR45"/>
      <c r="GS45"/>
      <c r="GT45"/>
      <c r="GU45"/>
      <c r="GV45"/>
      <c r="GW45"/>
      <c r="GX45"/>
      <c r="GY45"/>
      <c r="GZ45"/>
      <c r="HA45"/>
    </row>
    <row r="46" spans="1:209" ht="15" customHeight="1" x14ac:dyDescent="0.15">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c r="GQ46"/>
      <c r="GR46"/>
      <c r="GS46"/>
      <c r="GT46"/>
      <c r="GU46"/>
      <c r="GV46"/>
      <c r="GW46"/>
      <c r="GX46"/>
      <c r="GY46"/>
      <c r="GZ46"/>
      <c r="HA46"/>
    </row>
    <row r="47" spans="1:209" ht="15" customHeight="1" x14ac:dyDescent="0.15">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c r="FC47"/>
      <c r="FD47"/>
      <c r="FE47"/>
      <c r="FF47"/>
      <c r="FG47"/>
      <c r="FH47"/>
      <c r="FI47"/>
      <c r="FJ47"/>
      <c r="FK47"/>
      <c r="FL47"/>
      <c r="FM47"/>
      <c r="FN47"/>
      <c r="FO47"/>
      <c r="FP47"/>
      <c r="FQ47"/>
      <c r="FR47"/>
      <c r="FS47"/>
      <c r="FT47"/>
      <c r="FU47"/>
      <c r="FV47"/>
      <c r="FW47"/>
      <c r="FX47"/>
      <c r="FY47"/>
      <c r="FZ47"/>
      <c r="GA47"/>
      <c r="GB47"/>
      <c r="GC47"/>
      <c r="GD47"/>
      <c r="GE47"/>
      <c r="GF47"/>
      <c r="GG47"/>
      <c r="GH47"/>
      <c r="GI47"/>
      <c r="GJ47"/>
      <c r="GK47"/>
      <c r="GL47"/>
      <c r="GM47"/>
      <c r="GN47"/>
      <c r="GO47"/>
      <c r="GP47"/>
      <c r="GQ47"/>
      <c r="GR47"/>
      <c r="GS47"/>
      <c r="GT47"/>
      <c r="GU47"/>
      <c r="GV47"/>
      <c r="GW47"/>
      <c r="GX47"/>
      <c r="GY47"/>
      <c r="GZ47"/>
      <c r="HA47"/>
    </row>
    <row r="48" spans="1:209" ht="15" customHeight="1" x14ac:dyDescent="0.15">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c r="FC48"/>
      <c r="FD48"/>
      <c r="FE48"/>
      <c r="FF48"/>
      <c r="FG48"/>
      <c r="FH48"/>
      <c r="FI48"/>
      <c r="FJ48"/>
      <c r="FK48"/>
      <c r="FL48"/>
      <c r="FM48"/>
      <c r="FN48"/>
      <c r="FO48"/>
      <c r="FP48"/>
      <c r="FQ48"/>
      <c r="FR48"/>
      <c r="FS48"/>
      <c r="FT48"/>
      <c r="FU48"/>
      <c r="FV48"/>
      <c r="FW48"/>
      <c r="FX48"/>
      <c r="FY48"/>
      <c r="FZ48"/>
      <c r="GA48"/>
      <c r="GB48"/>
      <c r="GC48"/>
      <c r="GD48"/>
      <c r="GE48"/>
      <c r="GF48"/>
      <c r="GG48"/>
      <c r="GH48"/>
      <c r="GI48"/>
      <c r="GJ48"/>
      <c r="GK48"/>
      <c r="GL48"/>
      <c r="GM48"/>
      <c r="GN48"/>
      <c r="GO48"/>
      <c r="GP48"/>
      <c r="GQ48"/>
      <c r="GR48"/>
      <c r="GS48"/>
      <c r="GT48"/>
      <c r="GU48"/>
      <c r="GV48"/>
      <c r="GW48"/>
      <c r="GX48"/>
      <c r="GY48"/>
      <c r="GZ48"/>
      <c r="HA48"/>
    </row>
    <row r="49" spans="1:209" ht="15" customHeight="1" x14ac:dyDescent="0.15">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c r="EZ49"/>
      <c r="FA49"/>
      <c r="FB49"/>
      <c r="FC49"/>
      <c r="FD49"/>
      <c r="FE49"/>
      <c r="FF49"/>
      <c r="FG49"/>
      <c r="FH49"/>
      <c r="FI49"/>
      <c r="FJ49"/>
      <c r="FK49"/>
      <c r="FL49"/>
      <c r="FM49"/>
      <c r="FN49"/>
      <c r="FO49"/>
      <c r="FP49"/>
      <c r="FQ49"/>
      <c r="FR49"/>
      <c r="FS49"/>
      <c r="FT49"/>
      <c r="FU49"/>
      <c r="FV49"/>
      <c r="FW49"/>
      <c r="FX49"/>
      <c r="FY49"/>
      <c r="FZ49"/>
      <c r="GA49"/>
      <c r="GB49"/>
      <c r="GC49"/>
      <c r="GD49"/>
      <c r="GE49"/>
      <c r="GF49"/>
      <c r="GG49"/>
      <c r="GH49"/>
      <c r="GI49"/>
      <c r="GJ49"/>
      <c r="GK49"/>
      <c r="GL49"/>
      <c r="GM49"/>
      <c r="GN49"/>
      <c r="GO49"/>
      <c r="GP49"/>
      <c r="GQ49"/>
      <c r="GR49"/>
      <c r="GS49"/>
      <c r="GT49"/>
      <c r="GU49"/>
      <c r="GV49"/>
      <c r="GW49"/>
      <c r="GX49"/>
      <c r="GY49"/>
      <c r="GZ49"/>
      <c r="HA49"/>
    </row>
    <row r="50" spans="1:209" ht="15" customHeight="1" x14ac:dyDescent="0.15">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EW50"/>
      <c r="EX50"/>
      <c r="EY50"/>
      <c r="EZ50"/>
      <c r="FA50"/>
      <c r="FB50"/>
      <c r="FC50"/>
      <c r="FD50"/>
      <c r="FE50"/>
      <c r="FF50"/>
      <c r="FG50"/>
      <c r="FH50"/>
      <c r="FI50"/>
      <c r="FJ50"/>
      <c r="FK50"/>
      <c r="FL50"/>
      <c r="FM50"/>
      <c r="FN50"/>
      <c r="FO50"/>
      <c r="FP50"/>
      <c r="FQ50"/>
      <c r="FR50"/>
      <c r="FS50"/>
      <c r="FT50"/>
      <c r="FU50"/>
      <c r="FV50"/>
      <c r="FW50"/>
      <c r="FX50"/>
      <c r="FY50"/>
      <c r="FZ50"/>
      <c r="GA50"/>
      <c r="GB50"/>
      <c r="GC50"/>
      <c r="GD50"/>
      <c r="GE50"/>
      <c r="GF50"/>
      <c r="GG50"/>
      <c r="GH50"/>
      <c r="GI50"/>
      <c r="GJ50"/>
      <c r="GK50"/>
      <c r="GL50"/>
      <c r="GM50"/>
      <c r="GN50"/>
      <c r="GO50"/>
      <c r="GP50"/>
      <c r="GQ50"/>
      <c r="GR50"/>
      <c r="GS50"/>
      <c r="GT50"/>
      <c r="GU50"/>
      <c r="GV50"/>
      <c r="GW50"/>
      <c r="GX50"/>
      <c r="GY50"/>
      <c r="GZ50"/>
      <c r="HA50"/>
    </row>
    <row r="51" spans="1:209" ht="15" customHeight="1" x14ac:dyDescent="0.15">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EW51"/>
      <c r="EX51"/>
      <c r="EY51"/>
      <c r="EZ51"/>
      <c r="FA51"/>
      <c r="FB51"/>
      <c r="FC51"/>
      <c r="FD51"/>
      <c r="FE51"/>
      <c r="FF51"/>
      <c r="FG51"/>
      <c r="FH51"/>
      <c r="FI51"/>
      <c r="FJ51"/>
      <c r="FK51"/>
      <c r="FL51"/>
      <c r="FM51"/>
      <c r="FN51"/>
      <c r="FO51"/>
      <c r="FP51"/>
      <c r="FQ51"/>
      <c r="FR51"/>
      <c r="FS51"/>
      <c r="FT51"/>
      <c r="FU51"/>
      <c r="FV51"/>
      <c r="FW51"/>
      <c r="FX51"/>
      <c r="FY51"/>
      <c r="FZ51"/>
      <c r="GA51"/>
      <c r="GB51"/>
      <c r="GC51"/>
      <c r="GD51"/>
      <c r="GE51"/>
      <c r="GF51"/>
      <c r="GG51"/>
      <c r="GH51"/>
      <c r="GI51"/>
      <c r="GJ51"/>
      <c r="GK51"/>
      <c r="GL51"/>
      <c r="GM51"/>
      <c r="GN51"/>
      <c r="GO51"/>
      <c r="GP51"/>
      <c r="GQ51"/>
      <c r="GR51"/>
      <c r="GS51"/>
      <c r="GT51"/>
      <c r="GU51"/>
      <c r="GV51"/>
      <c r="GW51"/>
      <c r="GX51"/>
      <c r="GY51"/>
      <c r="GZ51"/>
      <c r="HA51"/>
    </row>
    <row r="52" spans="1:209" ht="15" customHeight="1" x14ac:dyDescent="0.15">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c r="EZ52"/>
      <c r="FA52"/>
      <c r="FB52"/>
      <c r="FC52"/>
      <c r="FD52"/>
      <c r="FE52"/>
      <c r="FF52"/>
      <c r="FG52"/>
      <c r="FH52"/>
      <c r="FI52"/>
      <c r="FJ52"/>
      <c r="FK52"/>
      <c r="FL52"/>
      <c r="FM52"/>
      <c r="FN52"/>
      <c r="FO52"/>
      <c r="FP52"/>
      <c r="FQ52"/>
      <c r="FR52"/>
      <c r="FS52"/>
      <c r="FT52"/>
      <c r="FU52"/>
      <c r="FV52"/>
      <c r="FW52"/>
      <c r="FX52"/>
      <c r="FY52"/>
      <c r="FZ52"/>
      <c r="GA52"/>
      <c r="GB52"/>
      <c r="GC52"/>
      <c r="GD52"/>
      <c r="GE52"/>
      <c r="GF52"/>
      <c r="GG52"/>
      <c r="GH52"/>
      <c r="GI52"/>
      <c r="GJ52"/>
      <c r="GK52"/>
      <c r="GL52"/>
      <c r="GM52"/>
      <c r="GN52"/>
      <c r="GO52"/>
      <c r="GP52"/>
      <c r="GQ52"/>
      <c r="GR52"/>
      <c r="GS52"/>
      <c r="GT52"/>
      <c r="GU52"/>
      <c r="GV52"/>
      <c r="GW52"/>
      <c r="GX52"/>
      <c r="GY52"/>
      <c r="GZ52"/>
      <c r="HA52"/>
    </row>
    <row r="53" spans="1:209" ht="15" customHeight="1" x14ac:dyDescent="0.15">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c r="FC53"/>
      <c r="FD53"/>
      <c r="FE53"/>
      <c r="FF53"/>
      <c r="FG53"/>
      <c r="FH53"/>
      <c r="FI53"/>
      <c r="FJ53"/>
      <c r="FK53"/>
      <c r="FL53"/>
      <c r="FM53"/>
      <c r="FN53"/>
      <c r="FO53"/>
      <c r="FP53"/>
      <c r="FQ53"/>
      <c r="FR53"/>
      <c r="FS53"/>
      <c r="FT53"/>
      <c r="FU53"/>
      <c r="FV53"/>
      <c r="FW53"/>
      <c r="FX53"/>
      <c r="FY53"/>
      <c r="FZ53"/>
      <c r="GA53"/>
      <c r="GB53"/>
      <c r="GC53"/>
      <c r="GD53"/>
      <c r="GE53"/>
      <c r="GF53"/>
      <c r="GG53"/>
      <c r="GH53"/>
      <c r="GI53"/>
      <c r="GJ53"/>
      <c r="GK53"/>
      <c r="GL53"/>
      <c r="GM53"/>
      <c r="GN53"/>
      <c r="GO53"/>
      <c r="GP53"/>
      <c r="GQ53"/>
      <c r="GR53"/>
      <c r="GS53"/>
      <c r="GT53"/>
      <c r="GU53"/>
      <c r="GV53"/>
      <c r="GW53"/>
      <c r="GX53"/>
      <c r="GY53"/>
      <c r="GZ53"/>
      <c r="HA53"/>
    </row>
    <row r="54" spans="1:209" ht="15" customHeight="1" x14ac:dyDescent="0.15">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c r="FD54"/>
      <c r="FE54"/>
      <c r="FF54"/>
      <c r="FG54"/>
      <c r="FH54"/>
      <c r="FI54"/>
      <c r="FJ54"/>
      <c r="FK54"/>
      <c r="FL54"/>
      <c r="FM54"/>
      <c r="FN54"/>
      <c r="FO54"/>
      <c r="FP54"/>
      <c r="FQ54"/>
      <c r="FR54"/>
      <c r="FS54"/>
      <c r="FT54"/>
      <c r="FU54"/>
      <c r="FV54"/>
      <c r="FW54"/>
      <c r="FX54"/>
      <c r="FY54"/>
      <c r="FZ54"/>
      <c r="GA54"/>
      <c r="GB54"/>
      <c r="GC54"/>
      <c r="GD54"/>
      <c r="GE54"/>
      <c r="GF54"/>
      <c r="GG54"/>
      <c r="GH54"/>
      <c r="GI54"/>
      <c r="GJ54"/>
      <c r="GK54"/>
      <c r="GL54"/>
      <c r="GM54"/>
      <c r="GN54"/>
      <c r="GO54"/>
      <c r="GP54"/>
      <c r="GQ54"/>
      <c r="GR54"/>
      <c r="GS54"/>
      <c r="GT54"/>
      <c r="GU54"/>
      <c r="GV54"/>
      <c r="GW54"/>
      <c r="GX54"/>
      <c r="GY54"/>
      <c r="GZ54"/>
      <c r="HA54"/>
    </row>
    <row r="55" spans="1:209" ht="15" customHeight="1" x14ac:dyDescent="0.15">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c r="FC55"/>
      <c r="FD55"/>
      <c r="FE55"/>
      <c r="FF55"/>
      <c r="FG55"/>
      <c r="FH55"/>
      <c r="FI55"/>
      <c r="FJ55"/>
      <c r="FK55"/>
      <c r="FL55"/>
      <c r="FM55"/>
      <c r="FN55"/>
      <c r="FO55"/>
      <c r="FP55"/>
      <c r="FQ55"/>
      <c r="FR55"/>
      <c r="FS55"/>
      <c r="FT55"/>
      <c r="FU55"/>
      <c r="FV55"/>
      <c r="FW55"/>
      <c r="FX55"/>
      <c r="FY55"/>
      <c r="FZ55"/>
      <c r="GA55"/>
      <c r="GB55"/>
      <c r="GC55"/>
      <c r="GD55"/>
      <c r="GE55"/>
      <c r="GF55"/>
      <c r="GG55"/>
      <c r="GH55"/>
      <c r="GI55"/>
      <c r="GJ55"/>
      <c r="GK55"/>
      <c r="GL55"/>
      <c r="GM55"/>
      <c r="GN55"/>
      <c r="GO55"/>
      <c r="GP55"/>
      <c r="GQ55"/>
      <c r="GR55"/>
      <c r="GS55"/>
      <c r="GT55"/>
      <c r="GU55"/>
      <c r="GV55"/>
      <c r="GW55"/>
      <c r="GX55"/>
      <c r="GY55"/>
      <c r="GZ55"/>
      <c r="HA55"/>
    </row>
    <row r="56" spans="1:209" ht="15" customHeight="1" x14ac:dyDescent="0.15">
      <c r="A56"/>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c r="FC56"/>
      <c r="FD56"/>
      <c r="FE56"/>
      <c r="FF56"/>
      <c r="FG56"/>
      <c r="FH56"/>
      <c r="FI56"/>
      <c r="FJ56"/>
      <c r="FK56"/>
      <c r="FL56"/>
      <c r="FM56"/>
      <c r="FN56"/>
      <c r="FO56"/>
      <c r="FP56"/>
      <c r="FQ56"/>
      <c r="FR56"/>
      <c r="FS56"/>
      <c r="FT56"/>
      <c r="FU56"/>
      <c r="FV56"/>
      <c r="FW56"/>
      <c r="FX56"/>
      <c r="FY56"/>
      <c r="FZ56"/>
      <c r="GA56"/>
      <c r="GB56"/>
      <c r="GC56"/>
      <c r="GD56"/>
      <c r="GE56"/>
      <c r="GF56"/>
      <c r="GG56"/>
      <c r="GH56"/>
      <c r="GI56"/>
      <c r="GJ56"/>
      <c r="GK56"/>
      <c r="GL56"/>
      <c r="GM56"/>
      <c r="GN56"/>
      <c r="GO56"/>
      <c r="GP56"/>
      <c r="GQ56"/>
      <c r="GR56"/>
      <c r="GS56"/>
      <c r="GT56"/>
      <c r="GU56"/>
      <c r="GV56"/>
      <c r="GW56"/>
      <c r="GX56"/>
      <c r="GY56"/>
      <c r="GZ56"/>
      <c r="HA56"/>
    </row>
    <row r="57" spans="1:209" ht="15" customHeight="1" x14ac:dyDescent="0.15">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c r="FX57"/>
      <c r="FY57"/>
      <c r="FZ57"/>
      <c r="GA57"/>
      <c r="GB57"/>
      <c r="GC57"/>
      <c r="GD57"/>
      <c r="GE57"/>
      <c r="GF57"/>
      <c r="GG57"/>
      <c r="GH57"/>
      <c r="GI57"/>
      <c r="GJ57"/>
      <c r="GK57"/>
      <c r="GL57"/>
      <c r="GM57"/>
      <c r="GN57"/>
      <c r="GO57"/>
      <c r="GP57"/>
      <c r="GQ57"/>
      <c r="GR57"/>
      <c r="GS57"/>
      <c r="GT57"/>
      <c r="GU57"/>
      <c r="GV57"/>
      <c r="GW57"/>
      <c r="GX57"/>
      <c r="GY57"/>
      <c r="GZ57"/>
      <c r="HA57"/>
    </row>
    <row r="58" spans="1:209" ht="15" customHeight="1" x14ac:dyDescent="0.15">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c r="FH58"/>
      <c r="FI58"/>
      <c r="FJ58"/>
      <c r="FK58"/>
      <c r="FL58"/>
      <c r="FM58"/>
      <c r="FN58"/>
      <c r="FO58"/>
      <c r="FP58"/>
      <c r="FQ58"/>
      <c r="FR58"/>
      <c r="FS58"/>
      <c r="FT58"/>
      <c r="FU58"/>
      <c r="FV58"/>
      <c r="FW58"/>
      <c r="FX58"/>
      <c r="FY58"/>
      <c r="FZ58"/>
      <c r="GA58"/>
      <c r="GB58"/>
      <c r="GC58"/>
      <c r="GD58"/>
      <c r="GE58"/>
      <c r="GF58"/>
      <c r="GG58"/>
      <c r="GH58"/>
      <c r="GI58"/>
      <c r="GJ58"/>
      <c r="GK58"/>
      <c r="GL58"/>
      <c r="GM58"/>
      <c r="GN58"/>
      <c r="GO58"/>
      <c r="GP58"/>
      <c r="GQ58"/>
      <c r="GR58"/>
      <c r="GS58"/>
      <c r="GT58"/>
      <c r="GU58"/>
      <c r="GV58"/>
      <c r="GW58"/>
      <c r="GX58"/>
      <c r="GY58"/>
      <c r="GZ58"/>
      <c r="HA58"/>
    </row>
    <row r="59" spans="1:209" ht="15" customHeight="1" x14ac:dyDescent="0.15">
      <c r="A59"/>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c r="FX59"/>
      <c r="FY59"/>
      <c r="FZ59"/>
      <c r="GA59"/>
      <c r="GB59"/>
      <c r="GC59"/>
      <c r="GD59"/>
      <c r="GE59"/>
      <c r="GF59"/>
      <c r="GG59"/>
      <c r="GH59"/>
      <c r="GI59"/>
      <c r="GJ59"/>
      <c r="GK59"/>
      <c r="GL59"/>
      <c r="GM59"/>
      <c r="GN59"/>
      <c r="GO59"/>
      <c r="GP59"/>
      <c r="GQ59"/>
      <c r="GR59"/>
      <c r="GS59"/>
      <c r="GT59"/>
      <c r="GU59"/>
      <c r="GV59"/>
      <c r="GW59"/>
      <c r="GX59"/>
      <c r="GY59"/>
      <c r="GZ59"/>
      <c r="HA59"/>
    </row>
    <row r="60" spans="1:209" ht="15" customHeight="1" x14ac:dyDescent="0.15">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c r="FX60"/>
      <c r="FY60"/>
      <c r="FZ60"/>
      <c r="GA60"/>
      <c r="GB60"/>
      <c r="GC60"/>
      <c r="GD60"/>
      <c r="GE60"/>
      <c r="GF60"/>
      <c r="GG60"/>
      <c r="GH60"/>
      <c r="GI60"/>
      <c r="GJ60"/>
      <c r="GK60"/>
      <c r="GL60"/>
      <c r="GM60"/>
      <c r="GN60"/>
      <c r="GO60"/>
      <c r="GP60"/>
      <c r="GQ60"/>
      <c r="GR60"/>
      <c r="GS60"/>
      <c r="GT60"/>
      <c r="GU60"/>
      <c r="GV60"/>
      <c r="GW60"/>
      <c r="GX60"/>
      <c r="GY60"/>
      <c r="GZ60"/>
      <c r="HA60"/>
    </row>
    <row r="61" spans="1:209" ht="15" customHeight="1" x14ac:dyDescent="0.15">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c r="FX61"/>
      <c r="FY61"/>
      <c r="FZ61"/>
      <c r="GA61"/>
      <c r="GB61"/>
      <c r="GC61"/>
      <c r="GD61"/>
      <c r="GE61"/>
      <c r="GF61"/>
      <c r="GG61"/>
      <c r="GH61"/>
      <c r="GI61"/>
      <c r="GJ61"/>
      <c r="GK61"/>
      <c r="GL61"/>
      <c r="GM61"/>
      <c r="GN61"/>
      <c r="GO61"/>
      <c r="GP61"/>
      <c r="GQ61"/>
      <c r="GR61"/>
      <c r="GS61"/>
      <c r="GT61"/>
      <c r="GU61"/>
      <c r="GV61"/>
      <c r="GW61"/>
      <c r="GX61"/>
      <c r="GY61"/>
      <c r="GZ61"/>
      <c r="HA61"/>
    </row>
    <row r="62" spans="1:209" ht="15" customHeight="1" x14ac:dyDescent="0.15">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c r="FC62"/>
      <c r="FD62"/>
      <c r="FE62"/>
      <c r="FF62"/>
      <c r="FG62"/>
      <c r="FH62"/>
      <c r="FI62"/>
      <c r="FJ62"/>
      <c r="FK62"/>
      <c r="FL62"/>
      <c r="FM62"/>
      <c r="FN62"/>
      <c r="FO62"/>
      <c r="FP62"/>
      <c r="FQ62"/>
      <c r="FR62"/>
      <c r="FS62"/>
      <c r="FT62"/>
      <c r="FU62"/>
      <c r="FV62"/>
      <c r="FW62"/>
      <c r="FX62"/>
      <c r="FY62"/>
      <c r="FZ62"/>
      <c r="GA62"/>
      <c r="GB62"/>
      <c r="GC62"/>
      <c r="GD62"/>
      <c r="GE62"/>
      <c r="GF62"/>
      <c r="GG62"/>
      <c r="GH62"/>
      <c r="GI62"/>
      <c r="GJ62"/>
      <c r="GK62"/>
      <c r="GL62"/>
      <c r="GM62"/>
      <c r="GN62"/>
      <c r="GO62"/>
      <c r="GP62"/>
      <c r="GQ62"/>
      <c r="GR62"/>
      <c r="GS62"/>
      <c r="GT62"/>
      <c r="GU62"/>
      <c r="GV62"/>
      <c r="GW62"/>
      <c r="GX62"/>
      <c r="GY62"/>
      <c r="GZ62"/>
      <c r="HA62"/>
    </row>
    <row r="63" spans="1:209" ht="15" customHeight="1" x14ac:dyDescent="0.15">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c r="FC63"/>
      <c r="FD63"/>
      <c r="FE63"/>
      <c r="FF63"/>
      <c r="FG63"/>
      <c r="FH63"/>
      <c r="FI63"/>
      <c r="FJ63"/>
      <c r="FK63"/>
      <c r="FL63"/>
      <c r="FM63"/>
      <c r="FN63"/>
      <c r="FO63"/>
      <c r="FP63"/>
      <c r="FQ63"/>
      <c r="FR63"/>
      <c r="FS63"/>
      <c r="FT63"/>
      <c r="FU63"/>
      <c r="FV63"/>
      <c r="FW63"/>
      <c r="FX63"/>
      <c r="FY63"/>
      <c r="FZ63"/>
      <c r="GA63"/>
      <c r="GB63"/>
      <c r="GC63"/>
      <c r="GD63"/>
      <c r="GE63"/>
      <c r="GF63"/>
      <c r="GG63"/>
      <c r="GH63"/>
      <c r="GI63"/>
      <c r="GJ63"/>
      <c r="GK63"/>
      <c r="GL63"/>
      <c r="GM63"/>
      <c r="GN63"/>
      <c r="GO63"/>
      <c r="GP63"/>
      <c r="GQ63"/>
      <c r="GR63"/>
      <c r="GS63"/>
      <c r="GT63"/>
      <c r="GU63"/>
      <c r="GV63"/>
      <c r="GW63"/>
      <c r="GX63"/>
      <c r="GY63"/>
      <c r="GZ63"/>
      <c r="HA63"/>
    </row>
    <row r="64" spans="1:209" ht="15" customHeight="1" x14ac:dyDescent="0.15">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row>
    <row r="65" spans="1:209" ht="15" customHeight="1" x14ac:dyDescent="0.15">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c r="FD65"/>
      <c r="FE65"/>
      <c r="FF65"/>
      <c r="FG65"/>
      <c r="FH65"/>
      <c r="FI65"/>
      <c r="FJ65"/>
      <c r="FK65"/>
      <c r="FL65"/>
      <c r="FM65"/>
      <c r="FN65"/>
      <c r="FO65"/>
      <c r="FP65"/>
      <c r="FQ65"/>
      <c r="FR65"/>
      <c r="FS65"/>
      <c r="FT65"/>
      <c r="FU65"/>
      <c r="FV65"/>
      <c r="FW65"/>
      <c r="FX65"/>
      <c r="FY65"/>
      <c r="FZ65"/>
      <c r="GA65"/>
      <c r="GB65"/>
      <c r="GC65"/>
      <c r="GD65"/>
      <c r="GE65"/>
      <c r="GF65"/>
      <c r="GG65"/>
      <c r="GH65"/>
      <c r="GI65"/>
      <c r="GJ65"/>
      <c r="GK65"/>
      <c r="GL65"/>
      <c r="GM65"/>
      <c r="GN65"/>
      <c r="GO65"/>
      <c r="GP65"/>
      <c r="GQ65"/>
      <c r="GR65"/>
      <c r="GS65"/>
      <c r="GT65"/>
      <c r="GU65"/>
      <c r="GV65"/>
      <c r="GW65"/>
      <c r="GX65"/>
      <c r="GY65"/>
      <c r="GZ65"/>
      <c r="HA65"/>
    </row>
    <row r="66" spans="1:209" ht="15" customHeight="1" x14ac:dyDescent="0.15">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row>
    <row r="67" spans="1:209" ht="15" customHeight="1" x14ac:dyDescent="0.15">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row>
    <row r="68" spans="1:209" ht="15" customHeight="1" x14ac:dyDescent="0.15">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c r="FE68"/>
      <c r="FF68"/>
      <c r="FG68"/>
      <c r="FH68"/>
      <c r="FI68"/>
      <c r="FJ68"/>
      <c r="FK68"/>
      <c r="FL68"/>
      <c r="FM68"/>
      <c r="FN68"/>
      <c r="FO68"/>
      <c r="FP68"/>
      <c r="FQ68"/>
      <c r="FR68"/>
      <c r="FS68"/>
      <c r="FT68"/>
      <c r="FU68"/>
      <c r="FV68"/>
      <c r="FW68"/>
      <c r="FX68"/>
      <c r="FY68"/>
      <c r="FZ68"/>
      <c r="GA68"/>
      <c r="GB68"/>
      <c r="GC68"/>
      <c r="GD68"/>
      <c r="GE68"/>
      <c r="GF68"/>
      <c r="GG68"/>
      <c r="GH68"/>
      <c r="GI68"/>
      <c r="GJ68"/>
      <c r="GK68"/>
      <c r="GL68"/>
      <c r="GM68"/>
      <c r="GN68"/>
      <c r="GO68"/>
      <c r="GP68"/>
      <c r="GQ68"/>
      <c r="GR68"/>
      <c r="GS68"/>
      <c r="GT68"/>
      <c r="GU68"/>
      <c r="GV68"/>
      <c r="GW68"/>
      <c r="GX68"/>
      <c r="GY68"/>
      <c r="GZ68"/>
      <c r="HA68"/>
    </row>
    <row r="69" spans="1:209" ht="15" customHeight="1" x14ac:dyDescent="0.15">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c r="FX69"/>
      <c r="FY69"/>
      <c r="FZ69"/>
      <c r="GA69"/>
      <c r="GB69"/>
      <c r="GC69"/>
      <c r="GD69"/>
      <c r="GE69"/>
      <c r="GF69"/>
      <c r="GG69"/>
      <c r="GH69"/>
      <c r="GI69"/>
      <c r="GJ69"/>
      <c r="GK69"/>
      <c r="GL69"/>
      <c r="GM69"/>
      <c r="GN69"/>
      <c r="GO69"/>
      <c r="GP69"/>
      <c r="GQ69"/>
      <c r="GR69"/>
      <c r="GS69"/>
      <c r="GT69"/>
      <c r="GU69"/>
      <c r="GV69"/>
      <c r="GW69"/>
      <c r="GX69"/>
      <c r="GY69"/>
      <c r="GZ69"/>
      <c r="HA69"/>
    </row>
    <row r="70" spans="1:209" ht="15" customHeight="1" x14ac:dyDescent="0.15">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c r="FX70"/>
      <c r="FY70"/>
      <c r="FZ70"/>
      <c r="GA70"/>
      <c r="GB70"/>
      <c r="GC70"/>
      <c r="GD70"/>
      <c r="GE70"/>
      <c r="GF70"/>
      <c r="GG70"/>
      <c r="GH70"/>
      <c r="GI70"/>
      <c r="GJ70"/>
      <c r="GK70"/>
      <c r="GL70"/>
      <c r="GM70"/>
      <c r="GN70"/>
      <c r="GO70"/>
      <c r="GP70"/>
      <c r="GQ70"/>
      <c r="GR70"/>
      <c r="GS70"/>
      <c r="GT70"/>
      <c r="GU70"/>
      <c r="GV70"/>
      <c r="GW70"/>
      <c r="GX70"/>
      <c r="GY70"/>
      <c r="GZ70"/>
      <c r="HA70"/>
    </row>
    <row r="71" spans="1:209" ht="15" customHeight="1" x14ac:dyDescent="0.15">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c r="GJ71"/>
      <c r="GK71"/>
      <c r="GL71"/>
      <c r="GM71"/>
      <c r="GN71"/>
      <c r="GO71"/>
      <c r="GP71"/>
      <c r="GQ71"/>
      <c r="GR71"/>
      <c r="GS71"/>
      <c r="GT71"/>
      <c r="GU71"/>
      <c r="GV71"/>
      <c r="GW71"/>
      <c r="GX71"/>
      <c r="GY71"/>
      <c r="GZ71"/>
      <c r="HA71"/>
    </row>
    <row r="72" spans="1:209" ht="15" customHeight="1" x14ac:dyDescent="0.15">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c r="FX72"/>
      <c r="FY72"/>
      <c r="FZ72"/>
      <c r="GA72"/>
      <c r="GB72"/>
      <c r="GC72"/>
      <c r="GD72"/>
      <c r="GE72"/>
      <c r="GF72"/>
      <c r="GG72"/>
      <c r="GH72"/>
      <c r="GI72"/>
      <c r="GJ72"/>
      <c r="GK72"/>
      <c r="GL72"/>
      <c r="GM72"/>
      <c r="GN72"/>
      <c r="GO72"/>
      <c r="GP72"/>
      <c r="GQ72"/>
      <c r="GR72"/>
      <c r="GS72"/>
      <c r="GT72"/>
      <c r="GU72"/>
      <c r="GV72"/>
      <c r="GW72"/>
      <c r="GX72"/>
      <c r="GY72"/>
      <c r="GZ72"/>
      <c r="HA72"/>
    </row>
    <row r="73" spans="1:209" ht="15" customHeight="1" x14ac:dyDescent="0.15">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c r="GW73"/>
      <c r="GX73"/>
      <c r="GY73"/>
      <c r="GZ73"/>
      <c r="HA73"/>
    </row>
    <row r="74" spans="1:209" ht="15" customHeight="1" x14ac:dyDescent="0.15">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c r="FX74"/>
      <c r="FY74"/>
      <c r="FZ74"/>
      <c r="GA74"/>
      <c r="GB74"/>
      <c r="GC74"/>
      <c r="GD74"/>
      <c r="GE74"/>
      <c r="GF74"/>
      <c r="GG74"/>
      <c r="GH74"/>
      <c r="GI74"/>
      <c r="GJ74"/>
      <c r="GK74"/>
      <c r="GL74"/>
      <c r="GM74"/>
      <c r="GN74"/>
      <c r="GO74"/>
      <c r="GP74"/>
      <c r="GQ74"/>
      <c r="GR74"/>
      <c r="GS74"/>
      <c r="GT74"/>
      <c r="GU74"/>
      <c r="GV74"/>
      <c r="GW74"/>
      <c r="GX74"/>
      <c r="GY74"/>
      <c r="GZ74"/>
      <c r="HA74"/>
    </row>
    <row r="75" spans="1:209" ht="15" customHeight="1" x14ac:dyDescent="0.15">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c r="GJ75"/>
      <c r="GK75"/>
      <c r="GL75"/>
      <c r="GM75"/>
      <c r="GN75"/>
      <c r="GO75"/>
      <c r="GP75"/>
      <c r="GQ75"/>
      <c r="GR75"/>
      <c r="GS75"/>
      <c r="GT75"/>
      <c r="GU75"/>
      <c r="GV75"/>
      <c r="GW75"/>
      <c r="GX75"/>
      <c r="GY75"/>
      <c r="GZ75"/>
      <c r="HA75"/>
    </row>
    <row r="76" spans="1:209" ht="15" customHeight="1" x14ac:dyDescent="0.1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c r="GJ76"/>
      <c r="GK76"/>
      <c r="GL76"/>
      <c r="GM76"/>
      <c r="GN76"/>
      <c r="GO76"/>
      <c r="GP76"/>
      <c r="GQ76"/>
      <c r="GR76"/>
      <c r="GS76"/>
      <c r="GT76"/>
      <c r="GU76"/>
      <c r="GV76"/>
      <c r="GW76"/>
      <c r="GX76"/>
      <c r="GY76"/>
      <c r="GZ76"/>
      <c r="HA76"/>
    </row>
    <row r="77" spans="1:209" ht="15" customHeight="1" x14ac:dyDescent="0.15">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c r="FX77"/>
      <c r="FY77"/>
      <c r="FZ77"/>
      <c r="GA77"/>
      <c r="GB77"/>
      <c r="GC77"/>
      <c r="GD77"/>
      <c r="GE77"/>
      <c r="GF77"/>
      <c r="GG77"/>
      <c r="GH77"/>
      <c r="GI77"/>
      <c r="GJ77"/>
      <c r="GK77"/>
      <c r="GL77"/>
      <c r="GM77"/>
      <c r="GN77"/>
      <c r="GO77"/>
      <c r="GP77"/>
      <c r="GQ77"/>
      <c r="GR77"/>
      <c r="GS77"/>
      <c r="GT77"/>
      <c r="GU77"/>
      <c r="GV77"/>
      <c r="GW77"/>
      <c r="GX77"/>
      <c r="GY77"/>
      <c r="GZ77"/>
      <c r="HA77"/>
    </row>
    <row r="78" spans="1:209" ht="15" customHeight="1" x14ac:dyDescent="0.15">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c r="FX78"/>
      <c r="FY78"/>
      <c r="FZ78"/>
      <c r="GA78"/>
      <c r="GB78"/>
      <c r="GC78"/>
      <c r="GD78"/>
      <c r="GE78"/>
      <c r="GF78"/>
      <c r="GG78"/>
      <c r="GH78"/>
      <c r="GI78"/>
      <c r="GJ78"/>
      <c r="GK78"/>
      <c r="GL78"/>
      <c r="GM78"/>
      <c r="GN78"/>
      <c r="GO78"/>
      <c r="GP78"/>
      <c r="GQ78"/>
      <c r="GR78"/>
      <c r="GS78"/>
      <c r="GT78"/>
      <c r="GU78"/>
      <c r="GV78"/>
      <c r="GW78"/>
      <c r="GX78"/>
      <c r="GY78"/>
      <c r="GZ78"/>
      <c r="HA78"/>
    </row>
    <row r="79" spans="1:209" ht="15" customHeight="1" x14ac:dyDescent="0.15">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c r="FX79"/>
      <c r="FY79"/>
      <c r="FZ79"/>
      <c r="GA79"/>
      <c r="GB79"/>
      <c r="GC79"/>
      <c r="GD79"/>
      <c r="GE79"/>
      <c r="GF79"/>
      <c r="GG79"/>
      <c r="GH79"/>
      <c r="GI79"/>
      <c r="GJ79"/>
      <c r="GK79"/>
      <c r="GL79"/>
      <c r="GM79"/>
      <c r="GN79"/>
      <c r="GO79"/>
      <c r="GP79"/>
      <c r="GQ79"/>
      <c r="GR79"/>
      <c r="GS79"/>
      <c r="GT79"/>
      <c r="GU79"/>
      <c r="GV79"/>
      <c r="GW79"/>
      <c r="GX79"/>
      <c r="GY79"/>
      <c r="GZ79"/>
      <c r="HA79"/>
    </row>
    <row r="80" spans="1:209" ht="15" customHeight="1" x14ac:dyDescent="0.15">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c r="FC80"/>
      <c r="FD80"/>
      <c r="FE80"/>
      <c r="FF80"/>
      <c r="FG80"/>
      <c r="FH80"/>
      <c r="FI80"/>
      <c r="FJ80"/>
      <c r="FK80"/>
      <c r="FL80"/>
      <c r="FM80"/>
      <c r="FN80"/>
      <c r="FO80"/>
      <c r="FP80"/>
      <c r="FQ80"/>
      <c r="FR80"/>
      <c r="FS80"/>
      <c r="FT80"/>
      <c r="FU80"/>
      <c r="FV80"/>
      <c r="FW80"/>
      <c r="FX80"/>
      <c r="FY80"/>
      <c r="FZ80"/>
      <c r="GA80"/>
      <c r="GB80"/>
      <c r="GC80"/>
      <c r="GD80"/>
      <c r="GE80"/>
      <c r="GF80"/>
      <c r="GG80"/>
      <c r="GH80"/>
      <c r="GI80"/>
      <c r="GJ80"/>
      <c r="GK80"/>
      <c r="GL80"/>
      <c r="GM80"/>
      <c r="GN80"/>
      <c r="GO80"/>
      <c r="GP80"/>
      <c r="GQ80"/>
      <c r="GR80"/>
      <c r="GS80"/>
      <c r="GT80"/>
      <c r="GU80"/>
      <c r="GV80"/>
      <c r="GW80"/>
      <c r="GX80"/>
      <c r="GY80"/>
      <c r="GZ80"/>
      <c r="HA80"/>
    </row>
    <row r="81" spans="1:209" ht="15" customHeight="1" x14ac:dyDescent="0.15">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c r="FC81"/>
      <c r="FD81"/>
      <c r="FE81"/>
      <c r="FF81"/>
      <c r="FG81"/>
      <c r="FH81"/>
      <c r="FI81"/>
      <c r="FJ81"/>
      <c r="FK81"/>
      <c r="FL81"/>
      <c r="FM81"/>
      <c r="FN81"/>
      <c r="FO81"/>
      <c r="FP81"/>
      <c r="FQ81"/>
      <c r="FR81"/>
      <c r="FS81"/>
      <c r="FT81"/>
      <c r="FU81"/>
      <c r="FV81"/>
      <c r="FW81"/>
      <c r="FX81"/>
      <c r="FY81"/>
      <c r="FZ81"/>
      <c r="GA81"/>
      <c r="GB81"/>
      <c r="GC81"/>
      <c r="GD81"/>
      <c r="GE81"/>
      <c r="GF81"/>
      <c r="GG81"/>
      <c r="GH81"/>
      <c r="GI81"/>
      <c r="GJ81"/>
      <c r="GK81"/>
      <c r="GL81"/>
      <c r="GM81"/>
      <c r="GN81"/>
      <c r="GO81"/>
      <c r="GP81"/>
      <c r="GQ81"/>
      <c r="GR81"/>
      <c r="GS81"/>
      <c r="GT81"/>
      <c r="GU81"/>
      <c r="GV81"/>
      <c r="GW81"/>
      <c r="GX81"/>
      <c r="GY81"/>
      <c r="GZ81"/>
      <c r="HA81"/>
    </row>
    <row r="82" spans="1:209" ht="15" customHeight="1" x14ac:dyDescent="0.15">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c r="FC82"/>
      <c r="FD82"/>
      <c r="FE82"/>
      <c r="FF82"/>
      <c r="FG82"/>
      <c r="FH82"/>
      <c r="FI82"/>
      <c r="FJ82"/>
      <c r="FK82"/>
      <c r="FL82"/>
      <c r="FM82"/>
      <c r="FN82"/>
      <c r="FO82"/>
      <c r="FP82"/>
      <c r="FQ82"/>
      <c r="FR82"/>
      <c r="FS82"/>
      <c r="FT82"/>
      <c r="FU82"/>
      <c r="FV82"/>
      <c r="FW82"/>
      <c r="FX82"/>
      <c r="FY82"/>
      <c r="FZ82"/>
      <c r="GA82"/>
      <c r="GB82"/>
      <c r="GC82"/>
      <c r="GD82"/>
      <c r="GE82"/>
      <c r="GF82"/>
      <c r="GG82"/>
      <c r="GH82"/>
      <c r="GI82"/>
      <c r="GJ82"/>
      <c r="GK82"/>
      <c r="GL82"/>
      <c r="GM82"/>
      <c r="GN82"/>
      <c r="GO82"/>
      <c r="GP82"/>
      <c r="GQ82"/>
      <c r="GR82"/>
      <c r="GS82"/>
      <c r="GT82"/>
      <c r="GU82"/>
      <c r="GV82"/>
      <c r="GW82"/>
      <c r="GX82"/>
      <c r="GY82"/>
      <c r="GZ82"/>
      <c r="HA82"/>
    </row>
    <row r="83" spans="1:209" ht="15" customHeight="1" x14ac:dyDescent="0.15">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c r="EZ83"/>
      <c r="FA83"/>
      <c r="FB83"/>
      <c r="FC83"/>
      <c r="FD83"/>
      <c r="FE83"/>
      <c r="FF83"/>
      <c r="FG83"/>
      <c r="FH83"/>
      <c r="FI83"/>
      <c r="FJ83"/>
      <c r="FK83"/>
      <c r="FL83"/>
      <c r="FM83"/>
      <c r="FN83"/>
      <c r="FO83"/>
      <c r="FP83"/>
      <c r="FQ83"/>
      <c r="FR83"/>
      <c r="FS83"/>
      <c r="FT83"/>
      <c r="FU83"/>
      <c r="FV83"/>
      <c r="FW83"/>
      <c r="FX83"/>
      <c r="FY83"/>
      <c r="FZ83"/>
      <c r="GA83"/>
      <c r="GB83"/>
      <c r="GC83"/>
      <c r="GD83"/>
      <c r="GE83"/>
      <c r="GF83"/>
      <c r="GG83"/>
      <c r="GH83"/>
      <c r="GI83"/>
      <c r="GJ83"/>
      <c r="GK83"/>
      <c r="GL83"/>
      <c r="GM83"/>
      <c r="GN83"/>
      <c r="GO83"/>
      <c r="GP83"/>
      <c r="GQ83"/>
      <c r="GR83"/>
      <c r="GS83"/>
      <c r="GT83"/>
      <c r="GU83"/>
      <c r="GV83"/>
      <c r="GW83"/>
      <c r="GX83"/>
      <c r="GY83"/>
      <c r="GZ83"/>
      <c r="HA83"/>
    </row>
    <row r="84" spans="1:209" ht="15" customHeight="1" x14ac:dyDescent="0.15">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c r="FC84"/>
      <c r="FD84"/>
      <c r="FE84"/>
      <c r="FF84"/>
      <c r="FG84"/>
      <c r="FH84"/>
      <c r="FI84"/>
      <c r="FJ84"/>
      <c r="FK84"/>
      <c r="FL84"/>
      <c r="FM84"/>
      <c r="FN84"/>
      <c r="FO84"/>
      <c r="FP84"/>
      <c r="FQ84"/>
      <c r="FR84"/>
      <c r="FS84"/>
      <c r="FT84"/>
      <c r="FU84"/>
      <c r="FV84"/>
      <c r="FW84"/>
      <c r="FX84"/>
      <c r="FY84"/>
      <c r="FZ84"/>
      <c r="GA84"/>
      <c r="GB84"/>
      <c r="GC84"/>
      <c r="GD84"/>
      <c r="GE84"/>
      <c r="GF84"/>
      <c r="GG84"/>
      <c r="GH84"/>
      <c r="GI84"/>
      <c r="GJ84"/>
      <c r="GK84"/>
      <c r="GL84"/>
      <c r="GM84"/>
      <c r="GN84"/>
      <c r="GO84"/>
      <c r="GP84"/>
      <c r="GQ84"/>
      <c r="GR84"/>
      <c r="GS84"/>
      <c r="GT84"/>
      <c r="GU84"/>
      <c r="GV84"/>
      <c r="GW84"/>
      <c r="GX84"/>
      <c r="GY84"/>
      <c r="GZ84"/>
      <c r="HA84"/>
    </row>
    <row r="85" spans="1:209" ht="15" customHeight="1" x14ac:dyDescent="0.15">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c r="EZ85"/>
      <c r="FA85"/>
      <c r="FB85"/>
      <c r="FC85"/>
      <c r="FD85"/>
      <c r="FE85"/>
      <c r="FF85"/>
      <c r="FG85"/>
      <c r="FH85"/>
      <c r="FI85"/>
      <c r="FJ85"/>
      <c r="FK85"/>
      <c r="FL85"/>
      <c r="FM85"/>
      <c r="FN85"/>
      <c r="FO85"/>
      <c r="FP85"/>
      <c r="FQ85"/>
      <c r="FR85"/>
      <c r="FS85"/>
      <c r="FT85"/>
      <c r="FU85"/>
      <c r="FV85"/>
      <c r="FW85"/>
      <c r="FX85"/>
      <c r="FY85"/>
      <c r="FZ85"/>
      <c r="GA85"/>
      <c r="GB85"/>
      <c r="GC85"/>
      <c r="GD85"/>
      <c r="GE85"/>
      <c r="GF85"/>
      <c r="GG85"/>
      <c r="GH85"/>
      <c r="GI85"/>
      <c r="GJ85"/>
      <c r="GK85"/>
      <c r="GL85"/>
      <c r="GM85"/>
      <c r="GN85"/>
      <c r="GO85"/>
      <c r="GP85"/>
      <c r="GQ85"/>
      <c r="GR85"/>
      <c r="GS85"/>
      <c r="GT85"/>
      <c r="GU85"/>
      <c r="GV85"/>
      <c r="GW85"/>
      <c r="GX85"/>
      <c r="GY85"/>
      <c r="GZ85"/>
      <c r="HA85"/>
    </row>
    <row r="86" spans="1:209" ht="15" customHeight="1" x14ac:dyDescent="0.15">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c r="FC86"/>
      <c r="FD86"/>
      <c r="FE86"/>
      <c r="FF86"/>
      <c r="FG86"/>
      <c r="FH86"/>
      <c r="FI86"/>
      <c r="FJ86"/>
      <c r="FK86"/>
      <c r="FL86"/>
      <c r="FM86"/>
      <c r="FN86"/>
      <c r="FO86"/>
      <c r="FP86"/>
      <c r="FQ86"/>
      <c r="FR86"/>
      <c r="FS86"/>
      <c r="FT86"/>
      <c r="FU86"/>
      <c r="FV86"/>
      <c r="FW86"/>
      <c r="FX86"/>
      <c r="FY86"/>
      <c r="FZ86"/>
      <c r="GA86"/>
      <c r="GB86"/>
      <c r="GC86"/>
      <c r="GD86"/>
      <c r="GE86"/>
      <c r="GF86"/>
      <c r="GG86"/>
      <c r="GH86"/>
      <c r="GI86"/>
      <c r="GJ86"/>
      <c r="GK86"/>
      <c r="GL86"/>
      <c r="GM86"/>
      <c r="GN86"/>
      <c r="GO86"/>
      <c r="GP86"/>
      <c r="GQ86"/>
      <c r="GR86"/>
      <c r="GS86"/>
      <c r="GT86"/>
      <c r="GU86"/>
      <c r="GV86"/>
      <c r="GW86"/>
      <c r="GX86"/>
      <c r="GY86"/>
      <c r="GZ86"/>
      <c r="HA86"/>
    </row>
    <row r="87" spans="1:209" ht="15" customHeight="1" x14ac:dyDescent="0.1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c r="EZ87"/>
      <c r="FA87"/>
      <c r="FB87"/>
      <c r="FC87"/>
      <c r="FD87"/>
      <c r="FE87"/>
      <c r="FF87"/>
      <c r="FG87"/>
      <c r="FH87"/>
      <c r="FI87"/>
      <c r="FJ87"/>
      <c r="FK87"/>
      <c r="FL87"/>
      <c r="FM87"/>
      <c r="FN87"/>
      <c r="FO87"/>
      <c r="FP87"/>
      <c r="FQ87"/>
      <c r="FR87"/>
      <c r="FS87"/>
      <c r="FT87"/>
      <c r="FU87"/>
      <c r="FV87"/>
      <c r="FW87"/>
      <c r="FX87"/>
      <c r="FY87"/>
      <c r="FZ87"/>
      <c r="GA87"/>
      <c r="GB87"/>
      <c r="GC87"/>
      <c r="GD87"/>
      <c r="GE87"/>
      <c r="GF87"/>
      <c r="GG87"/>
      <c r="GH87"/>
      <c r="GI87"/>
      <c r="GJ87"/>
      <c r="GK87"/>
      <c r="GL87"/>
      <c r="GM87"/>
      <c r="GN87"/>
      <c r="GO87"/>
      <c r="GP87"/>
      <c r="GQ87"/>
      <c r="GR87"/>
      <c r="GS87"/>
      <c r="GT87"/>
      <c r="GU87"/>
      <c r="GV87"/>
      <c r="GW87"/>
      <c r="GX87"/>
      <c r="GY87"/>
      <c r="GZ87"/>
      <c r="HA87"/>
    </row>
    <row r="88" spans="1:209" ht="15" customHeight="1" x14ac:dyDescent="0.1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c r="FC88"/>
      <c r="FD88"/>
      <c r="FE88"/>
      <c r="FF88"/>
      <c r="FG88"/>
      <c r="FH88"/>
      <c r="FI88"/>
      <c r="FJ88"/>
      <c r="FK88"/>
      <c r="FL88"/>
      <c r="FM88"/>
      <c r="FN88"/>
      <c r="FO88"/>
      <c r="FP88"/>
      <c r="FQ88"/>
      <c r="FR88"/>
      <c r="FS88"/>
      <c r="FT88"/>
      <c r="FU88"/>
      <c r="FV88"/>
      <c r="FW88"/>
      <c r="FX88"/>
      <c r="FY88"/>
      <c r="FZ88"/>
      <c r="GA88"/>
      <c r="GB88"/>
      <c r="GC88"/>
      <c r="GD88"/>
      <c r="GE88"/>
      <c r="GF88"/>
      <c r="GG88"/>
      <c r="GH88"/>
      <c r="GI88"/>
      <c r="GJ88"/>
      <c r="GK88"/>
      <c r="GL88"/>
      <c r="GM88"/>
      <c r="GN88"/>
      <c r="GO88"/>
      <c r="GP88"/>
      <c r="GQ88"/>
      <c r="GR88"/>
      <c r="GS88"/>
      <c r="GT88"/>
      <c r="GU88"/>
      <c r="GV88"/>
      <c r="GW88"/>
      <c r="GX88"/>
      <c r="GY88"/>
      <c r="GZ88"/>
      <c r="HA88"/>
    </row>
    <row r="89" spans="1:209" ht="15" customHeight="1" x14ac:dyDescent="0.1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c r="GJ89"/>
      <c r="GK89"/>
      <c r="GL89"/>
      <c r="GM89"/>
      <c r="GN89"/>
      <c r="GO89"/>
      <c r="GP89"/>
      <c r="GQ89"/>
      <c r="GR89"/>
      <c r="GS89"/>
      <c r="GT89"/>
      <c r="GU89"/>
      <c r="GV89"/>
      <c r="GW89"/>
      <c r="GX89"/>
      <c r="GY89"/>
      <c r="GZ89"/>
      <c r="HA89"/>
    </row>
    <row r="90" spans="1:209" ht="15" customHeight="1" x14ac:dyDescent="0.1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c r="FC90"/>
      <c r="FD90"/>
      <c r="FE90"/>
      <c r="FF90"/>
      <c r="FG90"/>
      <c r="FH90"/>
      <c r="FI90"/>
      <c r="FJ90"/>
      <c r="FK90"/>
      <c r="FL90"/>
      <c r="FM90"/>
      <c r="FN90"/>
      <c r="FO90"/>
      <c r="FP90"/>
      <c r="FQ90"/>
      <c r="FR90"/>
      <c r="FS90"/>
      <c r="FT90"/>
      <c r="FU90"/>
      <c r="FV90"/>
      <c r="FW90"/>
      <c r="FX90"/>
      <c r="FY90"/>
      <c r="FZ90"/>
      <c r="GA90"/>
      <c r="GB90"/>
      <c r="GC90"/>
      <c r="GD90"/>
      <c r="GE90"/>
      <c r="GF90"/>
      <c r="GG90"/>
      <c r="GH90"/>
      <c r="GI90"/>
      <c r="GJ90"/>
      <c r="GK90"/>
      <c r="GL90"/>
      <c r="GM90"/>
      <c r="GN90"/>
      <c r="GO90"/>
      <c r="GP90"/>
      <c r="GQ90"/>
      <c r="GR90"/>
      <c r="GS90"/>
      <c r="GT90"/>
      <c r="GU90"/>
      <c r="GV90"/>
      <c r="GW90"/>
      <c r="GX90"/>
      <c r="GY90"/>
      <c r="GZ90"/>
      <c r="HA90"/>
    </row>
    <row r="91" spans="1:209" ht="15" customHeight="1" x14ac:dyDescent="0.1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c r="FC91"/>
      <c r="FD91"/>
      <c r="FE91"/>
      <c r="FF91"/>
      <c r="FG91"/>
      <c r="FH91"/>
      <c r="FI91"/>
      <c r="FJ91"/>
      <c r="FK91"/>
      <c r="FL91"/>
      <c r="FM91"/>
      <c r="FN91"/>
      <c r="FO91"/>
      <c r="FP91"/>
      <c r="FQ91"/>
      <c r="FR91"/>
      <c r="FS91"/>
      <c r="FT91"/>
      <c r="FU91"/>
      <c r="FV91"/>
      <c r="FW91"/>
      <c r="FX91"/>
      <c r="FY91"/>
      <c r="FZ91"/>
      <c r="GA91"/>
      <c r="GB91"/>
      <c r="GC91"/>
      <c r="GD91"/>
      <c r="GE91"/>
      <c r="GF91"/>
      <c r="GG91"/>
      <c r="GH91"/>
      <c r="GI91"/>
      <c r="GJ91"/>
      <c r="GK91"/>
      <c r="GL91"/>
      <c r="GM91"/>
      <c r="GN91"/>
      <c r="GO91"/>
      <c r="GP91"/>
      <c r="GQ91"/>
      <c r="GR91"/>
      <c r="GS91"/>
      <c r="GT91"/>
      <c r="GU91"/>
      <c r="GV91"/>
      <c r="GW91"/>
      <c r="GX91"/>
      <c r="GY91"/>
      <c r="GZ91"/>
      <c r="HA91"/>
    </row>
    <row r="92" spans="1:209" ht="15" customHeight="1" x14ac:dyDescent="0.1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c r="FC92"/>
      <c r="FD92"/>
      <c r="FE92"/>
      <c r="FF92"/>
      <c r="FG92"/>
      <c r="FH92"/>
      <c r="FI92"/>
      <c r="FJ92"/>
      <c r="FK92"/>
      <c r="FL92"/>
      <c r="FM92"/>
      <c r="FN92"/>
      <c r="FO92"/>
      <c r="FP92"/>
      <c r="FQ92"/>
      <c r="FR92"/>
      <c r="FS92"/>
      <c r="FT92"/>
      <c r="FU92"/>
      <c r="FV92"/>
      <c r="FW92"/>
      <c r="FX92"/>
      <c r="FY92"/>
      <c r="FZ92"/>
      <c r="GA92"/>
      <c r="GB92"/>
      <c r="GC92"/>
      <c r="GD92"/>
      <c r="GE92"/>
      <c r="GF92"/>
      <c r="GG92"/>
      <c r="GH92"/>
      <c r="GI92"/>
      <c r="GJ92"/>
      <c r="GK92"/>
      <c r="GL92"/>
      <c r="GM92"/>
      <c r="GN92"/>
      <c r="GO92"/>
      <c r="GP92"/>
      <c r="GQ92"/>
      <c r="GR92"/>
      <c r="GS92"/>
      <c r="GT92"/>
      <c r="GU92"/>
      <c r="GV92"/>
      <c r="GW92"/>
      <c r="GX92"/>
      <c r="GY92"/>
      <c r="GZ92"/>
      <c r="HA92"/>
    </row>
    <row r="93" spans="1:209" ht="15" customHeight="1" x14ac:dyDescent="0.1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c r="FC93"/>
      <c r="FD93"/>
      <c r="FE93"/>
      <c r="FF93"/>
      <c r="FG93"/>
      <c r="FH93"/>
      <c r="FI93"/>
      <c r="FJ93"/>
      <c r="FK93"/>
      <c r="FL93"/>
      <c r="FM93"/>
      <c r="FN93"/>
      <c r="FO93"/>
      <c r="FP93"/>
      <c r="FQ93"/>
      <c r="FR93"/>
      <c r="FS93"/>
      <c r="FT93"/>
      <c r="FU93"/>
      <c r="FV93"/>
      <c r="FW93"/>
      <c r="FX93"/>
      <c r="FY93"/>
      <c r="FZ93"/>
      <c r="GA93"/>
      <c r="GB93"/>
      <c r="GC93"/>
      <c r="GD93"/>
      <c r="GE93"/>
      <c r="GF93"/>
      <c r="GG93"/>
      <c r="GH93"/>
      <c r="GI93"/>
      <c r="GJ93"/>
      <c r="GK93"/>
      <c r="GL93"/>
      <c r="GM93"/>
      <c r="GN93"/>
      <c r="GO93"/>
      <c r="GP93"/>
      <c r="GQ93"/>
      <c r="GR93"/>
      <c r="GS93"/>
      <c r="GT93"/>
      <c r="GU93"/>
      <c r="GV93"/>
      <c r="GW93"/>
      <c r="GX93"/>
      <c r="GY93"/>
      <c r="GZ93"/>
      <c r="HA93"/>
    </row>
    <row r="94" spans="1:209" ht="15" customHeight="1" x14ac:dyDescent="0.1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c r="FC94"/>
      <c r="FD94"/>
      <c r="FE94"/>
      <c r="FF94"/>
      <c r="FG94"/>
      <c r="FH94"/>
      <c r="FI94"/>
      <c r="FJ94"/>
      <c r="FK94"/>
      <c r="FL94"/>
      <c r="FM94"/>
      <c r="FN94"/>
      <c r="FO94"/>
      <c r="FP94"/>
      <c r="FQ94"/>
      <c r="FR94"/>
      <c r="FS94"/>
      <c r="FT94"/>
      <c r="FU94"/>
      <c r="FV94"/>
      <c r="FW94"/>
      <c r="FX94"/>
      <c r="FY94"/>
      <c r="FZ94"/>
      <c r="GA94"/>
      <c r="GB94"/>
      <c r="GC94"/>
      <c r="GD94"/>
      <c r="GE94"/>
      <c r="GF94"/>
      <c r="GG94"/>
      <c r="GH94"/>
      <c r="GI94"/>
      <c r="GJ94"/>
      <c r="GK94"/>
      <c r="GL94"/>
      <c r="GM94"/>
      <c r="GN94"/>
      <c r="GO94"/>
      <c r="GP94"/>
      <c r="GQ94"/>
      <c r="GR94"/>
      <c r="GS94"/>
      <c r="GT94"/>
      <c r="GU94"/>
      <c r="GV94"/>
      <c r="GW94"/>
      <c r="GX94"/>
      <c r="GY94"/>
      <c r="GZ94"/>
      <c r="HA94"/>
    </row>
    <row r="95" spans="1:209" ht="15" customHeight="1" x14ac:dyDescent="0.1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c r="FC95"/>
      <c r="FD95"/>
      <c r="FE95"/>
      <c r="FF95"/>
      <c r="FG95"/>
      <c r="FH95"/>
      <c r="FI95"/>
      <c r="FJ95"/>
      <c r="FK95"/>
      <c r="FL95"/>
      <c r="FM95"/>
      <c r="FN95"/>
      <c r="FO95"/>
      <c r="FP95"/>
      <c r="FQ95"/>
      <c r="FR95"/>
      <c r="FS95"/>
      <c r="FT95"/>
      <c r="FU95"/>
      <c r="FV95"/>
      <c r="FW95"/>
      <c r="FX95"/>
      <c r="FY95"/>
      <c r="FZ95"/>
      <c r="GA95"/>
      <c r="GB95"/>
      <c r="GC95"/>
      <c r="GD95"/>
      <c r="GE95"/>
      <c r="GF95"/>
      <c r="GG95"/>
      <c r="GH95"/>
      <c r="GI95"/>
      <c r="GJ95"/>
      <c r="GK95"/>
      <c r="GL95"/>
      <c r="GM95"/>
      <c r="GN95"/>
      <c r="GO95"/>
      <c r="GP95"/>
      <c r="GQ95"/>
      <c r="GR95"/>
      <c r="GS95"/>
      <c r="GT95"/>
      <c r="GU95"/>
      <c r="GV95"/>
      <c r="GW95"/>
      <c r="GX95"/>
      <c r="GY95"/>
      <c r="GZ95"/>
      <c r="HA95"/>
    </row>
    <row r="96" spans="1:209" ht="15" customHeight="1" x14ac:dyDescent="0.1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c r="FD96"/>
      <c r="FE96"/>
      <c r="FF96"/>
      <c r="FG96"/>
      <c r="FH96"/>
      <c r="FI96"/>
      <c r="FJ96"/>
      <c r="FK96"/>
      <c r="FL96"/>
      <c r="FM96"/>
      <c r="FN96"/>
      <c r="FO96"/>
      <c r="FP96"/>
      <c r="FQ96"/>
      <c r="FR96"/>
      <c r="FS96"/>
      <c r="FT96"/>
      <c r="FU96"/>
      <c r="FV96"/>
      <c r="FW96"/>
      <c r="FX96"/>
      <c r="FY96"/>
      <c r="FZ96"/>
      <c r="GA96"/>
      <c r="GB96"/>
      <c r="GC96"/>
      <c r="GD96"/>
      <c r="GE96"/>
      <c r="GF96"/>
      <c r="GG96"/>
      <c r="GH96"/>
      <c r="GI96"/>
      <c r="GJ96"/>
      <c r="GK96"/>
      <c r="GL96"/>
      <c r="GM96"/>
      <c r="GN96"/>
      <c r="GO96"/>
      <c r="GP96"/>
      <c r="GQ96"/>
      <c r="GR96"/>
      <c r="GS96"/>
      <c r="GT96"/>
      <c r="GU96"/>
      <c r="GV96"/>
      <c r="GW96"/>
      <c r="GX96"/>
      <c r="GY96"/>
      <c r="GZ96"/>
      <c r="HA96"/>
    </row>
    <row r="97" spans="1:209" ht="15" customHeight="1" x14ac:dyDescent="0.1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c r="FN97"/>
      <c r="FO97"/>
      <c r="FP97"/>
      <c r="FQ97"/>
      <c r="FR97"/>
      <c r="FS97"/>
      <c r="FT97"/>
      <c r="FU97"/>
      <c r="FV97"/>
      <c r="FW97"/>
      <c r="FX97"/>
      <c r="FY97"/>
      <c r="FZ97"/>
      <c r="GA97"/>
      <c r="GB97"/>
      <c r="GC97"/>
      <c r="GD97"/>
      <c r="GE97"/>
      <c r="GF97"/>
      <c r="GG97"/>
      <c r="GH97"/>
      <c r="GI97"/>
      <c r="GJ97"/>
      <c r="GK97"/>
      <c r="GL97"/>
      <c r="GM97"/>
      <c r="GN97"/>
      <c r="GO97"/>
      <c r="GP97"/>
      <c r="GQ97"/>
      <c r="GR97"/>
      <c r="GS97"/>
      <c r="GT97"/>
      <c r="GU97"/>
      <c r="GV97"/>
      <c r="GW97"/>
      <c r="GX97"/>
      <c r="GY97"/>
      <c r="GZ97"/>
      <c r="HA97"/>
    </row>
    <row r="98" spans="1:209" ht="15" customHeight="1" x14ac:dyDescent="0.1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c r="FC98"/>
      <c r="FD98"/>
      <c r="FE98"/>
      <c r="FF98"/>
      <c r="FG98"/>
      <c r="FH98"/>
      <c r="FI98"/>
      <c r="FJ98"/>
      <c r="FK98"/>
      <c r="FL98"/>
      <c r="FM98"/>
      <c r="FN98"/>
      <c r="FO98"/>
      <c r="FP98"/>
      <c r="FQ98"/>
      <c r="FR98"/>
      <c r="FS98"/>
      <c r="FT98"/>
      <c r="FU98"/>
      <c r="FV98"/>
      <c r="FW98"/>
      <c r="FX98"/>
      <c r="FY98"/>
      <c r="FZ98"/>
      <c r="GA98"/>
      <c r="GB98"/>
      <c r="GC98"/>
      <c r="GD98"/>
      <c r="GE98"/>
      <c r="GF98"/>
      <c r="GG98"/>
      <c r="GH98"/>
      <c r="GI98"/>
      <c r="GJ98"/>
      <c r="GK98"/>
      <c r="GL98"/>
      <c r="GM98"/>
      <c r="GN98"/>
      <c r="GO98"/>
      <c r="GP98"/>
      <c r="GQ98"/>
      <c r="GR98"/>
      <c r="GS98"/>
      <c r="GT98"/>
      <c r="GU98"/>
      <c r="GV98"/>
      <c r="GW98"/>
      <c r="GX98"/>
      <c r="GY98"/>
      <c r="GZ98"/>
      <c r="HA98"/>
    </row>
    <row r="99" spans="1:209" ht="15" customHeight="1" x14ac:dyDescent="0.1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c r="FQ99"/>
      <c r="FR99"/>
      <c r="FS99"/>
      <c r="FT99"/>
      <c r="FU99"/>
      <c r="FV99"/>
      <c r="FW99"/>
      <c r="FX99"/>
      <c r="FY99"/>
      <c r="FZ99"/>
      <c r="GA99"/>
      <c r="GB99"/>
      <c r="GC99"/>
      <c r="GD99"/>
      <c r="GE99"/>
      <c r="GF99"/>
      <c r="GG99"/>
      <c r="GH99"/>
      <c r="GI99"/>
      <c r="GJ99"/>
      <c r="GK99"/>
      <c r="GL99"/>
      <c r="GM99"/>
      <c r="GN99"/>
      <c r="GO99"/>
      <c r="GP99"/>
      <c r="GQ99"/>
      <c r="GR99"/>
      <c r="GS99"/>
      <c r="GT99"/>
      <c r="GU99"/>
      <c r="GV99"/>
      <c r="GW99"/>
      <c r="GX99"/>
      <c r="GY99"/>
      <c r="GZ99"/>
      <c r="HA99"/>
    </row>
    <row r="100" spans="1:209" ht="15" customHeight="1" x14ac:dyDescent="0.1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c r="FQ100"/>
      <c r="FR100"/>
      <c r="FS100"/>
      <c r="FT100"/>
      <c r="FU100"/>
      <c r="FV100"/>
      <c r="FW100"/>
      <c r="FX100"/>
      <c r="FY100"/>
      <c r="FZ100"/>
      <c r="GA100"/>
      <c r="GB100"/>
      <c r="GC100"/>
      <c r="GD100"/>
      <c r="GE100"/>
      <c r="GF100"/>
      <c r="GG100"/>
      <c r="GH100"/>
      <c r="GI100"/>
      <c r="GJ100"/>
      <c r="GK100"/>
      <c r="GL100"/>
      <c r="GM100"/>
      <c r="GN100"/>
      <c r="GO100"/>
      <c r="GP100"/>
      <c r="GQ100"/>
      <c r="GR100"/>
      <c r="GS100"/>
      <c r="GT100"/>
      <c r="GU100"/>
      <c r="GV100"/>
      <c r="GW100"/>
      <c r="GX100"/>
      <c r="GY100"/>
      <c r="GZ100"/>
      <c r="HA100"/>
    </row>
    <row r="101" spans="1:209" ht="15" customHeight="1" x14ac:dyDescent="0.1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c r="FQ101"/>
      <c r="FR101"/>
      <c r="FS101"/>
      <c r="FT101"/>
      <c r="FU101"/>
      <c r="FV101"/>
      <c r="FW101"/>
      <c r="FX101"/>
      <c r="FY101"/>
      <c r="FZ101"/>
      <c r="GA101"/>
      <c r="GB101"/>
      <c r="GC101"/>
      <c r="GD101"/>
      <c r="GE101"/>
      <c r="GF101"/>
      <c r="GG101"/>
      <c r="GH101"/>
      <c r="GI101"/>
      <c r="GJ101"/>
      <c r="GK101"/>
      <c r="GL101"/>
      <c r="GM101"/>
      <c r="GN101"/>
      <c r="GO101"/>
      <c r="GP101"/>
      <c r="GQ101"/>
      <c r="GR101"/>
      <c r="GS101"/>
      <c r="GT101"/>
      <c r="GU101"/>
      <c r="GV101"/>
      <c r="GW101"/>
      <c r="GX101"/>
      <c r="GY101"/>
      <c r="GZ101"/>
      <c r="HA101"/>
    </row>
    <row r="102" spans="1:209" ht="15" customHeight="1" x14ac:dyDescent="0.1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c r="FX102"/>
      <c r="FY102"/>
      <c r="FZ102"/>
      <c r="GA102"/>
      <c r="GB102"/>
      <c r="GC102"/>
      <c r="GD102"/>
      <c r="GE102"/>
      <c r="GF102"/>
      <c r="GG102"/>
      <c r="GH102"/>
      <c r="GI102"/>
      <c r="GJ102"/>
      <c r="GK102"/>
      <c r="GL102"/>
      <c r="GM102"/>
      <c r="GN102"/>
      <c r="GO102"/>
      <c r="GP102"/>
      <c r="GQ102"/>
      <c r="GR102"/>
      <c r="GS102"/>
      <c r="GT102"/>
      <c r="GU102"/>
      <c r="GV102"/>
      <c r="GW102"/>
      <c r="GX102"/>
      <c r="GY102"/>
      <c r="GZ102"/>
      <c r="HA102"/>
    </row>
    <row r="103" spans="1:209" ht="15" customHeight="1" x14ac:dyDescent="0.1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c r="FC103"/>
      <c r="FD103"/>
      <c r="FE103"/>
      <c r="FF103"/>
      <c r="FG103"/>
      <c r="FH103"/>
      <c r="FI103"/>
      <c r="FJ103"/>
      <c r="FK103"/>
      <c r="FL103"/>
      <c r="FM103"/>
      <c r="FN103"/>
      <c r="FO103"/>
      <c r="FP103"/>
      <c r="FQ103"/>
      <c r="FR103"/>
      <c r="FS103"/>
      <c r="FT103"/>
      <c r="FU103"/>
      <c r="FV103"/>
      <c r="FW103"/>
      <c r="FX103"/>
      <c r="FY103"/>
      <c r="FZ103"/>
      <c r="GA103"/>
      <c r="GB103"/>
      <c r="GC103"/>
      <c r="GD103"/>
      <c r="GE103"/>
      <c r="GF103"/>
      <c r="GG103"/>
      <c r="GH103"/>
      <c r="GI103"/>
      <c r="GJ103"/>
      <c r="GK103"/>
      <c r="GL103"/>
      <c r="GM103"/>
      <c r="GN103"/>
      <c r="GO103"/>
      <c r="GP103"/>
      <c r="GQ103"/>
      <c r="GR103"/>
      <c r="GS103"/>
      <c r="GT103"/>
      <c r="GU103"/>
      <c r="GV103"/>
      <c r="GW103"/>
      <c r="GX103"/>
      <c r="GY103"/>
      <c r="GZ103"/>
      <c r="HA103"/>
    </row>
    <row r="104" spans="1:209" ht="15" customHeight="1" x14ac:dyDescent="0.1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c r="EZ104"/>
      <c r="FA104"/>
      <c r="FB104"/>
      <c r="FC104"/>
      <c r="FD104"/>
      <c r="FE104"/>
      <c r="FF104"/>
      <c r="FG104"/>
      <c r="FH104"/>
      <c r="FI104"/>
      <c r="FJ104"/>
      <c r="FK104"/>
      <c r="FL104"/>
      <c r="FM104"/>
      <c r="FN104"/>
      <c r="FO104"/>
      <c r="FP104"/>
      <c r="FQ104"/>
      <c r="FR104"/>
      <c r="FS104"/>
      <c r="FT104"/>
      <c r="FU104"/>
      <c r="FV104"/>
      <c r="FW104"/>
      <c r="FX104"/>
      <c r="FY104"/>
      <c r="FZ104"/>
      <c r="GA104"/>
      <c r="GB104"/>
      <c r="GC104"/>
      <c r="GD104"/>
      <c r="GE104"/>
      <c r="GF104"/>
      <c r="GG104"/>
      <c r="GH104"/>
      <c r="GI104"/>
      <c r="GJ104"/>
      <c r="GK104"/>
      <c r="GL104"/>
      <c r="GM104"/>
      <c r="GN104"/>
      <c r="GO104"/>
      <c r="GP104"/>
      <c r="GQ104"/>
      <c r="GR104"/>
      <c r="GS104"/>
      <c r="GT104"/>
      <c r="GU104"/>
      <c r="GV104"/>
      <c r="GW104"/>
      <c r="GX104"/>
      <c r="GY104"/>
      <c r="GZ104"/>
      <c r="HA104"/>
    </row>
    <row r="105" spans="1:209" ht="15" customHeight="1" x14ac:dyDescent="0.1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c r="FX105"/>
      <c r="FY105"/>
      <c r="FZ105"/>
      <c r="GA105"/>
      <c r="GB105"/>
      <c r="GC105"/>
      <c r="GD105"/>
      <c r="GE105"/>
      <c r="GF105"/>
      <c r="GG105"/>
      <c r="GH105"/>
      <c r="GI105"/>
      <c r="GJ105"/>
      <c r="GK105"/>
      <c r="GL105"/>
      <c r="GM105"/>
      <c r="GN105"/>
      <c r="GO105"/>
      <c r="GP105"/>
      <c r="GQ105"/>
      <c r="GR105"/>
      <c r="GS105"/>
      <c r="GT105"/>
      <c r="GU105"/>
      <c r="GV105"/>
      <c r="GW105"/>
      <c r="GX105"/>
      <c r="GY105"/>
      <c r="GZ105"/>
      <c r="HA105"/>
    </row>
    <row r="106" spans="1:209" ht="15" customHeight="1" x14ac:dyDescent="0.1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c r="FC106"/>
      <c r="FD106"/>
      <c r="FE106"/>
      <c r="FF106"/>
      <c r="FG106"/>
      <c r="FH106"/>
      <c r="FI106"/>
      <c r="FJ106"/>
      <c r="FK106"/>
      <c r="FL106"/>
      <c r="FM106"/>
      <c r="FN106"/>
      <c r="FO106"/>
      <c r="FP106"/>
      <c r="FQ106"/>
      <c r="FR106"/>
      <c r="FS106"/>
      <c r="FT106"/>
      <c r="FU106"/>
      <c r="FV106"/>
      <c r="FW106"/>
      <c r="FX106"/>
      <c r="FY106"/>
      <c r="FZ106"/>
      <c r="GA106"/>
      <c r="GB106"/>
      <c r="GC106"/>
      <c r="GD106"/>
      <c r="GE106"/>
      <c r="GF106"/>
      <c r="GG106"/>
      <c r="GH106"/>
      <c r="GI106"/>
      <c r="GJ106"/>
      <c r="GK106"/>
      <c r="GL106"/>
      <c r="GM106"/>
      <c r="GN106"/>
      <c r="GO106"/>
      <c r="GP106"/>
      <c r="GQ106"/>
      <c r="GR106"/>
      <c r="GS106"/>
      <c r="GT106"/>
      <c r="GU106"/>
      <c r="GV106"/>
      <c r="GW106"/>
      <c r="GX106"/>
      <c r="GY106"/>
      <c r="GZ106"/>
      <c r="HA106"/>
    </row>
    <row r="107" spans="1:209" ht="15" customHeight="1" x14ac:dyDescent="0.1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c r="FC107"/>
      <c r="FD107"/>
      <c r="FE107"/>
      <c r="FF107"/>
      <c r="FG107"/>
      <c r="FH107"/>
      <c r="FI107"/>
      <c r="FJ107"/>
      <c r="FK107"/>
      <c r="FL107"/>
      <c r="FM107"/>
      <c r="FN107"/>
      <c r="FO107"/>
      <c r="FP107"/>
      <c r="FQ107"/>
      <c r="FR107"/>
      <c r="FS107"/>
      <c r="FT107"/>
      <c r="FU107"/>
      <c r="FV107"/>
      <c r="FW107"/>
      <c r="FX107"/>
      <c r="FY107"/>
      <c r="FZ107"/>
      <c r="GA107"/>
      <c r="GB107"/>
      <c r="GC107"/>
      <c r="GD107"/>
      <c r="GE107"/>
      <c r="GF107"/>
      <c r="GG107"/>
      <c r="GH107"/>
      <c r="GI107"/>
      <c r="GJ107"/>
      <c r="GK107"/>
      <c r="GL107"/>
      <c r="GM107"/>
      <c r="GN107"/>
      <c r="GO107"/>
      <c r="GP107"/>
      <c r="GQ107"/>
      <c r="GR107"/>
      <c r="GS107"/>
      <c r="GT107"/>
      <c r="GU107"/>
      <c r="GV107"/>
      <c r="GW107"/>
      <c r="GX107"/>
      <c r="GY107"/>
      <c r="GZ107"/>
      <c r="HA107"/>
    </row>
    <row r="108" spans="1:209" ht="15" customHeight="1" x14ac:dyDescent="0.1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c r="FC108"/>
      <c r="FD108"/>
      <c r="FE108"/>
      <c r="FF108"/>
      <c r="FG108"/>
      <c r="FH108"/>
      <c r="FI108"/>
      <c r="FJ108"/>
      <c r="FK108"/>
      <c r="FL108"/>
      <c r="FM108"/>
      <c r="FN108"/>
      <c r="FO108"/>
      <c r="FP108"/>
      <c r="FQ108"/>
      <c r="FR108"/>
      <c r="FS108"/>
      <c r="FT108"/>
      <c r="FU108"/>
      <c r="FV108"/>
      <c r="FW108"/>
      <c r="FX108"/>
      <c r="FY108"/>
      <c r="FZ108"/>
      <c r="GA108"/>
      <c r="GB108"/>
      <c r="GC108"/>
      <c r="GD108"/>
      <c r="GE108"/>
      <c r="GF108"/>
      <c r="GG108"/>
      <c r="GH108"/>
      <c r="GI108"/>
      <c r="GJ108"/>
      <c r="GK108"/>
      <c r="GL108"/>
      <c r="GM108"/>
      <c r="GN108"/>
      <c r="GO108"/>
      <c r="GP108"/>
      <c r="GQ108"/>
      <c r="GR108"/>
      <c r="GS108"/>
      <c r="GT108"/>
      <c r="GU108"/>
      <c r="GV108"/>
      <c r="GW108"/>
      <c r="GX108"/>
      <c r="GY108"/>
      <c r="GZ108"/>
      <c r="HA108"/>
    </row>
    <row r="109" spans="1:209" ht="15" customHeight="1" x14ac:dyDescent="0.1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EZ109"/>
      <c r="FA109"/>
      <c r="FB109"/>
      <c r="FC109"/>
      <c r="FD109"/>
      <c r="FE109"/>
      <c r="FF109"/>
      <c r="FG109"/>
      <c r="FH109"/>
      <c r="FI109"/>
      <c r="FJ109"/>
      <c r="FK109"/>
      <c r="FL109"/>
      <c r="FM109"/>
      <c r="FN109"/>
      <c r="FO109"/>
      <c r="FP109"/>
      <c r="FQ109"/>
      <c r="FR109"/>
      <c r="FS109"/>
      <c r="FT109"/>
      <c r="FU109"/>
      <c r="FV109"/>
      <c r="FW109"/>
      <c r="FX109"/>
      <c r="FY109"/>
      <c r="FZ109"/>
      <c r="GA109"/>
      <c r="GB109"/>
      <c r="GC109"/>
      <c r="GD109"/>
      <c r="GE109"/>
      <c r="GF109"/>
      <c r="GG109"/>
      <c r="GH109"/>
      <c r="GI109"/>
      <c r="GJ109"/>
      <c r="GK109"/>
      <c r="GL109"/>
      <c r="GM109"/>
      <c r="GN109"/>
      <c r="GO109"/>
      <c r="GP109"/>
      <c r="GQ109"/>
      <c r="GR109"/>
      <c r="GS109"/>
      <c r="GT109"/>
      <c r="GU109"/>
      <c r="GV109"/>
      <c r="GW109"/>
      <c r="GX109"/>
      <c r="GY109"/>
      <c r="GZ109"/>
      <c r="HA109"/>
    </row>
    <row r="110" spans="1:209" ht="15" customHeight="1" x14ac:dyDescent="0.1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c r="FC110"/>
      <c r="FD110"/>
      <c r="FE110"/>
      <c r="FF110"/>
      <c r="FG110"/>
      <c r="FH110"/>
      <c r="FI110"/>
      <c r="FJ110"/>
      <c r="FK110"/>
      <c r="FL110"/>
      <c r="FM110"/>
      <c r="FN110"/>
      <c r="FO110"/>
      <c r="FP110"/>
      <c r="FQ110"/>
      <c r="FR110"/>
      <c r="FS110"/>
      <c r="FT110"/>
      <c r="FU110"/>
      <c r="FV110"/>
      <c r="FW110"/>
      <c r="FX110"/>
      <c r="FY110"/>
      <c r="FZ110"/>
      <c r="GA110"/>
      <c r="GB110"/>
      <c r="GC110"/>
      <c r="GD110"/>
      <c r="GE110"/>
      <c r="GF110"/>
      <c r="GG110"/>
      <c r="GH110"/>
      <c r="GI110"/>
      <c r="GJ110"/>
      <c r="GK110"/>
      <c r="GL110"/>
      <c r="GM110"/>
      <c r="GN110"/>
      <c r="GO110"/>
      <c r="GP110"/>
      <c r="GQ110"/>
      <c r="GR110"/>
      <c r="GS110"/>
      <c r="GT110"/>
      <c r="GU110"/>
      <c r="GV110"/>
      <c r="GW110"/>
      <c r="GX110"/>
      <c r="GY110"/>
      <c r="GZ110"/>
      <c r="HA110"/>
    </row>
    <row r="111" spans="1:209" ht="15" customHeight="1" x14ac:dyDescent="0.1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c r="FC111"/>
      <c r="FD111"/>
      <c r="FE111"/>
      <c r="FF111"/>
      <c r="FG111"/>
      <c r="FH111"/>
      <c r="FI111"/>
      <c r="FJ111"/>
      <c r="FK111"/>
      <c r="FL111"/>
      <c r="FM111"/>
      <c r="FN111"/>
      <c r="FO111"/>
      <c r="FP111"/>
      <c r="FQ111"/>
      <c r="FR111"/>
      <c r="FS111"/>
      <c r="FT111"/>
      <c r="FU111"/>
      <c r="FV111"/>
      <c r="FW111"/>
      <c r="FX111"/>
      <c r="FY111"/>
      <c r="FZ111"/>
      <c r="GA111"/>
      <c r="GB111"/>
      <c r="GC111"/>
      <c r="GD111"/>
      <c r="GE111"/>
      <c r="GF111"/>
      <c r="GG111"/>
      <c r="GH111"/>
      <c r="GI111"/>
      <c r="GJ111"/>
      <c r="GK111"/>
      <c r="GL111"/>
      <c r="GM111"/>
      <c r="GN111"/>
      <c r="GO111"/>
      <c r="GP111"/>
      <c r="GQ111"/>
      <c r="GR111"/>
      <c r="GS111"/>
      <c r="GT111"/>
      <c r="GU111"/>
      <c r="GV111"/>
      <c r="GW111"/>
      <c r="GX111"/>
      <c r="GY111"/>
      <c r="GZ111"/>
      <c r="HA111"/>
    </row>
    <row r="112" spans="1:209" ht="15" customHeight="1" x14ac:dyDescent="0.1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c r="FC112"/>
      <c r="FD112"/>
      <c r="FE112"/>
      <c r="FF112"/>
      <c r="FG112"/>
      <c r="FH112"/>
      <c r="FI112"/>
      <c r="FJ112"/>
      <c r="FK112"/>
      <c r="FL112"/>
      <c r="FM112"/>
      <c r="FN112"/>
      <c r="FO112"/>
      <c r="FP112"/>
      <c r="FQ112"/>
      <c r="FR112"/>
      <c r="FS112"/>
      <c r="FT112"/>
      <c r="FU112"/>
      <c r="FV112"/>
      <c r="FW112"/>
      <c r="FX112"/>
      <c r="FY112"/>
      <c r="FZ112"/>
      <c r="GA112"/>
      <c r="GB112"/>
      <c r="GC112"/>
      <c r="GD112"/>
      <c r="GE112"/>
      <c r="GF112"/>
      <c r="GG112"/>
      <c r="GH112"/>
      <c r="GI112"/>
      <c r="GJ112"/>
      <c r="GK112"/>
      <c r="GL112"/>
      <c r="GM112"/>
      <c r="GN112"/>
      <c r="GO112"/>
      <c r="GP112"/>
      <c r="GQ112"/>
      <c r="GR112"/>
      <c r="GS112"/>
      <c r="GT112"/>
      <c r="GU112"/>
      <c r="GV112"/>
      <c r="GW112"/>
      <c r="GX112"/>
      <c r="GY112"/>
      <c r="GZ112"/>
      <c r="HA112"/>
    </row>
    <row r="113" spans="1:209" ht="15" customHeight="1" x14ac:dyDescent="0.1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c r="FC113"/>
      <c r="FD113"/>
      <c r="FE113"/>
      <c r="FF113"/>
      <c r="FG113"/>
      <c r="FH113"/>
      <c r="FI113"/>
      <c r="FJ113"/>
      <c r="FK113"/>
      <c r="FL113"/>
      <c r="FM113"/>
      <c r="FN113"/>
      <c r="FO113"/>
      <c r="FP113"/>
      <c r="FQ113"/>
      <c r="FR113"/>
      <c r="FS113"/>
      <c r="FT113"/>
      <c r="FU113"/>
      <c r="FV113"/>
      <c r="FW113"/>
      <c r="FX113"/>
      <c r="FY113"/>
      <c r="FZ113"/>
      <c r="GA113"/>
      <c r="GB113"/>
      <c r="GC113"/>
      <c r="GD113"/>
      <c r="GE113"/>
      <c r="GF113"/>
      <c r="GG113"/>
      <c r="GH113"/>
      <c r="GI113"/>
      <c r="GJ113"/>
      <c r="GK113"/>
      <c r="GL113"/>
      <c r="GM113"/>
      <c r="GN113"/>
      <c r="GO113"/>
      <c r="GP113"/>
      <c r="GQ113"/>
      <c r="GR113"/>
      <c r="GS113"/>
      <c r="GT113"/>
      <c r="GU113"/>
      <c r="GV113"/>
      <c r="GW113"/>
      <c r="GX113"/>
      <c r="GY113"/>
      <c r="GZ113"/>
      <c r="HA113"/>
    </row>
    <row r="114" spans="1:209" ht="15" customHeight="1" x14ac:dyDescent="0.1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c r="FC114"/>
      <c r="FD114"/>
      <c r="FE114"/>
      <c r="FF114"/>
      <c r="FG114"/>
      <c r="FH114"/>
      <c r="FI114"/>
      <c r="FJ114"/>
      <c r="FK114"/>
      <c r="FL114"/>
      <c r="FM114"/>
      <c r="FN114"/>
      <c r="FO114"/>
      <c r="FP114"/>
      <c r="FQ114"/>
      <c r="FR114"/>
      <c r="FS114"/>
      <c r="FT114"/>
      <c r="FU114"/>
      <c r="FV114"/>
      <c r="FW114"/>
      <c r="FX114"/>
      <c r="FY114"/>
      <c r="FZ114"/>
      <c r="GA114"/>
      <c r="GB114"/>
      <c r="GC114"/>
      <c r="GD114"/>
      <c r="GE114"/>
      <c r="GF114"/>
      <c r="GG114"/>
      <c r="GH114"/>
      <c r="GI114"/>
      <c r="GJ114"/>
      <c r="GK114"/>
      <c r="GL114"/>
      <c r="GM114"/>
      <c r="GN114"/>
      <c r="GO114"/>
      <c r="GP114"/>
      <c r="GQ114"/>
      <c r="GR114"/>
      <c r="GS114"/>
      <c r="GT114"/>
      <c r="GU114"/>
      <c r="GV114"/>
      <c r="GW114"/>
      <c r="GX114"/>
      <c r="GY114"/>
      <c r="GZ114"/>
      <c r="HA114"/>
    </row>
    <row r="115" spans="1:209" ht="15" customHeight="1" x14ac:dyDescent="0.1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c r="FC115"/>
      <c r="FD115"/>
      <c r="FE115"/>
      <c r="FF115"/>
      <c r="FG115"/>
      <c r="FH115"/>
      <c r="FI115"/>
      <c r="FJ115"/>
      <c r="FK115"/>
      <c r="FL115"/>
      <c r="FM115"/>
      <c r="FN115"/>
      <c r="FO115"/>
      <c r="FP115"/>
      <c r="FQ115"/>
      <c r="FR115"/>
      <c r="FS115"/>
      <c r="FT115"/>
      <c r="FU115"/>
      <c r="FV115"/>
      <c r="FW115"/>
      <c r="FX115"/>
      <c r="FY115"/>
      <c r="FZ115"/>
      <c r="GA115"/>
      <c r="GB115"/>
      <c r="GC115"/>
      <c r="GD115"/>
      <c r="GE115"/>
      <c r="GF115"/>
      <c r="GG115"/>
      <c r="GH115"/>
      <c r="GI115"/>
      <c r="GJ115"/>
      <c r="GK115"/>
      <c r="GL115"/>
      <c r="GM115"/>
      <c r="GN115"/>
      <c r="GO115"/>
      <c r="GP115"/>
      <c r="GQ115"/>
      <c r="GR115"/>
      <c r="GS115"/>
      <c r="GT115"/>
      <c r="GU115"/>
      <c r="GV115"/>
      <c r="GW115"/>
      <c r="GX115"/>
      <c r="GY115"/>
      <c r="GZ115"/>
      <c r="HA115"/>
    </row>
    <row r="116" spans="1:209" ht="15" customHeight="1" x14ac:dyDescent="0.1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c r="FC116"/>
      <c r="FD116"/>
      <c r="FE116"/>
      <c r="FF116"/>
      <c r="FG116"/>
      <c r="FH116"/>
      <c r="FI116"/>
      <c r="FJ116"/>
      <c r="FK116"/>
      <c r="FL116"/>
      <c r="FM116"/>
      <c r="FN116"/>
      <c r="FO116"/>
      <c r="FP116"/>
      <c r="FQ116"/>
      <c r="FR116"/>
      <c r="FS116"/>
      <c r="FT116"/>
      <c r="FU116"/>
      <c r="FV116"/>
      <c r="FW116"/>
      <c r="FX116"/>
      <c r="FY116"/>
      <c r="FZ116"/>
      <c r="GA116"/>
      <c r="GB116"/>
      <c r="GC116"/>
      <c r="GD116"/>
      <c r="GE116"/>
      <c r="GF116"/>
      <c r="GG116"/>
      <c r="GH116"/>
      <c r="GI116"/>
      <c r="GJ116"/>
      <c r="GK116"/>
      <c r="GL116"/>
      <c r="GM116"/>
      <c r="GN116"/>
      <c r="GO116"/>
      <c r="GP116"/>
      <c r="GQ116"/>
      <c r="GR116"/>
      <c r="GS116"/>
      <c r="GT116"/>
      <c r="GU116"/>
      <c r="GV116"/>
      <c r="GW116"/>
      <c r="GX116"/>
      <c r="GY116"/>
      <c r="GZ116"/>
      <c r="HA116"/>
    </row>
    <row r="117" spans="1:209" ht="15" customHeight="1" x14ac:dyDescent="0.1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c r="FC117"/>
      <c r="FD117"/>
      <c r="FE117"/>
      <c r="FF117"/>
      <c r="FG117"/>
      <c r="FH117"/>
      <c r="FI117"/>
      <c r="FJ117"/>
      <c r="FK117"/>
      <c r="FL117"/>
      <c r="FM117"/>
      <c r="FN117"/>
      <c r="FO117"/>
      <c r="FP117"/>
      <c r="FQ117"/>
      <c r="FR117"/>
      <c r="FS117"/>
      <c r="FT117"/>
      <c r="FU117"/>
      <c r="FV117"/>
      <c r="FW117"/>
      <c r="FX117"/>
      <c r="FY117"/>
      <c r="FZ117"/>
      <c r="GA117"/>
      <c r="GB117"/>
      <c r="GC117"/>
      <c r="GD117"/>
      <c r="GE117"/>
      <c r="GF117"/>
      <c r="GG117"/>
      <c r="GH117"/>
      <c r="GI117"/>
      <c r="GJ117"/>
      <c r="GK117"/>
      <c r="GL117"/>
      <c r="GM117"/>
      <c r="GN117"/>
      <c r="GO117"/>
      <c r="GP117"/>
      <c r="GQ117"/>
      <c r="GR117"/>
      <c r="GS117"/>
      <c r="GT117"/>
      <c r="GU117"/>
      <c r="GV117"/>
      <c r="GW117"/>
      <c r="GX117"/>
      <c r="GY117"/>
      <c r="GZ117"/>
      <c r="HA117"/>
    </row>
    <row r="118" spans="1:209" ht="15" customHeight="1" x14ac:dyDescent="0.1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c r="FC118"/>
      <c r="FD118"/>
      <c r="FE118"/>
      <c r="FF118"/>
      <c r="FG118"/>
      <c r="FH118"/>
      <c r="FI118"/>
      <c r="FJ118"/>
      <c r="FK118"/>
      <c r="FL118"/>
      <c r="FM118"/>
      <c r="FN118"/>
      <c r="FO118"/>
      <c r="FP118"/>
      <c r="FQ118"/>
      <c r="FR118"/>
      <c r="FS118"/>
      <c r="FT118"/>
      <c r="FU118"/>
      <c r="FV118"/>
      <c r="FW118"/>
      <c r="FX118"/>
      <c r="FY118"/>
      <c r="FZ118"/>
      <c r="GA118"/>
      <c r="GB118"/>
      <c r="GC118"/>
      <c r="GD118"/>
      <c r="GE118"/>
      <c r="GF118"/>
      <c r="GG118"/>
      <c r="GH118"/>
      <c r="GI118"/>
      <c r="GJ118"/>
      <c r="GK118"/>
      <c r="GL118"/>
      <c r="GM118"/>
      <c r="GN118"/>
      <c r="GO118"/>
      <c r="GP118"/>
      <c r="GQ118"/>
      <c r="GR118"/>
      <c r="GS118"/>
      <c r="GT118"/>
      <c r="GU118"/>
      <c r="GV118"/>
      <c r="GW118"/>
      <c r="GX118"/>
      <c r="GY118"/>
      <c r="GZ118"/>
      <c r="HA118"/>
    </row>
    <row r="119" spans="1:209" ht="15" customHeight="1" x14ac:dyDescent="0.1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c r="FC119"/>
      <c r="FD119"/>
      <c r="FE119"/>
      <c r="FF119"/>
      <c r="FG119"/>
      <c r="FH119"/>
      <c r="FI119"/>
      <c r="FJ119"/>
      <c r="FK119"/>
      <c r="FL119"/>
      <c r="FM119"/>
      <c r="FN119"/>
      <c r="FO119"/>
      <c r="FP119"/>
      <c r="FQ119"/>
      <c r="FR119"/>
      <c r="FS119"/>
      <c r="FT119"/>
      <c r="FU119"/>
      <c r="FV119"/>
      <c r="FW119"/>
      <c r="FX119"/>
      <c r="FY119"/>
      <c r="FZ119"/>
      <c r="GA119"/>
      <c r="GB119"/>
      <c r="GC119"/>
      <c r="GD119"/>
      <c r="GE119"/>
      <c r="GF119"/>
      <c r="GG119"/>
      <c r="GH119"/>
      <c r="GI119"/>
      <c r="GJ119"/>
      <c r="GK119"/>
      <c r="GL119"/>
      <c r="GM119"/>
      <c r="GN119"/>
      <c r="GO119"/>
      <c r="GP119"/>
      <c r="GQ119"/>
      <c r="GR119"/>
      <c r="GS119"/>
      <c r="GT119"/>
      <c r="GU119"/>
      <c r="GV119"/>
      <c r="GW119"/>
      <c r="GX119"/>
      <c r="GY119"/>
      <c r="GZ119"/>
      <c r="HA119"/>
    </row>
    <row r="120" spans="1:209" ht="15" customHeight="1" x14ac:dyDescent="0.1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c r="FC120"/>
      <c r="FD120"/>
      <c r="FE120"/>
      <c r="FF120"/>
      <c r="FG120"/>
      <c r="FH120"/>
      <c r="FI120"/>
      <c r="FJ120"/>
      <c r="FK120"/>
      <c r="FL120"/>
      <c r="FM120"/>
      <c r="FN120"/>
      <c r="FO120"/>
      <c r="FP120"/>
      <c r="FQ120"/>
      <c r="FR120"/>
      <c r="FS120"/>
      <c r="FT120"/>
      <c r="FU120"/>
      <c r="FV120"/>
      <c r="FW120"/>
      <c r="FX120"/>
      <c r="FY120"/>
      <c r="FZ120"/>
      <c r="GA120"/>
      <c r="GB120"/>
      <c r="GC120"/>
      <c r="GD120"/>
      <c r="GE120"/>
      <c r="GF120"/>
      <c r="GG120"/>
      <c r="GH120"/>
      <c r="GI120"/>
      <c r="GJ120"/>
      <c r="GK120"/>
      <c r="GL120"/>
      <c r="GM120"/>
      <c r="GN120"/>
      <c r="GO120"/>
      <c r="GP120"/>
      <c r="GQ120"/>
      <c r="GR120"/>
      <c r="GS120"/>
      <c r="GT120"/>
      <c r="GU120"/>
      <c r="GV120"/>
      <c r="GW120"/>
      <c r="GX120"/>
      <c r="GY120"/>
      <c r="GZ120"/>
      <c r="HA120"/>
    </row>
    <row r="121" spans="1:209" ht="15" customHeight="1" x14ac:dyDescent="0.1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c r="EZ121"/>
      <c r="FA121"/>
      <c r="FB121"/>
      <c r="FC121"/>
      <c r="FD121"/>
      <c r="FE121"/>
      <c r="FF121"/>
      <c r="FG121"/>
      <c r="FH121"/>
      <c r="FI121"/>
      <c r="FJ121"/>
      <c r="FK121"/>
      <c r="FL121"/>
      <c r="FM121"/>
      <c r="FN121"/>
      <c r="FO121"/>
      <c r="FP121"/>
      <c r="FQ121"/>
      <c r="FR121"/>
      <c r="FS121"/>
      <c r="FT121"/>
      <c r="FU121"/>
      <c r="FV121"/>
      <c r="FW121"/>
      <c r="FX121"/>
      <c r="FY121"/>
      <c r="FZ121"/>
      <c r="GA121"/>
      <c r="GB121"/>
      <c r="GC121"/>
      <c r="GD121"/>
      <c r="GE121"/>
      <c r="GF121"/>
      <c r="GG121"/>
      <c r="GH121"/>
      <c r="GI121"/>
      <c r="GJ121"/>
      <c r="GK121"/>
      <c r="GL121"/>
      <c r="GM121"/>
      <c r="GN121"/>
      <c r="GO121"/>
      <c r="GP121"/>
      <c r="GQ121"/>
      <c r="GR121"/>
      <c r="GS121"/>
      <c r="GT121"/>
      <c r="GU121"/>
      <c r="GV121"/>
      <c r="GW121"/>
      <c r="GX121"/>
      <c r="GY121"/>
      <c r="GZ121"/>
      <c r="HA121"/>
    </row>
    <row r="122" spans="1:209" ht="15" customHeight="1" x14ac:dyDescent="0.1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c r="GA122"/>
      <c r="GB122"/>
      <c r="GC122"/>
      <c r="GD122"/>
      <c r="GE122"/>
      <c r="GF122"/>
      <c r="GG122"/>
      <c r="GH122"/>
      <c r="GI122"/>
      <c r="GJ122"/>
      <c r="GK122"/>
      <c r="GL122"/>
      <c r="GM122"/>
      <c r="GN122"/>
      <c r="GO122"/>
      <c r="GP122"/>
      <c r="GQ122"/>
      <c r="GR122"/>
      <c r="GS122"/>
      <c r="GT122"/>
      <c r="GU122"/>
      <c r="GV122"/>
      <c r="GW122"/>
      <c r="GX122"/>
      <c r="GY122"/>
      <c r="GZ122"/>
      <c r="HA122"/>
    </row>
    <row r="123" spans="1:209" ht="15" customHeight="1" x14ac:dyDescent="0.15">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c r="GA123"/>
      <c r="GB123"/>
      <c r="GC123"/>
      <c r="GD123"/>
      <c r="GE123"/>
      <c r="GF123"/>
      <c r="GG123"/>
      <c r="GH123"/>
      <c r="GI123"/>
      <c r="GJ123"/>
      <c r="GK123"/>
      <c r="GL123"/>
      <c r="GM123"/>
      <c r="GN123"/>
      <c r="GO123"/>
      <c r="GP123"/>
      <c r="GQ123"/>
      <c r="GR123"/>
      <c r="GS123"/>
      <c r="GT123"/>
      <c r="GU123"/>
      <c r="GV123"/>
      <c r="GW123"/>
      <c r="GX123"/>
      <c r="GY123"/>
      <c r="GZ123"/>
      <c r="HA123"/>
    </row>
    <row r="124" spans="1:209" ht="15" customHeight="1" x14ac:dyDescent="0.15">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c r="GA124"/>
      <c r="GB124"/>
      <c r="GC124"/>
      <c r="GD124"/>
      <c r="GE124"/>
      <c r="GF124"/>
      <c r="GG124"/>
      <c r="GH124"/>
      <c r="GI124"/>
      <c r="GJ124"/>
      <c r="GK124"/>
      <c r="GL124"/>
      <c r="GM124"/>
      <c r="GN124"/>
      <c r="GO124"/>
      <c r="GP124"/>
      <c r="GQ124"/>
      <c r="GR124"/>
      <c r="GS124"/>
      <c r="GT124"/>
      <c r="GU124"/>
      <c r="GV124"/>
      <c r="GW124"/>
      <c r="GX124"/>
      <c r="GY124"/>
      <c r="GZ124"/>
      <c r="HA124"/>
    </row>
    <row r="125" spans="1:209" ht="15" customHeight="1" x14ac:dyDescent="0.15">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ER125"/>
      <c r="ES125"/>
      <c r="ET125"/>
      <c r="EU125"/>
      <c r="EV125"/>
      <c r="EW125"/>
      <c r="EX125"/>
      <c r="EY125"/>
      <c r="EZ125"/>
      <c r="FA125"/>
      <c r="FB125"/>
      <c r="FC125"/>
      <c r="FD125"/>
      <c r="FE125"/>
      <c r="FF125"/>
      <c r="FG125"/>
      <c r="FH125"/>
      <c r="FI125"/>
      <c r="FJ125"/>
      <c r="FK125"/>
      <c r="FL125"/>
      <c r="FM125"/>
      <c r="FN125"/>
      <c r="FO125"/>
      <c r="FP125"/>
      <c r="FQ125"/>
      <c r="FR125"/>
      <c r="FS125"/>
      <c r="FT125"/>
      <c r="FU125"/>
      <c r="FV125"/>
      <c r="FW125"/>
      <c r="FX125"/>
      <c r="FY125"/>
      <c r="FZ125"/>
      <c r="GA125"/>
      <c r="GB125"/>
      <c r="GC125"/>
      <c r="GD125"/>
      <c r="GE125"/>
      <c r="GF125"/>
      <c r="GG125"/>
      <c r="GH125"/>
      <c r="GI125"/>
      <c r="GJ125"/>
      <c r="GK125"/>
      <c r="GL125"/>
      <c r="GM125"/>
      <c r="GN125"/>
      <c r="GO125"/>
      <c r="GP125"/>
      <c r="GQ125"/>
      <c r="GR125"/>
      <c r="GS125"/>
      <c r="GT125"/>
      <c r="GU125"/>
      <c r="GV125"/>
      <c r="GW125"/>
      <c r="GX125"/>
      <c r="GY125"/>
      <c r="GZ125"/>
      <c r="HA125"/>
    </row>
    <row r="126" spans="1:209" ht="15" customHeight="1" x14ac:dyDescent="0.15">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ER126"/>
      <c r="ES126"/>
      <c r="ET126"/>
      <c r="EU126"/>
      <c r="EV126"/>
      <c r="EW126"/>
      <c r="EX126"/>
      <c r="EY126"/>
      <c r="EZ126"/>
      <c r="FA126"/>
      <c r="FB126"/>
      <c r="FC126"/>
      <c r="FD126"/>
      <c r="FE126"/>
      <c r="FF126"/>
      <c r="FG126"/>
      <c r="FH126"/>
      <c r="FI126"/>
      <c r="FJ126"/>
      <c r="FK126"/>
      <c r="FL126"/>
      <c r="FM126"/>
      <c r="FN126"/>
      <c r="FO126"/>
      <c r="FP126"/>
      <c r="FQ126"/>
      <c r="FR126"/>
      <c r="FS126"/>
      <c r="FT126"/>
      <c r="FU126"/>
      <c r="FV126"/>
      <c r="FW126"/>
      <c r="FX126"/>
      <c r="FY126"/>
      <c r="FZ126"/>
      <c r="GA126"/>
      <c r="GB126"/>
      <c r="GC126"/>
      <c r="GD126"/>
      <c r="GE126"/>
      <c r="GF126"/>
      <c r="GG126"/>
      <c r="GH126"/>
      <c r="GI126"/>
      <c r="GJ126"/>
      <c r="GK126"/>
      <c r="GL126"/>
      <c r="GM126"/>
      <c r="GN126"/>
      <c r="GO126"/>
      <c r="GP126"/>
      <c r="GQ126"/>
      <c r="GR126"/>
      <c r="GS126"/>
      <c r="GT126"/>
      <c r="GU126"/>
      <c r="GV126"/>
      <c r="GW126"/>
      <c r="GX126"/>
      <c r="GY126"/>
      <c r="GZ126"/>
      <c r="HA126"/>
    </row>
    <row r="127" spans="1:209" ht="15" customHeight="1" x14ac:dyDescent="0.15">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c r="EZ127"/>
      <c r="FA127"/>
      <c r="FB127"/>
      <c r="FC127"/>
      <c r="FD127"/>
      <c r="FE127"/>
      <c r="FF127"/>
      <c r="FG127"/>
      <c r="FH127"/>
      <c r="FI127"/>
      <c r="FJ127"/>
      <c r="FK127"/>
      <c r="FL127"/>
      <c r="FM127"/>
      <c r="FN127"/>
      <c r="FO127"/>
      <c r="FP127"/>
      <c r="FQ127"/>
      <c r="FR127"/>
      <c r="FS127"/>
      <c r="FT127"/>
      <c r="FU127"/>
      <c r="FV127"/>
      <c r="FW127"/>
      <c r="FX127"/>
      <c r="FY127"/>
      <c r="FZ127"/>
      <c r="GA127"/>
      <c r="GB127"/>
      <c r="GC127"/>
      <c r="GD127"/>
      <c r="GE127"/>
      <c r="GF127"/>
      <c r="GG127"/>
      <c r="GH127"/>
      <c r="GI127"/>
      <c r="GJ127"/>
      <c r="GK127"/>
      <c r="GL127"/>
      <c r="GM127"/>
      <c r="GN127"/>
      <c r="GO127"/>
      <c r="GP127"/>
      <c r="GQ127"/>
      <c r="GR127"/>
      <c r="GS127"/>
      <c r="GT127"/>
      <c r="GU127"/>
      <c r="GV127"/>
      <c r="GW127"/>
      <c r="GX127"/>
      <c r="GY127"/>
      <c r="GZ127"/>
      <c r="HA127"/>
    </row>
    <row r="128" spans="1:209" ht="15" customHeight="1" x14ac:dyDescent="0.15">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c r="EZ128"/>
      <c r="FA128"/>
      <c r="FB128"/>
      <c r="FC128"/>
      <c r="FD128"/>
      <c r="FE128"/>
      <c r="FF128"/>
      <c r="FG128"/>
      <c r="FH128"/>
      <c r="FI128"/>
      <c r="FJ128"/>
      <c r="FK128"/>
      <c r="FL128"/>
      <c r="FM128"/>
      <c r="FN128"/>
      <c r="FO128"/>
      <c r="FP128"/>
      <c r="FQ128"/>
      <c r="FR128"/>
      <c r="FS128"/>
      <c r="FT128"/>
      <c r="FU128"/>
      <c r="FV128"/>
      <c r="FW128"/>
      <c r="FX128"/>
      <c r="FY128"/>
      <c r="FZ128"/>
      <c r="GA128"/>
      <c r="GB128"/>
      <c r="GC128"/>
      <c r="GD128"/>
      <c r="GE128"/>
      <c r="GF128"/>
      <c r="GG128"/>
      <c r="GH128"/>
      <c r="GI128"/>
      <c r="GJ128"/>
      <c r="GK128"/>
      <c r="GL128"/>
      <c r="GM128"/>
      <c r="GN128"/>
      <c r="GO128"/>
      <c r="GP128"/>
      <c r="GQ128"/>
      <c r="GR128"/>
      <c r="GS128"/>
      <c r="GT128"/>
      <c r="GU128"/>
      <c r="GV128"/>
      <c r="GW128"/>
      <c r="GX128"/>
      <c r="GY128"/>
      <c r="GZ128"/>
      <c r="HA128"/>
    </row>
    <row r="129" spans="1:209" ht="15" customHeight="1" x14ac:dyDescent="0.15">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ER129"/>
      <c r="ES129"/>
      <c r="ET129"/>
      <c r="EU129"/>
      <c r="EV129"/>
      <c r="EW129"/>
      <c r="EX129"/>
      <c r="EY129"/>
      <c r="EZ129"/>
      <c r="FA129"/>
      <c r="FB129"/>
      <c r="FC129"/>
      <c r="FD129"/>
      <c r="FE129"/>
      <c r="FF129"/>
      <c r="FG129"/>
      <c r="FH129"/>
      <c r="FI129"/>
      <c r="FJ129"/>
      <c r="FK129"/>
      <c r="FL129"/>
      <c r="FM129"/>
      <c r="FN129"/>
      <c r="FO129"/>
      <c r="FP129"/>
      <c r="FQ129"/>
      <c r="FR129"/>
      <c r="FS129"/>
      <c r="FT129"/>
      <c r="FU129"/>
      <c r="FV129"/>
      <c r="FW129"/>
      <c r="FX129"/>
      <c r="FY129"/>
      <c r="FZ129"/>
      <c r="GA129"/>
      <c r="GB129"/>
      <c r="GC129"/>
      <c r="GD129"/>
      <c r="GE129"/>
      <c r="GF129"/>
      <c r="GG129"/>
      <c r="GH129"/>
      <c r="GI129"/>
      <c r="GJ129"/>
      <c r="GK129"/>
      <c r="GL129"/>
      <c r="GM129"/>
      <c r="GN129"/>
      <c r="GO129"/>
      <c r="GP129"/>
      <c r="GQ129"/>
      <c r="GR129"/>
      <c r="GS129"/>
      <c r="GT129"/>
      <c r="GU129"/>
      <c r="GV129"/>
      <c r="GW129"/>
      <c r="GX129"/>
      <c r="GY129"/>
      <c r="GZ129"/>
      <c r="HA129"/>
    </row>
    <row r="130" spans="1:209" ht="15" customHeight="1" x14ac:dyDescent="0.15">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c r="ER130"/>
      <c r="ES130"/>
      <c r="ET130"/>
      <c r="EU130"/>
      <c r="EV130"/>
      <c r="EW130"/>
      <c r="EX130"/>
      <c r="EY130"/>
      <c r="EZ130"/>
      <c r="FA130"/>
      <c r="FB130"/>
      <c r="FC130"/>
      <c r="FD130"/>
      <c r="FE130"/>
      <c r="FF130"/>
      <c r="FG130"/>
      <c r="FH130"/>
      <c r="FI130"/>
      <c r="FJ130"/>
      <c r="FK130"/>
      <c r="FL130"/>
      <c r="FM130"/>
      <c r="FN130"/>
      <c r="FO130"/>
      <c r="FP130"/>
      <c r="FQ130"/>
      <c r="FR130"/>
      <c r="FS130"/>
      <c r="FT130"/>
      <c r="FU130"/>
      <c r="FV130"/>
      <c r="FW130"/>
      <c r="FX130"/>
      <c r="FY130"/>
      <c r="FZ130"/>
      <c r="GA130"/>
      <c r="GB130"/>
      <c r="GC130"/>
      <c r="GD130"/>
      <c r="GE130"/>
      <c r="GF130"/>
      <c r="GG130"/>
      <c r="GH130"/>
      <c r="GI130"/>
      <c r="GJ130"/>
      <c r="GK130"/>
      <c r="GL130"/>
      <c r="GM130"/>
      <c r="GN130"/>
      <c r="GO130"/>
      <c r="GP130"/>
      <c r="GQ130"/>
      <c r="GR130"/>
      <c r="GS130"/>
      <c r="GT130"/>
      <c r="GU130"/>
      <c r="GV130"/>
      <c r="GW130"/>
      <c r="GX130"/>
      <c r="GY130"/>
      <c r="GZ130"/>
      <c r="HA130"/>
    </row>
    <row r="131" spans="1:209" ht="15" customHeight="1" x14ac:dyDescent="0.15">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c r="EZ131"/>
      <c r="FA131"/>
      <c r="FB131"/>
      <c r="FC131"/>
      <c r="FD131"/>
      <c r="FE131"/>
      <c r="FF131"/>
      <c r="FG131"/>
      <c r="FH131"/>
      <c r="FI131"/>
      <c r="FJ131"/>
      <c r="FK131"/>
      <c r="FL131"/>
      <c r="FM131"/>
      <c r="FN131"/>
      <c r="FO131"/>
      <c r="FP131"/>
      <c r="FQ131"/>
      <c r="FR131"/>
      <c r="FS131"/>
      <c r="FT131"/>
      <c r="FU131"/>
      <c r="FV131"/>
      <c r="FW131"/>
      <c r="FX131"/>
      <c r="FY131"/>
      <c r="FZ131"/>
      <c r="GA131"/>
      <c r="GB131"/>
      <c r="GC131"/>
      <c r="GD131"/>
      <c r="GE131"/>
      <c r="GF131"/>
      <c r="GG131"/>
      <c r="GH131"/>
      <c r="GI131"/>
      <c r="GJ131"/>
      <c r="GK131"/>
      <c r="GL131"/>
      <c r="GM131"/>
      <c r="GN131"/>
      <c r="GO131"/>
      <c r="GP131"/>
      <c r="GQ131"/>
      <c r="GR131"/>
      <c r="GS131"/>
      <c r="GT131"/>
      <c r="GU131"/>
      <c r="GV131"/>
      <c r="GW131"/>
      <c r="GX131"/>
      <c r="GY131"/>
      <c r="GZ131"/>
      <c r="HA131"/>
    </row>
    <row r="132" spans="1:209" ht="15" customHeight="1" x14ac:dyDescent="0.15">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c r="EZ132"/>
      <c r="FA132"/>
      <c r="FB132"/>
      <c r="FC132"/>
      <c r="FD132"/>
      <c r="FE132"/>
      <c r="FF132"/>
      <c r="FG132"/>
      <c r="FH132"/>
      <c r="FI132"/>
      <c r="FJ132"/>
      <c r="FK132"/>
      <c r="FL132"/>
      <c r="FM132"/>
      <c r="FN132"/>
      <c r="FO132"/>
      <c r="FP132"/>
      <c r="FQ132"/>
      <c r="FR132"/>
      <c r="FS132"/>
      <c r="FT132"/>
      <c r="FU132"/>
      <c r="FV132"/>
      <c r="FW132"/>
      <c r="FX132"/>
      <c r="FY132"/>
      <c r="FZ132"/>
      <c r="GA132"/>
      <c r="GB132"/>
      <c r="GC132"/>
      <c r="GD132"/>
      <c r="GE132"/>
      <c r="GF132"/>
      <c r="GG132"/>
      <c r="GH132"/>
      <c r="GI132"/>
      <c r="GJ132"/>
      <c r="GK132"/>
      <c r="GL132"/>
      <c r="GM132"/>
      <c r="GN132"/>
      <c r="GO132"/>
      <c r="GP132"/>
      <c r="GQ132"/>
      <c r="GR132"/>
      <c r="GS132"/>
      <c r="GT132"/>
      <c r="GU132"/>
      <c r="GV132"/>
      <c r="GW132"/>
      <c r="GX132"/>
      <c r="GY132"/>
      <c r="GZ132"/>
      <c r="HA132"/>
    </row>
    <row r="133" spans="1:209" ht="15" customHeight="1" x14ac:dyDescent="0.15">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c r="EZ133"/>
      <c r="FA133"/>
      <c r="FB133"/>
      <c r="FC133"/>
      <c r="FD133"/>
      <c r="FE133"/>
      <c r="FF133"/>
      <c r="FG133"/>
      <c r="FH133"/>
      <c r="FI133"/>
      <c r="FJ133"/>
      <c r="FK133"/>
      <c r="FL133"/>
      <c r="FM133"/>
      <c r="FN133"/>
      <c r="FO133"/>
      <c r="FP133"/>
      <c r="FQ133"/>
      <c r="FR133"/>
      <c r="FS133"/>
      <c r="FT133"/>
      <c r="FU133"/>
      <c r="FV133"/>
      <c r="FW133"/>
      <c r="FX133"/>
      <c r="FY133"/>
      <c r="FZ133"/>
      <c r="GA133"/>
      <c r="GB133"/>
      <c r="GC133"/>
      <c r="GD133"/>
      <c r="GE133"/>
      <c r="GF133"/>
      <c r="GG133"/>
      <c r="GH133"/>
      <c r="GI133"/>
      <c r="GJ133"/>
      <c r="GK133"/>
      <c r="GL133"/>
      <c r="GM133"/>
      <c r="GN133"/>
      <c r="GO133"/>
      <c r="GP133"/>
      <c r="GQ133"/>
      <c r="GR133"/>
      <c r="GS133"/>
      <c r="GT133"/>
      <c r="GU133"/>
      <c r="GV133"/>
      <c r="GW133"/>
      <c r="GX133"/>
      <c r="GY133"/>
      <c r="GZ133"/>
      <c r="HA133"/>
    </row>
    <row r="134" spans="1:209" ht="15" customHeight="1" x14ac:dyDescent="0.15">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c r="EZ134"/>
      <c r="FA134"/>
      <c r="FB134"/>
      <c r="FC134"/>
      <c r="FD134"/>
      <c r="FE134"/>
      <c r="FF134"/>
      <c r="FG134"/>
      <c r="FH134"/>
      <c r="FI134"/>
      <c r="FJ134"/>
      <c r="FK134"/>
      <c r="FL134"/>
      <c r="FM134"/>
      <c r="FN134"/>
      <c r="FO134"/>
      <c r="FP134"/>
      <c r="FQ134"/>
      <c r="FR134"/>
      <c r="FS134"/>
      <c r="FT134"/>
      <c r="FU134"/>
      <c r="FV134"/>
      <c r="FW134"/>
      <c r="FX134"/>
      <c r="FY134"/>
      <c r="FZ134"/>
      <c r="GA134"/>
      <c r="GB134"/>
      <c r="GC134"/>
      <c r="GD134"/>
      <c r="GE134"/>
      <c r="GF134"/>
      <c r="GG134"/>
      <c r="GH134"/>
      <c r="GI134"/>
      <c r="GJ134"/>
      <c r="GK134"/>
      <c r="GL134"/>
      <c r="GM134"/>
      <c r="GN134"/>
      <c r="GO134"/>
      <c r="GP134"/>
      <c r="GQ134"/>
      <c r="GR134"/>
      <c r="GS134"/>
      <c r="GT134"/>
      <c r="GU134"/>
      <c r="GV134"/>
      <c r="GW134"/>
      <c r="GX134"/>
      <c r="GY134"/>
      <c r="GZ134"/>
      <c r="HA134"/>
    </row>
    <row r="135" spans="1:209" ht="15" customHeight="1" x14ac:dyDescent="0.15">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c r="EZ135"/>
      <c r="FA135"/>
      <c r="FB135"/>
      <c r="FC135"/>
      <c r="FD135"/>
      <c r="FE135"/>
      <c r="FF135"/>
      <c r="FG135"/>
      <c r="FH135"/>
      <c r="FI135"/>
      <c r="FJ135"/>
      <c r="FK135"/>
      <c r="FL135"/>
      <c r="FM135"/>
      <c r="FN135"/>
      <c r="FO135"/>
      <c r="FP135"/>
      <c r="FQ135"/>
      <c r="FR135"/>
      <c r="FS135"/>
      <c r="FT135"/>
      <c r="FU135"/>
      <c r="FV135"/>
      <c r="FW135"/>
      <c r="FX135"/>
      <c r="FY135"/>
      <c r="FZ135"/>
      <c r="GA135"/>
      <c r="GB135"/>
      <c r="GC135"/>
      <c r="GD135"/>
      <c r="GE135"/>
      <c r="GF135"/>
      <c r="GG135"/>
      <c r="GH135"/>
      <c r="GI135"/>
      <c r="GJ135"/>
      <c r="GK135"/>
      <c r="GL135"/>
      <c r="GM135"/>
      <c r="GN135"/>
      <c r="GO135"/>
      <c r="GP135"/>
      <c r="GQ135"/>
      <c r="GR135"/>
      <c r="GS135"/>
      <c r="GT135"/>
      <c r="GU135"/>
      <c r="GV135"/>
      <c r="GW135"/>
      <c r="GX135"/>
      <c r="GY135"/>
      <c r="GZ135"/>
      <c r="HA135"/>
    </row>
    <row r="136" spans="1:209" ht="15" customHeight="1" x14ac:dyDescent="0.15">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c r="EZ136"/>
      <c r="FA136"/>
      <c r="FB136"/>
      <c r="FC136"/>
      <c r="FD136"/>
      <c r="FE136"/>
      <c r="FF136"/>
      <c r="FG136"/>
      <c r="FH136"/>
      <c r="FI136"/>
      <c r="FJ136"/>
      <c r="FK136"/>
      <c r="FL136"/>
      <c r="FM136"/>
      <c r="FN136"/>
      <c r="FO136"/>
      <c r="FP136"/>
      <c r="FQ136"/>
      <c r="FR136"/>
      <c r="FS136"/>
      <c r="FT136"/>
      <c r="FU136"/>
      <c r="FV136"/>
      <c r="FW136"/>
      <c r="FX136"/>
      <c r="FY136"/>
      <c r="FZ136"/>
      <c r="GA136"/>
      <c r="GB136"/>
      <c r="GC136"/>
      <c r="GD136"/>
      <c r="GE136"/>
      <c r="GF136"/>
      <c r="GG136"/>
      <c r="GH136"/>
      <c r="GI136"/>
      <c r="GJ136"/>
      <c r="GK136"/>
      <c r="GL136"/>
      <c r="GM136"/>
      <c r="GN136"/>
      <c r="GO136"/>
      <c r="GP136"/>
      <c r="GQ136"/>
      <c r="GR136"/>
      <c r="GS136"/>
      <c r="GT136"/>
      <c r="GU136"/>
      <c r="GV136"/>
      <c r="GW136"/>
      <c r="GX136"/>
      <c r="GY136"/>
      <c r="GZ136"/>
      <c r="HA136"/>
    </row>
    <row r="137" spans="1:209" ht="15" customHeight="1" x14ac:dyDescent="0.15">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c r="EZ137"/>
      <c r="FA137"/>
      <c r="FB137"/>
      <c r="FC137"/>
      <c r="FD137"/>
      <c r="FE137"/>
      <c r="FF137"/>
      <c r="FG137"/>
      <c r="FH137"/>
      <c r="FI137"/>
      <c r="FJ137"/>
      <c r="FK137"/>
      <c r="FL137"/>
      <c r="FM137"/>
      <c r="FN137"/>
      <c r="FO137"/>
      <c r="FP137"/>
      <c r="FQ137"/>
      <c r="FR137"/>
      <c r="FS137"/>
      <c r="FT137"/>
      <c r="FU137"/>
      <c r="FV137"/>
      <c r="FW137"/>
      <c r="FX137"/>
      <c r="FY137"/>
      <c r="FZ137"/>
      <c r="GA137"/>
      <c r="GB137"/>
      <c r="GC137"/>
      <c r="GD137"/>
      <c r="GE137"/>
      <c r="GF137"/>
      <c r="GG137"/>
      <c r="GH137"/>
      <c r="GI137"/>
      <c r="GJ137"/>
      <c r="GK137"/>
      <c r="GL137"/>
      <c r="GM137"/>
      <c r="GN137"/>
      <c r="GO137"/>
      <c r="GP137"/>
      <c r="GQ137"/>
      <c r="GR137"/>
      <c r="GS137"/>
      <c r="GT137"/>
      <c r="GU137"/>
      <c r="GV137"/>
      <c r="GW137"/>
      <c r="GX137"/>
      <c r="GY137"/>
      <c r="GZ137"/>
      <c r="HA137"/>
    </row>
    <row r="138" spans="1:209" ht="15" customHeight="1" x14ac:dyDescent="0.15">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c r="EO138"/>
      <c r="EP138"/>
      <c r="EQ138"/>
      <c r="ER138"/>
      <c r="ES138"/>
      <c r="ET138"/>
      <c r="EU138"/>
      <c r="EV138"/>
      <c r="EW138"/>
      <c r="EX138"/>
      <c r="EY138"/>
      <c r="EZ138"/>
      <c r="FA138"/>
      <c r="FB138"/>
      <c r="FC138"/>
      <c r="FD138"/>
      <c r="FE138"/>
      <c r="FF138"/>
      <c r="FG138"/>
      <c r="FH138"/>
      <c r="FI138"/>
      <c r="FJ138"/>
      <c r="FK138"/>
      <c r="FL138"/>
      <c r="FM138"/>
      <c r="FN138"/>
      <c r="FO138"/>
      <c r="FP138"/>
      <c r="FQ138"/>
      <c r="FR138"/>
      <c r="FS138"/>
      <c r="FT138"/>
      <c r="FU138"/>
      <c r="FV138"/>
      <c r="FW138"/>
      <c r="FX138"/>
      <c r="FY138"/>
      <c r="FZ138"/>
      <c r="GA138"/>
      <c r="GB138"/>
      <c r="GC138"/>
      <c r="GD138"/>
      <c r="GE138"/>
      <c r="GF138"/>
      <c r="GG138"/>
      <c r="GH138"/>
      <c r="GI138"/>
      <c r="GJ138"/>
      <c r="GK138"/>
      <c r="GL138"/>
      <c r="GM138"/>
      <c r="GN138"/>
      <c r="GO138"/>
      <c r="GP138"/>
      <c r="GQ138"/>
      <c r="GR138"/>
      <c r="GS138"/>
      <c r="GT138"/>
      <c r="GU138"/>
      <c r="GV138"/>
      <c r="GW138"/>
      <c r="GX138"/>
      <c r="GY138"/>
      <c r="GZ138"/>
      <c r="HA138"/>
    </row>
    <row r="139" spans="1:209" ht="15" customHeight="1" x14ac:dyDescent="0.15">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c r="EO139"/>
      <c r="EP139"/>
      <c r="EQ139"/>
      <c r="ER139"/>
      <c r="ES139"/>
      <c r="ET139"/>
      <c r="EU139"/>
      <c r="EV139"/>
      <c r="EW139"/>
      <c r="EX139"/>
      <c r="EY139"/>
      <c r="EZ139"/>
      <c r="FA139"/>
      <c r="FB139"/>
      <c r="FC139"/>
      <c r="FD139"/>
      <c r="FE139"/>
      <c r="FF139"/>
      <c r="FG139"/>
      <c r="FH139"/>
      <c r="FI139"/>
      <c r="FJ139"/>
      <c r="FK139"/>
      <c r="FL139"/>
      <c r="FM139"/>
      <c r="FN139"/>
      <c r="FO139"/>
      <c r="FP139"/>
      <c r="FQ139"/>
      <c r="FR139"/>
      <c r="FS139"/>
      <c r="FT139"/>
      <c r="FU139"/>
      <c r="FV139"/>
      <c r="FW139"/>
      <c r="FX139"/>
      <c r="FY139"/>
      <c r="FZ139"/>
      <c r="GA139"/>
      <c r="GB139"/>
      <c r="GC139"/>
      <c r="GD139"/>
      <c r="GE139"/>
      <c r="GF139"/>
      <c r="GG139"/>
      <c r="GH139"/>
      <c r="GI139"/>
      <c r="GJ139"/>
      <c r="GK139"/>
      <c r="GL139"/>
      <c r="GM139"/>
      <c r="GN139"/>
      <c r="GO139"/>
      <c r="GP139"/>
      <c r="GQ139"/>
      <c r="GR139"/>
      <c r="GS139"/>
      <c r="GT139"/>
      <c r="GU139"/>
      <c r="GV139"/>
      <c r="GW139"/>
      <c r="GX139"/>
      <c r="GY139"/>
      <c r="GZ139"/>
      <c r="HA139"/>
    </row>
    <row r="140" spans="1:209" ht="15" customHeight="1" x14ac:dyDescent="0.15">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ER140"/>
      <c r="ES140"/>
      <c r="ET140"/>
      <c r="EU140"/>
      <c r="EV140"/>
      <c r="EW140"/>
      <c r="EX140"/>
      <c r="EY140"/>
      <c r="EZ140"/>
      <c r="FA140"/>
      <c r="FB140"/>
      <c r="FC140"/>
      <c r="FD140"/>
      <c r="FE140"/>
      <c r="FF140"/>
      <c r="FG140"/>
      <c r="FH140"/>
      <c r="FI140"/>
      <c r="FJ140"/>
      <c r="FK140"/>
      <c r="FL140"/>
      <c r="FM140"/>
      <c r="FN140"/>
      <c r="FO140"/>
      <c r="FP140"/>
      <c r="FQ140"/>
      <c r="FR140"/>
      <c r="FS140"/>
      <c r="FT140"/>
      <c r="FU140"/>
      <c r="FV140"/>
      <c r="FW140"/>
      <c r="FX140"/>
      <c r="FY140"/>
      <c r="FZ140"/>
      <c r="GA140"/>
      <c r="GB140"/>
      <c r="GC140"/>
      <c r="GD140"/>
      <c r="GE140"/>
      <c r="GF140"/>
      <c r="GG140"/>
      <c r="GH140"/>
      <c r="GI140"/>
      <c r="GJ140"/>
      <c r="GK140"/>
      <c r="GL140"/>
      <c r="GM140"/>
      <c r="GN140"/>
      <c r="GO140"/>
      <c r="GP140"/>
      <c r="GQ140"/>
      <c r="GR140"/>
      <c r="GS140"/>
      <c r="GT140"/>
      <c r="GU140"/>
      <c r="GV140"/>
      <c r="GW140"/>
      <c r="GX140"/>
      <c r="GY140"/>
      <c r="GZ140"/>
      <c r="HA140"/>
    </row>
    <row r="141" spans="1:209" ht="15" customHeight="1" x14ac:dyDescent="0.15">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ER141"/>
      <c r="ES141"/>
      <c r="ET141"/>
      <c r="EU141"/>
      <c r="EV141"/>
      <c r="EW141"/>
      <c r="EX141"/>
      <c r="EY141"/>
      <c r="EZ141"/>
      <c r="FA141"/>
      <c r="FB141"/>
      <c r="FC141"/>
      <c r="FD141"/>
      <c r="FE141"/>
      <c r="FF141"/>
      <c r="FG141"/>
      <c r="FH141"/>
      <c r="FI141"/>
      <c r="FJ141"/>
      <c r="FK141"/>
      <c r="FL141"/>
      <c r="FM141"/>
      <c r="FN141"/>
      <c r="FO141"/>
      <c r="FP141"/>
      <c r="FQ141"/>
      <c r="FR141"/>
      <c r="FS141"/>
      <c r="FT141"/>
      <c r="FU141"/>
      <c r="FV141"/>
      <c r="FW141"/>
      <c r="FX141"/>
      <c r="FY141"/>
      <c r="FZ141"/>
      <c r="GA141"/>
      <c r="GB141"/>
      <c r="GC141"/>
      <c r="GD141"/>
      <c r="GE141"/>
      <c r="GF141"/>
      <c r="GG141"/>
      <c r="GH141"/>
      <c r="GI141"/>
      <c r="GJ141"/>
      <c r="GK141"/>
      <c r="GL141"/>
      <c r="GM141"/>
      <c r="GN141"/>
      <c r="GO141"/>
      <c r="GP141"/>
      <c r="GQ141"/>
      <c r="GR141"/>
      <c r="GS141"/>
      <c r="GT141"/>
      <c r="GU141"/>
      <c r="GV141"/>
      <c r="GW141"/>
      <c r="GX141"/>
      <c r="GY141"/>
      <c r="GZ141"/>
      <c r="HA141"/>
    </row>
    <row r="142" spans="1:209" ht="15" customHeight="1" x14ac:dyDescent="0.15">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ER142"/>
      <c r="ES142"/>
      <c r="ET142"/>
      <c r="EU142"/>
      <c r="EV142"/>
      <c r="EW142"/>
      <c r="EX142"/>
      <c r="EY142"/>
      <c r="EZ142"/>
      <c r="FA142"/>
      <c r="FB142"/>
      <c r="FC142"/>
      <c r="FD142"/>
      <c r="FE142"/>
      <c r="FF142"/>
      <c r="FG142"/>
      <c r="FH142"/>
      <c r="FI142"/>
      <c r="FJ142"/>
      <c r="FK142"/>
      <c r="FL142"/>
      <c r="FM142"/>
      <c r="FN142"/>
      <c r="FO142"/>
      <c r="FP142"/>
      <c r="FQ142"/>
      <c r="FR142"/>
      <c r="FS142"/>
      <c r="FT142"/>
      <c r="FU142"/>
      <c r="FV142"/>
      <c r="FW142"/>
      <c r="FX142"/>
      <c r="FY142"/>
      <c r="FZ142"/>
      <c r="GA142"/>
      <c r="GB142"/>
      <c r="GC142"/>
      <c r="GD142"/>
      <c r="GE142"/>
      <c r="GF142"/>
      <c r="GG142"/>
      <c r="GH142"/>
      <c r="GI142"/>
      <c r="GJ142"/>
      <c r="GK142"/>
      <c r="GL142"/>
      <c r="GM142"/>
      <c r="GN142"/>
      <c r="GO142"/>
      <c r="GP142"/>
      <c r="GQ142"/>
      <c r="GR142"/>
      <c r="GS142"/>
      <c r="GT142"/>
      <c r="GU142"/>
      <c r="GV142"/>
      <c r="GW142"/>
      <c r="GX142"/>
      <c r="GY142"/>
      <c r="GZ142"/>
      <c r="HA142"/>
    </row>
    <row r="143" spans="1:209" ht="15" customHeight="1" x14ac:dyDescent="0.15">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c r="EO143"/>
      <c r="EP143"/>
      <c r="EQ143"/>
      <c r="ER143"/>
      <c r="ES143"/>
      <c r="ET143"/>
      <c r="EU143"/>
      <c r="EV143"/>
      <c r="EW143"/>
      <c r="EX143"/>
      <c r="EY143"/>
      <c r="EZ143"/>
      <c r="FA143"/>
      <c r="FB143"/>
      <c r="FC143"/>
      <c r="FD143"/>
      <c r="FE143"/>
      <c r="FF143"/>
      <c r="FG143"/>
      <c r="FH143"/>
      <c r="FI143"/>
      <c r="FJ143"/>
      <c r="FK143"/>
      <c r="FL143"/>
      <c r="FM143"/>
      <c r="FN143"/>
      <c r="FO143"/>
      <c r="FP143"/>
      <c r="FQ143"/>
      <c r="FR143"/>
      <c r="FS143"/>
      <c r="FT143"/>
      <c r="FU143"/>
      <c r="FV143"/>
      <c r="FW143"/>
      <c r="FX143"/>
      <c r="FY143"/>
      <c r="FZ143"/>
      <c r="GA143"/>
      <c r="GB143"/>
      <c r="GC143"/>
      <c r="GD143"/>
      <c r="GE143"/>
      <c r="GF143"/>
      <c r="GG143"/>
      <c r="GH143"/>
      <c r="GI143"/>
      <c r="GJ143"/>
      <c r="GK143"/>
      <c r="GL143"/>
      <c r="GM143"/>
      <c r="GN143"/>
      <c r="GO143"/>
      <c r="GP143"/>
      <c r="GQ143"/>
      <c r="GR143"/>
      <c r="GS143"/>
      <c r="GT143"/>
      <c r="GU143"/>
      <c r="GV143"/>
      <c r="GW143"/>
      <c r="GX143"/>
      <c r="GY143"/>
      <c r="GZ143"/>
      <c r="HA143"/>
    </row>
    <row r="144" spans="1:209" ht="15" customHeight="1" x14ac:dyDescent="0.15">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c r="EO144"/>
      <c r="EP144"/>
      <c r="EQ144"/>
      <c r="ER144"/>
      <c r="ES144"/>
      <c r="ET144"/>
      <c r="EU144"/>
      <c r="EV144"/>
      <c r="EW144"/>
      <c r="EX144"/>
      <c r="EY144"/>
      <c r="EZ144"/>
      <c r="FA144"/>
      <c r="FB144"/>
      <c r="FC144"/>
      <c r="FD144"/>
      <c r="FE144"/>
      <c r="FF144"/>
      <c r="FG144"/>
      <c r="FH144"/>
      <c r="FI144"/>
      <c r="FJ144"/>
      <c r="FK144"/>
      <c r="FL144"/>
      <c r="FM144"/>
      <c r="FN144"/>
      <c r="FO144"/>
      <c r="FP144"/>
      <c r="FQ144"/>
      <c r="FR144"/>
      <c r="FS144"/>
      <c r="FT144"/>
      <c r="FU144"/>
      <c r="FV144"/>
      <c r="FW144"/>
      <c r="FX144"/>
      <c r="FY144"/>
      <c r="FZ144"/>
      <c r="GA144"/>
      <c r="GB144"/>
      <c r="GC144"/>
      <c r="GD144"/>
      <c r="GE144"/>
      <c r="GF144"/>
      <c r="GG144"/>
      <c r="GH144"/>
      <c r="GI144"/>
      <c r="GJ144"/>
      <c r="GK144"/>
      <c r="GL144"/>
      <c r="GM144"/>
      <c r="GN144"/>
      <c r="GO144"/>
      <c r="GP144"/>
      <c r="GQ144"/>
      <c r="GR144"/>
      <c r="GS144"/>
      <c r="GT144"/>
      <c r="GU144"/>
      <c r="GV144"/>
      <c r="GW144"/>
      <c r="GX144"/>
      <c r="GY144"/>
      <c r="GZ144"/>
      <c r="HA144"/>
    </row>
    <row r="145" spans="1:209" ht="15" customHeight="1" x14ac:dyDescent="0.15">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c r="EO145"/>
      <c r="EP145"/>
      <c r="EQ145"/>
      <c r="ER145"/>
      <c r="ES145"/>
      <c r="ET145"/>
      <c r="EU145"/>
      <c r="EV145"/>
      <c r="EW145"/>
      <c r="EX145"/>
      <c r="EY145"/>
      <c r="EZ145"/>
      <c r="FA145"/>
      <c r="FB145"/>
      <c r="FC145"/>
      <c r="FD145"/>
      <c r="FE145"/>
      <c r="FF145"/>
      <c r="FG145"/>
      <c r="FH145"/>
      <c r="FI145"/>
      <c r="FJ145"/>
      <c r="FK145"/>
      <c r="FL145"/>
      <c r="FM145"/>
      <c r="FN145"/>
      <c r="FO145"/>
      <c r="FP145"/>
      <c r="FQ145"/>
      <c r="FR145"/>
      <c r="FS145"/>
      <c r="FT145"/>
      <c r="FU145"/>
      <c r="FV145"/>
      <c r="FW145"/>
      <c r="FX145"/>
      <c r="FY145"/>
      <c r="FZ145"/>
      <c r="GA145"/>
      <c r="GB145"/>
      <c r="GC145"/>
      <c r="GD145"/>
      <c r="GE145"/>
      <c r="GF145"/>
      <c r="GG145"/>
      <c r="GH145"/>
      <c r="GI145"/>
      <c r="GJ145"/>
      <c r="GK145"/>
      <c r="GL145"/>
      <c r="GM145"/>
      <c r="GN145"/>
      <c r="GO145"/>
      <c r="GP145"/>
      <c r="GQ145"/>
      <c r="GR145"/>
      <c r="GS145"/>
      <c r="GT145"/>
      <c r="GU145"/>
      <c r="GV145"/>
      <c r="GW145"/>
      <c r="GX145"/>
      <c r="GY145"/>
      <c r="GZ145"/>
      <c r="HA145"/>
    </row>
    <row r="146" spans="1:209" ht="15" customHeight="1" x14ac:dyDescent="0.15">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c r="EO146"/>
      <c r="EP146"/>
      <c r="EQ146"/>
      <c r="ER146"/>
      <c r="ES146"/>
      <c r="ET146"/>
      <c r="EU146"/>
      <c r="EV146"/>
      <c r="EW146"/>
      <c r="EX146"/>
      <c r="EY146"/>
      <c r="EZ146"/>
      <c r="FA146"/>
      <c r="FB146"/>
      <c r="FC146"/>
      <c r="FD146"/>
      <c r="FE146"/>
      <c r="FF146"/>
      <c r="FG146"/>
      <c r="FH146"/>
      <c r="FI146"/>
      <c r="FJ146"/>
      <c r="FK146"/>
      <c r="FL146"/>
      <c r="FM146"/>
      <c r="FN146"/>
      <c r="FO146"/>
      <c r="FP146"/>
      <c r="FQ146"/>
      <c r="FR146"/>
      <c r="FS146"/>
      <c r="FT146"/>
      <c r="FU146"/>
      <c r="FV146"/>
      <c r="FW146"/>
      <c r="FX146"/>
      <c r="FY146"/>
      <c r="FZ146"/>
      <c r="GA146"/>
      <c r="GB146"/>
      <c r="GC146"/>
      <c r="GD146"/>
      <c r="GE146"/>
      <c r="GF146"/>
      <c r="GG146"/>
      <c r="GH146"/>
      <c r="GI146"/>
      <c r="GJ146"/>
      <c r="GK146"/>
      <c r="GL146"/>
      <c r="GM146"/>
      <c r="GN146"/>
      <c r="GO146"/>
      <c r="GP146"/>
      <c r="GQ146"/>
      <c r="GR146"/>
      <c r="GS146"/>
      <c r="GT146"/>
      <c r="GU146"/>
      <c r="GV146"/>
      <c r="GW146"/>
      <c r="GX146"/>
      <c r="GY146"/>
      <c r="GZ146"/>
      <c r="HA146"/>
    </row>
    <row r="147" spans="1:209" ht="15" customHeight="1" x14ac:dyDescent="0.15">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c r="EO147"/>
      <c r="EP147"/>
      <c r="EQ147"/>
      <c r="ER147"/>
      <c r="ES147"/>
      <c r="ET147"/>
      <c r="EU147"/>
      <c r="EV147"/>
      <c r="EW147"/>
      <c r="EX147"/>
      <c r="EY147"/>
      <c r="EZ147"/>
      <c r="FA147"/>
      <c r="FB147"/>
      <c r="FC147"/>
      <c r="FD147"/>
      <c r="FE147"/>
      <c r="FF147"/>
      <c r="FG147"/>
      <c r="FH147"/>
      <c r="FI147"/>
      <c r="FJ147"/>
      <c r="FK147"/>
      <c r="FL147"/>
      <c r="FM147"/>
      <c r="FN147"/>
      <c r="FO147"/>
      <c r="FP147"/>
      <c r="FQ147"/>
      <c r="FR147"/>
      <c r="FS147"/>
      <c r="FT147"/>
      <c r="FU147"/>
      <c r="FV147"/>
      <c r="FW147"/>
      <c r="FX147"/>
      <c r="FY147"/>
      <c r="FZ147"/>
      <c r="GA147"/>
      <c r="GB147"/>
      <c r="GC147"/>
      <c r="GD147"/>
      <c r="GE147"/>
      <c r="GF147"/>
      <c r="GG147"/>
      <c r="GH147"/>
      <c r="GI147"/>
      <c r="GJ147"/>
      <c r="GK147"/>
      <c r="GL147"/>
      <c r="GM147"/>
      <c r="GN147"/>
      <c r="GO147"/>
      <c r="GP147"/>
      <c r="GQ147"/>
      <c r="GR147"/>
      <c r="GS147"/>
      <c r="GT147"/>
      <c r="GU147"/>
      <c r="GV147"/>
      <c r="GW147"/>
      <c r="GX147"/>
      <c r="GY147"/>
      <c r="GZ147"/>
      <c r="HA147"/>
    </row>
    <row r="148" spans="1:209" ht="15" customHeight="1" x14ac:dyDescent="0.15">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c r="EO148"/>
      <c r="EP148"/>
      <c r="EQ148"/>
      <c r="ER148"/>
      <c r="ES148"/>
      <c r="ET148"/>
      <c r="EU148"/>
      <c r="EV148"/>
      <c r="EW148"/>
      <c r="EX148"/>
      <c r="EY148"/>
      <c r="EZ148"/>
      <c r="FA148"/>
      <c r="FB148"/>
      <c r="FC148"/>
      <c r="FD148"/>
      <c r="FE148"/>
      <c r="FF148"/>
      <c r="FG148"/>
      <c r="FH148"/>
      <c r="FI148"/>
      <c r="FJ148"/>
      <c r="FK148"/>
      <c r="FL148"/>
      <c r="FM148"/>
      <c r="FN148"/>
      <c r="FO148"/>
      <c r="FP148"/>
      <c r="FQ148"/>
      <c r="FR148"/>
      <c r="FS148"/>
      <c r="FT148"/>
      <c r="FU148"/>
      <c r="FV148"/>
      <c r="FW148"/>
      <c r="FX148"/>
      <c r="FY148"/>
      <c r="FZ148"/>
      <c r="GA148"/>
      <c r="GB148"/>
      <c r="GC148"/>
      <c r="GD148"/>
      <c r="GE148"/>
      <c r="GF148"/>
      <c r="GG148"/>
      <c r="GH148"/>
      <c r="GI148"/>
      <c r="GJ148"/>
      <c r="GK148"/>
      <c r="GL148"/>
      <c r="GM148"/>
      <c r="GN148"/>
      <c r="GO148"/>
      <c r="GP148"/>
      <c r="GQ148"/>
      <c r="GR148"/>
      <c r="GS148"/>
      <c r="GT148"/>
      <c r="GU148"/>
      <c r="GV148"/>
      <c r="GW148"/>
      <c r="GX148"/>
      <c r="GY148"/>
      <c r="GZ148"/>
      <c r="HA148"/>
    </row>
    <row r="149" spans="1:209" ht="15" customHeight="1" x14ac:dyDescent="0.15">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c r="EO149"/>
      <c r="EP149"/>
      <c r="EQ149"/>
      <c r="ER149"/>
      <c r="ES149"/>
      <c r="ET149"/>
      <c r="EU149"/>
      <c r="EV149"/>
      <c r="EW149"/>
      <c r="EX149"/>
      <c r="EY149"/>
      <c r="EZ149"/>
      <c r="FA149"/>
      <c r="FB149"/>
      <c r="FC149"/>
      <c r="FD149"/>
      <c r="FE149"/>
      <c r="FF149"/>
      <c r="FG149"/>
      <c r="FH149"/>
      <c r="FI149"/>
      <c r="FJ149"/>
      <c r="FK149"/>
      <c r="FL149"/>
      <c r="FM149"/>
      <c r="FN149"/>
      <c r="FO149"/>
      <c r="FP149"/>
      <c r="FQ149"/>
      <c r="FR149"/>
      <c r="FS149"/>
      <c r="FT149"/>
      <c r="FU149"/>
      <c r="FV149"/>
      <c r="FW149"/>
      <c r="FX149"/>
      <c r="FY149"/>
      <c r="FZ149"/>
      <c r="GA149"/>
      <c r="GB149"/>
      <c r="GC149"/>
      <c r="GD149"/>
      <c r="GE149"/>
      <c r="GF149"/>
      <c r="GG149"/>
      <c r="GH149"/>
      <c r="GI149"/>
      <c r="GJ149"/>
      <c r="GK149"/>
      <c r="GL149"/>
      <c r="GM149"/>
      <c r="GN149"/>
      <c r="GO149"/>
      <c r="GP149"/>
      <c r="GQ149"/>
      <c r="GR149"/>
      <c r="GS149"/>
      <c r="GT149"/>
      <c r="GU149"/>
      <c r="GV149"/>
      <c r="GW149"/>
      <c r="GX149"/>
      <c r="GY149"/>
      <c r="GZ149"/>
      <c r="HA149"/>
    </row>
    <row r="150" spans="1:209" ht="15" customHeight="1" x14ac:dyDescent="0.15">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c r="EO150"/>
      <c r="EP150"/>
      <c r="EQ150"/>
      <c r="ER150"/>
      <c r="ES150"/>
      <c r="ET150"/>
      <c r="EU150"/>
      <c r="EV150"/>
      <c r="EW150"/>
      <c r="EX150"/>
      <c r="EY150"/>
      <c r="EZ150"/>
      <c r="FA150"/>
      <c r="FB150"/>
      <c r="FC150"/>
      <c r="FD150"/>
      <c r="FE150"/>
      <c r="FF150"/>
      <c r="FG150"/>
      <c r="FH150"/>
      <c r="FI150"/>
      <c r="FJ150"/>
      <c r="FK150"/>
      <c r="FL150"/>
      <c r="FM150"/>
      <c r="FN150"/>
      <c r="FO150"/>
      <c r="FP150"/>
      <c r="FQ150"/>
      <c r="FR150"/>
      <c r="FS150"/>
      <c r="FT150"/>
      <c r="FU150"/>
      <c r="FV150"/>
      <c r="FW150"/>
      <c r="FX150"/>
      <c r="FY150"/>
      <c r="FZ150"/>
      <c r="GA150"/>
      <c r="GB150"/>
      <c r="GC150"/>
      <c r="GD150"/>
      <c r="GE150"/>
      <c r="GF150"/>
      <c r="GG150"/>
      <c r="GH150"/>
      <c r="GI150"/>
      <c r="GJ150"/>
      <c r="GK150"/>
      <c r="GL150"/>
      <c r="GM150"/>
      <c r="GN150"/>
      <c r="GO150"/>
      <c r="GP150"/>
      <c r="GQ150"/>
      <c r="GR150"/>
      <c r="GS150"/>
      <c r="GT150"/>
      <c r="GU150"/>
      <c r="GV150"/>
      <c r="GW150"/>
      <c r="GX150"/>
      <c r="GY150"/>
      <c r="GZ150"/>
      <c r="HA150"/>
    </row>
    <row r="151" spans="1:209" ht="15" customHeight="1" x14ac:dyDescent="0.15">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c r="EO151"/>
      <c r="EP151"/>
      <c r="EQ151"/>
      <c r="ER151"/>
      <c r="ES151"/>
      <c r="ET151"/>
      <c r="EU151"/>
      <c r="EV151"/>
      <c r="EW151"/>
      <c r="EX151"/>
      <c r="EY151"/>
      <c r="EZ151"/>
      <c r="FA151"/>
      <c r="FB151"/>
      <c r="FC151"/>
      <c r="FD151"/>
      <c r="FE151"/>
      <c r="FF151"/>
      <c r="FG151"/>
      <c r="FH151"/>
      <c r="FI151"/>
      <c r="FJ151"/>
      <c r="FK151"/>
      <c r="FL151"/>
      <c r="FM151"/>
      <c r="FN151"/>
      <c r="FO151"/>
      <c r="FP151"/>
      <c r="FQ151"/>
      <c r="FR151"/>
      <c r="FS151"/>
      <c r="FT151"/>
      <c r="FU151"/>
      <c r="FV151"/>
      <c r="FW151"/>
      <c r="FX151"/>
      <c r="FY151"/>
      <c r="FZ151"/>
      <c r="GA151"/>
      <c r="GB151"/>
      <c r="GC151"/>
      <c r="GD151"/>
      <c r="GE151"/>
      <c r="GF151"/>
      <c r="GG151"/>
      <c r="GH151"/>
      <c r="GI151"/>
      <c r="GJ151"/>
      <c r="GK151"/>
      <c r="GL151"/>
      <c r="GM151"/>
      <c r="GN151"/>
      <c r="GO151"/>
      <c r="GP151"/>
      <c r="GQ151"/>
      <c r="GR151"/>
      <c r="GS151"/>
      <c r="GT151"/>
      <c r="GU151"/>
      <c r="GV151"/>
      <c r="GW151"/>
      <c r="GX151"/>
      <c r="GY151"/>
      <c r="GZ151"/>
      <c r="HA151"/>
    </row>
    <row r="152" spans="1:209" ht="15" customHeight="1" x14ac:dyDescent="0.15">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c r="FC152"/>
      <c r="FD152"/>
      <c r="FE152"/>
      <c r="FF152"/>
      <c r="FG152"/>
      <c r="FH152"/>
      <c r="FI152"/>
      <c r="FJ152"/>
      <c r="FK152"/>
      <c r="FL152"/>
      <c r="FM152"/>
      <c r="FN152"/>
      <c r="FO152"/>
      <c r="FP152"/>
      <c r="FQ152"/>
      <c r="FR152"/>
      <c r="FS152"/>
      <c r="FT152"/>
      <c r="FU152"/>
      <c r="FV152"/>
      <c r="FW152"/>
      <c r="FX152"/>
      <c r="FY152"/>
      <c r="FZ152"/>
      <c r="GA152"/>
      <c r="GB152"/>
      <c r="GC152"/>
      <c r="GD152"/>
      <c r="GE152"/>
      <c r="GF152"/>
      <c r="GG152"/>
      <c r="GH152"/>
      <c r="GI152"/>
      <c r="GJ152"/>
      <c r="GK152"/>
      <c r="GL152"/>
      <c r="GM152"/>
      <c r="GN152"/>
      <c r="GO152"/>
      <c r="GP152"/>
      <c r="GQ152"/>
      <c r="GR152"/>
      <c r="GS152"/>
      <c r="GT152"/>
      <c r="GU152"/>
      <c r="GV152"/>
      <c r="GW152"/>
      <c r="GX152"/>
      <c r="GY152"/>
      <c r="GZ152"/>
      <c r="HA152"/>
    </row>
    <row r="153" spans="1:209" ht="15" customHeight="1" x14ac:dyDescent="0.15">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c r="EO153"/>
      <c r="EP153"/>
      <c r="EQ153"/>
      <c r="ER153"/>
      <c r="ES153"/>
      <c r="ET153"/>
      <c r="EU153"/>
      <c r="EV153"/>
      <c r="EW153"/>
      <c r="EX153"/>
      <c r="EY153"/>
      <c r="EZ153"/>
      <c r="FA153"/>
      <c r="FB153"/>
      <c r="FC153"/>
      <c r="FD153"/>
      <c r="FE153"/>
      <c r="FF153"/>
      <c r="FG153"/>
      <c r="FH153"/>
      <c r="FI153"/>
      <c r="FJ153"/>
      <c r="FK153"/>
      <c r="FL153"/>
      <c r="FM153"/>
      <c r="FN153"/>
      <c r="FO153"/>
      <c r="FP153"/>
      <c r="FQ153"/>
      <c r="FR153"/>
      <c r="FS153"/>
      <c r="FT153"/>
      <c r="FU153"/>
      <c r="FV153"/>
      <c r="FW153"/>
      <c r="FX153"/>
      <c r="FY153"/>
      <c r="FZ153"/>
      <c r="GA153"/>
      <c r="GB153"/>
      <c r="GC153"/>
      <c r="GD153"/>
      <c r="GE153"/>
      <c r="GF153"/>
      <c r="GG153"/>
      <c r="GH153"/>
      <c r="GI153"/>
      <c r="GJ153"/>
      <c r="GK153"/>
      <c r="GL153"/>
      <c r="GM153"/>
      <c r="GN153"/>
      <c r="GO153"/>
      <c r="GP153"/>
      <c r="GQ153"/>
      <c r="GR153"/>
      <c r="GS153"/>
      <c r="GT153"/>
      <c r="GU153"/>
      <c r="GV153"/>
      <c r="GW153"/>
      <c r="GX153"/>
      <c r="GY153"/>
      <c r="GZ153"/>
      <c r="HA153"/>
    </row>
    <row r="154" spans="1:209" ht="15" customHeight="1" x14ac:dyDescent="0.15">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ER154"/>
      <c r="ES154"/>
      <c r="ET154"/>
      <c r="EU154"/>
      <c r="EV154"/>
      <c r="EW154"/>
      <c r="EX154"/>
      <c r="EY154"/>
      <c r="EZ154"/>
      <c r="FA154"/>
      <c r="FB154"/>
      <c r="FC154"/>
      <c r="FD154"/>
      <c r="FE154"/>
      <c r="FF154"/>
      <c r="FG154"/>
      <c r="FH154"/>
      <c r="FI154"/>
      <c r="FJ154"/>
      <c r="FK154"/>
      <c r="FL154"/>
      <c r="FM154"/>
      <c r="FN154"/>
      <c r="FO154"/>
      <c r="FP154"/>
      <c r="FQ154"/>
      <c r="FR154"/>
      <c r="FS154"/>
      <c r="FT154"/>
      <c r="FU154"/>
      <c r="FV154"/>
      <c r="FW154"/>
      <c r="FX154"/>
      <c r="FY154"/>
      <c r="FZ154"/>
      <c r="GA154"/>
      <c r="GB154"/>
      <c r="GC154"/>
      <c r="GD154"/>
      <c r="GE154"/>
      <c r="GF154"/>
      <c r="GG154"/>
      <c r="GH154"/>
      <c r="GI154"/>
      <c r="GJ154"/>
      <c r="GK154"/>
      <c r="GL154"/>
      <c r="GM154"/>
      <c r="GN154"/>
      <c r="GO154"/>
      <c r="GP154"/>
      <c r="GQ154"/>
      <c r="GR154"/>
      <c r="GS154"/>
      <c r="GT154"/>
      <c r="GU154"/>
      <c r="GV154"/>
      <c r="GW154"/>
      <c r="GX154"/>
      <c r="GY154"/>
      <c r="GZ154"/>
      <c r="HA154"/>
    </row>
    <row r="155" spans="1:209" ht="15" customHeight="1" x14ac:dyDescent="0.15">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c r="EO155"/>
      <c r="EP155"/>
      <c r="EQ155"/>
      <c r="ER155"/>
      <c r="ES155"/>
      <c r="ET155"/>
      <c r="EU155"/>
      <c r="EV155"/>
      <c r="EW155"/>
      <c r="EX155"/>
      <c r="EY155"/>
      <c r="EZ155"/>
      <c r="FA155"/>
      <c r="FB155"/>
      <c r="FC155"/>
      <c r="FD155"/>
      <c r="FE155"/>
      <c r="FF155"/>
      <c r="FG155"/>
      <c r="FH155"/>
      <c r="FI155"/>
      <c r="FJ155"/>
      <c r="FK155"/>
      <c r="FL155"/>
      <c r="FM155"/>
      <c r="FN155"/>
      <c r="FO155"/>
      <c r="FP155"/>
      <c r="FQ155"/>
      <c r="FR155"/>
      <c r="FS155"/>
      <c r="FT155"/>
      <c r="FU155"/>
      <c r="FV155"/>
      <c r="FW155"/>
      <c r="FX155"/>
      <c r="FY155"/>
      <c r="FZ155"/>
      <c r="GA155"/>
      <c r="GB155"/>
      <c r="GC155"/>
      <c r="GD155"/>
      <c r="GE155"/>
      <c r="GF155"/>
      <c r="GG155"/>
      <c r="GH155"/>
      <c r="GI155"/>
      <c r="GJ155"/>
      <c r="GK155"/>
      <c r="GL155"/>
      <c r="GM155"/>
      <c r="GN155"/>
      <c r="GO155"/>
      <c r="GP155"/>
      <c r="GQ155"/>
      <c r="GR155"/>
      <c r="GS155"/>
      <c r="GT155"/>
      <c r="GU155"/>
      <c r="GV155"/>
      <c r="GW155"/>
      <c r="GX155"/>
      <c r="GY155"/>
      <c r="GZ155"/>
      <c r="HA155"/>
    </row>
    <row r="156" spans="1:209" ht="15" customHeight="1" x14ac:dyDescent="0.15">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c r="EO156"/>
      <c r="EP156"/>
      <c r="EQ156"/>
      <c r="ER156"/>
      <c r="ES156"/>
      <c r="ET156"/>
      <c r="EU156"/>
      <c r="EV156"/>
      <c r="EW156"/>
      <c r="EX156"/>
      <c r="EY156"/>
      <c r="EZ156"/>
      <c r="FA156"/>
      <c r="FB156"/>
      <c r="FC156"/>
      <c r="FD156"/>
      <c r="FE156"/>
      <c r="FF156"/>
      <c r="FG156"/>
      <c r="FH156"/>
      <c r="FI156"/>
      <c r="FJ156"/>
      <c r="FK156"/>
      <c r="FL156"/>
      <c r="FM156"/>
      <c r="FN156"/>
      <c r="FO156"/>
      <c r="FP156"/>
      <c r="FQ156"/>
      <c r="FR156"/>
      <c r="FS156"/>
      <c r="FT156"/>
      <c r="FU156"/>
      <c r="FV156"/>
      <c r="FW156"/>
      <c r="FX156"/>
      <c r="FY156"/>
      <c r="FZ156"/>
      <c r="GA156"/>
      <c r="GB156"/>
      <c r="GC156"/>
      <c r="GD156"/>
      <c r="GE156"/>
      <c r="GF156"/>
      <c r="GG156"/>
      <c r="GH156"/>
      <c r="GI156"/>
      <c r="GJ156"/>
      <c r="GK156"/>
      <c r="GL156"/>
      <c r="GM156"/>
      <c r="GN156"/>
      <c r="GO156"/>
      <c r="GP156"/>
      <c r="GQ156"/>
      <c r="GR156"/>
      <c r="GS156"/>
      <c r="GT156"/>
      <c r="GU156"/>
      <c r="GV156"/>
      <c r="GW156"/>
      <c r="GX156"/>
      <c r="GY156"/>
      <c r="GZ156"/>
      <c r="HA156"/>
    </row>
    <row r="157" spans="1:209" ht="15" customHeight="1" x14ac:dyDescent="0.15">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c r="EO157"/>
      <c r="EP157"/>
      <c r="EQ157"/>
      <c r="ER157"/>
      <c r="ES157"/>
      <c r="ET157"/>
      <c r="EU157"/>
      <c r="EV157"/>
      <c r="EW157"/>
      <c r="EX157"/>
      <c r="EY157"/>
      <c r="EZ157"/>
      <c r="FA157"/>
      <c r="FB157"/>
      <c r="FC157"/>
      <c r="FD157"/>
      <c r="FE157"/>
      <c r="FF157"/>
      <c r="FG157"/>
      <c r="FH157"/>
      <c r="FI157"/>
      <c r="FJ157"/>
      <c r="FK157"/>
      <c r="FL157"/>
      <c r="FM157"/>
      <c r="FN157"/>
      <c r="FO157"/>
      <c r="FP157"/>
      <c r="FQ157"/>
      <c r="FR157"/>
      <c r="FS157"/>
      <c r="FT157"/>
      <c r="FU157"/>
      <c r="FV157"/>
      <c r="FW157"/>
      <c r="FX157"/>
      <c r="FY157"/>
      <c r="FZ157"/>
      <c r="GA157"/>
      <c r="GB157"/>
      <c r="GC157"/>
      <c r="GD157"/>
      <c r="GE157"/>
      <c r="GF157"/>
      <c r="GG157"/>
      <c r="GH157"/>
      <c r="GI157"/>
      <c r="GJ157"/>
      <c r="GK157"/>
      <c r="GL157"/>
      <c r="GM157"/>
      <c r="GN157"/>
      <c r="GO157"/>
      <c r="GP157"/>
      <c r="GQ157"/>
      <c r="GR157"/>
      <c r="GS157"/>
      <c r="GT157"/>
      <c r="GU157"/>
      <c r="GV157"/>
      <c r="GW157"/>
      <c r="GX157"/>
      <c r="GY157"/>
      <c r="GZ157"/>
      <c r="HA157"/>
    </row>
    <row r="158" spans="1:209" ht="15" customHeight="1" x14ac:dyDescent="0.15">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c r="ER158"/>
      <c r="ES158"/>
      <c r="ET158"/>
      <c r="EU158"/>
      <c r="EV158"/>
      <c r="EW158"/>
      <c r="EX158"/>
      <c r="EY158"/>
      <c r="EZ158"/>
      <c r="FA158"/>
      <c r="FB158"/>
      <c r="FC158"/>
      <c r="FD158"/>
      <c r="FE158"/>
      <c r="FF158"/>
      <c r="FG158"/>
      <c r="FH158"/>
      <c r="FI158"/>
      <c r="FJ158"/>
      <c r="FK158"/>
      <c r="FL158"/>
      <c r="FM158"/>
      <c r="FN158"/>
      <c r="FO158"/>
      <c r="FP158"/>
      <c r="FQ158"/>
      <c r="FR158"/>
      <c r="FS158"/>
      <c r="FT158"/>
      <c r="FU158"/>
      <c r="FV158"/>
      <c r="FW158"/>
      <c r="FX158"/>
      <c r="FY158"/>
      <c r="FZ158"/>
      <c r="GA158"/>
      <c r="GB158"/>
      <c r="GC158"/>
      <c r="GD158"/>
      <c r="GE158"/>
      <c r="GF158"/>
      <c r="GG158"/>
      <c r="GH158"/>
      <c r="GI158"/>
      <c r="GJ158"/>
      <c r="GK158"/>
      <c r="GL158"/>
      <c r="GM158"/>
      <c r="GN158"/>
      <c r="GO158"/>
      <c r="GP158"/>
      <c r="GQ158"/>
      <c r="GR158"/>
      <c r="GS158"/>
      <c r="GT158"/>
      <c r="GU158"/>
      <c r="GV158"/>
      <c r="GW158"/>
      <c r="GX158"/>
      <c r="GY158"/>
      <c r="GZ158"/>
      <c r="HA158"/>
    </row>
    <row r="159" spans="1:209" ht="15" customHeight="1" x14ac:dyDescent="0.15">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c r="ER159"/>
      <c r="ES159"/>
      <c r="ET159"/>
      <c r="EU159"/>
      <c r="EV159"/>
      <c r="EW159"/>
      <c r="EX159"/>
      <c r="EY159"/>
      <c r="EZ159"/>
      <c r="FA159"/>
      <c r="FB159"/>
      <c r="FC159"/>
      <c r="FD159"/>
      <c r="FE159"/>
      <c r="FF159"/>
      <c r="FG159"/>
      <c r="FH159"/>
      <c r="FI159"/>
      <c r="FJ159"/>
      <c r="FK159"/>
      <c r="FL159"/>
      <c r="FM159"/>
      <c r="FN159"/>
      <c r="FO159"/>
      <c r="FP159"/>
      <c r="FQ159"/>
      <c r="FR159"/>
      <c r="FS159"/>
      <c r="FT159"/>
      <c r="FU159"/>
      <c r="FV159"/>
      <c r="FW159"/>
      <c r="FX159"/>
      <c r="FY159"/>
      <c r="FZ159"/>
      <c r="GA159"/>
      <c r="GB159"/>
      <c r="GC159"/>
      <c r="GD159"/>
      <c r="GE159"/>
      <c r="GF159"/>
      <c r="GG159"/>
      <c r="GH159"/>
      <c r="GI159"/>
      <c r="GJ159"/>
      <c r="GK159"/>
      <c r="GL159"/>
      <c r="GM159"/>
      <c r="GN159"/>
      <c r="GO159"/>
      <c r="GP159"/>
      <c r="GQ159"/>
      <c r="GR159"/>
      <c r="GS159"/>
      <c r="GT159"/>
      <c r="GU159"/>
      <c r="GV159"/>
      <c r="GW159"/>
      <c r="GX159"/>
      <c r="GY159"/>
      <c r="GZ159"/>
      <c r="HA159"/>
    </row>
    <row r="160" spans="1:209" ht="15" customHeight="1" x14ac:dyDescent="0.15">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c r="EO160"/>
      <c r="EP160"/>
      <c r="EQ160"/>
      <c r="ER160"/>
      <c r="ES160"/>
      <c r="ET160"/>
      <c r="EU160"/>
      <c r="EV160"/>
      <c r="EW160"/>
      <c r="EX160"/>
      <c r="EY160"/>
      <c r="EZ160"/>
      <c r="FA160"/>
      <c r="FB160"/>
      <c r="FC160"/>
      <c r="FD160"/>
      <c r="FE160"/>
      <c r="FF160"/>
      <c r="FG160"/>
      <c r="FH160"/>
      <c r="FI160"/>
      <c r="FJ160"/>
      <c r="FK160"/>
      <c r="FL160"/>
      <c r="FM160"/>
      <c r="FN160"/>
      <c r="FO160"/>
      <c r="FP160"/>
      <c r="FQ160"/>
      <c r="FR160"/>
      <c r="FS160"/>
      <c r="FT160"/>
      <c r="FU160"/>
      <c r="FV160"/>
      <c r="FW160"/>
      <c r="FX160"/>
      <c r="FY160"/>
      <c r="FZ160"/>
      <c r="GA160"/>
      <c r="GB160"/>
      <c r="GC160"/>
      <c r="GD160"/>
      <c r="GE160"/>
      <c r="GF160"/>
      <c r="GG160"/>
      <c r="GH160"/>
      <c r="GI160"/>
      <c r="GJ160"/>
      <c r="GK160"/>
      <c r="GL160"/>
      <c r="GM160"/>
      <c r="GN160"/>
      <c r="GO160"/>
      <c r="GP160"/>
      <c r="GQ160"/>
      <c r="GR160"/>
      <c r="GS160"/>
      <c r="GT160"/>
      <c r="GU160"/>
      <c r="GV160"/>
      <c r="GW160"/>
      <c r="GX160"/>
      <c r="GY160"/>
      <c r="GZ160"/>
      <c r="HA160"/>
    </row>
    <row r="161" spans="1:209" ht="15" customHeight="1" x14ac:dyDescent="0.15">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c r="ER161"/>
      <c r="ES161"/>
      <c r="ET161"/>
      <c r="EU161"/>
      <c r="EV161"/>
      <c r="EW161"/>
      <c r="EX161"/>
      <c r="EY161"/>
      <c r="EZ161"/>
      <c r="FA161"/>
      <c r="FB161"/>
      <c r="FC161"/>
      <c r="FD161"/>
      <c r="FE161"/>
      <c r="FF161"/>
      <c r="FG161"/>
      <c r="FH161"/>
      <c r="FI161"/>
      <c r="FJ161"/>
      <c r="FK161"/>
      <c r="FL161"/>
      <c r="FM161"/>
      <c r="FN161"/>
      <c r="FO161"/>
      <c r="FP161"/>
      <c r="FQ161"/>
      <c r="FR161"/>
      <c r="FS161"/>
      <c r="FT161"/>
      <c r="FU161"/>
      <c r="FV161"/>
      <c r="FW161"/>
      <c r="FX161"/>
      <c r="FY161"/>
      <c r="FZ161"/>
      <c r="GA161"/>
      <c r="GB161"/>
      <c r="GC161"/>
      <c r="GD161"/>
      <c r="GE161"/>
      <c r="GF161"/>
      <c r="GG161"/>
      <c r="GH161"/>
      <c r="GI161"/>
      <c r="GJ161"/>
      <c r="GK161"/>
      <c r="GL161"/>
      <c r="GM161"/>
      <c r="GN161"/>
      <c r="GO161"/>
      <c r="GP161"/>
      <c r="GQ161"/>
      <c r="GR161"/>
      <c r="GS161"/>
      <c r="GT161"/>
      <c r="GU161"/>
      <c r="GV161"/>
      <c r="GW161"/>
      <c r="GX161"/>
      <c r="GY161"/>
      <c r="GZ161"/>
      <c r="HA161"/>
    </row>
    <row r="162" spans="1:209" ht="15" customHeight="1" x14ac:dyDescent="0.15">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c r="EO162"/>
      <c r="EP162"/>
      <c r="EQ162"/>
      <c r="ER162"/>
      <c r="ES162"/>
      <c r="ET162"/>
      <c r="EU162"/>
      <c r="EV162"/>
      <c r="EW162"/>
      <c r="EX162"/>
      <c r="EY162"/>
      <c r="EZ162"/>
      <c r="FA162"/>
      <c r="FB162"/>
      <c r="FC162"/>
      <c r="FD162"/>
      <c r="FE162"/>
      <c r="FF162"/>
      <c r="FG162"/>
      <c r="FH162"/>
      <c r="FI162"/>
      <c r="FJ162"/>
      <c r="FK162"/>
      <c r="FL162"/>
      <c r="FM162"/>
      <c r="FN162"/>
      <c r="FO162"/>
      <c r="FP162"/>
      <c r="FQ162"/>
      <c r="FR162"/>
      <c r="FS162"/>
      <c r="FT162"/>
      <c r="FU162"/>
      <c r="FV162"/>
      <c r="FW162"/>
      <c r="FX162"/>
      <c r="FY162"/>
      <c r="FZ162"/>
      <c r="GA162"/>
      <c r="GB162"/>
      <c r="GC162"/>
      <c r="GD162"/>
      <c r="GE162"/>
      <c r="GF162"/>
      <c r="GG162"/>
      <c r="GH162"/>
      <c r="GI162"/>
      <c r="GJ162"/>
      <c r="GK162"/>
      <c r="GL162"/>
      <c r="GM162"/>
      <c r="GN162"/>
      <c r="GO162"/>
      <c r="GP162"/>
      <c r="GQ162"/>
      <c r="GR162"/>
      <c r="GS162"/>
      <c r="GT162"/>
      <c r="GU162"/>
      <c r="GV162"/>
      <c r="GW162"/>
      <c r="GX162"/>
      <c r="GY162"/>
      <c r="GZ162"/>
      <c r="HA162"/>
    </row>
    <row r="163" spans="1:209" ht="15" customHeight="1" x14ac:dyDescent="0.15">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c r="ER163"/>
      <c r="ES163"/>
      <c r="ET163"/>
      <c r="EU163"/>
      <c r="EV163"/>
      <c r="EW163"/>
      <c r="EX163"/>
      <c r="EY163"/>
      <c r="EZ163"/>
      <c r="FA163"/>
      <c r="FB163"/>
      <c r="FC163"/>
      <c r="FD163"/>
      <c r="FE163"/>
      <c r="FF163"/>
      <c r="FG163"/>
      <c r="FH163"/>
      <c r="FI163"/>
      <c r="FJ163"/>
      <c r="FK163"/>
      <c r="FL163"/>
      <c r="FM163"/>
      <c r="FN163"/>
      <c r="FO163"/>
      <c r="FP163"/>
      <c r="FQ163"/>
      <c r="FR163"/>
      <c r="FS163"/>
      <c r="FT163"/>
      <c r="FU163"/>
      <c r="FV163"/>
      <c r="FW163"/>
      <c r="FX163"/>
      <c r="FY163"/>
      <c r="FZ163"/>
      <c r="GA163"/>
      <c r="GB163"/>
      <c r="GC163"/>
      <c r="GD163"/>
      <c r="GE163"/>
      <c r="GF163"/>
      <c r="GG163"/>
      <c r="GH163"/>
      <c r="GI163"/>
      <c r="GJ163"/>
      <c r="GK163"/>
      <c r="GL163"/>
      <c r="GM163"/>
      <c r="GN163"/>
      <c r="GO163"/>
      <c r="GP163"/>
      <c r="GQ163"/>
      <c r="GR163"/>
      <c r="GS163"/>
      <c r="GT163"/>
      <c r="GU163"/>
      <c r="GV163"/>
      <c r="GW163"/>
      <c r="GX163"/>
      <c r="GY163"/>
      <c r="GZ163"/>
      <c r="HA163"/>
    </row>
    <row r="164" spans="1:209" ht="15" customHeight="1" x14ac:dyDescent="0.15">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c r="EO164"/>
      <c r="EP164"/>
      <c r="EQ164"/>
      <c r="ER164"/>
      <c r="ES164"/>
      <c r="ET164"/>
      <c r="EU164"/>
      <c r="EV164"/>
      <c r="EW164"/>
      <c r="EX164"/>
      <c r="EY164"/>
      <c r="EZ164"/>
      <c r="FA164"/>
      <c r="FB164"/>
      <c r="FC164"/>
      <c r="FD164"/>
      <c r="FE164"/>
      <c r="FF164"/>
      <c r="FG164"/>
      <c r="FH164"/>
      <c r="FI164"/>
      <c r="FJ164"/>
      <c r="FK164"/>
      <c r="FL164"/>
      <c r="FM164"/>
      <c r="FN164"/>
      <c r="FO164"/>
      <c r="FP164"/>
      <c r="FQ164"/>
      <c r="FR164"/>
      <c r="FS164"/>
      <c r="FT164"/>
      <c r="FU164"/>
      <c r="FV164"/>
      <c r="FW164"/>
      <c r="FX164"/>
      <c r="FY164"/>
      <c r="FZ164"/>
      <c r="GA164"/>
      <c r="GB164"/>
      <c r="GC164"/>
      <c r="GD164"/>
      <c r="GE164"/>
      <c r="GF164"/>
      <c r="GG164"/>
      <c r="GH164"/>
      <c r="GI164"/>
      <c r="GJ164"/>
      <c r="GK164"/>
      <c r="GL164"/>
      <c r="GM164"/>
      <c r="GN164"/>
      <c r="GO164"/>
      <c r="GP164"/>
      <c r="GQ164"/>
      <c r="GR164"/>
      <c r="GS164"/>
      <c r="GT164"/>
      <c r="GU164"/>
      <c r="GV164"/>
      <c r="GW164"/>
      <c r="GX164"/>
      <c r="GY164"/>
      <c r="GZ164"/>
      <c r="HA164"/>
    </row>
    <row r="165" spans="1:209" ht="15" customHeight="1" x14ac:dyDescent="0.15">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c r="EO165"/>
      <c r="EP165"/>
      <c r="EQ165"/>
      <c r="ER165"/>
      <c r="ES165"/>
      <c r="ET165"/>
      <c r="EU165"/>
      <c r="EV165"/>
      <c r="EW165"/>
      <c r="EX165"/>
      <c r="EY165"/>
      <c r="EZ165"/>
      <c r="FA165"/>
      <c r="FB165"/>
      <c r="FC165"/>
      <c r="FD165"/>
      <c r="FE165"/>
      <c r="FF165"/>
      <c r="FG165"/>
      <c r="FH165"/>
      <c r="FI165"/>
      <c r="FJ165"/>
      <c r="FK165"/>
      <c r="FL165"/>
      <c r="FM165"/>
      <c r="FN165"/>
      <c r="FO165"/>
      <c r="FP165"/>
      <c r="FQ165"/>
      <c r="FR165"/>
      <c r="FS165"/>
      <c r="FT165"/>
      <c r="FU165"/>
      <c r="FV165"/>
      <c r="FW165"/>
      <c r="FX165"/>
      <c r="FY165"/>
      <c r="FZ165"/>
      <c r="GA165"/>
      <c r="GB165"/>
      <c r="GC165"/>
      <c r="GD165"/>
      <c r="GE165"/>
      <c r="GF165"/>
      <c r="GG165"/>
      <c r="GH165"/>
      <c r="GI165"/>
      <c r="GJ165"/>
      <c r="GK165"/>
      <c r="GL165"/>
      <c r="GM165"/>
      <c r="GN165"/>
      <c r="GO165"/>
      <c r="GP165"/>
      <c r="GQ165"/>
      <c r="GR165"/>
      <c r="GS165"/>
      <c r="GT165"/>
      <c r="GU165"/>
      <c r="GV165"/>
      <c r="GW165"/>
      <c r="GX165"/>
      <c r="GY165"/>
      <c r="GZ165"/>
      <c r="HA165"/>
    </row>
    <row r="166" spans="1:209" ht="15" customHeight="1" x14ac:dyDescent="0.15">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c r="EO166"/>
      <c r="EP166"/>
      <c r="EQ166"/>
      <c r="ER166"/>
      <c r="ES166"/>
      <c r="ET166"/>
      <c r="EU166"/>
      <c r="EV166"/>
      <c r="EW166"/>
      <c r="EX166"/>
      <c r="EY166"/>
      <c r="EZ166"/>
      <c r="FA166"/>
      <c r="FB166"/>
      <c r="FC166"/>
      <c r="FD166"/>
      <c r="FE166"/>
      <c r="FF166"/>
      <c r="FG166"/>
      <c r="FH166"/>
      <c r="FI166"/>
      <c r="FJ166"/>
      <c r="FK166"/>
      <c r="FL166"/>
      <c r="FM166"/>
      <c r="FN166"/>
      <c r="FO166"/>
      <c r="FP166"/>
      <c r="FQ166"/>
      <c r="FR166"/>
      <c r="FS166"/>
      <c r="FT166"/>
      <c r="FU166"/>
      <c r="FV166"/>
      <c r="FW166"/>
      <c r="FX166"/>
      <c r="FY166"/>
      <c r="FZ166"/>
      <c r="GA166"/>
      <c r="GB166"/>
      <c r="GC166"/>
      <c r="GD166"/>
      <c r="GE166"/>
      <c r="GF166"/>
      <c r="GG166"/>
      <c r="GH166"/>
      <c r="GI166"/>
      <c r="GJ166"/>
      <c r="GK166"/>
      <c r="GL166"/>
      <c r="GM166"/>
      <c r="GN166"/>
      <c r="GO166"/>
      <c r="GP166"/>
      <c r="GQ166"/>
      <c r="GR166"/>
      <c r="GS166"/>
      <c r="GT166"/>
      <c r="GU166"/>
      <c r="GV166"/>
      <c r="GW166"/>
      <c r="GX166"/>
      <c r="GY166"/>
      <c r="GZ166"/>
      <c r="HA166"/>
    </row>
    <row r="167" spans="1:209" ht="15" customHeight="1" x14ac:dyDescent="0.15">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c r="EO167"/>
      <c r="EP167"/>
      <c r="EQ167"/>
      <c r="ER167"/>
      <c r="ES167"/>
      <c r="ET167"/>
      <c r="EU167"/>
      <c r="EV167"/>
      <c r="EW167"/>
      <c r="EX167"/>
      <c r="EY167"/>
      <c r="EZ167"/>
      <c r="FA167"/>
      <c r="FB167"/>
      <c r="FC167"/>
      <c r="FD167"/>
      <c r="FE167"/>
      <c r="FF167"/>
      <c r="FG167"/>
      <c r="FH167"/>
      <c r="FI167"/>
      <c r="FJ167"/>
      <c r="FK167"/>
      <c r="FL167"/>
      <c r="FM167"/>
      <c r="FN167"/>
      <c r="FO167"/>
      <c r="FP167"/>
      <c r="FQ167"/>
      <c r="FR167"/>
      <c r="FS167"/>
      <c r="FT167"/>
      <c r="FU167"/>
      <c r="FV167"/>
      <c r="FW167"/>
      <c r="FX167"/>
      <c r="FY167"/>
      <c r="FZ167"/>
      <c r="GA167"/>
      <c r="GB167"/>
      <c r="GC167"/>
      <c r="GD167"/>
      <c r="GE167"/>
      <c r="GF167"/>
      <c r="GG167"/>
      <c r="GH167"/>
      <c r="GI167"/>
      <c r="GJ167"/>
      <c r="GK167"/>
      <c r="GL167"/>
      <c r="GM167"/>
      <c r="GN167"/>
      <c r="GO167"/>
      <c r="GP167"/>
      <c r="GQ167"/>
      <c r="GR167"/>
      <c r="GS167"/>
      <c r="GT167"/>
      <c r="GU167"/>
      <c r="GV167"/>
      <c r="GW167"/>
      <c r="GX167"/>
      <c r="GY167"/>
      <c r="GZ167"/>
      <c r="HA167"/>
    </row>
    <row r="168" spans="1:209" ht="15" customHeight="1" x14ac:dyDescent="0.15">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c r="EO168"/>
      <c r="EP168"/>
      <c r="EQ168"/>
      <c r="ER168"/>
      <c r="ES168"/>
      <c r="ET168"/>
      <c r="EU168"/>
      <c r="EV168"/>
      <c r="EW168"/>
      <c r="EX168"/>
      <c r="EY168"/>
      <c r="EZ168"/>
      <c r="FA168"/>
      <c r="FB168"/>
      <c r="FC168"/>
      <c r="FD168"/>
      <c r="FE168"/>
      <c r="FF168"/>
      <c r="FG168"/>
      <c r="FH168"/>
      <c r="FI168"/>
      <c r="FJ168"/>
      <c r="FK168"/>
      <c r="FL168"/>
      <c r="FM168"/>
      <c r="FN168"/>
      <c r="FO168"/>
      <c r="FP168"/>
      <c r="FQ168"/>
      <c r="FR168"/>
      <c r="FS168"/>
      <c r="FT168"/>
      <c r="FU168"/>
      <c r="FV168"/>
      <c r="FW168"/>
      <c r="FX168"/>
      <c r="FY168"/>
      <c r="FZ168"/>
      <c r="GA168"/>
      <c r="GB168"/>
      <c r="GC168"/>
      <c r="GD168"/>
      <c r="GE168"/>
      <c r="GF168"/>
      <c r="GG168"/>
      <c r="GH168"/>
      <c r="GI168"/>
      <c r="GJ168"/>
      <c r="GK168"/>
      <c r="GL168"/>
      <c r="GM168"/>
      <c r="GN168"/>
      <c r="GO168"/>
      <c r="GP168"/>
      <c r="GQ168"/>
      <c r="GR168"/>
      <c r="GS168"/>
      <c r="GT168"/>
      <c r="GU168"/>
      <c r="GV168"/>
      <c r="GW168"/>
      <c r="GX168"/>
      <c r="GY168"/>
      <c r="GZ168"/>
      <c r="HA168"/>
    </row>
    <row r="169" spans="1:209" ht="15" customHeight="1" x14ac:dyDescent="0.15">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c r="EO169"/>
      <c r="EP169"/>
      <c r="EQ169"/>
      <c r="ER169"/>
      <c r="ES169"/>
      <c r="ET169"/>
      <c r="EU169"/>
      <c r="EV169"/>
      <c r="EW169"/>
      <c r="EX169"/>
      <c r="EY169"/>
      <c r="EZ169"/>
      <c r="FA169"/>
      <c r="FB169"/>
      <c r="FC169"/>
      <c r="FD169"/>
      <c r="FE169"/>
      <c r="FF169"/>
      <c r="FG169"/>
      <c r="FH169"/>
      <c r="FI169"/>
      <c r="FJ169"/>
      <c r="FK169"/>
      <c r="FL169"/>
      <c r="FM169"/>
      <c r="FN169"/>
      <c r="FO169"/>
      <c r="FP169"/>
      <c r="FQ169"/>
      <c r="FR169"/>
      <c r="FS169"/>
      <c r="FT169"/>
      <c r="FU169"/>
      <c r="FV169"/>
      <c r="FW169"/>
      <c r="FX169"/>
      <c r="FY169"/>
      <c r="FZ169"/>
      <c r="GA169"/>
      <c r="GB169"/>
      <c r="GC169"/>
      <c r="GD169"/>
      <c r="GE169"/>
      <c r="GF169"/>
      <c r="GG169"/>
      <c r="GH169"/>
      <c r="GI169"/>
      <c r="GJ169"/>
      <c r="GK169"/>
      <c r="GL169"/>
      <c r="GM169"/>
      <c r="GN169"/>
      <c r="GO169"/>
      <c r="GP169"/>
      <c r="GQ169"/>
      <c r="GR169"/>
      <c r="GS169"/>
      <c r="GT169"/>
      <c r="GU169"/>
      <c r="GV169"/>
      <c r="GW169"/>
      <c r="GX169"/>
      <c r="GY169"/>
      <c r="GZ169"/>
      <c r="HA169"/>
    </row>
    <row r="170" spans="1:209" ht="15" customHeight="1" x14ac:dyDescent="0.15">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c r="EO170"/>
      <c r="EP170"/>
      <c r="EQ170"/>
      <c r="ER170"/>
      <c r="ES170"/>
      <c r="ET170"/>
      <c r="EU170"/>
      <c r="EV170"/>
      <c r="EW170"/>
      <c r="EX170"/>
      <c r="EY170"/>
      <c r="EZ170"/>
      <c r="FA170"/>
      <c r="FB170"/>
      <c r="FC170"/>
      <c r="FD170"/>
      <c r="FE170"/>
      <c r="FF170"/>
      <c r="FG170"/>
      <c r="FH170"/>
      <c r="FI170"/>
      <c r="FJ170"/>
      <c r="FK170"/>
      <c r="FL170"/>
      <c r="FM170"/>
      <c r="FN170"/>
      <c r="FO170"/>
      <c r="FP170"/>
      <c r="FQ170"/>
      <c r="FR170"/>
      <c r="FS170"/>
      <c r="FT170"/>
      <c r="FU170"/>
      <c r="FV170"/>
      <c r="FW170"/>
      <c r="FX170"/>
      <c r="FY170"/>
      <c r="FZ170"/>
      <c r="GA170"/>
      <c r="GB170"/>
      <c r="GC170"/>
      <c r="GD170"/>
      <c r="GE170"/>
      <c r="GF170"/>
      <c r="GG170"/>
      <c r="GH170"/>
      <c r="GI170"/>
      <c r="GJ170"/>
      <c r="GK170"/>
      <c r="GL170"/>
      <c r="GM170"/>
      <c r="GN170"/>
      <c r="GO170"/>
      <c r="GP170"/>
      <c r="GQ170"/>
      <c r="GR170"/>
      <c r="GS170"/>
      <c r="GT170"/>
      <c r="GU170"/>
      <c r="GV170"/>
      <c r="GW170"/>
      <c r="GX170"/>
      <c r="GY170"/>
      <c r="GZ170"/>
      <c r="HA170"/>
    </row>
    <row r="171" spans="1:209" ht="15" customHeight="1" x14ac:dyDescent="0.15">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c r="EO171"/>
      <c r="EP171"/>
      <c r="EQ171"/>
      <c r="ER171"/>
      <c r="ES171"/>
      <c r="ET171"/>
      <c r="EU171"/>
      <c r="EV171"/>
      <c r="EW171"/>
      <c r="EX171"/>
      <c r="EY171"/>
      <c r="EZ171"/>
      <c r="FA171"/>
      <c r="FB171"/>
      <c r="FC171"/>
      <c r="FD171"/>
      <c r="FE171"/>
      <c r="FF171"/>
      <c r="FG171"/>
      <c r="FH171"/>
      <c r="FI171"/>
      <c r="FJ171"/>
      <c r="FK171"/>
      <c r="FL171"/>
      <c r="FM171"/>
      <c r="FN171"/>
      <c r="FO171"/>
      <c r="FP171"/>
      <c r="FQ171"/>
      <c r="FR171"/>
      <c r="FS171"/>
      <c r="FT171"/>
      <c r="FU171"/>
      <c r="FV171"/>
      <c r="FW171"/>
      <c r="FX171"/>
      <c r="FY171"/>
      <c r="FZ171"/>
      <c r="GA171"/>
      <c r="GB171"/>
      <c r="GC171"/>
      <c r="GD171"/>
      <c r="GE171"/>
      <c r="GF171"/>
      <c r="GG171"/>
      <c r="GH171"/>
      <c r="GI171"/>
      <c r="GJ171"/>
      <c r="GK171"/>
      <c r="GL171"/>
      <c r="GM171"/>
      <c r="GN171"/>
      <c r="GO171"/>
      <c r="GP171"/>
      <c r="GQ171"/>
      <c r="GR171"/>
      <c r="GS171"/>
      <c r="GT171"/>
      <c r="GU171"/>
      <c r="GV171"/>
      <c r="GW171"/>
      <c r="GX171"/>
      <c r="GY171"/>
      <c r="GZ171"/>
      <c r="HA171"/>
    </row>
    <row r="172" spans="1:209" ht="15" customHeight="1" x14ac:dyDescent="0.15">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c r="EO172"/>
      <c r="EP172"/>
      <c r="EQ172"/>
      <c r="ER172"/>
      <c r="ES172"/>
      <c r="ET172"/>
      <c r="EU172"/>
      <c r="EV172"/>
      <c r="EW172"/>
      <c r="EX172"/>
      <c r="EY172"/>
      <c r="EZ172"/>
      <c r="FA172"/>
      <c r="FB172"/>
      <c r="FC172"/>
      <c r="FD172"/>
      <c r="FE172"/>
      <c r="FF172"/>
      <c r="FG172"/>
      <c r="FH172"/>
      <c r="FI172"/>
      <c r="FJ172"/>
      <c r="FK172"/>
      <c r="FL172"/>
      <c r="FM172"/>
      <c r="FN172"/>
      <c r="FO172"/>
      <c r="FP172"/>
      <c r="FQ172"/>
      <c r="FR172"/>
      <c r="FS172"/>
      <c r="FT172"/>
      <c r="FU172"/>
      <c r="FV172"/>
      <c r="FW172"/>
      <c r="FX172"/>
      <c r="FY172"/>
      <c r="FZ172"/>
      <c r="GA172"/>
      <c r="GB172"/>
      <c r="GC172"/>
      <c r="GD172"/>
      <c r="GE172"/>
      <c r="GF172"/>
      <c r="GG172"/>
      <c r="GH172"/>
      <c r="GI172"/>
      <c r="GJ172"/>
      <c r="GK172"/>
      <c r="GL172"/>
      <c r="GM172"/>
      <c r="GN172"/>
      <c r="GO172"/>
      <c r="GP172"/>
      <c r="GQ172"/>
      <c r="GR172"/>
      <c r="GS172"/>
      <c r="GT172"/>
      <c r="GU172"/>
      <c r="GV172"/>
      <c r="GW172"/>
      <c r="GX172"/>
      <c r="GY172"/>
      <c r="GZ172"/>
      <c r="HA172"/>
    </row>
    <row r="173" spans="1:209" ht="15" customHeight="1" x14ac:dyDescent="0.15">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c r="EO173"/>
      <c r="EP173"/>
      <c r="EQ173"/>
      <c r="ER173"/>
      <c r="ES173"/>
      <c r="ET173"/>
      <c r="EU173"/>
      <c r="EV173"/>
      <c r="EW173"/>
      <c r="EX173"/>
      <c r="EY173"/>
      <c r="EZ173"/>
      <c r="FA173"/>
      <c r="FB173"/>
      <c r="FC173"/>
      <c r="FD173"/>
      <c r="FE173"/>
      <c r="FF173"/>
      <c r="FG173"/>
      <c r="FH173"/>
      <c r="FI173"/>
      <c r="FJ173"/>
      <c r="FK173"/>
      <c r="FL173"/>
      <c r="FM173"/>
      <c r="FN173"/>
      <c r="FO173"/>
      <c r="FP173"/>
      <c r="FQ173"/>
      <c r="FR173"/>
      <c r="FS173"/>
      <c r="FT173"/>
      <c r="FU173"/>
      <c r="FV173"/>
      <c r="FW173"/>
      <c r="FX173"/>
      <c r="FY173"/>
      <c r="FZ173"/>
      <c r="GA173"/>
      <c r="GB173"/>
      <c r="GC173"/>
      <c r="GD173"/>
      <c r="GE173"/>
      <c r="GF173"/>
      <c r="GG173"/>
      <c r="GH173"/>
      <c r="GI173"/>
      <c r="GJ173"/>
      <c r="GK173"/>
      <c r="GL173"/>
      <c r="GM173"/>
      <c r="GN173"/>
      <c r="GO173"/>
      <c r="GP173"/>
      <c r="GQ173"/>
      <c r="GR173"/>
      <c r="GS173"/>
      <c r="GT173"/>
      <c r="GU173"/>
      <c r="GV173"/>
      <c r="GW173"/>
      <c r="GX173"/>
      <c r="GY173"/>
      <c r="GZ173"/>
      <c r="HA173"/>
    </row>
    <row r="174" spans="1:209" ht="15" customHeight="1" x14ac:dyDescent="0.15">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c r="EO174"/>
      <c r="EP174"/>
      <c r="EQ174"/>
      <c r="ER174"/>
      <c r="ES174"/>
      <c r="ET174"/>
      <c r="EU174"/>
      <c r="EV174"/>
      <c r="EW174"/>
      <c r="EX174"/>
      <c r="EY174"/>
      <c r="EZ174"/>
      <c r="FA174"/>
      <c r="FB174"/>
      <c r="FC174"/>
      <c r="FD174"/>
      <c r="FE174"/>
      <c r="FF174"/>
      <c r="FG174"/>
      <c r="FH174"/>
      <c r="FI174"/>
      <c r="FJ174"/>
      <c r="FK174"/>
      <c r="FL174"/>
      <c r="FM174"/>
      <c r="FN174"/>
      <c r="FO174"/>
      <c r="FP174"/>
      <c r="FQ174"/>
      <c r="FR174"/>
      <c r="FS174"/>
      <c r="FT174"/>
      <c r="FU174"/>
      <c r="FV174"/>
      <c r="FW174"/>
      <c r="FX174"/>
      <c r="FY174"/>
      <c r="FZ174"/>
      <c r="GA174"/>
      <c r="GB174"/>
      <c r="GC174"/>
      <c r="GD174"/>
      <c r="GE174"/>
      <c r="GF174"/>
      <c r="GG174"/>
      <c r="GH174"/>
      <c r="GI174"/>
      <c r="GJ174"/>
      <c r="GK174"/>
      <c r="GL174"/>
      <c r="GM174"/>
      <c r="GN174"/>
      <c r="GO174"/>
      <c r="GP174"/>
      <c r="GQ174"/>
      <c r="GR174"/>
      <c r="GS174"/>
      <c r="GT174"/>
      <c r="GU174"/>
      <c r="GV174"/>
      <c r="GW174"/>
      <c r="GX174"/>
      <c r="GY174"/>
      <c r="GZ174"/>
      <c r="HA174"/>
    </row>
    <row r="175" spans="1:209" ht="15" customHeight="1" x14ac:dyDescent="0.15">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c r="EO175"/>
      <c r="EP175"/>
      <c r="EQ175"/>
      <c r="ER175"/>
      <c r="ES175"/>
      <c r="ET175"/>
      <c r="EU175"/>
      <c r="EV175"/>
      <c r="EW175"/>
      <c r="EX175"/>
      <c r="EY175"/>
      <c r="EZ175"/>
      <c r="FA175"/>
      <c r="FB175"/>
      <c r="FC175"/>
      <c r="FD175"/>
      <c r="FE175"/>
      <c r="FF175"/>
      <c r="FG175"/>
      <c r="FH175"/>
      <c r="FI175"/>
      <c r="FJ175"/>
      <c r="FK175"/>
      <c r="FL175"/>
      <c r="FM175"/>
      <c r="FN175"/>
      <c r="FO175"/>
      <c r="FP175"/>
      <c r="FQ175"/>
      <c r="FR175"/>
      <c r="FS175"/>
      <c r="FT175"/>
      <c r="FU175"/>
      <c r="FV175"/>
      <c r="FW175"/>
      <c r="FX175"/>
      <c r="FY175"/>
      <c r="FZ175"/>
      <c r="GA175"/>
      <c r="GB175"/>
      <c r="GC175"/>
      <c r="GD175"/>
      <c r="GE175"/>
      <c r="GF175"/>
      <c r="GG175"/>
      <c r="GH175"/>
      <c r="GI175"/>
      <c r="GJ175"/>
      <c r="GK175"/>
      <c r="GL175"/>
      <c r="GM175"/>
      <c r="GN175"/>
      <c r="GO175"/>
      <c r="GP175"/>
      <c r="GQ175"/>
      <c r="GR175"/>
      <c r="GS175"/>
      <c r="GT175"/>
      <c r="GU175"/>
      <c r="GV175"/>
      <c r="GW175"/>
      <c r="GX175"/>
      <c r="GY175"/>
      <c r="GZ175"/>
      <c r="HA175"/>
    </row>
    <row r="176" spans="1:209" ht="15" customHeight="1" x14ac:dyDescent="0.15">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c r="EO176"/>
      <c r="EP176"/>
      <c r="EQ176"/>
      <c r="ER176"/>
      <c r="ES176"/>
      <c r="ET176"/>
      <c r="EU176"/>
      <c r="EV176"/>
      <c r="EW176"/>
      <c r="EX176"/>
      <c r="EY176"/>
      <c r="EZ176"/>
      <c r="FA176"/>
      <c r="FB176"/>
      <c r="FC176"/>
      <c r="FD176"/>
      <c r="FE176"/>
      <c r="FF176"/>
      <c r="FG176"/>
      <c r="FH176"/>
      <c r="FI176"/>
      <c r="FJ176"/>
      <c r="FK176"/>
      <c r="FL176"/>
      <c r="FM176"/>
      <c r="FN176"/>
      <c r="FO176"/>
      <c r="FP176"/>
      <c r="FQ176"/>
      <c r="FR176"/>
      <c r="FS176"/>
      <c r="FT176"/>
      <c r="FU176"/>
      <c r="FV176"/>
      <c r="FW176"/>
      <c r="FX176"/>
      <c r="FY176"/>
      <c r="FZ176"/>
      <c r="GA176"/>
      <c r="GB176"/>
      <c r="GC176"/>
      <c r="GD176"/>
      <c r="GE176"/>
      <c r="GF176"/>
      <c r="GG176"/>
      <c r="GH176"/>
      <c r="GI176"/>
      <c r="GJ176"/>
      <c r="GK176"/>
      <c r="GL176"/>
      <c r="GM176"/>
      <c r="GN176"/>
      <c r="GO176"/>
      <c r="GP176"/>
      <c r="GQ176"/>
      <c r="GR176"/>
      <c r="GS176"/>
      <c r="GT176"/>
      <c r="GU176"/>
      <c r="GV176"/>
      <c r="GW176"/>
      <c r="GX176"/>
      <c r="GY176"/>
      <c r="GZ176"/>
      <c r="HA176"/>
    </row>
    <row r="177" spans="1:209" ht="15" customHeight="1" x14ac:dyDescent="0.15">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ER177"/>
      <c r="ES177"/>
      <c r="ET177"/>
      <c r="EU177"/>
      <c r="EV177"/>
      <c r="EW177"/>
      <c r="EX177"/>
      <c r="EY177"/>
      <c r="EZ177"/>
      <c r="FA177"/>
      <c r="FB177"/>
      <c r="FC177"/>
      <c r="FD177"/>
      <c r="FE177"/>
      <c r="FF177"/>
      <c r="FG177"/>
      <c r="FH177"/>
      <c r="FI177"/>
      <c r="FJ177"/>
      <c r="FK177"/>
      <c r="FL177"/>
      <c r="FM177"/>
      <c r="FN177"/>
      <c r="FO177"/>
      <c r="FP177"/>
      <c r="FQ177"/>
      <c r="FR177"/>
      <c r="FS177"/>
      <c r="FT177"/>
      <c r="FU177"/>
      <c r="FV177"/>
      <c r="FW177"/>
      <c r="FX177"/>
      <c r="FY177"/>
      <c r="FZ177"/>
      <c r="GA177"/>
      <c r="GB177"/>
      <c r="GC177"/>
      <c r="GD177"/>
      <c r="GE177"/>
      <c r="GF177"/>
      <c r="GG177"/>
      <c r="GH177"/>
      <c r="GI177"/>
      <c r="GJ177"/>
      <c r="GK177"/>
      <c r="GL177"/>
      <c r="GM177"/>
      <c r="GN177"/>
      <c r="GO177"/>
      <c r="GP177"/>
      <c r="GQ177"/>
      <c r="GR177"/>
      <c r="GS177"/>
      <c r="GT177"/>
      <c r="GU177"/>
      <c r="GV177"/>
      <c r="GW177"/>
      <c r="GX177"/>
      <c r="GY177"/>
      <c r="GZ177"/>
      <c r="HA177"/>
    </row>
    <row r="178" spans="1:209" ht="15" customHeight="1" x14ac:dyDescent="0.15">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c r="EO178"/>
      <c r="EP178"/>
      <c r="EQ178"/>
      <c r="ER178"/>
      <c r="ES178"/>
      <c r="ET178"/>
      <c r="EU178"/>
      <c r="EV178"/>
      <c r="EW178"/>
      <c r="EX178"/>
      <c r="EY178"/>
      <c r="EZ178"/>
      <c r="FA178"/>
      <c r="FB178"/>
      <c r="FC178"/>
      <c r="FD178"/>
      <c r="FE178"/>
      <c r="FF178"/>
      <c r="FG178"/>
      <c r="FH178"/>
      <c r="FI178"/>
      <c r="FJ178"/>
      <c r="FK178"/>
      <c r="FL178"/>
      <c r="FM178"/>
      <c r="FN178"/>
      <c r="FO178"/>
      <c r="FP178"/>
      <c r="FQ178"/>
      <c r="FR178"/>
      <c r="FS178"/>
      <c r="FT178"/>
      <c r="FU178"/>
      <c r="FV178"/>
      <c r="FW178"/>
      <c r="FX178"/>
      <c r="FY178"/>
      <c r="FZ178"/>
      <c r="GA178"/>
      <c r="GB178"/>
      <c r="GC178"/>
      <c r="GD178"/>
      <c r="GE178"/>
      <c r="GF178"/>
      <c r="GG178"/>
      <c r="GH178"/>
      <c r="GI178"/>
      <c r="GJ178"/>
      <c r="GK178"/>
      <c r="GL178"/>
      <c r="GM178"/>
      <c r="GN178"/>
      <c r="GO178"/>
      <c r="GP178"/>
      <c r="GQ178"/>
      <c r="GR178"/>
      <c r="GS178"/>
      <c r="GT178"/>
      <c r="GU178"/>
      <c r="GV178"/>
      <c r="GW178"/>
      <c r="GX178"/>
      <c r="GY178"/>
      <c r="GZ178"/>
      <c r="HA178"/>
    </row>
    <row r="179" spans="1:209" ht="15" customHeight="1" x14ac:dyDescent="0.15">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c r="EO179"/>
      <c r="EP179"/>
      <c r="EQ179"/>
      <c r="ER179"/>
      <c r="ES179"/>
      <c r="ET179"/>
      <c r="EU179"/>
      <c r="EV179"/>
      <c r="EW179"/>
      <c r="EX179"/>
      <c r="EY179"/>
      <c r="EZ179"/>
      <c r="FA179"/>
      <c r="FB179"/>
      <c r="FC179"/>
      <c r="FD179"/>
      <c r="FE179"/>
      <c r="FF179"/>
      <c r="FG179"/>
      <c r="FH179"/>
      <c r="FI179"/>
      <c r="FJ179"/>
      <c r="FK179"/>
      <c r="FL179"/>
      <c r="FM179"/>
      <c r="FN179"/>
      <c r="FO179"/>
      <c r="FP179"/>
      <c r="FQ179"/>
      <c r="FR179"/>
      <c r="FS179"/>
      <c r="FT179"/>
      <c r="FU179"/>
      <c r="FV179"/>
      <c r="FW179"/>
      <c r="FX179"/>
      <c r="FY179"/>
      <c r="FZ179"/>
      <c r="GA179"/>
      <c r="GB179"/>
      <c r="GC179"/>
      <c r="GD179"/>
      <c r="GE179"/>
      <c r="GF179"/>
      <c r="GG179"/>
      <c r="GH179"/>
      <c r="GI179"/>
      <c r="GJ179"/>
      <c r="GK179"/>
      <c r="GL179"/>
      <c r="GM179"/>
      <c r="GN179"/>
      <c r="GO179"/>
      <c r="GP179"/>
      <c r="GQ179"/>
      <c r="GR179"/>
      <c r="GS179"/>
      <c r="GT179"/>
      <c r="GU179"/>
      <c r="GV179"/>
      <c r="GW179"/>
      <c r="GX179"/>
      <c r="GY179"/>
      <c r="GZ179"/>
      <c r="HA179"/>
    </row>
    <row r="180" spans="1:209" ht="15" customHeight="1" x14ac:dyDescent="0.15">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c r="EO180"/>
      <c r="EP180"/>
      <c r="EQ180"/>
      <c r="ER180"/>
      <c r="ES180"/>
      <c r="ET180"/>
      <c r="EU180"/>
      <c r="EV180"/>
      <c r="EW180"/>
      <c r="EX180"/>
      <c r="EY180"/>
      <c r="EZ180"/>
      <c r="FA180"/>
      <c r="FB180"/>
      <c r="FC180"/>
      <c r="FD180"/>
      <c r="FE180"/>
      <c r="FF180"/>
      <c r="FG180"/>
      <c r="FH180"/>
      <c r="FI180"/>
      <c r="FJ180"/>
      <c r="FK180"/>
      <c r="FL180"/>
      <c r="FM180"/>
      <c r="FN180"/>
      <c r="FO180"/>
      <c r="FP180"/>
      <c r="FQ180"/>
      <c r="FR180"/>
      <c r="FS180"/>
      <c r="FT180"/>
      <c r="FU180"/>
      <c r="FV180"/>
      <c r="FW180"/>
      <c r="FX180"/>
      <c r="FY180"/>
      <c r="FZ180"/>
      <c r="GA180"/>
      <c r="GB180"/>
      <c r="GC180"/>
      <c r="GD180"/>
      <c r="GE180"/>
      <c r="GF180"/>
      <c r="GG180"/>
      <c r="GH180"/>
      <c r="GI180"/>
      <c r="GJ180"/>
      <c r="GK180"/>
      <c r="GL180"/>
      <c r="GM180"/>
      <c r="GN180"/>
      <c r="GO180"/>
      <c r="GP180"/>
      <c r="GQ180"/>
      <c r="GR180"/>
      <c r="GS180"/>
      <c r="GT180"/>
      <c r="GU180"/>
      <c r="GV180"/>
      <c r="GW180"/>
      <c r="GX180"/>
      <c r="GY180"/>
      <c r="GZ180"/>
      <c r="HA180"/>
    </row>
    <row r="181" spans="1:209" ht="15" customHeight="1" x14ac:dyDescent="0.15">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c r="EO181"/>
      <c r="EP181"/>
      <c r="EQ181"/>
      <c r="ER181"/>
      <c r="ES181"/>
      <c r="ET181"/>
      <c r="EU181"/>
      <c r="EV181"/>
      <c r="EW181"/>
      <c r="EX181"/>
      <c r="EY181"/>
      <c r="EZ181"/>
      <c r="FA181"/>
      <c r="FB181"/>
      <c r="FC181"/>
      <c r="FD181"/>
      <c r="FE181"/>
      <c r="FF181"/>
      <c r="FG181"/>
      <c r="FH181"/>
      <c r="FI181"/>
      <c r="FJ181"/>
      <c r="FK181"/>
      <c r="FL181"/>
      <c r="FM181"/>
      <c r="FN181"/>
      <c r="FO181"/>
      <c r="FP181"/>
      <c r="FQ181"/>
      <c r="FR181"/>
      <c r="FS181"/>
      <c r="FT181"/>
      <c r="FU181"/>
      <c r="FV181"/>
      <c r="FW181"/>
      <c r="FX181"/>
      <c r="FY181"/>
      <c r="FZ181"/>
      <c r="GA181"/>
      <c r="GB181"/>
      <c r="GC181"/>
      <c r="GD181"/>
      <c r="GE181"/>
      <c r="GF181"/>
      <c r="GG181"/>
      <c r="GH181"/>
      <c r="GI181"/>
      <c r="GJ181"/>
      <c r="GK181"/>
      <c r="GL181"/>
      <c r="GM181"/>
      <c r="GN181"/>
      <c r="GO181"/>
      <c r="GP181"/>
      <c r="GQ181"/>
      <c r="GR181"/>
      <c r="GS181"/>
      <c r="GT181"/>
      <c r="GU181"/>
      <c r="GV181"/>
      <c r="GW181"/>
      <c r="GX181"/>
      <c r="GY181"/>
      <c r="GZ181"/>
      <c r="HA181"/>
    </row>
    <row r="182" spans="1:209" ht="15" customHeight="1" x14ac:dyDescent="0.15">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c r="EO182"/>
      <c r="EP182"/>
      <c r="EQ182"/>
      <c r="ER182"/>
      <c r="ES182"/>
      <c r="ET182"/>
      <c r="EU182"/>
      <c r="EV182"/>
      <c r="EW182"/>
      <c r="EX182"/>
      <c r="EY182"/>
      <c r="EZ182"/>
      <c r="FA182"/>
      <c r="FB182"/>
      <c r="FC182"/>
      <c r="FD182"/>
      <c r="FE182"/>
      <c r="FF182"/>
      <c r="FG182"/>
      <c r="FH182"/>
      <c r="FI182"/>
      <c r="FJ182"/>
      <c r="FK182"/>
      <c r="FL182"/>
      <c r="FM182"/>
      <c r="FN182"/>
      <c r="FO182"/>
      <c r="FP182"/>
      <c r="FQ182"/>
      <c r="FR182"/>
      <c r="FS182"/>
      <c r="FT182"/>
      <c r="FU182"/>
      <c r="FV182"/>
      <c r="FW182"/>
      <c r="FX182"/>
      <c r="FY182"/>
      <c r="FZ182"/>
      <c r="GA182"/>
      <c r="GB182"/>
      <c r="GC182"/>
      <c r="GD182"/>
      <c r="GE182"/>
      <c r="GF182"/>
      <c r="GG182"/>
      <c r="GH182"/>
      <c r="GI182"/>
      <c r="GJ182"/>
      <c r="GK182"/>
      <c r="GL182"/>
      <c r="GM182"/>
      <c r="GN182"/>
      <c r="GO182"/>
      <c r="GP182"/>
      <c r="GQ182"/>
      <c r="GR182"/>
      <c r="GS182"/>
      <c r="GT182"/>
      <c r="GU182"/>
      <c r="GV182"/>
      <c r="GW182"/>
      <c r="GX182"/>
      <c r="GY182"/>
      <c r="GZ182"/>
      <c r="HA182"/>
    </row>
    <row r="183" spans="1:209" ht="15" customHeight="1" x14ac:dyDescent="0.15">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c r="EO183"/>
      <c r="EP183"/>
      <c r="EQ183"/>
      <c r="ER183"/>
      <c r="ES183"/>
      <c r="ET183"/>
      <c r="EU183"/>
      <c r="EV183"/>
      <c r="EW183"/>
      <c r="EX183"/>
      <c r="EY183"/>
      <c r="EZ183"/>
      <c r="FA183"/>
      <c r="FB183"/>
      <c r="FC183"/>
      <c r="FD183"/>
      <c r="FE183"/>
      <c r="FF183"/>
      <c r="FG183"/>
      <c r="FH183"/>
      <c r="FI183"/>
      <c r="FJ183"/>
      <c r="FK183"/>
      <c r="FL183"/>
      <c r="FM183"/>
      <c r="FN183"/>
      <c r="FO183"/>
      <c r="FP183"/>
      <c r="FQ183"/>
      <c r="FR183"/>
      <c r="FS183"/>
      <c r="FT183"/>
      <c r="FU183"/>
      <c r="FV183"/>
      <c r="FW183"/>
      <c r="FX183"/>
      <c r="FY183"/>
      <c r="FZ183"/>
      <c r="GA183"/>
      <c r="GB183"/>
      <c r="GC183"/>
      <c r="GD183"/>
      <c r="GE183"/>
      <c r="GF183"/>
      <c r="GG183"/>
      <c r="GH183"/>
      <c r="GI183"/>
      <c r="GJ183"/>
      <c r="GK183"/>
      <c r="GL183"/>
      <c r="GM183"/>
      <c r="GN183"/>
      <c r="GO183"/>
      <c r="GP183"/>
      <c r="GQ183"/>
      <c r="GR183"/>
      <c r="GS183"/>
      <c r="GT183"/>
      <c r="GU183"/>
      <c r="GV183"/>
      <c r="GW183"/>
      <c r="GX183"/>
      <c r="GY183"/>
      <c r="GZ183"/>
      <c r="HA183"/>
    </row>
    <row r="184" spans="1:209" ht="15" customHeight="1" x14ac:dyDescent="0.15">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c r="EO184"/>
      <c r="EP184"/>
      <c r="EQ184"/>
      <c r="ER184"/>
      <c r="ES184"/>
      <c r="ET184"/>
      <c r="EU184"/>
      <c r="EV184"/>
      <c r="EW184"/>
      <c r="EX184"/>
      <c r="EY184"/>
      <c r="EZ184"/>
      <c r="FA184"/>
      <c r="FB184"/>
      <c r="FC184"/>
      <c r="FD184"/>
      <c r="FE184"/>
      <c r="FF184"/>
      <c r="FG184"/>
      <c r="FH184"/>
      <c r="FI184"/>
      <c r="FJ184"/>
      <c r="FK184"/>
      <c r="FL184"/>
      <c r="FM184"/>
      <c r="FN184"/>
      <c r="FO184"/>
      <c r="FP184"/>
      <c r="FQ184"/>
      <c r="FR184"/>
      <c r="FS184"/>
      <c r="FT184"/>
      <c r="FU184"/>
      <c r="FV184"/>
      <c r="FW184"/>
      <c r="FX184"/>
      <c r="FY184"/>
      <c r="FZ184"/>
      <c r="GA184"/>
      <c r="GB184"/>
      <c r="GC184"/>
      <c r="GD184"/>
      <c r="GE184"/>
      <c r="GF184"/>
      <c r="GG184"/>
      <c r="GH184"/>
      <c r="GI184"/>
      <c r="GJ184"/>
      <c r="GK184"/>
      <c r="GL184"/>
      <c r="GM184"/>
      <c r="GN184"/>
      <c r="GO184"/>
      <c r="GP184"/>
      <c r="GQ184"/>
      <c r="GR184"/>
      <c r="GS184"/>
      <c r="GT184"/>
      <c r="GU184"/>
      <c r="GV184"/>
      <c r="GW184"/>
      <c r="GX184"/>
      <c r="GY184"/>
      <c r="GZ184"/>
      <c r="HA184"/>
    </row>
    <row r="185" spans="1:209" ht="15" customHeight="1" x14ac:dyDescent="0.15">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c r="EO185"/>
      <c r="EP185"/>
      <c r="EQ185"/>
      <c r="ER185"/>
      <c r="ES185"/>
      <c r="ET185"/>
      <c r="EU185"/>
      <c r="EV185"/>
      <c r="EW185"/>
      <c r="EX185"/>
      <c r="EY185"/>
      <c r="EZ185"/>
      <c r="FA185"/>
      <c r="FB185"/>
      <c r="FC185"/>
      <c r="FD185"/>
      <c r="FE185"/>
      <c r="FF185"/>
      <c r="FG185"/>
      <c r="FH185"/>
      <c r="FI185"/>
      <c r="FJ185"/>
      <c r="FK185"/>
      <c r="FL185"/>
      <c r="FM185"/>
      <c r="FN185"/>
      <c r="FO185"/>
      <c r="FP185"/>
      <c r="FQ185"/>
      <c r="FR185"/>
      <c r="FS185"/>
      <c r="FT185"/>
      <c r="FU185"/>
      <c r="FV185"/>
      <c r="FW185"/>
      <c r="FX185"/>
      <c r="FY185"/>
      <c r="FZ185"/>
      <c r="GA185"/>
      <c r="GB185"/>
      <c r="GC185"/>
      <c r="GD185"/>
      <c r="GE185"/>
      <c r="GF185"/>
      <c r="GG185"/>
      <c r="GH185"/>
      <c r="GI185"/>
      <c r="GJ185"/>
      <c r="GK185"/>
      <c r="GL185"/>
      <c r="GM185"/>
      <c r="GN185"/>
      <c r="GO185"/>
      <c r="GP185"/>
      <c r="GQ185"/>
      <c r="GR185"/>
      <c r="GS185"/>
      <c r="GT185"/>
      <c r="GU185"/>
      <c r="GV185"/>
      <c r="GW185"/>
      <c r="GX185"/>
      <c r="GY185"/>
      <c r="GZ185"/>
      <c r="HA185"/>
    </row>
    <row r="186" spans="1:209" ht="15" customHeight="1" x14ac:dyDescent="0.15">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c r="EO186"/>
      <c r="EP186"/>
      <c r="EQ186"/>
      <c r="ER186"/>
      <c r="ES186"/>
      <c r="ET186"/>
      <c r="EU186"/>
      <c r="EV186"/>
      <c r="EW186"/>
      <c r="EX186"/>
      <c r="EY186"/>
      <c r="EZ186"/>
      <c r="FA186"/>
      <c r="FB186"/>
      <c r="FC186"/>
      <c r="FD186"/>
      <c r="FE186"/>
      <c r="FF186"/>
      <c r="FG186"/>
      <c r="FH186"/>
      <c r="FI186"/>
      <c r="FJ186"/>
      <c r="FK186"/>
      <c r="FL186"/>
      <c r="FM186"/>
      <c r="FN186"/>
      <c r="FO186"/>
      <c r="FP186"/>
      <c r="FQ186"/>
      <c r="FR186"/>
      <c r="FS186"/>
      <c r="FT186"/>
      <c r="FU186"/>
      <c r="FV186"/>
      <c r="FW186"/>
      <c r="FX186"/>
      <c r="FY186"/>
      <c r="FZ186"/>
      <c r="GA186"/>
      <c r="GB186"/>
      <c r="GC186"/>
      <c r="GD186"/>
      <c r="GE186"/>
      <c r="GF186"/>
      <c r="GG186"/>
      <c r="GH186"/>
      <c r="GI186"/>
      <c r="GJ186"/>
      <c r="GK186"/>
      <c r="GL186"/>
      <c r="GM186"/>
      <c r="GN186"/>
      <c r="GO186"/>
      <c r="GP186"/>
      <c r="GQ186"/>
      <c r="GR186"/>
      <c r="GS186"/>
      <c r="GT186"/>
      <c r="GU186"/>
      <c r="GV186"/>
      <c r="GW186"/>
      <c r="GX186"/>
      <c r="GY186"/>
      <c r="GZ186"/>
      <c r="HA186"/>
    </row>
    <row r="187" spans="1:209" ht="15" customHeight="1" x14ac:dyDescent="0.15">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c r="GN187"/>
      <c r="GO187"/>
      <c r="GP187"/>
      <c r="GQ187"/>
      <c r="GR187"/>
      <c r="GS187"/>
      <c r="GT187"/>
      <c r="GU187"/>
      <c r="GV187"/>
      <c r="GW187"/>
      <c r="GX187"/>
      <c r="GY187"/>
      <c r="GZ187"/>
      <c r="HA187"/>
    </row>
    <row r="188" spans="1:209" ht="15" customHeight="1" x14ac:dyDescent="0.15">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c r="GN188"/>
      <c r="GO188"/>
      <c r="GP188"/>
      <c r="GQ188"/>
      <c r="GR188"/>
      <c r="GS188"/>
      <c r="GT188"/>
      <c r="GU188"/>
      <c r="GV188"/>
      <c r="GW188"/>
      <c r="GX188"/>
      <c r="GY188"/>
      <c r="GZ188"/>
      <c r="HA188"/>
    </row>
    <row r="189" spans="1:209" ht="15" customHeight="1" x14ac:dyDescent="0.15">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c r="FX189"/>
      <c r="FY189"/>
      <c r="FZ189"/>
      <c r="GA189"/>
      <c r="GB189"/>
      <c r="GC189"/>
      <c r="GD189"/>
      <c r="GE189"/>
      <c r="GF189"/>
      <c r="GG189"/>
      <c r="GH189"/>
      <c r="GI189"/>
      <c r="GJ189"/>
      <c r="GK189"/>
      <c r="GL189"/>
      <c r="GM189"/>
      <c r="GN189"/>
      <c r="GO189"/>
      <c r="GP189"/>
      <c r="GQ189"/>
      <c r="GR189"/>
      <c r="GS189"/>
      <c r="GT189"/>
      <c r="GU189"/>
      <c r="GV189"/>
      <c r="GW189"/>
      <c r="GX189"/>
      <c r="GY189"/>
      <c r="GZ189"/>
      <c r="HA189"/>
    </row>
    <row r="190" spans="1:209" ht="15" customHeight="1" x14ac:dyDescent="0.15">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c r="FX190"/>
      <c r="FY190"/>
      <c r="FZ190"/>
      <c r="GA190"/>
      <c r="GB190"/>
      <c r="GC190"/>
      <c r="GD190"/>
      <c r="GE190"/>
      <c r="GF190"/>
      <c r="GG190"/>
      <c r="GH190"/>
      <c r="GI190"/>
      <c r="GJ190"/>
      <c r="GK190"/>
      <c r="GL190"/>
      <c r="GM190"/>
      <c r="GN190"/>
      <c r="GO190"/>
      <c r="GP190"/>
      <c r="GQ190"/>
      <c r="GR190"/>
      <c r="GS190"/>
      <c r="GT190"/>
      <c r="GU190"/>
      <c r="GV190"/>
      <c r="GW190"/>
      <c r="GX190"/>
      <c r="GY190"/>
      <c r="GZ190"/>
      <c r="HA190"/>
    </row>
    <row r="191" spans="1:209" ht="15" customHeight="1" x14ac:dyDescent="0.15">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c r="FX191"/>
      <c r="FY191"/>
      <c r="FZ191"/>
      <c r="GA191"/>
      <c r="GB191"/>
      <c r="GC191"/>
      <c r="GD191"/>
      <c r="GE191"/>
      <c r="GF191"/>
      <c r="GG191"/>
      <c r="GH191"/>
      <c r="GI191"/>
      <c r="GJ191"/>
      <c r="GK191"/>
      <c r="GL191"/>
      <c r="GM191"/>
      <c r="GN191"/>
      <c r="GO191"/>
      <c r="GP191"/>
      <c r="GQ191"/>
      <c r="GR191"/>
      <c r="GS191"/>
      <c r="GT191"/>
      <c r="GU191"/>
      <c r="GV191"/>
      <c r="GW191"/>
      <c r="GX191"/>
      <c r="GY191"/>
      <c r="GZ191"/>
      <c r="HA191"/>
    </row>
    <row r="192" spans="1:209" ht="15" customHeight="1" x14ac:dyDescent="0.15">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c r="FQ192"/>
      <c r="FR192"/>
      <c r="FS192"/>
      <c r="FT192"/>
      <c r="FU192"/>
      <c r="FV192"/>
      <c r="FW192"/>
      <c r="FX192"/>
      <c r="FY192"/>
      <c r="FZ192"/>
      <c r="GA192"/>
      <c r="GB192"/>
      <c r="GC192"/>
      <c r="GD192"/>
      <c r="GE192"/>
      <c r="GF192"/>
      <c r="GG192"/>
      <c r="GH192"/>
      <c r="GI192"/>
      <c r="GJ192"/>
      <c r="GK192"/>
      <c r="GL192"/>
      <c r="GM192"/>
      <c r="GN192"/>
      <c r="GO192"/>
      <c r="GP192"/>
      <c r="GQ192"/>
      <c r="GR192"/>
      <c r="GS192"/>
      <c r="GT192"/>
      <c r="GU192"/>
      <c r="GV192"/>
      <c r="GW192"/>
      <c r="GX192"/>
      <c r="GY192"/>
      <c r="GZ192"/>
      <c r="HA192"/>
    </row>
    <row r="193" spans="1:209" ht="15" customHeight="1" x14ac:dyDescent="0.15">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c r="EN193"/>
      <c r="EO193"/>
      <c r="EP193"/>
      <c r="EQ193"/>
      <c r="ER193"/>
      <c r="ES193"/>
      <c r="ET193"/>
      <c r="EU193"/>
      <c r="EV193"/>
      <c r="EW193"/>
      <c r="EX193"/>
      <c r="EY193"/>
      <c r="EZ193"/>
      <c r="FA193"/>
      <c r="FB193"/>
      <c r="FC193"/>
      <c r="FD193"/>
      <c r="FE193"/>
      <c r="FF193"/>
      <c r="FG193"/>
      <c r="FH193"/>
      <c r="FI193"/>
      <c r="FJ193"/>
      <c r="FK193"/>
      <c r="FL193"/>
      <c r="FM193"/>
      <c r="FN193"/>
      <c r="FO193"/>
      <c r="FP193"/>
      <c r="FQ193"/>
      <c r="FR193"/>
      <c r="FS193"/>
      <c r="FT193"/>
      <c r="FU193"/>
      <c r="FV193"/>
      <c r="FW193"/>
      <c r="FX193"/>
      <c r="FY193"/>
      <c r="FZ193"/>
      <c r="GA193"/>
      <c r="GB193"/>
      <c r="GC193"/>
      <c r="GD193"/>
      <c r="GE193"/>
      <c r="GF193"/>
      <c r="GG193"/>
      <c r="GH193"/>
      <c r="GI193"/>
      <c r="GJ193"/>
      <c r="GK193"/>
      <c r="GL193"/>
      <c r="GM193"/>
      <c r="GN193"/>
      <c r="GO193"/>
      <c r="GP193"/>
      <c r="GQ193"/>
      <c r="GR193"/>
      <c r="GS193"/>
      <c r="GT193"/>
      <c r="GU193"/>
      <c r="GV193"/>
      <c r="GW193"/>
      <c r="GX193"/>
      <c r="GY193"/>
      <c r="GZ193"/>
      <c r="HA193"/>
    </row>
    <row r="194" spans="1:209" ht="15" customHeight="1" x14ac:dyDescent="0.15">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c r="EN194"/>
      <c r="EO194"/>
      <c r="EP194"/>
      <c r="EQ194"/>
      <c r="ER194"/>
      <c r="ES194"/>
      <c r="ET194"/>
      <c r="EU194"/>
      <c r="EV194"/>
      <c r="EW194"/>
      <c r="EX194"/>
      <c r="EY194"/>
      <c r="EZ194"/>
      <c r="FA194"/>
      <c r="FB194"/>
      <c r="FC194"/>
      <c r="FD194"/>
      <c r="FE194"/>
      <c r="FF194"/>
      <c r="FG194"/>
      <c r="FH194"/>
      <c r="FI194"/>
      <c r="FJ194"/>
      <c r="FK194"/>
      <c r="FL194"/>
      <c r="FM194"/>
      <c r="FN194"/>
      <c r="FO194"/>
      <c r="FP194"/>
      <c r="FQ194"/>
      <c r="FR194"/>
      <c r="FS194"/>
      <c r="FT194"/>
      <c r="FU194"/>
      <c r="FV194"/>
      <c r="FW194"/>
      <c r="FX194"/>
      <c r="FY194"/>
      <c r="FZ194"/>
      <c r="GA194"/>
      <c r="GB194"/>
      <c r="GC194"/>
      <c r="GD194"/>
      <c r="GE194"/>
      <c r="GF194"/>
      <c r="GG194"/>
      <c r="GH194"/>
      <c r="GI194"/>
      <c r="GJ194"/>
      <c r="GK194"/>
      <c r="GL194"/>
      <c r="GM194"/>
      <c r="GN194"/>
      <c r="GO194"/>
      <c r="GP194"/>
      <c r="GQ194"/>
      <c r="GR194"/>
      <c r="GS194"/>
      <c r="GT194"/>
      <c r="GU194"/>
      <c r="GV194"/>
      <c r="GW194"/>
      <c r="GX194"/>
      <c r="GY194"/>
      <c r="GZ194"/>
      <c r="HA194"/>
    </row>
    <row r="195" spans="1:209" ht="15" customHeight="1" x14ac:dyDescent="0.15">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c r="EN195"/>
      <c r="EO195"/>
      <c r="EP195"/>
      <c r="EQ195"/>
      <c r="ER195"/>
      <c r="ES195"/>
      <c r="ET195"/>
      <c r="EU195"/>
      <c r="EV195"/>
      <c r="EW195"/>
      <c r="EX195"/>
      <c r="EY195"/>
      <c r="EZ195"/>
      <c r="FA195"/>
      <c r="FB195"/>
      <c r="FC195"/>
      <c r="FD195"/>
      <c r="FE195"/>
      <c r="FF195"/>
      <c r="FG195"/>
      <c r="FH195"/>
      <c r="FI195"/>
      <c r="FJ195"/>
      <c r="FK195"/>
      <c r="FL195"/>
      <c r="FM195"/>
      <c r="FN195"/>
      <c r="FO195"/>
      <c r="FP195"/>
      <c r="FQ195"/>
      <c r="FR195"/>
      <c r="FS195"/>
      <c r="FT195"/>
      <c r="FU195"/>
      <c r="FV195"/>
      <c r="FW195"/>
      <c r="FX195"/>
      <c r="FY195"/>
      <c r="FZ195"/>
      <c r="GA195"/>
      <c r="GB195"/>
      <c r="GC195"/>
      <c r="GD195"/>
      <c r="GE195"/>
      <c r="GF195"/>
      <c r="GG195"/>
      <c r="GH195"/>
      <c r="GI195"/>
      <c r="GJ195"/>
      <c r="GK195"/>
      <c r="GL195"/>
      <c r="GM195"/>
      <c r="GN195"/>
      <c r="GO195"/>
      <c r="GP195"/>
      <c r="GQ195"/>
      <c r="GR195"/>
      <c r="GS195"/>
      <c r="GT195"/>
      <c r="GU195"/>
      <c r="GV195"/>
      <c r="GW195"/>
      <c r="GX195"/>
      <c r="GY195"/>
      <c r="GZ195"/>
      <c r="HA195"/>
    </row>
    <row r="196" spans="1:209" ht="15" customHeight="1" x14ac:dyDescent="0.15">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c r="EN196"/>
      <c r="EO196"/>
      <c r="EP196"/>
      <c r="EQ196"/>
      <c r="ER196"/>
      <c r="ES196"/>
      <c r="ET196"/>
      <c r="EU196"/>
      <c r="EV196"/>
      <c r="EW196"/>
      <c r="EX196"/>
      <c r="EY196"/>
      <c r="EZ196"/>
      <c r="FA196"/>
      <c r="FB196"/>
      <c r="FC196"/>
      <c r="FD196"/>
      <c r="FE196"/>
      <c r="FF196"/>
      <c r="FG196"/>
      <c r="FH196"/>
      <c r="FI196"/>
      <c r="FJ196"/>
      <c r="FK196"/>
      <c r="FL196"/>
      <c r="FM196"/>
      <c r="FN196"/>
      <c r="FO196"/>
      <c r="FP196"/>
      <c r="FQ196"/>
      <c r="FR196"/>
      <c r="FS196"/>
      <c r="FT196"/>
      <c r="FU196"/>
      <c r="FV196"/>
      <c r="FW196"/>
      <c r="FX196"/>
      <c r="FY196"/>
      <c r="FZ196"/>
      <c r="GA196"/>
      <c r="GB196"/>
      <c r="GC196"/>
      <c r="GD196"/>
      <c r="GE196"/>
      <c r="GF196"/>
      <c r="GG196"/>
      <c r="GH196"/>
      <c r="GI196"/>
      <c r="GJ196"/>
      <c r="GK196"/>
      <c r="GL196"/>
      <c r="GM196"/>
      <c r="GN196"/>
      <c r="GO196"/>
      <c r="GP196"/>
      <c r="GQ196"/>
      <c r="GR196"/>
      <c r="GS196"/>
      <c r="GT196"/>
      <c r="GU196"/>
      <c r="GV196"/>
      <c r="GW196"/>
      <c r="GX196"/>
      <c r="GY196"/>
      <c r="GZ196"/>
      <c r="HA196"/>
    </row>
    <row r="197" spans="1:209" ht="15" customHeight="1" x14ac:dyDescent="0.15">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c r="FQ197"/>
      <c r="FR197"/>
      <c r="FS197"/>
      <c r="FT197"/>
      <c r="FU197"/>
      <c r="FV197"/>
      <c r="FW197"/>
      <c r="FX197"/>
      <c r="FY197"/>
      <c r="FZ197"/>
      <c r="GA197"/>
      <c r="GB197"/>
      <c r="GC197"/>
      <c r="GD197"/>
      <c r="GE197"/>
      <c r="GF197"/>
      <c r="GG197"/>
      <c r="GH197"/>
      <c r="GI197"/>
      <c r="GJ197"/>
      <c r="GK197"/>
      <c r="GL197"/>
      <c r="GM197"/>
      <c r="GN197"/>
      <c r="GO197"/>
      <c r="GP197"/>
      <c r="GQ197"/>
      <c r="GR197"/>
      <c r="GS197"/>
      <c r="GT197"/>
      <c r="GU197"/>
      <c r="GV197"/>
      <c r="GW197"/>
      <c r="GX197"/>
      <c r="GY197"/>
      <c r="GZ197"/>
      <c r="HA197"/>
    </row>
    <row r="198" spans="1:209" ht="15" customHeight="1" x14ac:dyDescent="0.15">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c r="FQ198"/>
      <c r="FR198"/>
      <c r="FS198"/>
      <c r="FT198"/>
      <c r="FU198"/>
      <c r="FV198"/>
      <c r="FW198"/>
      <c r="FX198"/>
      <c r="FY198"/>
      <c r="FZ198"/>
      <c r="GA198"/>
      <c r="GB198"/>
      <c r="GC198"/>
      <c r="GD198"/>
      <c r="GE198"/>
      <c r="GF198"/>
      <c r="GG198"/>
      <c r="GH198"/>
      <c r="GI198"/>
      <c r="GJ198"/>
      <c r="GK198"/>
      <c r="GL198"/>
      <c r="GM198"/>
      <c r="GN198"/>
      <c r="GO198"/>
      <c r="GP198"/>
      <c r="GQ198"/>
      <c r="GR198"/>
      <c r="GS198"/>
      <c r="GT198"/>
      <c r="GU198"/>
      <c r="GV198"/>
      <c r="GW198"/>
      <c r="GX198"/>
      <c r="GY198"/>
      <c r="GZ198"/>
      <c r="HA198"/>
    </row>
    <row r="199" spans="1:209" ht="15" customHeight="1" x14ac:dyDescent="0.15">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c r="EN199"/>
      <c r="EO199"/>
      <c r="EP199"/>
      <c r="EQ199"/>
      <c r="ER199"/>
      <c r="ES199"/>
      <c r="ET199"/>
      <c r="EU199"/>
      <c r="EV199"/>
      <c r="EW199"/>
      <c r="EX199"/>
      <c r="EY199"/>
      <c r="EZ199"/>
      <c r="FA199"/>
      <c r="FB199"/>
      <c r="FC199"/>
      <c r="FD199"/>
      <c r="FE199"/>
      <c r="FF199"/>
      <c r="FG199"/>
      <c r="FH199"/>
      <c r="FI199"/>
      <c r="FJ199"/>
      <c r="FK199"/>
      <c r="FL199"/>
      <c r="FM199"/>
      <c r="FN199"/>
      <c r="FO199"/>
      <c r="FP199"/>
      <c r="FQ199"/>
      <c r="FR199"/>
      <c r="FS199"/>
      <c r="FT199"/>
      <c r="FU199"/>
      <c r="FV199"/>
      <c r="FW199"/>
      <c r="FX199"/>
      <c r="FY199"/>
      <c r="FZ199"/>
      <c r="GA199"/>
      <c r="GB199"/>
      <c r="GC199"/>
      <c r="GD199"/>
      <c r="GE199"/>
      <c r="GF199"/>
      <c r="GG199"/>
      <c r="GH199"/>
      <c r="GI199"/>
      <c r="GJ199"/>
      <c r="GK199"/>
      <c r="GL199"/>
      <c r="GM199"/>
      <c r="GN199"/>
      <c r="GO199"/>
      <c r="GP199"/>
      <c r="GQ199"/>
      <c r="GR199"/>
      <c r="GS199"/>
      <c r="GT199"/>
      <c r="GU199"/>
      <c r="GV199"/>
      <c r="GW199"/>
      <c r="GX199"/>
      <c r="GY199"/>
      <c r="GZ199"/>
      <c r="HA199"/>
    </row>
    <row r="200" spans="1:209" ht="15" customHeight="1" x14ac:dyDescent="0.15">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c r="EN200"/>
      <c r="EO200"/>
      <c r="EP200"/>
      <c r="EQ200"/>
      <c r="ER200"/>
      <c r="ES200"/>
      <c r="ET200"/>
      <c r="EU200"/>
      <c r="EV200"/>
      <c r="EW200"/>
      <c r="EX200"/>
      <c r="EY200"/>
      <c r="EZ200"/>
      <c r="FA200"/>
      <c r="FB200"/>
      <c r="FC200"/>
      <c r="FD200"/>
      <c r="FE200"/>
      <c r="FF200"/>
      <c r="FG200"/>
      <c r="FH200"/>
      <c r="FI200"/>
      <c r="FJ200"/>
      <c r="FK200"/>
      <c r="FL200"/>
      <c r="FM200"/>
      <c r="FN200"/>
      <c r="FO200"/>
      <c r="FP200"/>
      <c r="FQ200"/>
      <c r="FR200"/>
      <c r="FS200"/>
      <c r="FT200"/>
      <c r="FU200"/>
      <c r="FV200"/>
      <c r="FW200"/>
      <c r="FX200"/>
      <c r="FY200"/>
      <c r="FZ200"/>
      <c r="GA200"/>
      <c r="GB200"/>
      <c r="GC200"/>
      <c r="GD200"/>
      <c r="GE200"/>
      <c r="GF200"/>
      <c r="GG200"/>
      <c r="GH200"/>
      <c r="GI200"/>
      <c r="GJ200"/>
      <c r="GK200"/>
      <c r="GL200"/>
      <c r="GM200"/>
      <c r="GN200"/>
      <c r="GO200"/>
      <c r="GP200"/>
      <c r="GQ200"/>
      <c r="GR200"/>
      <c r="GS200"/>
      <c r="GT200"/>
      <c r="GU200"/>
      <c r="GV200"/>
      <c r="GW200"/>
      <c r="GX200"/>
      <c r="GY200"/>
      <c r="GZ200"/>
      <c r="HA200"/>
    </row>
    <row r="201" spans="1:209" ht="15" customHeight="1" x14ac:dyDescent="0.15">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c r="EN201"/>
      <c r="EO201"/>
      <c r="EP201"/>
      <c r="EQ201"/>
      <c r="ER201"/>
      <c r="ES201"/>
      <c r="ET201"/>
      <c r="EU201"/>
      <c r="EV201"/>
      <c r="EW201"/>
      <c r="EX201"/>
      <c r="EY201"/>
      <c r="EZ201"/>
      <c r="FA201"/>
      <c r="FB201"/>
      <c r="FC201"/>
      <c r="FD201"/>
      <c r="FE201"/>
      <c r="FF201"/>
      <c r="FG201"/>
      <c r="FH201"/>
      <c r="FI201"/>
      <c r="FJ201"/>
      <c r="FK201"/>
      <c r="FL201"/>
      <c r="FM201"/>
      <c r="FN201"/>
      <c r="FO201"/>
      <c r="FP201"/>
      <c r="FQ201"/>
      <c r="FR201"/>
      <c r="FS201"/>
      <c r="FT201"/>
      <c r="FU201"/>
      <c r="FV201"/>
      <c r="FW201"/>
      <c r="FX201"/>
      <c r="FY201"/>
      <c r="FZ201"/>
      <c r="GA201"/>
      <c r="GB201"/>
      <c r="GC201"/>
      <c r="GD201"/>
      <c r="GE201"/>
      <c r="GF201"/>
      <c r="GG201"/>
      <c r="GH201"/>
      <c r="GI201"/>
      <c r="GJ201"/>
      <c r="GK201"/>
      <c r="GL201"/>
      <c r="GM201"/>
      <c r="GN201"/>
      <c r="GO201"/>
      <c r="GP201"/>
      <c r="GQ201"/>
      <c r="GR201"/>
      <c r="GS201"/>
      <c r="GT201"/>
      <c r="GU201"/>
      <c r="GV201"/>
      <c r="GW201"/>
      <c r="GX201"/>
      <c r="GY201"/>
      <c r="GZ201"/>
      <c r="HA201"/>
    </row>
    <row r="202" spans="1:209" ht="15" customHeight="1" x14ac:dyDescent="0.15">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c r="EN202"/>
      <c r="EO202"/>
      <c r="EP202"/>
      <c r="EQ202"/>
      <c r="ER202"/>
      <c r="ES202"/>
      <c r="ET202"/>
      <c r="EU202"/>
      <c r="EV202"/>
      <c r="EW202"/>
      <c r="EX202"/>
      <c r="EY202"/>
      <c r="EZ202"/>
      <c r="FA202"/>
      <c r="FB202"/>
      <c r="FC202"/>
      <c r="FD202"/>
      <c r="FE202"/>
      <c r="FF202"/>
      <c r="FG202"/>
      <c r="FH202"/>
      <c r="FI202"/>
      <c r="FJ202"/>
      <c r="FK202"/>
      <c r="FL202"/>
      <c r="FM202"/>
      <c r="FN202"/>
      <c r="FO202"/>
      <c r="FP202"/>
      <c r="FQ202"/>
      <c r="FR202"/>
      <c r="FS202"/>
      <c r="FT202"/>
      <c r="FU202"/>
      <c r="FV202"/>
      <c r="FW202"/>
      <c r="FX202"/>
      <c r="FY202"/>
      <c r="FZ202"/>
      <c r="GA202"/>
      <c r="GB202"/>
      <c r="GC202"/>
      <c r="GD202"/>
      <c r="GE202"/>
      <c r="GF202"/>
      <c r="GG202"/>
      <c r="GH202"/>
      <c r="GI202"/>
      <c r="GJ202"/>
      <c r="GK202"/>
      <c r="GL202"/>
      <c r="GM202"/>
      <c r="GN202"/>
      <c r="GO202"/>
      <c r="GP202"/>
      <c r="GQ202"/>
      <c r="GR202"/>
      <c r="GS202"/>
      <c r="GT202"/>
      <c r="GU202"/>
      <c r="GV202"/>
      <c r="GW202"/>
      <c r="GX202"/>
      <c r="GY202"/>
      <c r="GZ202"/>
      <c r="HA202"/>
    </row>
    <row r="203" spans="1:209" ht="15" customHeight="1" x14ac:dyDescent="0.15">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c r="EN203"/>
      <c r="EO203"/>
      <c r="EP203"/>
      <c r="EQ203"/>
      <c r="ER203"/>
      <c r="ES203"/>
      <c r="ET203"/>
      <c r="EU203"/>
      <c r="EV203"/>
      <c r="EW203"/>
      <c r="EX203"/>
      <c r="EY203"/>
      <c r="EZ203"/>
      <c r="FA203"/>
      <c r="FB203"/>
      <c r="FC203"/>
      <c r="FD203"/>
      <c r="FE203"/>
      <c r="FF203"/>
      <c r="FG203"/>
      <c r="FH203"/>
      <c r="FI203"/>
      <c r="FJ203"/>
      <c r="FK203"/>
      <c r="FL203"/>
      <c r="FM203"/>
      <c r="FN203"/>
      <c r="FO203"/>
      <c r="FP203"/>
      <c r="FQ203"/>
      <c r="FR203"/>
      <c r="FS203"/>
      <c r="FT203"/>
      <c r="FU203"/>
      <c r="FV203"/>
      <c r="FW203"/>
      <c r="FX203"/>
      <c r="FY203"/>
      <c r="FZ203"/>
      <c r="GA203"/>
      <c r="GB203"/>
      <c r="GC203"/>
      <c r="GD203"/>
      <c r="GE203"/>
      <c r="GF203"/>
      <c r="GG203"/>
      <c r="GH203"/>
      <c r="GI203"/>
      <c r="GJ203"/>
      <c r="GK203"/>
      <c r="GL203"/>
      <c r="GM203"/>
      <c r="GN203"/>
      <c r="GO203"/>
      <c r="GP203"/>
      <c r="GQ203"/>
      <c r="GR203"/>
      <c r="GS203"/>
      <c r="GT203"/>
      <c r="GU203"/>
      <c r="GV203"/>
      <c r="GW203"/>
      <c r="GX203"/>
      <c r="GY203"/>
      <c r="GZ203"/>
      <c r="HA203"/>
    </row>
    <row r="204" spans="1:209" ht="15" customHeight="1" x14ac:dyDescent="0.15">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c r="EN204"/>
      <c r="EO204"/>
      <c r="EP204"/>
      <c r="EQ204"/>
      <c r="ER204"/>
      <c r="ES204"/>
      <c r="ET204"/>
      <c r="EU204"/>
      <c r="EV204"/>
      <c r="EW204"/>
      <c r="EX204"/>
      <c r="EY204"/>
      <c r="EZ204"/>
      <c r="FA204"/>
      <c r="FB204"/>
      <c r="FC204"/>
      <c r="FD204"/>
      <c r="FE204"/>
      <c r="FF204"/>
      <c r="FG204"/>
      <c r="FH204"/>
      <c r="FI204"/>
      <c r="FJ204"/>
      <c r="FK204"/>
      <c r="FL204"/>
      <c r="FM204"/>
      <c r="FN204"/>
      <c r="FO204"/>
      <c r="FP204"/>
      <c r="FQ204"/>
      <c r="FR204"/>
      <c r="FS204"/>
      <c r="FT204"/>
      <c r="FU204"/>
      <c r="FV204"/>
      <c r="FW204"/>
      <c r="FX204"/>
      <c r="FY204"/>
      <c r="FZ204"/>
      <c r="GA204"/>
      <c r="GB204"/>
      <c r="GC204"/>
      <c r="GD204"/>
      <c r="GE204"/>
      <c r="GF204"/>
      <c r="GG204"/>
      <c r="GH204"/>
      <c r="GI204"/>
      <c r="GJ204"/>
      <c r="GK204"/>
      <c r="GL204"/>
      <c r="GM204"/>
      <c r="GN204"/>
      <c r="GO204"/>
      <c r="GP204"/>
      <c r="GQ204"/>
      <c r="GR204"/>
      <c r="GS204"/>
      <c r="GT204"/>
      <c r="GU204"/>
      <c r="GV204"/>
      <c r="GW204"/>
      <c r="GX204"/>
      <c r="GY204"/>
      <c r="GZ204"/>
      <c r="HA204"/>
    </row>
    <row r="205" spans="1:209" ht="15" customHeight="1" x14ac:dyDescent="0.15">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c r="FQ205"/>
      <c r="FR205"/>
      <c r="FS205"/>
      <c r="FT205"/>
      <c r="FU205"/>
      <c r="FV205"/>
      <c r="FW205"/>
      <c r="FX205"/>
      <c r="FY205"/>
      <c r="FZ205"/>
      <c r="GA205"/>
      <c r="GB205"/>
      <c r="GC205"/>
      <c r="GD205"/>
      <c r="GE205"/>
      <c r="GF205"/>
      <c r="GG205"/>
      <c r="GH205"/>
      <c r="GI205"/>
      <c r="GJ205"/>
      <c r="GK205"/>
      <c r="GL205"/>
      <c r="GM205"/>
      <c r="GN205"/>
      <c r="GO205"/>
      <c r="GP205"/>
      <c r="GQ205"/>
      <c r="GR205"/>
      <c r="GS205"/>
      <c r="GT205"/>
      <c r="GU205"/>
      <c r="GV205"/>
      <c r="GW205"/>
      <c r="GX205"/>
      <c r="GY205"/>
      <c r="GZ205"/>
      <c r="HA205"/>
    </row>
    <row r="206" spans="1:209" ht="15" customHeight="1" x14ac:dyDescent="0.15">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c r="DL206"/>
      <c r="DM206"/>
      <c r="DN206"/>
      <c r="DO206"/>
      <c r="DP206"/>
      <c r="DQ206"/>
      <c r="DR206"/>
      <c r="DS206"/>
      <c r="DT206"/>
      <c r="DU206"/>
      <c r="DV206"/>
      <c r="DW206"/>
      <c r="DX206"/>
      <c r="DY206"/>
      <c r="DZ206"/>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c r="GN206"/>
      <c r="GO206"/>
      <c r="GP206"/>
      <c r="GQ206"/>
      <c r="GR206"/>
      <c r="GS206"/>
      <c r="GT206"/>
      <c r="GU206"/>
      <c r="GV206"/>
      <c r="GW206"/>
      <c r="GX206"/>
      <c r="GY206"/>
      <c r="GZ206"/>
      <c r="HA206"/>
    </row>
    <row r="207" spans="1:209" ht="15" customHeight="1" x14ac:dyDescent="0.15">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c r="GN207"/>
      <c r="GO207"/>
      <c r="GP207"/>
      <c r="GQ207"/>
      <c r="GR207"/>
      <c r="GS207"/>
      <c r="GT207"/>
      <c r="GU207"/>
      <c r="GV207"/>
      <c r="GW207"/>
      <c r="GX207"/>
      <c r="GY207"/>
      <c r="GZ207"/>
      <c r="HA207"/>
    </row>
    <row r="208" spans="1:209" ht="15" customHeight="1" x14ac:dyDescent="0.15">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c r="DF208"/>
      <c r="DG208"/>
      <c r="DH208"/>
      <c r="DI208"/>
      <c r="DJ208"/>
      <c r="DK208"/>
      <c r="DL208"/>
      <c r="DM208"/>
      <c r="DN208"/>
      <c r="DO208"/>
      <c r="DP208"/>
      <c r="DQ208"/>
      <c r="DR208"/>
      <c r="DS208"/>
      <c r="DT208"/>
      <c r="DU208"/>
      <c r="DV208"/>
      <c r="DW208"/>
      <c r="DX208"/>
      <c r="DY208"/>
      <c r="DZ208"/>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c r="GN208"/>
      <c r="GO208"/>
      <c r="GP208"/>
      <c r="GQ208"/>
      <c r="GR208"/>
      <c r="GS208"/>
      <c r="GT208"/>
      <c r="GU208"/>
      <c r="GV208"/>
      <c r="GW208"/>
      <c r="GX208"/>
      <c r="GY208"/>
      <c r="GZ208"/>
      <c r="HA208"/>
    </row>
    <row r="209" spans="1:209" ht="15" customHeight="1" x14ac:dyDescent="0.15">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c r="DF209"/>
      <c r="DG209"/>
      <c r="DH209"/>
      <c r="DI209"/>
      <c r="DJ209"/>
      <c r="DK209"/>
      <c r="DL209"/>
      <c r="DM209"/>
      <c r="DN209"/>
      <c r="DO209"/>
      <c r="DP209"/>
      <c r="DQ209"/>
      <c r="DR209"/>
      <c r="DS209"/>
      <c r="DT209"/>
      <c r="DU209"/>
      <c r="DV209"/>
      <c r="DW209"/>
      <c r="DX209"/>
      <c r="DY209"/>
      <c r="DZ209"/>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c r="GN209"/>
      <c r="GO209"/>
      <c r="GP209"/>
      <c r="GQ209"/>
      <c r="GR209"/>
      <c r="GS209"/>
      <c r="GT209"/>
      <c r="GU209"/>
      <c r="GV209"/>
      <c r="GW209"/>
      <c r="GX209"/>
      <c r="GY209"/>
      <c r="GZ209"/>
      <c r="HA209"/>
    </row>
    <row r="210" spans="1:209" ht="15" customHeight="1" x14ac:dyDescent="0.15">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c r="DF210"/>
      <c r="DG210"/>
      <c r="DH210"/>
      <c r="DI210"/>
      <c r="DJ210"/>
      <c r="DK210"/>
      <c r="DL210"/>
      <c r="DM210"/>
      <c r="DN210"/>
      <c r="DO210"/>
      <c r="DP210"/>
      <c r="DQ210"/>
      <c r="DR210"/>
      <c r="DS210"/>
      <c r="DT210"/>
      <c r="DU210"/>
      <c r="DV210"/>
      <c r="DW210"/>
      <c r="DX210"/>
      <c r="DY210"/>
      <c r="DZ210"/>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c r="GN210"/>
      <c r="GO210"/>
      <c r="GP210"/>
      <c r="GQ210"/>
      <c r="GR210"/>
      <c r="GS210"/>
      <c r="GT210"/>
      <c r="GU210"/>
      <c r="GV210"/>
      <c r="GW210"/>
      <c r="GX210"/>
      <c r="GY210"/>
      <c r="GZ210"/>
      <c r="HA210"/>
    </row>
    <row r="211" spans="1:209" ht="15" customHeight="1" x14ac:dyDescent="0.15">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c r="DF211"/>
      <c r="DG211"/>
      <c r="DH211"/>
      <c r="DI211"/>
      <c r="DJ211"/>
      <c r="DK211"/>
      <c r="DL211"/>
      <c r="DM211"/>
      <c r="DN211"/>
      <c r="DO211"/>
      <c r="DP211"/>
      <c r="DQ211"/>
      <c r="DR211"/>
      <c r="DS211"/>
      <c r="DT211"/>
      <c r="DU211"/>
      <c r="DV211"/>
      <c r="DW211"/>
      <c r="DX211"/>
      <c r="DY211"/>
      <c r="DZ211"/>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c r="GN211"/>
      <c r="GO211"/>
      <c r="GP211"/>
      <c r="GQ211"/>
      <c r="GR211"/>
      <c r="GS211"/>
      <c r="GT211"/>
      <c r="GU211"/>
      <c r="GV211"/>
      <c r="GW211"/>
      <c r="GX211"/>
      <c r="GY211"/>
      <c r="GZ211"/>
      <c r="HA211"/>
    </row>
    <row r="212" spans="1:209" ht="15" customHeight="1" x14ac:dyDescent="0.15">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c r="DF212"/>
      <c r="DG212"/>
      <c r="DH212"/>
      <c r="DI212"/>
      <c r="DJ212"/>
      <c r="DK212"/>
      <c r="DL212"/>
      <c r="DM212"/>
      <c r="DN212"/>
      <c r="DO212"/>
      <c r="DP212"/>
      <c r="DQ212"/>
      <c r="DR212"/>
      <c r="DS212"/>
      <c r="DT212"/>
      <c r="DU212"/>
      <c r="DV212"/>
      <c r="DW212"/>
      <c r="DX212"/>
      <c r="DY212"/>
      <c r="DZ212"/>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c r="GN212"/>
      <c r="GO212"/>
      <c r="GP212"/>
      <c r="GQ212"/>
      <c r="GR212"/>
      <c r="GS212"/>
      <c r="GT212"/>
      <c r="GU212"/>
      <c r="GV212"/>
      <c r="GW212"/>
      <c r="GX212"/>
      <c r="GY212"/>
      <c r="GZ212"/>
      <c r="HA212"/>
    </row>
    <row r="213" spans="1:209" ht="15" customHeight="1" x14ac:dyDescent="0.15">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c r="DF213"/>
      <c r="DG213"/>
      <c r="DH213"/>
      <c r="DI213"/>
      <c r="DJ213"/>
      <c r="DK213"/>
      <c r="DL213"/>
      <c r="DM213"/>
      <c r="DN213"/>
      <c r="DO213"/>
      <c r="DP213"/>
      <c r="DQ213"/>
      <c r="DR213"/>
      <c r="DS213"/>
      <c r="DT213"/>
      <c r="DU213"/>
      <c r="DV213"/>
      <c r="DW213"/>
      <c r="DX213"/>
      <c r="DY213"/>
      <c r="DZ213"/>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c r="GN213"/>
      <c r="GO213"/>
      <c r="GP213"/>
      <c r="GQ213"/>
      <c r="GR213"/>
      <c r="GS213"/>
      <c r="GT213"/>
      <c r="GU213"/>
      <c r="GV213"/>
      <c r="GW213"/>
      <c r="GX213"/>
      <c r="GY213"/>
      <c r="GZ213"/>
      <c r="HA213"/>
    </row>
    <row r="214" spans="1:209" ht="15" customHeight="1" x14ac:dyDescent="0.15">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c r="DF214"/>
      <c r="DG214"/>
      <c r="DH214"/>
      <c r="DI214"/>
      <c r="DJ214"/>
      <c r="DK214"/>
      <c r="DL214"/>
      <c r="DM214"/>
      <c r="DN214"/>
      <c r="DO214"/>
      <c r="DP214"/>
      <c r="DQ214"/>
      <c r="DR214"/>
      <c r="DS214"/>
      <c r="DT214"/>
      <c r="DU214"/>
      <c r="DV214"/>
      <c r="DW214"/>
      <c r="DX214"/>
      <c r="DY214"/>
      <c r="DZ214"/>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c r="GN214"/>
      <c r="GO214"/>
      <c r="GP214"/>
      <c r="GQ214"/>
      <c r="GR214"/>
      <c r="GS214"/>
      <c r="GT214"/>
      <c r="GU214"/>
      <c r="GV214"/>
      <c r="GW214"/>
      <c r="GX214"/>
      <c r="GY214"/>
      <c r="GZ214"/>
      <c r="HA214"/>
    </row>
    <row r="215" spans="1:209" ht="15" customHeight="1" x14ac:dyDescent="0.15">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c r="DF215"/>
      <c r="DG215"/>
      <c r="DH215"/>
      <c r="DI215"/>
      <c r="DJ215"/>
      <c r="DK215"/>
      <c r="DL215"/>
      <c r="DM215"/>
      <c r="DN215"/>
      <c r="DO215"/>
      <c r="DP215"/>
      <c r="DQ215"/>
      <c r="DR215"/>
      <c r="DS215"/>
      <c r="DT215"/>
      <c r="DU215"/>
      <c r="DV215"/>
      <c r="DW215"/>
      <c r="DX215"/>
      <c r="DY215"/>
      <c r="DZ215"/>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c r="GN215"/>
      <c r="GO215"/>
      <c r="GP215"/>
      <c r="GQ215"/>
      <c r="GR215"/>
      <c r="GS215"/>
      <c r="GT215"/>
      <c r="GU215"/>
      <c r="GV215"/>
      <c r="GW215"/>
      <c r="GX215"/>
      <c r="GY215"/>
      <c r="GZ215"/>
      <c r="HA215"/>
    </row>
    <row r="216" spans="1:209" ht="15" customHeight="1" x14ac:dyDescent="0.15">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c r="DF216"/>
      <c r="DG216"/>
      <c r="DH216"/>
      <c r="DI216"/>
      <c r="DJ216"/>
      <c r="DK216"/>
      <c r="DL216"/>
      <c r="DM216"/>
      <c r="DN216"/>
      <c r="DO216"/>
      <c r="DP216"/>
      <c r="DQ216"/>
      <c r="DR216"/>
      <c r="DS216"/>
      <c r="DT216"/>
      <c r="DU216"/>
      <c r="DV216"/>
      <c r="DW216"/>
      <c r="DX216"/>
      <c r="DY216"/>
      <c r="DZ216"/>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c r="GN216"/>
      <c r="GO216"/>
      <c r="GP216"/>
      <c r="GQ216"/>
      <c r="GR216"/>
      <c r="GS216"/>
      <c r="GT216"/>
      <c r="GU216"/>
      <c r="GV216"/>
      <c r="GW216"/>
      <c r="GX216"/>
      <c r="GY216"/>
      <c r="GZ216"/>
      <c r="HA216"/>
    </row>
    <row r="217" spans="1:209" ht="15" customHeight="1" x14ac:dyDescent="0.15">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c r="DF217"/>
      <c r="DG217"/>
      <c r="DH217"/>
      <c r="DI217"/>
      <c r="DJ217"/>
      <c r="DK217"/>
      <c r="DL217"/>
      <c r="DM217"/>
      <c r="DN217"/>
      <c r="DO217"/>
      <c r="DP217"/>
      <c r="DQ217"/>
      <c r="DR217"/>
      <c r="DS217"/>
      <c r="DT217"/>
      <c r="DU217"/>
      <c r="DV217"/>
      <c r="DW217"/>
      <c r="DX217"/>
      <c r="DY217"/>
      <c r="DZ217"/>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c r="GN217"/>
      <c r="GO217"/>
      <c r="GP217"/>
      <c r="GQ217"/>
      <c r="GR217"/>
      <c r="GS217"/>
      <c r="GT217"/>
      <c r="GU217"/>
      <c r="GV217"/>
      <c r="GW217"/>
      <c r="GX217"/>
      <c r="GY217"/>
      <c r="GZ217"/>
      <c r="HA217"/>
    </row>
    <row r="218" spans="1:209" ht="15" customHeight="1" x14ac:dyDescent="0.15">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c r="DN218"/>
      <c r="DO218"/>
      <c r="DP218"/>
      <c r="DQ218"/>
      <c r="DR218"/>
      <c r="DS218"/>
      <c r="DT218"/>
      <c r="DU218"/>
      <c r="DV218"/>
      <c r="DW218"/>
      <c r="DX218"/>
      <c r="DY218"/>
      <c r="DZ218"/>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c r="GN218"/>
      <c r="GO218"/>
      <c r="GP218"/>
      <c r="GQ218"/>
      <c r="GR218"/>
      <c r="GS218"/>
      <c r="GT218"/>
      <c r="GU218"/>
      <c r="GV218"/>
      <c r="GW218"/>
      <c r="GX218"/>
      <c r="GY218"/>
      <c r="GZ218"/>
      <c r="HA218"/>
    </row>
    <row r="219" spans="1:209" ht="15" customHeight="1" x14ac:dyDescent="0.15">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c r="DF219"/>
      <c r="DG219"/>
      <c r="DH219"/>
      <c r="DI219"/>
      <c r="DJ219"/>
      <c r="DK219"/>
      <c r="DL219"/>
      <c r="DM219"/>
      <c r="DN219"/>
      <c r="DO219"/>
      <c r="DP219"/>
      <c r="DQ219"/>
      <c r="DR219"/>
      <c r="DS219"/>
      <c r="DT219"/>
      <c r="DU219"/>
      <c r="DV219"/>
      <c r="DW219"/>
      <c r="DX219"/>
      <c r="DY219"/>
      <c r="DZ219"/>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c r="GN219"/>
      <c r="GO219"/>
      <c r="GP219"/>
      <c r="GQ219"/>
      <c r="GR219"/>
      <c r="GS219"/>
      <c r="GT219"/>
      <c r="GU219"/>
      <c r="GV219"/>
      <c r="GW219"/>
      <c r="GX219"/>
      <c r="GY219"/>
      <c r="GZ219"/>
      <c r="HA219"/>
    </row>
    <row r="220" spans="1:209" ht="15" customHeight="1" x14ac:dyDescent="0.15">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c r="DF220"/>
      <c r="DG220"/>
      <c r="DH220"/>
      <c r="DI220"/>
      <c r="DJ220"/>
      <c r="DK220"/>
      <c r="DL220"/>
      <c r="DM220"/>
      <c r="DN220"/>
      <c r="DO220"/>
      <c r="DP220"/>
      <c r="DQ220"/>
      <c r="DR220"/>
      <c r="DS220"/>
      <c r="DT220"/>
      <c r="DU220"/>
      <c r="DV220"/>
      <c r="DW220"/>
      <c r="DX220"/>
      <c r="DY220"/>
      <c r="DZ220"/>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c r="GN220"/>
      <c r="GO220"/>
      <c r="GP220"/>
      <c r="GQ220"/>
      <c r="GR220"/>
      <c r="GS220"/>
      <c r="GT220"/>
      <c r="GU220"/>
      <c r="GV220"/>
      <c r="GW220"/>
      <c r="GX220"/>
      <c r="GY220"/>
      <c r="GZ220"/>
      <c r="HA220"/>
    </row>
    <row r="221" spans="1:209" ht="15" customHeight="1" x14ac:dyDescent="0.15">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c r="DF221"/>
      <c r="DG221"/>
      <c r="DH221"/>
      <c r="DI221"/>
      <c r="DJ221"/>
      <c r="DK221"/>
      <c r="DL221"/>
      <c r="DM221"/>
      <c r="DN221"/>
      <c r="DO221"/>
      <c r="DP221"/>
      <c r="DQ221"/>
      <c r="DR221"/>
      <c r="DS221"/>
      <c r="DT221"/>
      <c r="DU221"/>
      <c r="DV221"/>
      <c r="DW221"/>
      <c r="DX221"/>
      <c r="DY221"/>
      <c r="DZ221"/>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c r="GN221"/>
      <c r="GO221"/>
      <c r="GP221"/>
      <c r="GQ221"/>
      <c r="GR221"/>
      <c r="GS221"/>
      <c r="GT221"/>
      <c r="GU221"/>
      <c r="GV221"/>
      <c r="GW221"/>
      <c r="GX221"/>
      <c r="GY221"/>
      <c r="GZ221"/>
      <c r="HA221"/>
    </row>
    <row r="222" spans="1:209" ht="15" customHeight="1" x14ac:dyDescent="0.15">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c r="DF222"/>
      <c r="DG222"/>
      <c r="DH222"/>
      <c r="DI222"/>
      <c r="DJ222"/>
      <c r="DK222"/>
      <c r="DL222"/>
      <c r="DM222"/>
      <c r="DN222"/>
      <c r="DO222"/>
      <c r="DP222"/>
      <c r="DQ222"/>
      <c r="DR222"/>
      <c r="DS222"/>
      <c r="DT222"/>
      <c r="DU222"/>
      <c r="DV222"/>
      <c r="DW222"/>
      <c r="DX222"/>
      <c r="DY222"/>
      <c r="DZ222"/>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c r="GN222"/>
      <c r="GO222"/>
      <c r="GP222"/>
      <c r="GQ222"/>
      <c r="GR222"/>
      <c r="GS222"/>
      <c r="GT222"/>
      <c r="GU222"/>
      <c r="GV222"/>
      <c r="GW222"/>
      <c r="GX222"/>
      <c r="GY222"/>
      <c r="GZ222"/>
      <c r="HA222"/>
    </row>
    <row r="223" spans="1:209" ht="15" customHeight="1" x14ac:dyDescent="0.15">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c r="DF223"/>
      <c r="DG223"/>
      <c r="DH223"/>
      <c r="DI223"/>
      <c r="DJ223"/>
      <c r="DK223"/>
      <c r="DL223"/>
      <c r="DM223"/>
      <c r="DN223"/>
      <c r="DO223"/>
      <c r="DP223"/>
      <c r="DQ223"/>
      <c r="DR223"/>
      <c r="DS223"/>
      <c r="DT223"/>
      <c r="DU223"/>
      <c r="DV223"/>
      <c r="DW223"/>
      <c r="DX223"/>
      <c r="DY223"/>
      <c r="DZ223"/>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c r="GN223"/>
      <c r="GO223"/>
      <c r="GP223"/>
      <c r="GQ223"/>
      <c r="GR223"/>
      <c r="GS223"/>
      <c r="GT223"/>
      <c r="GU223"/>
      <c r="GV223"/>
      <c r="GW223"/>
      <c r="GX223"/>
      <c r="GY223"/>
      <c r="GZ223"/>
      <c r="HA223"/>
    </row>
    <row r="224" spans="1:209" ht="15" customHeight="1" x14ac:dyDescent="0.15">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c r="DF224"/>
      <c r="DG224"/>
      <c r="DH224"/>
      <c r="DI224"/>
      <c r="DJ224"/>
      <c r="DK224"/>
      <c r="DL224"/>
      <c r="DM224"/>
      <c r="DN224"/>
      <c r="DO224"/>
      <c r="DP224"/>
      <c r="DQ224"/>
      <c r="DR224"/>
      <c r="DS224"/>
      <c r="DT224"/>
      <c r="DU224"/>
      <c r="DV224"/>
      <c r="DW224"/>
      <c r="DX224"/>
      <c r="DY224"/>
      <c r="DZ224"/>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c r="GN224"/>
      <c r="GO224"/>
      <c r="GP224"/>
      <c r="GQ224"/>
      <c r="GR224"/>
      <c r="GS224"/>
      <c r="GT224"/>
      <c r="GU224"/>
      <c r="GV224"/>
      <c r="GW224"/>
      <c r="GX224"/>
      <c r="GY224"/>
      <c r="GZ224"/>
      <c r="HA224"/>
    </row>
    <row r="225" spans="1:209" ht="15" customHeight="1" x14ac:dyDescent="0.15">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c r="DF225"/>
      <c r="DG225"/>
      <c r="DH225"/>
      <c r="DI225"/>
      <c r="DJ225"/>
      <c r="DK225"/>
      <c r="DL225"/>
      <c r="DM225"/>
      <c r="DN225"/>
      <c r="DO225"/>
      <c r="DP225"/>
      <c r="DQ225"/>
      <c r="DR225"/>
      <c r="DS225"/>
      <c r="DT225"/>
      <c r="DU225"/>
      <c r="DV225"/>
      <c r="DW225"/>
      <c r="DX225"/>
      <c r="DY225"/>
      <c r="DZ225"/>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c r="GN225"/>
      <c r="GO225"/>
      <c r="GP225"/>
      <c r="GQ225"/>
      <c r="GR225"/>
      <c r="GS225"/>
      <c r="GT225"/>
      <c r="GU225"/>
      <c r="GV225"/>
      <c r="GW225"/>
      <c r="GX225"/>
      <c r="GY225"/>
      <c r="GZ225"/>
      <c r="HA225"/>
    </row>
    <row r="226" spans="1:209" ht="15" customHeight="1" x14ac:dyDescent="0.15">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c r="DF226"/>
      <c r="DG226"/>
      <c r="DH226"/>
      <c r="DI226"/>
      <c r="DJ226"/>
      <c r="DK226"/>
      <c r="DL226"/>
      <c r="DM226"/>
      <c r="DN226"/>
      <c r="DO226"/>
      <c r="DP226"/>
      <c r="DQ226"/>
      <c r="DR226"/>
      <c r="DS226"/>
      <c r="DT226"/>
      <c r="DU226"/>
      <c r="DV226"/>
      <c r="DW226"/>
      <c r="DX226"/>
      <c r="DY226"/>
      <c r="DZ226"/>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c r="GN226"/>
      <c r="GO226"/>
      <c r="GP226"/>
      <c r="GQ226"/>
      <c r="GR226"/>
      <c r="GS226"/>
      <c r="GT226"/>
      <c r="GU226"/>
      <c r="GV226"/>
      <c r="GW226"/>
      <c r="GX226"/>
      <c r="GY226"/>
      <c r="GZ226"/>
      <c r="HA226"/>
    </row>
    <row r="227" spans="1:209" ht="15" customHeight="1" x14ac:dyDescent="0.15">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c r="DF227"/>
      <c r="DG227"/>
      <c r="DH227"/>
      <c r="DI227"/>
      <c r="DJ227"/>
      <c r="DK227"/>
      <c r="DL227"/>
      <c r="DM227"/>
      <c r="DN227"/>
      <c r="DO227"/>
      <c r="DP227"/>
      <c r="DQ227"/>
      <c r="DR227"/>
      <c r="DS227"/>
      <c r="DT227"/>
      <c r="DU227"/>
      <c r="DV227"/>
      <c r="DW227"/>
      <c r="DX227"/>
      <c r="DY227"/>
      <c r="DZ227"/>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c r="GN227"/>
      <c r="GO227"/>
      <c r="GP227"/>
      <c r="GQ227"/>
      <c r="GR227"/>
      <c r="GS227"/>
      <c r="GT227"/>
      <c r="GU227"/>
      <c r="GV227"/>
      <c r="GW227"/>
      <c r="GX227"/>
      <c r="GY227"/>
      <c r="GZ227"/>
      <c r="HA227"/>
    </row>
    <row r="228" spans="1:209" ht="15" customHeight="1" x14ac:dyDescent="0.15">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c r="DF228"/>
      <c r="DG228"/>
      <c r="DH228"/>
      <c r="DI228"/>
      <c r="DJ228"/>
      <c r="DK228"/>
      <c r="DL228"/>
      <c r="DM228"/>
      <c r="DN228"/>
      <c r="DO228"/>
      <c r="DP228"/>
      <c r="DQ228"/>
      <c r="DR228"/>
      <c r="DS228"/>
      <c r="DT228"/>
      <c r="DU228"/>
      <c r="DV228"/>
      <c r="DW228"/>
      <c r="DX228"/>
      <c r="DY228"/>
      <c r="DZ228"/>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c r="GN228"/>
      <c r="GO228"/>
      <c r="GP228"/>
      <c r="GQ228"/>
      <c r="GR228"/>
      <c r="GS228"/>
      <c r="GT228"/>
      <c r="GU228"/>
      <c r="GV228"/>
      <c r="GW228"/>
      <c r="GX228"/>
      <c r="GY228"/>
      <c r="GZ228"/>
      <c r="HA228"/>
    </row>
    <row r="229" spans="1:209" ht="15" customHeight="1" x14ac:dyDescent="0.15">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c r="DF229"/>
      <c r="DG229"/>
      <c r="DH229"/>
      <c r="DI229"/>
      <c r="DJ229"/>
      <c r="DK229"/>
      <c r="DL229"/>
      <c r="DM229"/>
      <c r="DN229"/>
      <c r="DO229"/>
      <c r="DP229"/>
      <c r="DQ229"/>
      <c r="DR229"/>
      <c r="DS229"/>
      <c r="DT229"/>
      <c r="DU229"/>
      <c r="DV229"/>
      <c r="DW229"/>
      <c r="DX229"/>
      <c r="DY229"/>
      <c r="DZ229"/>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c r="GN229"/>
      <c r="GO229"/>
      <c r="GP229"/>
      <c r="GQ229"/>
      <c r="GR229"/>
      <c r="GS229"/>
      <c r="GT229"/>
      <c r="GU229"/>
      <c r="GV229"/>
      <c r="GW229"/>
      <c r="GX229"/>
      <c r="GY229"/>
      <c r="GZ229"/>
      <c r="HA229"/>
    </row>
    <row r="230" spans="1:209" ht="15" customHeight="1" x14ac:dyDescent="0.15">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c r="DF230"/>
      <c r="DG230"/>
      <c r="DH230"/>
      <c r="DI230"/>
      <c r="DJ230"/>
      <c r="DK230"/>
      <c r="DL230"/>
      <c r="DM230"/>
      <c r="DN230"/>
      <c r="DO230"/>
      <c r="DP230"/>
      <c r="DQ230"/>
      <c r="DR230"/>
      <c r="DS230"/>
      <c r="DT230"/>
      <c r="DU230"/>
      <c r="DV230"/>
      <c r="DW230"/>
      <c r="DX230"/>
      <c r="DY230"/>
      <c r="DZ230"/>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c r="GN230"/>
      <c r="GO230"/>
      <c r="GP230"/>
      <c r="GQ230"/>
      <c r="GR230"/>
      <c r="GS230"/>
      <c r="GT230"/>
      <c r="GU230"/>
      <c r="GV230"/>
      <c r="GW230"/>
      <c r="GX230"/>
      <c r="GY230"/>
      <c r="GZ230"/>
      <c r="HA230"/>
    </row>
    <row r="231" spans="1:209" ht="15" customHeight="1" x14ac:dyDescent="0.15">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c r="DF231"/>
      <c r="DG231"/>
      <c r="DH231"/>
      <c r="DI231"/>
      <c r="DJ231"/>
      <c r="DK231"/>
      <c r="DL231"/>
      <c r="DM231"/>
      <c r="DN231"/>
      <c r="DO231"/>
      <c r="DP231"/>
      <c r="DQ231"/>
      <c r="DR231"/>
      <c r="DS231"/>
      <c r="DT231"/>
      <c r="DU231"/>
      <c r="DV231"/>
      <c r="DW231"/>
      <c r="DX231"/>
      <c r="DY231"/>
      <c r="DZ231"/>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c r="GN231"/>
      <c r="GO231"/>
      <c r="GP231"/>
      <c r="GQ231"/>
      <c r="GR231"/>
      <c r="GS231"/>
      <c r="GT231"/>
      <c r="GU231"/>
      <c r="GV231"/>
      <c r="GW231"/>
      <c r="GX231"/>
      <c r="GY231"/>
      <c r="GZ231"/>
      <c r="HA231"/>
    </row>
    <row r="232" spans="1:209" ht="15" customHeight="1" x14ac:dyDescent="0.15">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c r="DF232"/>
      <c r="DG232"/>
      <c r="DH232"/>
      <c r="DI232"/>
      <c r="DJ232"/>
      <c r="DK232"/>
      <c r="DL232"/>
      <c r="DM232"/>
      <c r="DN232"/>
      <c r="DO232"/>
      <c r="DP232"/>
      <c r="DQ232"/>
      <c r="DR232"/>
      <c r="DS232"/>
      <c r="DT232"/>
      <c r="DU232"/>
      <c r="DV232"/>
      <c r="DW232"/>
      <c r="DX232"/>
      <c r="DY232"/>
      <c r="DZ232"/>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c r="GN232"/>
      <c r="GO232"/>
      <c r="GP232"/>
      <c r="GQ232"/>
      <c r="GR232"/>
      <c r="GS232"/>
      <c r="GT232"/>
      <c r="GU232"/>
      <c r="GV232"/>
      <c r="GW232"/>
      <c r="GX232"/>
      <c r="GY232"/>
      <c r="GZ232"/>
      <c r="HA232"/>
    </row>
    <row r="233" spans="1:209" ht="15" customHeight="1" x14ac:dyDescent="0.15">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c r="DF233"/>
      <c r="DG233"/>
      <c r="DH233"/>
      <c r="DI233"/>
      <c r="DJ233"/>
      <c r="DK233"/>
      <c r="DL233"/>
      <c r="DM233"/>
      <c r="DN233"/>
      <c r="DO233"/>
      <c r="DP233"/>
      <c r="DQ233"/>
      <c r="DR233"/>
      <c r="DS233"/>
      <c r="DT233"/>
      <c r="DU233"/>
      <c r="DV233"/>
      <c r="DW233"/>
      <c r="DX233"/>
      <c r="DY233"/>
      <c r="DZ233"/>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c r="GN233"/>
      <c r="GO233"/>
      <c r="GP233"/>
      <c r="GQ233"/>
      <c r="GR233"/>
      <c r="GS233"/>
      <c r="GT233"/>
      <c r="GU233"/>
      <c r="GV233"/>
      <c r="GW233"/>
      <c r="GX233"/>
      <c r="GY233"/>
      <c r="GZ233"/>
      <c r="HA233"/>
    </row>
    <row r="234" spans="1:209" ht="15" customHeight="1" x14ac:dyDescent="0.15">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c r="DF234"/>
      <c r="DG234"/>
      <c r="DH234"/>
      <c r="DI234"/>
      <c r="DJ234"/>
      <c r="DK234"/>
      <c r="DL234"/>
      <c r="DM234"/>
      <c r="DN234"/>
      <c r="DO234"/>
      <c r="DP234"/>
      <c r="DQ234"/>
      <c r="DR234"/>
      <c r="DS234"/>
      <c r="DT234"/>
      <c r="DU234"/>
      <c r="DV234"/>
      <c r="DW234"/>
      <c r="DX234"/>
      <c r="DY234"/>
      <c r="DZ234"/>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c r="GN234"/>
      <c r="GO234"/>
      <c r="GP234"/>
      <c r="GQ234"/>
      <c r="GR234"/>
      <c r="GS234"/>
      <c r="GT234"/>
      <c r="GU234"/>
      <c r="GV234"/>
      <c r="GW234"/>
      <c r="GX234"/>
      <c r="GY234"/>
      <c r="GZ234"/>
      <c r="HA234"/>
    </row>
    <row r="235" spans="1:209" ht="15" customHeight="1" x14ac:dyDescent="0.15">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c r="DF235"/>
      <c r="DG235"/>
      <c r="DH235"/>
      <c r="DI235"/>
      <c r="DJ235"/>
      <c r="DK235"/>
      <c r="DL235"/>
      <c r="DM235"/>
      <c r="DN235"/>
      <c r="DO235"/>
      <c r="DP235"/>
      <c r="DQ235"/>
      <c r="DR235"/>
      <c r="DS235"/>
      <c r="DT235"/>
      <c r="DU235"/>
      <c r="DV235"/>
      <c r="DW235"/>
      <c r="DX235"/>
      <c r="DY235"/>
      <c r="DZ235"/>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c r="GN235"/>
      <c r="GO235"/>
      <c r="GP235"/>
      <c r="GQ235"/>
      <c r="GR235"/>
      <c r="GS235"/>
      <c r="GT235"/>
      <c r="GU235"/>
      <c r="GV235"/>
      <c r="GW235"/>
      <c r="GX235"/>
      <c r="GY235"/>
      <c r="GZ235"/>
      <c r="HA235"/>
    </row>
    <row r="236" spans="1:209" ht="15" customHeight="1" x14ac:dyDescent="0.15">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c r="DF236"/>
      <c r="DG236"/>
      <c r="DH236"/>
      <c r="DI236"/>
      <c r="DJ236"/>
      <c r="DK236"/>
      <c r="DL236"/>
      <c r="DM236"/>
      <c r="DN236"/>
      <c r="DO236"/>
      <c r="DP236"/>
      <c r="DQ236"/>
      <c r="DR236"/>
      <c r="DS236"/>
      <c r="DT236"/>
      <c r="DU236"/>
      <c r="DV236"/>
      <c r="DW236"/>
      <c r="DX236"/>
      <c r="DY236"/>
      <c r="DZ236"/>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c r="GN236"/>
      <c r="GO236"/>
      <c r="GP236"/>
      <c r="GQ236"/>
      <c r="GR236"/>
      <c r="GS236"/>
      <c r="GT236"/>
      <c r="GU236"/>
      <c r="GV236"/>
      <c r="GW236"/>
      <c r="GX236"/>
      <c r="GY236"/>
      <c r="GZ236"/>
      <c r="HA236"/>
    </row>
    <row r="237" spans="1:209" ht="15" customHeight="1" x14ac:dyDescent="0.15">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c r="DF237"/>
      <c r="DG237"/>
      <c r="DH237"/>
      <c r="DI237"/>
      <c r="DJ237"/>
      <c r="DK237"/>
      <c r="DL237"/>
      <c r="DM237"/>
      <c r="DN237"/>
      <c r="DO237"/>
      <c r="DP237"/>
      <c r="DQ237"/>
      <c r="DR237"/>
      <c r="DS237"/>
      <c r="DT237"/>
      <c r="DU237"/>
      <c r="DV237"/>
      <c r="DW237"/>
      <c r="DX237"/>
      <c r="DY237"/>
      <c r="DZ237"/>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c r="GN237"/>
      <c r="GO237"/>
      <c r="GP237"/>
      <c r="GQ237"/>
      <c r="GR237"/>
      <c r="GS237"/>
      <c r="GT237"/>
      <c r="GU237"/>
      <c r="GV237"/>
      <c r="GW237"/>
      <c r="GX237"/>
      <c r="GY237"/>
      <c r="GZ237"/>
      <c r="HA237"/>
    </row>
    <row r="238" spans="1:209" ht="15" customHeight="1" x14ac:dyDescent="0.15">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c r="DF238"/>
      <c r="DG238"/>
      <c r="DH238"/>
      <c r="DI238"/>
      <c r="DJ238"/>
      <c r="DK238"/>
      <c r="DL238"/>
      <c r="DM238"/>
      <c r="DN238"/>
      <c r="DO238"/>
      <c r="DP238"/>
      <c r="DQ238"/>
      <c r="DR238"/>
      <c r="DS238"/>
      <c r="DT238"/>
      <c r="DU238"/>
      <c r="DV238"/>
      <c r="DW238"/>
      <c r="DX238"/>
      <c r="DY238"/>
      <c r="DZ238"/>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c r="GN238"/>
      <c r="GO238"/>
      <c r="GP238"/>
      <c r="GQ238"/>
      <c r="GR238"/>
      <c r="GS238"/>
      <c r="GT238"/>
      <c r="GU238"/>
      <c r="GV238"/>
      <c r="GW238"/>
      <c r="GX238"/>
      <c r="GY238"/>
      <c r="GZ238"/>
      <c r="HA238"/>
    </row>
    <row r="239" spans="1:209" ht="15" customHeight="1" x14ac:dyDescent="0.15">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c r="DF239"/>
      <c r="DG239"/>
      <c r="DH239"/>
      <c r="DI239"/>
      <c r="DJ239"/>
      <c r="DK239"/>
      <c r="DL239"/>
      <c r="DM239"/>
      <c r="DN239"/>
      <c r="DO239"/>
      <c r="DP239"/>
      <c r="DQ239"/>
      <c r="DR239"/>
      <c r="DS239"/>
      <c r="DT239"/>
      <c r="DU239"/>
      <c r="DV239"/>
      <c r="DW239"/>
      <c r="DX239"/>
      <c r="DY239"/>
      <c r="DZ239"/>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c r="GN239"/>
      <c r="GO239"/>
      <c r="GP239"/>
      <c r="GQ239"/>
      <c r="GR239"/>
      <c r="GS239"/>
      <c r="GT239"/>
      <c r="GU239"/>
      <c r="GV239"/>
      <c r="GW239"/>
      <c r="GX239"/>
      <c r="GY239"/>
      <c r="GZ239"/>
      <c r="HA239"/>
    </row>
    <row r="240" spans="1:209" ht="15" customHeight="1" x14ac:dyDescent="0.15">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c r="DF240"/>
      <c r="DG240"/>
      <c r="DH240"/>
      <c r="DI240"/>
      <c r="DJ240"/>
      <c r="DK240"/>
      <c r="DL240"/>
      <c r="DM240"/>
      <c r="DN240"/>
      <c r="DO240"/>
      <c r="DP240"/>
      <c r="DQ240"/>
      <c r="DR240"/>
      <c r="DS240"/>
      <c r="DT240"/>
      <c r="DU240"/>
      <c r="DV240"/>
      <c r="DW240"/>
      <c r="DX240"/>
      <c r="DY240"/>
      <c r="DZ240"/>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c r="GN240"/>
      <c r="GO240"/>
      <c r="GP240"/>
      <c r="GQ240"/>
      <c r="GR240"/>
      <c r="GS240"/>
      <c r="GT240"/>
      <c r="GU240"/>
      <c r="GV240"/>
      <c r="GW240"/>
      <c r="GX240"/>
      <c r="GY240"/>
      <c r="GZ240"/>
      <c r="HA240"/>
    </row>
    <row r="241" spans="1:209" ht="15" customHeight="1" x14ac:dyDescent="0.15">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c r="DF241"/>
      <c r="DG241"/>
      <c r="DH241"/>
      <c r="DI241"/>
      <c r="DJ241"/>
      <c r="DK241"/>
      <c r="DL241"/>
      <c r="DM241"/>
      <c r="DN241"/>
      <c r="DO241"/>
      <c r="DP241"/>
      <c r="DQ241"/>
      <c r="DR241"/>
      <c r="DS241"/>
      <c r="DT241"/>
      <c r="DU241"/>
      <c r="DV241"/>
      <c r="DW241"/>
      <c r="DX241"/>
      <c r="DY241"/>
      <c r="DZ241"/>
      <c r="EA241"/>
      <c r="EB241"/>
      <c r="EC241"/>
      <c r="ED241"/>
      <c r="EE241"/>
      <c r="EF241"/>
      <c r="EG241"/>
      <c r="EH241"/>
      <c r="EI241"/>
      <c r="EJ241"/>
      <c r="EK241"/>
      <c r="EL241"/>
      <c r="EM241"/>
      <c r="EN241"/>
      <c r="EO241"/>
      <c r="EP241"/>
      <c r="EQ241"/>
      <c r="ER241"/>
      <c r="ES241"/>
      <c r="ET241"/>
      <c r="EU241"/>
      <c r="EV241"/>
      <c r="EW241"/>
      <c r="EX241"/>
      <c r="EY241"/>
      <c r="EZ241"/>
      <c r="FA241"/>
      <c r="FB241"/>
      <c r="FC241"/>
      <c r="FD241"/>
      <c r="FE241"/>
      <c r="FF241"/>
      <c r="FG241"/>
      <c r="FH241"/>
      <c r="FI241"/>
      <c r="FJ241"/>
      <c r="FK241"/>
      <c r="FL241"/>
      <c r="FM241"/>
      <c r="FN241"/>
      <c r="FO241"/>
      <c r="FP241"/>
      <c r="FQ241"/>
      <c r="FR241"/>
      <c r="FS241"/>
      <c r="FT241"/>
      <c r="FU241"/>
      <c r="FV241"/>
      <c r="FW241"/>
      <c r="FX241"/>
      <c r="FY241"/>
      <c r="FZ241"/>
      <c r="GA241"/>
      <c r="GB241"/>
      <c r="GC241"/>
      <c r="GD241"/>
      <c r="GE241"/>
      <c r="GF241"/>
      <c r="GG241"/>
      <c r="GH241"/>
      <c r="GI241"/>
      <c r="GJ241"/>
      <c r="GK241"/>
      <c r="GL241"/>
      <c r="GM241"/>
      <c r="GN241"/>
      <c r="GO241"/>
      <c r="GP241"/>
      <c r="GQ241"/>
      <c r="GR241"/>
      <c r="GS241"/>
      <c r="GT241"/>
      <c r="GU241"/>
      <c r="GV241"/>
      <c r="GW241"/>
      <c r="GX241"/>
      <c r="GY241"/>
      <c r="GZ241"/>
      <c r="HA241"/>
    </row>
    <row r="242" spans="1:209" ht="15" customHeight="1" x14ac:dyDescent="0.15">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c r="DF242"/>
      <c r="DG242"/>
      <c r="DH242"/>
      <c r="DI242"/>
      <c r="DJ242"/>
      <c r="DK242"/>
      <c r="DL242"/>
      <c r="DM242"/>
      <c r="DN242"/>
      <c r="DO242"/>
      <c r="DP242"/>
      <c r="DQ242"/>
      <c r="DR242"/>
      <c r="DS242"/>
      <c r="DT242"/>
      <c r="DU242"/>
      <c r="DV242"/>
      <c r="DW242"/>
      <c r="DX242"/>
      <c r="DY242"/>
      <c r="DZ242"/>
      <c r="EA242"/>
      <c r="EB242"/>
      <c r="EC242"/>
      <c r="ED242"/>
      <c r="EE242"/>
      <c r="EF242"/>
      <c r="EG242"/>
      <c r="EH242"/>
      <c r="EI242"/>
      <c r="EJ242"/>
      <c r="EK242"/>
      <c r="EL242"/>
      <c r="EM242"/>
      <c r="EN242"/>
      <c r="EO242"/>
      <c r="EP242"/>
      <c r="EQ242"/>
      <c r="ER242"/>
      <c r="ES242"/>
      <c r="ET242"/>
      <c r="EU242"/>
      <c r="EV242"/>
      <c r="EW242"/>
      <c r="EX242"/>
      <c r="EY242"/>
      <c r="EZ242"/>
      <c r="FA242"/>
      <c r="FB242"/>
      <c r="FC242"/>
      <c r="FD242"/>
      <c r="FE242"/>
      <c r="FF242"/>
      <c r="FG242"/>
      <c r="FH242"/>
      <c r="FI242"/>
      <c r="FJ242"/>
      <c r="FK242"/>
      <c r="FL242"/>
      <c r="FM242"/>
      <c r="FN242"/>
      <c r="FO242"/>
      <c r="FP242"/>
      <c r="FQ242"/>
      <c r="FR242"/>
      <c r="FS242"/>
      <c r="FT242"/>
      <c r="FU242"/>
      <c r="FV242"/>
      <c r="FW242"/>
      <c r="FX242"/>
      <c r="FY242"/>
      <c r="FZ242"/>
      <c r="GA242"/>
      <c r="GB242"/>
      <c r="GC242"/>
      <c r="GD242"/>
      <c r="GE242"/>
      <c r="GF242"/>
      <c r="GG242"/>
      <c r="GH242"/>
      <c r="GI242"/>
      <c r="GJ242"/>
      <c r="GK242"/>
      <c r="GL242"/>
      <c r="GM242"/>
      <c r="GN242"/>
      <c r="GO242"/>
      <c r="GP242"/>
      <c r="GQ242"/>
      <c r="GR242"/>
      <c r="GS242"/>
      <c r="GT242"/>
      <c r="GU242"/>
      <c r="GV242"/>
      <c r="GW242"/>
      <c r="GX242"/>
      <c r="GY242"/>
      <c r="GZ242"/>
      <c r="HA242"/>
    </row>
    <row r="243" spans="1:209" ht="15" customHeight="1" x14ac:dyDescent="0.15">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c r="DF243"/>
      <c r="DG243"/>
      <c r="DH243"/>
      <c r="DI243"/>
      <c r="DJ243"/>
      <c r="DK243"/>
      <c r="DL243"/>
      <c r="DM243"/>
      <c r="DN243"/>
      <c r="DO243"/>
      <c r="DP243"/>
      <c r="DQ243"/>
      <c r="DR243"/>
      <c r="DS243"/>
      <c r="DT243"/>
      <c r="DU243"/>
      <c r="DV243"/>
      <c r="DW243"/>
      <c r="DX243"/>
      <c r="DY243"/>
      <c r="DZ243"/>
      <c r="EA243"/>
      <c r="EB243"/>
      <c r="EC243"/>
      <c r="ED243"/>
      <c r="EE243"/>
      <c r="EF243"/>
      <c r="EG243"/>
      <c r="EH243"/>
      <c r="EI243"/>
      <c r="EJ243"/>
      <c r="EK243"/>
      <c r="EL243"/>
      <c r="EM243"/>
      <c r="EN243"/>
      <c r="EO243"/>
      <c r="EP243"/>
      <c r="EQ243"/>
      <c r="ER243"/>
      <c r="ES243"/>
      <c r="ET243"/>
      <c r="EU243"/>
      <c r="EV243"/>
      <c r="EW243"/>
      <c r="EX243"/>
      <c r="EY243"/>
      <c r="EZ243"/>
      <c r="FA243"/>
      <c r="FB243"/>
      <c r="FC243"/>
      <c r="FD243"/>
      <c r="FE243"/>
      <c r="FF243"/>
      <c r="FG243"/>
      <c r="FH243"/>
      <c r="FI243"/>
      <c r="FJ243"/>
      <c r="FK243"/>
      <c r="FL243"/>
      <c r="FM243"/>
      <c r="FN243"/>
      <c r="FO243"/>
      <c r="FP243"/>
      <c r="FQ243"/>
      <c r="FR243"/>
      <c r="FS243"/>
      <c r="FT243"/>
      <c r="FU243"/>
      <c r="FV243"/>
      <c r="FW243"/>
      <c r="FX243"/>
      <c r="FY243"/>
      <c r="FZ243"/>
      <c r="GA243"/>
      <c r="GB243"/>
      <c r="GC243"/>
      <c r="GD243"/>
      <c r="GE243"/>
      <c r="GF243"/>
      <c r="GG243"/>
      <c r="GH243"/>
      <c r="GI243"/>
      <c r="GJ243"/>
      <c r="GK243"/>
      <c r="GL243"/>
      <c r="GM243"/>
      <c r="GN243"/>
      <c r="GO243"/>
      <c r="GP243"/>
      <c r="GQ243"/>
      <c r="GR243"/>
      <c r="GS243"/>
      <c r="GT243"/>
      <c r="GU243"/>
      <c r="GV243"/>
      <c r="GW243"/>
      <c r="GX243"/>
      <c r="GY243"/>
      <c r="GZ243"/>
      <c r="HA243"/>
    </row>
    <row r="244" spans="1:209" ht="15" customHeight="1" x14ac:dyDescent="0.15">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c r="DF244"/>
      <c r="DG244"/>
      <c r="DH244"/>
      <c r="DI244"/>
      <c r="DJ244"/>
      <c r="DK244"/>
      <c r="DL244"/>
      <c r="DM244"/>
      <c r="DN244"/>
      <c r="DO244"/>
      <c r="DP244"/>
      <c r="DQ244"/>
      <c r="DR244"/>
      <c r="DS244"/>
      <c r="DT244"/>
      <c r="DU244"/>
      <c r="DV244"/>
      <c r="DW244"/>
      <c r="DX244"/>
      <c r="DY244"/>
      <c r="DZ244"/>
      <c r="EA244"/>
      <c r="EB244"/>
      <c r="EC244"/>
      <c r="ED244"/>
      <c r="EE244"/>
      <c r="EF244"/>
      <c r="EG244"/>
      <c r="EH244"/>
      <c r="EI244"/>
      <c r="EJ244"/>
      <c r="EK244"/>
      <c r="EL244"/>
      <c r="EM244"/>
      <c r="EN244"/>
      <c r="EO244"/>
      <c r="EP244"/>
      <c r="EQ244"/>
      <c r="ER244"/>
      <c r="ES244"/>
      <c r="ET244"/>
      <c r="EU244"/>
      <c r="EV244"/>
      <c r="EW244"/>
      <c r="EX244"/>
      <c r="EY244"/>
      <c r="EZ244"/>
      <c r="FA244"/>
      <c r="FB244"/>
      <c r="FC244"/>
      <c r="FD244"/>
      <c r="FE244"/>
      <c r="FF244"/>
      <c r="FG244"/>
      <c r="FH244"/>
      <c r="FI244"/>
      <c r="FJ244"/>
      <c r="FK244"/>
      <c r="FL244"/>
      <c r="FM244"/>
      <c r="FN244"/>
      <c r="FO244"/>
      <c r="FP244"/>
      <c r="FQ244"/>
      <c r="FR244"/>
      <c r="FS244"/>
      <c r="FT244"/>
      <c r="FU244"/>
      <c r="FV244"/>
      <c r="FW244"/>
      <c r="FX244"/>
      <c r="FY244"/>
      <c r="FZ244"/>
      <c r="GA244"/>
      <c r="GB244"/>
      <c r="GC244"/>
      <c r="GD244"/>
      <c r="GE244"/>
      <c r="GF244"/>
      <c r="GG244"/>
      <c r="GH244"/>
      <c r="GI244"/>
      <c r="GJ244"/>
      <c r="GK244"/>
      <c r="GL244"/>
      <c r="GM244"/>
      <c r="GN244"/>
      <c r="GO244"/>
      <c r="GP244"/>
      <c r="GQ244"/>
      <c r="GR244"/>
      <c r="GS244"/>
      <c r="GT244"/>
      <c r="GU244"/>
      <c r="GV244"/>
      <c r="GW244"/>
      <c r="GX244"/>
      <c r="GY244"/>
      <c r="GZ244"/>
      <c r="HA244"/>
    </row>
    <row r="245" spans="1:209" ht="15" customHeight="1" x14ac:dyDescent="0.15">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c r="DF245"/>
      <c r="DG245"/>
      <c r="DH245"/>
      <c r="DI245"/>
      <c r="DJ245"/>
      <c r="DK245"/>
      <c r="DL245"/>
      <c r="DM245"/>
      <c r="DN245"/>
      <c r="DO245"/>
      <c r="DP245"/>
      <c r="DQ245"/>
      <c r="DR245"/>
      <c r="DS245"/>
      <c r="DT245"/>
      <c r="DU245"/>
      <c r="DV245"/>
      <c r="DW245"/>
      <c r="DX245"/>
      <c r="DY245"/>
      <c r="DZ245"/>
      <c r="EA245"/>
      <c r="EB245"/>
      <c r="EC245"/>
      <c r="ED245"/>
      <c r="EE245"/>
      <c r="EF245"/>
      <c r="EG245"/>
      <c r="EH245"/>
      <c r="EI245"/>
      <c r="EJ245"/>
      <c r="EK245"/>
      <c r="EL245"/>
      <c r="EM245"/>
      <c r="EN245"/>
      <c r="EO245"/>
      <c r="EP245"/>
      <c r="EQ245"/>
      <c r="ER245"/>
      <c r="ES245"/>
      <c r="ET245"/>
      <c r="EU245"/>
      <c r="EV245"/>
      <c r="EW245"/>
      <c r="EX245"/>
      <c r="EY245"/>
      <c r="EZ245"/>
      <c r="FA245"/>
      <c r="FB245"/>
      <c r="FC245"/>
      <c r="FD245"/>
      <c r="FE245"/>
      <c r="FF245"/>
      <c r="FG245"/>
      <c r="FH245"/>
      <c r="FI245"/>
      <c r="FJ245"/>
      <c r="FK245"/>
      <c r="FL245"/>
      <c r="FM245"/>
      <c r="FN245"/>
      <c r="FO245"/>
      <c r="FP245"/>
      <c r="FQ245"/>
      <c r="FR245"/>
      <c r="FS245"/>
      <c r="FT245"/>
      <c r="FU245"/>
      <c r="FV245"/>
      <c r="FW245"/>
      <c r="FX245"/>
      <c r="FY245"/>
      <c r="FZ245"/>
      <c r="GA245"/>
      <c r="GB245"/>
      <c r="GC245"/>
      <c r="GD245"/>
      <c r="GE245"/>
      <c r="GF245"/>
      <c r="GG245"/>
      <c r="GH245"/>
      <c r="GI245"/>
      <c r="GJ245"/>
      <c r="GK245"/>
      <c r="GL245"/>
      <c r="GM245"/>
      <c r="GN245"/>
      <c r="GO245"/>
      <c r="GP245"/>
      <c r="GQ245"/>
      <c r="GR245"/>
      <c r="GS245"/>
      <c r="GT245"/>
      <c r="GU245"/>
      <c r="GV245"/>
      <c r="GW245"/>
      <c r="GX245"/>
      <c r="GY245"/>
      <c r="GZ245"/>
      <c r="HA245"/>
    </row>
    <row r="246" spans="1:209" ht="15" customHeight="1" x14ac:dyDescent="0.15">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c r="DF246"/>
      <c r="DG246"/>
      <c r="DH246"/>
      <c r="DI246"/>
      <c r="DJ246"/>
      <c r="DK246"/>
      <c r="DL246"/>
      <c r="DM246"/>
      <c r="DN246"/>
      <c r="DO246"/>
      <c r="DP246"/>
      <c r="DQ246"/>
      <c r="DR246"/>
      <c r="DS246"/>
      <c r="DT246"/>
      <c r="DU246"/>
      <c r="DV246"/>
      <c r="DW246"/>
      <c r="DX246"/>
      <c r="DY246"/>
      <c r="DZ246"/>
      <c r="EA246"/>
      <c r="EB246"/>
      <c r="EC246"/>
      <c r="ED246"/>
      <c r="EE246"/>
      <c r="EF246"/>
      <c r="EG246"/>
      <c r="EH246"/>
      <c r="EI246"/>
      <c r="EJ246"/>
      <c r="EK246"/>
      <c r="EL246"/>
      <c r="EM246"/>
      <c r="EN246"/>
      <c r="EO246"/>
      <c r="EP246"/>
      <c r="EQ246"/>
      <c r="ER246"/>
      <c r="ES246"/>
      <c r="ET246"/>
      <c r="EU246"/>
      <c r="EV246"/>
      <c r="EW246"/>
      <c r="EX246"/>
      <c r="EY246"/>
      <c r="EZ246"/>
      <c r="FA246"/>
      <c r="FB246"/>
      <c r="FC246"/>
      <c r="FD246"/>
      <c r="FE246"/>
      <c r="FF246"/>
      <c r="FG246"/>
      <c r="FH246"/>
      <c r="FI246"/>
      <c r="FJ246"/>
      <c r="FK246"/>
      <c r="FL246"/>
      <c r="FM246"/>
      <c r="FN246"/>
      <c r="FO246"/>
      <c r="FP246"/>
      <c r="FQ246"/>
      <c r="FR246"/>
      <c r="FS246"/>
      <c r="FT246"/>
      <c r="FU246"/>
      <c r="FV246"/>
      <c r="FW246"/>
      <c r="FX246"/>
      <c r="FY246"/>
      <c r="FZ246"/>
      <c r="GA246"/>
      <c r="GB246"/>
      <c r="GC246"/>
      <c r="GD246"/>
      <c r="GE246"/>
      <c r="GF246"/>
      <c r="GG246"/>
      <c r="GH246"/>
      <c r="GI246"/>
      <c r="GJ246"/>
      <c r="GK246"/>
      <c r="GL246"/>
      <c r="GM246"/>
      <c r="GN246"/>
      <c r="GO246"/>
      <c r="GP246"/>
      <c r="GQ246"/>
      <c r="GR246"/>
      <c r="GS246"/>
      <c r="GT246"/>
      <c r="GU246"/>
      <c r="GV246"/>
      <c r="GW246"/>
      <c r="GX246"/>
      <c r="GY246"/>
      <c r="GZ246"/>
      <c r="HA246"/>
    </row>
    <row r="247" spans="1:209" ht="15" customHeight="1" x14ac:dyDescent="0.15">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c r="DF247"/>
      <c r="DG247"/>
      <c r="DH247"/>
      <c r="DI247"/>
      <c r="DJ247"/>
      <c r="DK247"/>
      <c r="DL247"/>
      <c r="DM247"/>
      <c r="DN247"/>
      <c r="DO247"/>
      <c r="DP247"/>
      <c r="DQ247"/>
      <c r="DR247"/>
      <c r="DS247"/>
      <c r="DT247"/>
      <c r="DU247"/>
      <c r="DV247"/>
      <c r="DW247"/>
      <c r="DX247"/>
      <c r="DY247"/>
      <c r="DZ247"/>
      <c r="EA247"/>
      <c r="EB247"/>
      <c r="EC247"/>
      <c r="ED247"/>
      <c r="EE247"/>
      <c r="EF247"/>
      <c r="EG247"/>
      <c r="EH247"/>
      <c r="EI247"/>
      <c r="EJ247"/>
      <c r="EK247"/>
      <c r="EL247"/>
      <c r="EM247"/>
      <c r="EN247"/>
      <c r="EO247"/>
      <c r="EP247"/>
      <c r="EQ247"/>
      <c r="ER247"/>
      <c r="ES247"/>
      <c r="ET247"/>
      <c r="EU247"/>
      <c r="EV247"/>
      <c r="EW247"/>
      <c r="EX247"/>
      <c r="EY247"/>
      <c r="EZ247"/>
      <c r="FA247"/>
      <c r="FB247"/>
      <c r="FC247"/>
      <c r="FD247"/>
      <c r="FE247"/>
      <c r="FF247"/>
      <c r="FG247"/>
      <c r="FH247"/>
      <c r="FI247"/>
      <c r="FJ247"/>
      <c r="FK247"/>
      <c r="FL247"/>
      <c r="FM247"/>
      <c r="FN247"/>
      <c r="FO247"/>
      <c r="FP247"/>
      <c r="FQ247"/>
      <c r="FR247"/>
      <c r="FS247"/>
      <c r="FT247"/>
      <c r="FU247"/>
      <c r="FV247"/>
      <c r="FW247"/>
      <c r="FX247"/>
      <c r="FY247"/>
      <c r="FZ247"/>
      <c r="GA247"/>
      <c r="GB247"/>
      <c r="GC247"/>
      <c r="GD247"/>
      <c r="GE247"/>
      <c r="GF247"/>
      <c r="GG247"/>
      <c r="GH247"/>
      <c r="GI247"/>
      <c r="GJ247"/>
      <c r="GK247"/>
      <c r="GL247"/>
      <c r="GM247"/>
      <c r="GN247"/>
      <c r="GO247"/>
      <c r="GP247"/>
      <c r="GQ247"/>
      <c r="GR247"/>
      <c r="GS247"/>
      <c r="GT247"/>
      <c r="GU247"/>
      <c r="GV247"/>
      <c r="GW247"/>
      <c r="GX247"/>
      <c r="GY247"/>
      <c r="GZ247"/>
      <c r="HA247"/>
    </row>
    <row r="248" spans="1:209" ht="15" customHeight="1" x14ac:dyDescent="0.15">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c r="DF248"/>
      <c r="DG248"/>
      <c r="DH248"/>
      <c r="DI248"/>
      <c r="DJ248"/>
      <c r="DK248"/>
      <c r="DL248"/>
      <c r="DM248"/>
      <c r="DN248"/>
      <c r="DO248"/>
      <c r="DP248"/>
      <c r="DQ248"/>
      <c r="DR248"/>
      <c r="DS248"/>
      <c r="DT248"/>
      <c r="DU248"/>
      <c r="DV248"/>
      <c r="DW248"/>
      <c r="DX248"/>
      <c r="DY248"/>
      <c r="DZ248"/>
      <c r="EA248"/>
      <c r="EB248"/>
      <c r="EC248"/>
      <c r="ED248"/>
      <c r="EE248"/>
      <c r="EF248"/>
      <c r="EG248"/>
      <c r="EH248"/>
      <c r="EI248"/>
      <c r="EJ248"/>
      <c r="EK248"/>
      <c r="EL248"/>
      <c r="EM248"/>
      <c r="EN248"/>
      <c r="EO248"/>
      <c r="EP248"/>
      <c r="EQ248"/>
      <c r="ER248"/>
      <c r="ES248"/>
      <c r="ET248"/>
      <c r="EU248"/>
      <c r="EV248"/>
      <c r="EW248"/>
      <c r="EX248"/>
      <c r="EY248"/>
      <c r="EZ248"/>
      <c r="FA248"/>
      <c r="FB248"/>
      <c r="FC248"/>
      <c r="FD248"/>
      <c r="FE248"/>
      <c r="FF248"/>
      <c r="FG248"/>
      <c r="FH248"/>
      <c r="FI248"/>
      <c r="FJ248"/>
      <c r="FK248"/>
      <c r="FL248"/>
      <c r="FM248"/>
      <c r="FN248"/>
      <c r="FO248"/>
      <c r="FP248"/>
      <c r="FQ248"/>
      <c r="FR248"/>
      <c r="FS248"/>
      <c r="FT248"/>
      <c r="FU248"/>
      <c r="FV248"/>
      <c r="FW248"/>
      <c r="FX248"/>
      <c r="FY248"/>
      <c r="FZ248"/>
      <c r="GA248"/>
      <c r="GB248"/>
      <c r="GC248"/>
      <c r="GD248"/>
      <c r="GE248"/>
      <c r="GF248"/>
      <c r="GG248"/>
      <c r="GH248"/>
      <c r="GI248"/>
      <c r="GJ248"/>
      <c r="GK248"/>
      <c r="GL248"/>
      <c r="GM248"/>
      <c r="GN248"/>
      <c r="GO248"/>
      <c r="GP248"/>
      <c r="GQ248"/>
      <c r="GR248"/>
      <c r="GS248"/>
      <c r="GT248"/>
      <c r="GU248"/>
      <c r="GV248"/>
      <c r="GW248"/>
      <c r="GX248"/>
      <c r="GY248"/>
      <c r="GZ248"/>
      <c r="HA248"/>
    </row>
    <row r="249" spans="1:209" ht="15" customHeight="1" x14ac:dyDescent="0.15">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c r="DF249"/>
      <c r="DG249"/>
      <c r="DH249"/>
      <c r="DI249"/>
      <c r="DJ249"/>
      <c r="DK249"/>
      <c r="DL249"/>
      <c r="DM249"/>
      <c r="DN249"/>
      <c r="DO249"/>
      <c r="DP249"/>
      <c r="DQ249"/>
      <c r="DR249"/>
      <c r="DS249"/>
      <c r="DT249"/>
      <c r="DU249"/>
      <c r="DV249"/>
      <c r="DW249"/>
      <c r="DX249"/>
      <c r="DY249"/>
      <c r="DZ249"/>
      <c r="EA249"/>
      <c r="EB249"/>
      <c r="EC249"/>
      <c r="ED249"/>
      <c r="EE249"/>
      <c r="EF249"/>
      <c r="EG249"/>
      <c r="EH249"/>
      <c r="EI249"/>
      <c r="EJ249"/>
      <c r="EK249"/>
      <c r="EL249"/>
      <c r="EM249"/>
      <c r="EN249"/>
      <c r="EO249"/>
      <c r="EP249"/>
      <c r="EQ249"/>
      <c r="ER249"/>
      <c r="ES249"/>
      <c r="ET249"/>
      <c r="EU249"/>
      <c r="EV249"/>
      <c r="EW249"/>
      <c r="EX249"/>
      <c r="EY249"/>
      <c r="EZ249"/>
      <c r="FA249"/>
      <c r="FB249"/>
      <c r="FC249"/>
      <c r="FD249"/>
      <c r="FE249"/>
      <c r="FF249"/>
      <c r="FG249"/>
      <c r="FH249"/>
      <c r="FI249"/>
      <c r="FJ249"/>
      <c r="FK249"/>
      <c r="FL249"/>
      <c r="FM249"/>
      <c r="FN249"/>
      <c r="FO249"/>
      <c r="FP249"/>
      <c r="FQ249"/>
      <c r="FR249"/>
      <c r="FS249"/>
      <c r="FT249"/>
      <c r="FU249"/>
      <c r="FV249"/>
      <c r="FW249"/>
      <c r="FX249"/>
      <c r="FY249"/>
      <c r="FZ249"/>
      <c r="GA249"/>
      <c r="GB249"/>
      <c r="GC249"/>
      <c r="GD249"/>
      <c r="GE249"/>
      <c r="GF249"/>
      <c r="GG249"/>
      <c r="GH249"/>
      <c r="GI249"/>
      <c r="GJ249"/>
      <c r="GK249"/>
      <c r="GL249"/>
      <c r="GM249"/>
      <c r="GN249"/>
      <c r="GO249"/>
      <c r="GP249"/>
      <c r="GQ249"/>
      <c r="GR249"/>
      <c r="GS249"/>
      <c r="GT249"/>
      <c r="GU249"/>
      <c r="GV249"/>
      <c r="GW249"/>
      <c r="GX249"/>
      <c r="GY249"/>
      <c r="GZ249"/>
      <c r="HA249"/>
    </row>
    <row r="250" spans="1:209" ht="15" customHeight="1" x14ac:dyDescent="0.15">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c r="DF250"/>
      <c r="DG250"/>
      <c r="DH250"/>
      <c r="DI250"/>
      <c r="DJ250"/>
      <c r="DK250"/>
      <c r="DL250"/>
      <c r="DM250"/>
      <c r="DN250"/>
      <c r="DO250"/>
      <c r="DP250"/>
      <c r="DQ250"/>
      <c r="DR250"/>
      <c r="DS250"/>
      <c r="DT250"/>
      <c r="DU250"/>
      <c r="DV250"/>
      <c r="DW250"/>
      <c r="DX250"/>
      <c r="DY250"/>
      <c r="DZ250"/>
      <c r="EA250"/>
      <c r="EB250"/>
      <c r="EC250"/>
      <c r="ED250"/>
      <c r="EE250"/>
      <c r="EF250"/>
      <c r="EG250"/>
      <c r="EH250"/>
      <c r="EI250"/>
      <c r="EJ250"/>
      <c r="EK250"/>
      <c r="EL250"/>
      <c r="EM250"/>
      <c r="EN250"/>
      <c r="EO250"/>
      <c r="EP250"/>
      <c r="EQ250"/>
      <c r="ER250"/>
      <c r="ES250"/>
      <c r="ET250"/>
      <c r="EU250"/>
      <c r="EV250"/>
      <c r="EW250"/>
      <c r="EX250"/>
      <c r="EY250"/>
      <c r="EZ250"/>
      <c r="FA250"/>
      <c r="FB250"/>
      <c r="FC250"/>
      <c r="FD250"/>
      <c r="FE250"/>
      <c r="FF250"/>
      <c r="FG250"/>
      <c r="FH250"/>
      <c r="FI250"/>
      <c r="FJ250"/>
      <c r="FK250"/>
      <c r="FL250"/>
      <c r="FM250"/>
      <c r="FN250"/>
      <c r="FO250"/>
      <c r="FP250"/>
      <c r="FQ250"/>
      <c r="FR250"/>
      <c r="FS250"/>
      <c r="FT250"/>
      <c r="FU250"/>
      <c r="FV250"/>
      <c r="FW250"/>
      <c r="FX250"/>
      <c r="FY250"/>
      <c r="FZ250"/>
      <c r="GA250"/>
      <c r="GB250"/>
      <c r="GC250"/>
      <c r="GD250"/>
      <c r="GE250"/>
      <c r="GF250"/>
      <c r="GG250"/>
      <c r="GH250"/>
      <c r="GI250"/>
      <c r="GJ250"/>
      <c r="GK250"/>
      <c r="GL250"/>
      <c r="GM250"/>
      <c r="GN250"/>
      <c r="GO250"/>
      <c r="GP250"/>
      <c r="GQ250"/>
      <c r="GR250"/>
      <c r="GS250"/>
      <c r="GT250"/>
      <c r="GU250"/>
      <c r="GV250"/>
      <c r="GW250"/>
      <c r="GX250"/>
      <c r="GY250"/>
      <c r="GZ250"/>
      <c r="HA250"/>
    </row>
    <row r="251" spans="1:209" ht="15" customHeight="1" x14ac:dyDescent="0.15">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c r="DF251"/>
      <c r="DG251"/>
      <c r="DH251"/>
      <c r="DI251"/>
      <c r="DJ251"/>
      <c r="DK251"/>
      <c r="DL251"/>
      <c r="DM251"/>
      <c r="DN251"/>
      <c r="DO251"/>
      <c r="DP251"/>
      <c r="DQ251"/>
      <c r="DR251"/>
      <c r="DS251"/>
      <c r="DT251"/>
      <c r="DU251"/>
      <c r="DV251"/>
      <c r="DW251"/>
      <c r="DX251"/>
      <c r="DY251"/>
      <c r="DZ251"/>
      <c r="EA251"/>
      <c r="EB251"/>
      <c r="EC251"/>
      <c r="ED251"/>
      <c r="EE251"/>
      <c r="EF251"/>
      <c r="EG251"/>
      <c r="EH251"/>
      <c r="EI251"/>
      <c r="EJ251"/>
      <c r="EK251"/>
      <c r="EL251"/>
      <c r="EM251"/>
      <c r="EN251"/>
      <c r="EO251"/>
      <c r="EP251"/>
      <c r="EQ251"/>
      <c r="ER251"/>
      <c r="ES251"/>
      <c r="ET251"/>
      <c r="EU251"/>
      <c r="EV251"/>
      <c r="EW251"/>
      <c r="EX251"/>
      <c r="EY251"/>
      <c r="EZ251"/>
      <c r="FA251"/>
      <c r="FB251"/>
      <c r="FC251"/>
      <c r="FD251"/>
      <c r="FE251"/>
      <c r="FF251"/>
      <c r="FG251"/>
      <c r="FH251"/>
      <c r="FI251"/>
      <c r="FJ251"/>
      <c r="FK251"/>
      <c r="FL251"/>
      <c r="FM251"/>
      <c r="FN251"/>
      <c r="FO251"/>
      <c r="FP251"/>
      <c r="FQ251"/>
      <c r="FR251"/>
      <c r="FS251"/>
      <c r="FT251"/>
      <c r="FU251"/>
      <c r="FV251"/>
      <c r="FW251"/>
      <c r="FX251"/>
      <c r="FY251"/>
      <c r="FZ251"/>
      <c r="GA251"/>
      <c r="GB251"/>
      <c r="GC251"/>
      <c r="GD251"/>
      <c r="GE251"/>
      <c r="GF251"/>
      <c r="GG251"/>
      <c r="GH251"/>
      <c r="GI251"/>
      <c r="GJ251"/>
      <c r="GK251"/>
      <c r="GL251"/>
      <c r="GM251"/>
      <c r="GN251"/>
      <c r="GO251"/>
      <c r="GP251"/>
      <c r="GQ251"/>
      <c r="GR251"/>
      <c r="GS251"/>
      <c r="GT251"/>
      <c r="GU251"/>
      <c r="GV251"/>
      <c r="GW251"/>
      <c r="GX251"/>
      <c r="GY251"/>
      <c r="GZ251"/>
      <c r="HA251"/>
    </row>
    <row r="252" spans="1:209" ht="15" customHeight="1" x14ac:dyDescent="0.15">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c r="DF252"/>
      <c r="DG252"/>
      <c r="DH252"/>
      <c r="DI252"/>
      <c r="DJ252"/>
      <c r="DK252"/>
      <c r="DL252"/>
      <c r="DM252"/>
      <c r="DN252"/>
      <c r="DO252"/>
      <c r="DP252"/>
      <c r="DQ252"/>
      <c r="DR252"/>
      <c r="DS252"/>
      <c r="DT252"/>
      <c r="DU252"/>
      <c r="DV252"/>
      <c r="DW252"/>
      <c r="DX252"/>
      <c r="DY252"/>
      <c r="DZ252"/>
      <c r="EA252"/>
      <c r="EB252"/>
      <c r="EC252"/>
      <c r="ED252"/>
      <c r="EE252"/>
      <c r="EF252"/>
      <c r="EG252"/>
      <c r="EH252"/>
      <c r="EI252"/>
      <c r="EJ252"/>
      <c r="EK252"/>
      <c r="EL252"/>
      <c r="EM252"/>
      <c r="EN252"/>
      <c r="EO252"/>
      <c r="EP252"/>
      <c r="EQ252"/>
      <c r="ER252"/>
      <c r="ES252"/>
      <c r="ET252"/>
      <c r="EU252"/>
      <c r="EV252"/>
      <c r="EW252"/>
      <c r="EX252"/>
      <c r="EY252"/>
      <c r="EZ252"/>
      <c r="FA252"/>
      <c r="FB252"/>
      <c r="FC252"/>
      <c r="FD252"/>
      <c r="FE252"/>
      <c r="FF252"/>
      <c r="FG252"/>
      <c r="FH252"/>
      <c r="FI252"/>
      <c r="FJ252"/>
      <c r="FK252"/>
      <c r="FL252"/>
      <c r="FM252"/>
      <c r="FN252"/>
      <c r="FO252"/>
      <c r="FP252"/>
      <c r="FQ252"/>
      <c r="FR252"/>
      <c r="FS252"/>
      <c r="FT252"/>
      <c r="FU252"/>
      <c r="FV252"/>
      <c r="FW252"/>
      <c r="FX252"/>
      <c r="FY252"/>
      <c r="FZ252"/>
      <c r="GA252"/>
      <c r="GB252"/>
      <c r="GC252"/>
      <c r="GD252"/>
      <c r="GE252"/>
      <c r="GF252"/>
      <c r="GG252"/>
      <c r="GH252"/>
      <c r="GI252"/>
      <c r="GJ252"/>
      <c r="GK252"/>
      <c r="GL252"/>
      <c r="GM252"/>
      <c r="GN252"/>
      <c r="GO252"/>
      <c r="GP252"/>
      <c r="GQ252"/>
      <c r="GR252"/>
      <c r="GS252"/>
      <c r="GT252"/>
      <c r="GU252"/>
      <c r="GV252"/>
      <c r="GW252"/>
      <c r="GX252"/>
      <c r="GY252"/>
      <c r="GZ252"/>
      <c r="HA252"/>
    </row>
    <row r="253" spans="1:209" ht="15" customHeight="1" x14ac:dyDescent="0.15">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c r="DF253"/>
      <c r="DG253"/>
      <c r="DH253"/>
      <c r="DI253"/>
      <c r="DJ253"/>
      <c r="DK253"/>
      <c r="DL253"/>
      <c r="DM253"/>
      <c r="DN253"/>
      <c r="DO253"/>
      <c r="DP253"/>
      <c r="DQ253"/>
      <c r="DR253"/>
      <c r="DS253"/>
      <c r="DT253"/>
      <c r="DU253"/>
      <c r="DV253"/>
      <c r="DW253"/>
      <c r="DX253"/>
      <c r="DY253"/>
      <c r="DZ253"/>
      <c r="EA253"/>
      <c r="EB253"/>
      <c r="EC253"/>
      <c r="ED253"/>
      <c r="EE253"/>
      <c r="EF253"/>
      <c r="EG253"/>
      <c r="EH253"/>
      <c r="EI253"/>
      <c r="EJ253"/>
      <c r="EK253"/>
      <c r="EL253"/>
      <c r="EM253"/>
      <c r="EN253"/>
      <c r="EO253"/>
      <c r="EP253"/>
      <c r="EQ253"/>
      <c r="ER253"/>
      <c r="ES253"/>
      <c r="ET253"/>
      <c r="EU253"/>
      <c r="EV253"/>
      <c r="EW253"/>
      <c r="EX253"/>
      <c r="EY253"/>
      <c r="EZ253"/>
      <c r="FA253"/>
      <c r="FB253"/>
      <c r="FC253"/>
      <c r="FD253"/>
      <c r="FE253"/>
      <c r="FF253"/>
      <c r="FG253"/>
      <c r="FH253"/>
      <c r="FI253"/>
      <c r="FJ253"/>
      <c r="FK253"/>
      <c r="FL253"/>
      <c r="FM253"/>
      <c r="FN253"/>
      <c r="FO253"/>
      <c r="FP253"/>
      <c r="FQ253"/>
      <c r="FR253"/>
      <c r="FS253"/>
      <c r="FT253"/>
      <c r="FU253"/>
      <c r="FV253"/>
      <c r="FW253"/>
      <c r="FX253"/>
      <c r="FY253"/>
      <c r="FZ253"/>
      <c r="GA253"/>
      <c r="GB253"/>
      <c r="GC253"/>
      <c r="GD253"/>
      <c r="GE253"/>
      <c r="GF253"/>
      <c r="GG253"/>
      <c r="GH253"/>
      <c r="GI253"/>
      <c r="GJ253"/>
      <c r="GK253"/>
      <c r="GL253"/>
      <c r="GM253"/>
      <c r="GN253"/>
      <c r="GO253"/>
      <c r="GP253"/>
      <c r="GQ253"/>
      <c r="GR253"/>
      <c r="GS253"/>
      <c r="GT253"/>
      <c r="GU253"/>
      <c r="GV253"/>
      <c r="GW253"/>
      <c r="GX253"/>
      <c r="GY253"/>
      <c r="GZ253"/>
      <c r="HA253"/>
    </row>
    <row r="254" spans="1:209" ht="15" customHeight="1" x14ac:dyDescent="0.15">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c r="DF254"/>
      <c r="DG254"/>
      <c r="DH254"/>
      <c r="DI254"/>
      <c r="DJ254"/>
      <c r="DK254"/>
      <c r="DL254"/>
      <c r="DM254"/>
      <c r="DN254"/>
      <c r="DO254"/>
      <c r="DP254"/>
      <c r="DQ254"/>
      <c r="DR254"/>
      <c r="DS254"/>
      <c r="DT254"/>
      <c r="DU254"/>
      <c r="DV254"/>
      <c r="DW254"/>
      <c r="DX254"/>
      <c r="DY254"/>
      <c r="DZ254"/>
      <c r="EA254"/>
      <c r="EB254"/>
      <c r="EC254"/>
      <c r="ED254"/>
      <c r="EE254"/>
      <c r="EF254"/>
      <c r="EG254"/>
      <c r="EH254"/>
      <c r="EI254"/>
      <c r="EJ254"/>
      <c r="EK254"/>
      <c r="EL254"/>
      <c r="EM254"/>
      <c r="EN254"/>
      <c r="EO254"/>
      <c r="EP254"/>
      <c r="EQ254"/>
      <c r="ER254"/>
      <c r="ES254"/>
      <c r="ET254"/>
      <c r="EU254"/>
      <c r="EV254"/>
      <c r="EW254"/>
      <c r="EX254"/>
      <c r="EY254"/>
      <c r="EZ254"/>
      <c r="FA254"/>
      <c r="FB254"/>
      <c r="FC254"/>
      <c r="FD254"/>
      <c r="FE254"/>
      <c r="FF254"/>
      <c r="FG254"/>
      <c r="FH254"/>
      <c r="FI254"/>
      <c r="FJ254"/>
      <c r="FK254"/>
      <c r="FL254"/>
      <c r="FM254"/>
      <c r="FN254"/>
      <c r="FO254"/>
      <c r="FP254"/>
      <c r="FQ254"/>
      <c r="FR254"/>
      <c r="FS254"/>
      <c r="FT254"/>
      <c r="FU254"/>
      <c r="FV254"/>
      <c r="FW254"/>
      <c r="FX254"/>
      <c r="FY254"/>
      <c r="FZ254"/>
      <c r="GA254"/>
      <c r="GB254"/>
      <c r="GC254"/>
      <c r="GD254"/>
      <c r="GE254"/>
      <c r="GF254"/>
      <c r="GG254"/>
      <c r="GH254"/>
      <c r="GI254"/>
      <c r="GJ254"/>
      <c r="GK254"/>
      <c r="GL254"/>
      <c r="GM254"/>
      <c r="GN254"/>
      <c r="GO254"/>
      <c r="GP254"/>
      <c r="GQ254"/>
      <c r="GR254"/>
      <c r="GS254"/>
      <c r="GT254"/>
      <c r="GU254"/>
      <c r="GV254"/>
      <c r="GW254"/>
      <c r="GX254"/>
      <c r="GY254"/>
      <c r="GZ254"/>
      <c r="HA254"/>
    </row>
    <row r="255" spans="1:209" ht="15" customHeight="1" x14ac:dyDescent="0.15">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c r="DF255"/>
      <c r="DG255"/>
      <c r="DH255"/>
      <c r="DI255"/>
      <c r="DJ255"/>
      <c r="DK255"/>
      <c r="DL255"/>
      <c r="DM255"/>
      <c r="DN255"/>
      <c r="DO255"/>
      <c r="DP255"/>
      <c r="DQ255"/>
      <c r="DR255"/>
      <c r="DS255"/>
      <c r="DT255"/>
      <c r="DU255"/>
      <c r="DV255"/>
      <c r="DW255"/>
      <c r="DX255"/>
      <c r="DY255"/>
      <c r="DZ255"/>
      <c r="EA255"/>
      <c r="EB255"/>
      <c r="EC255"/>
      <c r="ED255"/>
      <c r="EE255"/>
      <c r="EF255"/>
      <c r="EG255"/>
      <c r="EH255"/>
      <c r="EI255"/>
      <c r="EJ255"/>
      <c r="EK255"/>
      <c r="EL255"/>
      <c r="EM255"/>
      <c r="EN255"/>
      <c r="EO255"/>
      <c r="EP255"/>
      <c r="EQ255"/>
      <c r="ER255"/>
      <c r="ES255"/>
      <c r="ET255"/>
      <c r="EU255"/>
      <c r="EV255"/>
      <c r="EW255"/>
      <c r="EX255"/>
      <c r="EY255"/>
      <c r="EZ255"/>
      <c r="FA255"/>
      <c r="FB255"/>
      <c r="FC255"/>
      <c r="FD255"/>
      <c r="FE255"/>
      <c r="FF255"/>
      <c r="FG255"/>
      <c r="FH255"/>
      <c r="FI255"/>
      <c r="FJ255"/>
      <c r="FK255"/>
      <c r="FL255"/>
      <c r="FM255"/>
      <c r="FN255"/>
      <c r="FO255"/>
      <c r="FP255"/>
      <c r="FQ255"/>
      <c r="FR255"/>
      <c r="FS255"/>
      <c r="FT255"/>
      <c r="FU255"/>
      <c r="FV255"/>
      <c r="FW255"/>
      <c r="FX255"/>
      <c r="FY255"/>
      <c r="FZ255"/>
      <c r="GA255"/>
      <c r="GB255"/>
      <c r="GC255"/>
      <c r="GD255"/>
      <c r="GE255"/>
      <c r="GF255"/>
      <c r="GG255"/>
      <c r="GH255"/>
      <c r="GI255"/>
      <c r="GJ255"/>
      <c r="GK255"/>
      <c r="GL255"/>
      <c r="GM255"/>
      <c r="GN255"/>
      <c r="GO255"/>
      <c r="GP255"/>
      <c r="GQ255"/>
      <c r="GR255"/>
      <c r="GS255"/>
      <c r="GT255"/>
      <c r="GU255"/>
      <c r="GV255"/>
      <c r="GW255"/>
      <c r="GX255"/>
      <c r="GY255"/>
      <c r="GZ255"/>
      <c r="HA255"/>
    </row>
    <row r="256" spans="1:209" ht="15" customHeight="1" x14ac:dyDescent="0.15">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c r="DF256"/>
      <c r="DG256"/>
      <c r="DH256"/>
      <c r="DI256"/>
      <c r="DJ256"/>
      <c r="DK256"/>
      <c r="DL256"/>
      <c r="DM256"/>
      <c r="DN256"/>
      <c r="DO256"/>
      <c r="DP256"/>
      <c r="DQ256"/>
      <c r="DR256"/>
      <c r="DS256"/>
      <c r="DT256"/>
      <c r="DU256"/>
      <c r="DV256"/>
      <c r="DW256"/>
      <c r="DX256"/>
      <c r="DY256"/>
      <c r="DZ256"/>
      <c r="EA256"/>
      <c r="EB256"/>
      <c r="EC256"/>
      <c r="ED256"/>
      <c r="EE256"/>
      <c r="EF256"/>
      <c r="EG256"/>
      <c r="EH256"/>
      <c r="EI256"/>
      <c r="EJ256"/>
      <c r="EK256"/>
      <c r="EL256"/>
      <c r="EM256"/>
      <c r="EN256"/>
      <c r="EO256"/>
      <c r="EP256"/>
      <c r="EQ256"/>
      <c r="ER256"/>
      <c r="ES256"/>
      <c r="ET256"/>
      <c r="EU256"/>
      <c r="EV256"/>
      <c r="EW256"/>
      <c r="EX256"/>
      <c r="EY256"/>
      <c r="EZ256"/>
      <c r="FA256"/>
      <c r="FB256"/>
      <c r="FC256"/>
      <c r="FD256"/>
      <c r="FE256"/>
      <c r="FF256"/>
      <c r="FG256"/>
      <c r="FH256"/>
      <c r="FI256"/>
      <c r="FJ256"/>
      <c r="FK256"/>
      <c r="FL256"/>
      <c r="FM256"/>
      <c r="FN256"/>
      <c r="FO256"/>
      <c r="FP256"/>
      <c r="FQ256"/>
      <c r="FR256"/>
      <c r="FS256"/>
      <c r="FT256"/>
      <c r="FU256"/>
      <c r="FV256"/>
      <c r="FW256"/>
      <c r="FX256"/>
      <c r="FY256"/>
      <c r="FZ256"/>
      <c r="GA256"/>
      <c r="GB256"/>
      <c r="GC256"/>
      <c r="GD256"/>
      <c r="GE256"/>
      <c r="GF256"/>
      <c r="GG256"/>
      <c r="GH256"/>
      <c r="GI256"/>
      <c r="GJ256"/>
      <c r="GK256"/>
      <c r="GL256"/>
      <c r="GM256"/>
      <c r="GN256"/>
      <c r="GO256"/>
      <c r="GP256"/>
      <c r="GQ256"/>
      <c r="GR256"/>
      <c r="GS256"/>
      <c r="GT256"/>
      <c r="GU256"/>
      <c r="GV256"/>
      <c r="GW256"/>
      <c r="GX256"/>
      <c r="GY256"/>
      <c r="GZ256"/>
      <c r="HA256"/>
    </row>
    <row r="257" spans="1:209" ht="15" customHeight="1" x14ac:dyDescent="0.15">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c r="DF257"/>
      <c r="DG257"/>
      <c r="DH257"/>
      <c r="DI257"/>
      <c r="DJ257"/>
      <c r="DK257"/>
      <c r="DL257"/>
      <c r="DM257"/>
      <c r="DN257"/>
      <c r="DO257"/>
      <c r="DP257"/>
      <c r="DQ257"/>
      <c r="DR257"/>
      <c r="DS257"/>
      <c r="DT257"/>
      <c r="DU257"/>
      <c r="DV257"/>
      <c r="DW257"/>
      <c r="DX257"/>
      <c r="DY257"/>
      <c r="DZ257"/>
      <c r="EA257"/>
      <c r="EB257"/>
      <c r="EC257"/>
      <c r="ED257"/>
      <c r="EE257"/>
      <c r="EF257"/>
      <c r="EG257"/>
      <c r="EH257"/>
      <c r="EI257"/>
      <c r="EJ257"/>
      <c r="EK257"/>
      <c r="EL257"/>
      <c r="EM257"/>
      <c r="EN257"/>
      <c r="EO257"/>
      <c r="EP257"/>
      <c r="EQ257"/>
      <c r="ER257"/>
      <c r="ES257"/>
      <c r="ET257"/>
      <c r="EU257"/>
      <c r="EV257"/>
      <c r="EW257"/>
      <c r="EX257"/>
      <c r="EY257"/>
      <c r="EZ257"/>
      <c r="FA257"/>
      <c r="FB257"/>
      <c r="FC257"/>
      <c r="FD257"/>
      <c r="FE257"/>
      <c r="FF257"/>
      <c r="FG257"/>
      <c r="FH257"/>
      <c r="FI257"/>
      <c r="FJ257"/>
      <c r="FK257"/>
      <c r="FL257"/>
      <c r="FM257"/>
      <c r="FN257"/>
      <c r="FO257"/>
      <c r="FP257"/>
      <c r="FQ257"/>
      <c r="FR257"/>
      <c r="FS257"/>
      <c r="FT257"/>
      <c r="FU257"/>
      <c r="FV257"/>
      <c r="FW257"/>
      <c r="FX257"/>
      <c r="FY257"/>
      <c r="FZ257"/>
      <c r="GA257"/>
      <c r="GB257"/>
      <c r="GC257"/>
      <c r="GD257"/>
      <c r="GE257"/>
      <c r="GF257"/>
      <c r="GG257"/>
      <c r="GH257"/>
      <c r="GI257"/>
      <c r="GJ257"/>
      <c r="GK257"/>
      <c r="GL257"/>
      <c r="GM257"/>
      <c r="GN257"/>
      <c r="GO257"/>
      <c r="GP257"/>
      <c r="GQ257"/>
      <c r="GR257"/>
      <c r="GS257"/>
      <c r="GT257"/>
      <c r="GU257"/>
      <c r="GV257"/>
      <c r="GW257"/>
      <c r="GX257"/>
      <c r="GY257"/>
      <c r="GZ257"/>
      <c r="HA257"/>
    </row>
    <row r="258" spans="1:209" ht="15" customHeight="1" x14ac:dyDescent="0.15">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c r="DF258"/>
      <c r="DG258"/>
      <c r="DH258"/>
      <c r="DI258"/>
      <c r="DJ258"/>
      <c r="DK258"/>
      <c r="DL258"/>
      <c r="DM258"/>
      <c r="DN258"/>
      <c r="DO258"/>
      <c r="DP258"/>
      <c r="DQ258"/>
      <c r="DR258"/>
      <c r="DS258"/>
      <c r="DT258"/>
      <c r="DU258"/>
      <c r="DV258"/>
      <c r="DW258"/>
      <c r="DX258"/>
      <c r="DY258"/>
      <c r="DZ258"/>
      <c r="EA258"/>
      <c r="EB258"/>
      <c r="EC258"/>
      <c r="ED258"/>
      <c r="EE258"/>
      <c r="EF258"/>
      <c r="EG258"/>
      <c r="EH258"/>
      <c r="EI258"/>
      <c r="EJ258"/>
      <c r="EK258"/>
      <c r="EL258"/>
      <c r="EM258"/>
      <c r="EN258"/>
      <c r="EO258"/>
      <c r="EP258"/>
      <c r="EQ258"/>
      <c r="ER258"/>
      <c r="ES258"/>
      <c r="ET258"/>
      <c r="EU258"/>
      <c r="EV258"/>
      <c r="EW258"/>
      <c r="EX258"/>
      <c r="EY258"/>
      <c r="EZ258"/>
      <c r="FA258"/>
      <c r="FB258"/>
      <c r="FC258"/>
      <c r="FD258"/>
      <c r="FE258"/>
      <c r="FF258"/>
      <c r="FG258"/>
      <c r="FH258"/>
      <c r="FI258"/>
      <c r="FJ258"/>
      <c r="FK258"/>
      <c r="FL258"/>
      <c r="FM258"/>
      <c r="FN258"/>
      <c r="FO258"/>
      <c r="FP258"/>
      <c r="FQ258"/>
      <c r="FR258"/>
      <c r="FS258"/>
      <c r="FT258"/>
      <c r="FU258"/>
      <c r="FV258"/>
      <c r="FW258"/>
      <c r="FX258"/>
      <c r="FY258"/>
      <c r="FZ258"/>
      <c r="GA258"/>
      <c r="GB258"/>
      <c r="GC258"/>
      <c r="GD258"/>
      <c r="GE258"/>
      <c r="GF258"/>
      <c r="GG258"/>
      <c r="GH258"/>
      <c r="GI258"/>
      <c r="GJ258"/>
      <c r="GK258"/>
      <c r="GL258"/>
      <c r="GM258"/>
      <c r="GN258"/>
      <c r="GO258"/>
      <c r="GP258"/>
      <c r="GQ258"/>
      <c r="GR258"/>
      <c r="GS258"/>
      <c r="GT258"/>
      <c r="GU258"/>
      <c r="GV258"/>
      <c r="GW258"/>
      <c r="GX258"/>
      <c r="GY258"/>
      <c r="GZ258"/>
      <c r="HA258"/>
    </row>
    <row r="259" spans="1:209" ht="15" customHeight="1" x14ac:dyDescent="0.15">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c r="DF259"/>
      <c r="DG259"/>
      <c r="DH259"/>
      <c r="DI259"/>
      <c r="DJ259"/>
      <c r="DK259"/>
      <c r="DL259"/>
      <c r="DM259"/>
      <c r="DN259"/>
      <c r="DO259"/>
      <c r="DP259"/>
      <c r="DQ259"/>
      <c r="DR259"/>
      <c r="DS259"/>
      <c r="DT259"/>
      <c r="DU259"/>
      <c r="DV259"/>
      <c r="DW259"/>
      <c r="DX259"/>
      <c r="DY259"/>
      <c r="DZ259"/>
      <c r="EA259"/>
      <c r="EB259"/>
      <c r="EC259"/>
      <c r="ED259"/>
      <c r="EE259"/>
      <c r="EF259"/>
      <c r="EG259"/>
      <c r="EH259"/>
      <c r="EI259"/>
      <c r="EJ259"/>
      <c r="EK259"/>
      <c r="EL259"/>
      <c r="EM259"/>
      <c r="EN259"/>
      <c r="EO259"/>
      <c r="EP259"/>
      <c r="EQ259"/>
      <c r="ER259"/>
      <c r="ES259"/>
      <c r="ET259"/>
      <c r="EU259"/>
      <c r="EV259"/>
      <c r="EW259"/>
      <c r="EX259"/>
      <c r="EY259"/>
      <c r="EZ259"/>
      <c r="FA259"/>
      <c r="FB259"/>
      <c r="FC259"/>
      <c r="FD259"/>
      <c r="FE259"/>
      <c r="FF259"/>
      <c r="FG259"/>
      <c r="FH259"/>
      <c r="FI259"/>
      <c r="FJ259"/>
      <c r="FK259"/>
      <c r="FL259"/>
      <c r="FM259"/>
      <c r="FN259"/>
      <c r="FO259"/>
      <c r="FP259"/>
      <c r="FQ259"/>
      <c r="FR259"/>
      <c r="FS259"/>
      <c r="FT259"/>
      <c r="FU259"/>
      <c r="FV259"/>
      <c r="FW259"/>
      <c r="FX259"/>
      <c r="FY259"/>
      <c r="FZ259"/>
      <c r="GA259"/>
      <c r="GB259"/>
      <c r="GC259"/>
      <c r="GD259"/>
      <c r="GE259"/>
      <c r="GF259"/>
      <c r="GG259"/>
      <c r="GH259"/>
      <c r="GI259"/>
      <c r="GJ259"/>
      <c r="GK259"/>
      <c r="GL259"/>
      <c r="GM259"/>
      <c r="GN259"/>
      <c r="GO259"/>
      <c r="GP259"/>
      <c r="GQ259"/>
      <c r="GR259"/>
      <c r="GS259"/>
      <c r="GT259"/>
      <c r="GU259"/>
      <c r="GV259"/>
      <c r="GW259"/>
      <c r="GX259"/>
      <c r="GY259"/>
      <c r="GZ259"/>
      <c r="HA259"/>
    </row>
    <row r="260" spans="1:209" ht="15" customHeight="1" x14ac:dyDescent="0.15">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c r="DF260"/>
      <c r="DG260"/>
      <c r="DH260"/>
      <c r="DI260"/>
      <c r="DJ260"/>
      <c r="DK260"/>
      <c r="DL260"/>
      <c r="DM260"/>
      <c r="DN260"/>
      <c r="DO260"/>
      <c r="DP260"/>
      <c r="DQ260"/>
      <c r="DR260"/>
      <c r="DS260"/>
      <c r="DT260"/>
      <c r="DU260"/>
      <c r="DV260"/>
      <c r="DW260"/>
      <c r="DX260"/>
      <c r="DY260"/>
      <c r="DZ260"/>
      <c r="EA260"/>
      <c r="EB260"/>
      <c r="EC260"/>
      <c r="ED260"/>
      <c r="EE260"/>
      <c r="EF260"/>
      <c r="EG260"/>
      <c r="EH260"/>
      <c r="EI260"/>
      <c r="EJ260"/>
      <c r="EK260"/>
      <c r="EL260"/>
      <c r="EM260"/>
      <c r="EN260"/>
      <c r="EO260"/>
      <c r="EP260"/>
      <c r="EQ260"/>
      <c r="ER260"/>
      <c r="ES260"/>
      <c r="ET260"/>
      <c r="EU260"/>
      <c r="EV260"/>
      <c r="EW260"/>
      <c r="EX260"/>
      <c r="EY260"/>
      <c r="EZ260"/>
      <c r="FA260"/>
      <c r="FB260"/>
      <c r="FC260"/>
      <c r="FD260"/>
      <c r="FE260"/>
      <c r="FF260"/>
      <c r="FG260"/>
      <c r="FH260"/>
      <c r="FI260"/>
      <c r="FJ260"/>
      <c r="FK260"/>
      <c r="FL260"/>
      <c r="FM260"/>
      <c r="FN260"/>
      <c r="FO260"/>
      <c r="FP260"/>
      <c r="FQ260"/>
      <c r="FR260"/>
      <c r="FS260"/>
      <c r="FT260"/>
      <c r="FU260"/>
      <c r="FV260"/>
      <c r="FW260"/>
      <c r="FX260"/>
      <c r="FY260"/>
      <c r="FZ260"/>
      <c r="GA260"/>
      <c r="GB260"/>
      <c r="GC260"/>
      <c r="GD260"/>
      <c r="GE260"/>
      <c r="GF260"/>
      <c r="GG260"/>
      <c r="GH260"/>
      <c r="GI260"/>
      <c r="GJ260"/>
      <c r="GK260"/>
      <c r="GL260"/>
      <c r="GM260"/>
      <c r="GN260"/>
      <c r="GO260"/>
      <c r="GP260"/>
      <c r="GQ260"/>
      <c r="GR260"/>
      <c r="GS260"/>
      <c r="GT260"/>
      <c r="GU260"/>
      <c r="GV260"/>
      <c r="GW260"/>
      <c r="GX260"/>
      <c r="GY260"/>
      <c r="GZ260"/>
      <c r="HA260"/>
    </row>
    <row r="261" spans="1:209" ht="15" customHeight="1" x14ac:dyDescent="0.15">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c r="DF261"/>
      <c r="DG261"/>
      <c r="DH261"/>
      <c r="DI261"/>
      <c r="DJ261"/>
      <c r="DK261"/>
      <c r="DL261"/>
      <c r="DM261"/>
      <c r="DN261"/>
      <c r="DO261"/>
      <c r="DP261"/>
      <c r="DQ261"/>
      <c r="DR261"/>
      <c r="DS261"/>
      <c r="DT261"/>
      <c r="DU261"/>
      <c r="DV261"/>
      <c r="DW261"/>
      <c r="DX261"/>
      <c r="DY261"/>
      <c r="DZ261"/>
      <c r="EA261"/>
      <c r="EB261"/>
      <c r="EC261"/>
      <c r="ED261"/>
      <c r="EE261"/>
      <c r="EF261"/>
      <c r="EG261"/>
      <c r="EH261"/>
      <c r="EI261"/>
      <c r="EJ261"/>
      <c r="EK261"/>
      <c r="EL261"/>
      <c r="EM261"/>
      <c r="EN261"/>
      <c r="EO261"/>
      <c r="EP261"/>
      <c r="EQ261"/>
      <c r="ER261"/>
      <c r="ES261"/>
      <c r="ET261"/>
      <c r="EU261"/>
      <c r="EV261"/>
      <c r="EW261"/>
      <c r="EX261"/>
      <c r="EY261"/>
      <c r="EZ261"/>
      <c r="FA261"/>
      <c r="FB261"/>
      <c r="FC261"/>
      <c r="FD261"/>
      <c r="FE261"/>
      <c r="FF261"/>
      <c r="FG261"/>
      <c r="FH261"/>
      <c r="FI261"/>
      <c r="FJ261"/>
      <c r="FK261"/>
      <c r="FL261"/>
      <c r="FM261"/>
      <c r="FN261"/>
      <c r="FO261"/>
      <c r="FP261"/>
      <c r="FQ261"/>
      <c r="FR261"/>
      <c r="FS261"/>
      <c r="FT261"/>
      <c r="FU261"/>
      <c r="FV261"/>
      <c r="FW261"/>
      <c r="FX261"/>
      <c r="FY261"/>
      <c r="FZ261"/>
      <c r="GA261"/>
      <c r="GB261"/>
      <c r="GC261"/>
      <c r="GD261"/>
      <c r="GE261"/>
      <c r="GF261"/>
      <c r="GG261"/>
      <c r="GH261"/>
      <c r="GI261"/>
      <c r="GJ261"/>
      <c r="GK261"/>
      <c r="GL261"/>
      <c r="GM261"/>
      <c r="GN261"/>
      <c r="GO261"/>
      <c r="GP261"/>
      <c r="GQ261"/>
      <c r="GR261"/>
      <c r="GS261"/>
      <c r="GT261"/>
      <c r="GU261"/>
      <c r="GV261"/>
      <c r="GW261"/>
      <c r="GX261"/>
      <c r="GY261"/>
      <c r="GZ261"/>
      <c r="HA261"/>
    </row>
    <row r="262" spans="1:209" ht="15" customHeight="1" x14ac:dyDescent="0.15">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c r="DF262"/>
      <c r="DG262"/>
      <c r="DH262"/>
      <c r="DI262"/>
      <c r="DJ262"/>
      <c r="DK262"/>
      <c r="DL262"/>
      <c r="DM262"/>
      <c r="DN262"/>
      <c r="DO262"/>
      <c r="DP262"/>
      <c r="DQ262"/>
      <c r="DR262"/>
      <c r="DS262"/>
      <c r="DT262"/>
      <c r="DU262"/>
      <c r="DV262"/>
      <c r="DW262"/>
      <c r="DX262"/>
      <c r="DY262"/>
      <c r="DZ262"/>
      <c r="EA262"/>
      <c r="EB262"/>
      <c r="EC262"/>
      <c r="ED262"/>
      <c r="EE262"/>
      <c r="EF262"/>
      <c r="EG262"/>
      <c r="EH262"/>
      <c r="EI262"/>
      <c r="EJ262"/>
      <c r="EK262"/>
      <c r="EL262"/>
      <c r="EM262"/>
      <c r="EN262"/>
      <c r="EO262"/>
      <c r="EP262"/>
      <c r="EQ262"/>
      <c r="ER262"/>
      <c r="ES262"/>
      <c r="ET262"/>
      <c r="EU262"/>
      <c r="EV262"/>
      <c r="EW262"/>
      <c r="EX262"/>
      <c r="EY262"/>
      <c r="EZ262"/>
      <c r="FA262"/>
      <c r="FB262"/>
      <c r="FC262"/>
      <c r="FD262"/>
      <c r="FE262"/>
      <c r="FF262"/>
      <c r="FG262"/>
      <c r="FH262"/>
      <c r="FI262"/>
      <c r="FJ262"/>
      <c r="FK262"/>
      <c r="FL262"/>
      <c r="FM262"/>
      <c r="FN262"/>
      <c r="FO262"/>
      <c r="FP262"/>
      <c r="FQ262"/>
      <c r="FR262"/>
      <c r="FS262"/>
      <c r="FT262"/>
      <c r="FU262"/>
      <c r="FV262"/>
      <c r="FW262"/>
      <c r="FX262"/>
      <c r="FY262"/>
      <c r="FZ262"/>
      <c r="GA262"/>
      <c r="GB262"/>
      <c r="GC262"/>
      <c r="GD262"/>
      <c r="GE262"/>
      <c r="GF262"/>
      <c r="GG262"/>
      <c r="GH262"/>
      <c r="GI262"/>
      <c r="GJ262"/>
      <c r="GK262"/>
      <c r="GL262"/>
      <c r="GM262"/>
      <c r="GN262"/>
      <c r="GO262"/>
      <c r="GP262"/>
      <c r="GQ262"/>
      <c r="GR262"/>
      <c r="GS262"/>
      <c r="GT262"/>
      <c r="GU262"/>
      <c r="GV262"/>
      <c r="GW262"/>
      <c r="GX262"/>
      <c r="GY262"/>
      <c r="GZ262"/>
      <c r="HA262"/>
    </row>
    <row r="263" spans="1:209" ht="15" customHeight="1" x14ac:dyDescent="0.15">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c r="DF263"/>
      <c r="DG263"/>
      <c r="DH263"/>
      <c r="DI263"/>
      <c r="DJ263"/>
      <c r="DK263"/>
      <c r="DL263"/>
      <c r="DM263"/>
      <c r="DN263"/>
      <c r="DO263"/>
      <c r="DP263"/>
      <c r="DQ263"/>
      <c r="DR263"/>
      <c r="DS263"/>
      <c r="DT263"/>
      <c r="DU263"/>
      <c r="DV263"/>
      <c r="DW263"/>
      <c r="DX263"/>
      <c r="DY263"/>
      <c r="DZ263"/>
      <c r="EA263"/>
      <c r="EB263"/>
      <c r="EC263"/>
      <c r="ED263"/>
      <c r="EE263"/>
      <c r="EF263"/>
      <c r="EG263"/>
      <c r="EH263"/>
      <c r="EI263"/>
      <c r="EJ263"/>
      <c r="EK263"/>
      <c r="EL263"/>
      <c r="EM263"/>
      <c r="EN263"/>
      <c r="EO263"/>
      <c r="EP263"/>
      <c r="EQ263"/>
      <c r="ER263"/>
      <c r="ES263"/>
      <c r="ET263"/>
      <c r="EU263"/>
      <c r="EV263"/>
      <c r="EW263"/>
      <c r="EX263"/>
      <c r="EY263"/>
      <c r="EZ263"/>
      <c r="FA263"/>
      <c r="FB263"/>
      <c r="FC263"/>
      <c r="FD263"/>
      <c r="FE263"/>
      <c r="FF263"/>
      <c r="FG263"/>
      <c r="FH263"/>
      <c r="FI263"/>
      <c r="FJ263"/>
      <c r="FK263"/>
      <c r="FL263"/>
      <c r="FM263"/>
      <c r="FN263"/>
      <c r="FO263"/>
      <c r="FP263"/>
      <c r="FQ263"/>
      <c r="FR263"/>
      <c r="FS263"/>
      <c r="FT263"/>
      <c r="FU263"/>
      <c r="FV263"/>
      <c r="FW263"/>
      <c r="FX263"/>
      <c r="FY263"/>
      <c r="FZ263"/>
      <c r="GA263"/>
      <c r="GB263"/>
      <c r="GC263"/>
      <c r="GD263"/>
      <c r="GE263"/>
      <c r="GF263"/>
      <c r="GG263"/>
      <c r="GH263"/>
      <c r="GI263"/>
      <c r="GJ263"/>
      <c r="GK263"/>
      <c r="GL263"/>
      <c r="GM263"/>
      <c r="GN263"/>
      <c r="GO263"/>
      <c r="GP263"/>
      <c r="GQ263"/>
      <c r="GR263"/>
      <c r="GS263"/>
      <c r="GT263"/>
      <c r="GU263"/>
      <c r="GV263"/>
      <c r="GW263"/>
      <c r="GX263"/>
      <c r="GY263"/>
      <c r="GZ263"/>
      <c r="HA263"/>
    </row>
    <row r="264" spans="1:209" ht="15" customHeight="1" x14ac:dyDescent="0.15">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c r="DF264"/>
      <c r="DG264"/>
      <c r="DH264"/>
      <c r="DI264"/>
      <c r="DJ264"/>
      <c r="DK264"/>
      <c r="DL264"/>
      <c r="DM264"/>
      <c r="DN264"/>
      <c r="DO264"/>
      <c r="DP264"/>
      <c r="DQ264"/>
      <c r="DR264"/>
      <c r="DS264"/>
      <c r="DT264"/>
      <c r="DU264"/>
      <c r="DV264"/>
      <c r="DW264"/>
      <c r="DX264"/>
      <c r="DY264"/>
      <c r="DZ264"/>
      <c r="EA264"/>
      <c r="EB264"/>
      <c r="EC264"/>
      <c r="ED264"/>
      <c r="EE264"/>
      <c r="EF264"/>
      <c r="EG264"/>
      <c r="EH264"/>
      <c r="EI264"/>
      <c r="EJ264"/>
      <c r="EK264"/>
      <c r="EL264"/>
      <c r="EM264"/>
      <c r="EN264"/>
      <c r="EO264"/>
      <c r="EP264"/>
      <c r="EQ264"/>
      <c r="ER264"/>
      <c r="ES264"/>
      <c r="ET264"/>
      <c r="EU264"/>
      <c r="EV264"/>
      <c r="EW264"/>
      <c r="EX264"/>
      <c r="EY264"/>
      <c r="EZ264"/>
      <c r="FA264"/>
      <c r="FB264"/>
      <c r="FC264"/>
      <c r="FD264"/>
      <c r="FE264"/>
      <c r="FF264"/>
      <c r="FG264"/>
      <c r="FH264"/>
      <c r="FI264"/>
      <c r="FJ264"/>
      <c r="FK264"/>
      <c r="FL264"/>
      <c r="FM264"/>
      <c r="FN264"/>
      <c r="FO264"/>
      <c r="FP264"/>
      <c r="FQ264"/>
      <c r="FR264"/>
      <c r="FS264"/>
      <c r="FT264"/>
      <c r="FU264"/>
      <c r="FV264"/>
      <c r="FW264"/>
      <c r="FX264"/>
      <c r="FY264"/>
      <c r="FZ264"/>
      <c r="GA264"/>
      <c r="GB264"/>
      <c r="GC264"/>
      <c r="GD264"/>
      <c r="GE264"/>
      <c r="GF264"/>
      <c r="GG264"/>
      <c r="GH264"/>
      <c r="GI264"/>
      <c r="GJ264"/>
      <c r="GK264"/>
      <c r="GL264"/>
      <c r="GM264"/>
      <c r="GN264"/>
      <c r="GO264"/>
      <c r="GP264"/>
      <c r="GQ264"/>
      <c r="GR264"/>
      <c r="GS264"/>
      <c r="GT264"/>
      <c r="GU264"/>
      <c r="GV264"/>
      <c r="GW264"/>
      <c r="GX264"/>
      <c r="GY264"/>
      <c r="GZ264"/>
      <c r="HA264"/>
    </row>
    <row r="265" spans="1:209" ht="15" customHeight="1" x14ac:dyDescent="0.15">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c r="DF265"/>
      <c r="DG265"/>
      <c r="DH265"/>
      <c r="DI265"/>
      <c r="DJ265"/>
      <c r="DK265"/>
      <c r="DL265"/>
      <c r="DM265"/>
      <c r="DN265"/>
      <c r="DO265"/>
      <c r="DP265"/>
      <c r="DQ265"/>
      <c r="DR265"/>
      <c r="DS265"/>
      <c r="DT265"/>
      <c r="DU265"/>
      <c r="DV265"/>
      <c r="DW265"/>
      <c r="DX265"/>
      <c r="DY265"/>
      <c r="DZ265"/>
      <c r="EA265"/>
      <c r="EB265"/>
      <c r="EC265"/>
      <c r="ED265"/>
      <c r="EE265"/>
      <c r="EF265"/>
      <c r="EG265"/>
      <c r="EH265"/>
      <c r="EI265"/>
      <c r="EJ265"/>
      <c r="EK265"/>
      <c r="EL265"/>
      <c r="EM265"/>
      <c r="EN265"/>
      <c r="EO265"/>
      <c r="EP265"/>
      <c r="EQ265"/>
      <c r="ER265"/>
      <c r="ES265"/>
      <c r="ET265"/>
      <c r="EU265"/>
      <c r="EV265"/>
      <c r="EW265"/>
      <c r="EX265"/>
      <c r="EY265"/>
      <c r="EZ265"/>
      <c r="FA265"/>
      <c r="FB265"/>
      <c r="FC265"/>
      <c r="FD265"/>
      <c r="FE265"/>
      <c r="FF265"/>
      <c r="FG265"/>
      <c r="FH265"/>
      <c r="FI265"/>
      <c r="FJ265"/>
      <c r="FK265"/>
      <c r="FL265"/>
      <c r="FM265"/>
      <c r="FN265"/>
      <c r="FO265"/>
      <c r="FP265"/>
      <c r="FQ265"/>
      <c r="FR265"/>
      <c r="FS265"/>
      <c r="FT265"/>
      <c r="FU265"/>
      <c r="FV265"/>
      <c r="FW265"/>
      <c r="FX265"/>
      <c r="FY265"/>
      <c r="FZ265"/>
      <c r="GA265"/>
      <c r="GB265"/>
      <c r="GC265"/>
      <c r="GD265"/>
      <c r="GE265"/>
      <c r="GF265"/>
      <c r="GG265"/>
      <c r="GH265"/>
      <c r="GI265"/>
      <c r="GJ265"/>
      <c r="GK265"/>
      <c r="GL265"/>
      <c r="GM265"/>
      <c r="GN265"/>
      <c r="GO265"/>
      <c r="GP265"/>
      <c r="GQ265"/>
      <c r="GR265"/>
      <c r="GS265"/>
      <c r="GT265"/>
      <c r="GU265"/>
      <c r="GV265"/>
      <c r="GW265"/>
      <c r="GX265"/>
      <c r="GY265"/>
      <c r="GZ265"/>
      <c r="HA265"/>
    </row>
    <row r="266" spans="1:209" ht="15" customHeight="1" x14ac:dyDescent="0.15">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c r="DA266"/>
      <c r="DB266"/>
      <c r="DC266"/>
      <c r="DD266"/>
      <c r="DE266"/>
      <c r="DF266"/>
      <c r="DG266"/>
      <c r="DH266"/>
      <c r="DI266"/>
      <c r="DJ266"/>
      <c r="DK266"/>
      <c r="DL266"/>
      <c r="DM266"/>
      <c r="DN266"/>
      <c r="DO266"/>
      <c r="DP266"/>
      <c r="DQ266"/>
      <c r="DR266"/>
      <c r="DS266"/>
      <c r="DT266"/>
      <c r="DU266"/>
      <c r="DV266"/>
      <c r="DW266"/>
      <c r="DX266"/>
      <c r="DY266"/>
      <c r="DZ266"/>
      <c r="EA266"/>
      <c r="EB266"/>
      <c r="EC266"/>
      <c r="ED266"/>
      <c r="EE266"/>
      <c r="EF266"/>
      <c r="EG266"/>
      <c r="EH266"/>
      <c r="EI266"/>
      <c r="EJ266"/>
      <c r="EK266"/>
      <c r="EL266"/>
      <c r="EM266"/>
      <c r="EN266"/>
      <c r="EO266"/>
      <c r="EP266"/>
      <c r="EQ266"/>
      <c r="ER266"/>
      <c r="ES266"/>
      <c r="ET266"/>
      <c r="EU266"/>
      <c r="EV266"/>
      <c r="EW266"/>
      <c r="EX266"/>
      <c r="EY266"/>
      <c r="EZ266"/>
      <c r="FA266"/>
      <c r="FB266"/>
      <c r="FC266"/>
      <c r="FD266"/>
      <c r="FE266"/>
      <c r="FF266"/>
      <c r="FG266"/>
      <c r="FH266"/>
      <c r="FI266"/>
      <c r="FJ266"/>
      <c r="FK266"/>
      <c r="FL266"/>
      <c r="FM266"/>
      <c r="FN266"/>
      <c r="FO266"/>
      <c r="FP266"/>
      <c r="FQ266"/>
      <c r="FR266"/>
      <c r="FS266"/>
      <c r="FT266"/>
      <c r="FU266"/>
      <c r="FV266"/>
      <c r="FW266"/>
      <c r="FX266"/>
      <c r="FY266"/>
      <c r="FZ266"/>
      <c r="GA266"/>
      <c r="GB266"/>
      <c r="GC266"/>
      <c r="GD266"/>
      <c r="GE266"/>
      <c r="GF266"/>
      <c r="GG266"/>
      <c r="GH266"/>
      <c r="GI266"/>
      <c r="GJ266"/>
      <c r="GK266"/>
      <c r="GL266"/>
      <c r="GM266"/>
      <c r="GN266"/>
      <c r="GO266"/>
      <c r="GP266"/>
      <c r="GQ266"/>
      <c r="GR266"/>
      <c r="GS266"/>
      <c r="GT266"/>
      <c r="GU266"/>
      <c r="GV266"/>
      <c r="GW266"/>
      <c r="GX266"/>
      <c r="GY266"/>
      <c r="GZ266"/>
      <c r="HA266"/>
    </row>
    <row r="267" spans="1:209" ht="15" customHeight="1" x14ac:dyDescent="0.15">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c r="DE267"/>
      <c r="DF267"/>
      <c r="DG267"/>
      <c r="DH267"/>
      <c r="DI267"/>
      <c r="DJ267"/>
      <c r="DK267"/>
      <c r="DL267"/>
      <c r="DM267"/>
      <c r="DN267"/>
      <c r="DO267"/>
      <c r="DP267"/>
      <c r="DQ267"/>
      <c r="DR267"/>
      <c r="DS267"/>
      <c r="DT267"/>
      <c r="DU267"/>
      <c r="DV267"/>
      <c r="DW267"/>
      <c r="DX267"/>
      <c r="DY267"/>
      <c r="DZ267"/>
      <c r="EA267"/>
      <c r="EB267"/>
      <c r="EC267"/>
      <c r="ED267"/>
      <c r="EE267"/>
      <c r="EF267"/>
      <c r="EG267"/>
      <c r="EH267"/>
      <c r="EI267"/>
      <c r="EJ267"/>
      <c r="EK267"/>
      <c r="EL267"/>
      <c r="EM267"/>
      <c r="EN267"/>
      <c r="EO267"/>
      <c r="EP267"/>
      <c r="EQ267"/>
      <c r="ER267"/>
      <c r="ES267"/>
      <c r="ET267"/>
      <c r="EU267"/>
      <c r="EV267"/>
      <c r="EW267"/>
      <c r="EX267"/>
      <c r="EY267"/>
      <c r="EZ267"/>
      <c r="FA267"/>
      <c r="FB267"/>
      <c r="FC267"/>
      <c r="FD267"/>
      <c r="FE267"/>
      <c r="FF267"/>
      <c r="FG267"/>
      <c r="FH267"/>
      <c r="FI267"/>
      <c r="FJ267"/>
      <c r="FK267"/>
      <c r="FL267"/>
      <c r="FM267"/>
      <c r="FN267"/>
      <c r="FO267"/>
      <c r="FP267"/>
      <c r="FQ267"/>
      <c r="FR267"/>
      <c r="FS267"/>
      <c r="FT267"/>
      <c r="FU267"/>
      <c r="FV267"/>
      <c r="FW267"/>
      <c r="FX267"/>
      <c r="FY267"/>
      <c r="FZ267"/>
      <c r="GA267"/>
      <c r="GB267"/>
      <c r="GC267"/>
      <c r="GD267"/>
      <c r="GE267"/>
      <c r="GF267"/>
      <c r="GG267"/>
      <c r="GH267"/>
      <c r="GI267"/>
      <c r="GJ267"/>
      <c r="GK267"/>
      <c r="GL267"/>
      <c r="GM267"/>
      <c r="GN267"/>
      <c r="GO267"/>
      <c r="GP267"/>
      <c r="GQ267"/>
      <c r="GR267"/>
      <c r="GS267"/>
      <c r="GT267"/>
      <c r="GU267"/>
      <c r="GV267"/>
      <c r="GW267"/>
      <c r="GX267"/>
      <c r="GY267"/>
      <c r="GZ267"/>
      <c r="HA267"/>
    </row>
    <row r="268" spans="1:209" ht="15" customHeight="1" x14ac:dyDescent="0.15">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c r="DE268"/>
      <c r="DF268"/>
      <c r="DG268"/>
      <c r="DH268"/>
      <c r="DI268"/>
      <c r="DJ268"/>
      <c r="DK268"/>
      <c r="DL268"/>
      <c r="DM268"/>
      <c r="DN268"/>
      <c r="DO268"/>
      <c r="DP268"/>
      <c r="DQ268"/>
      <c r="DR268"/>
      <c r="DS268"/>
      <c r="DT268"/>
      <c r="DU268"/>
      <c r="DV268"/>
      <c r="DW268"/>
      <c r="DX268"/>
      <c r="DY268"/>
      <c r="DZ268"/>
      <c r="EA268"/>
      <c r="EB268"/>
      <c r="EC268"/>
      <c r="ED268"/>
      <c r="EE268"/>
      <c r="EF268"/>
      <c r="EG268"/>
      <c r="EH268"/>
      <c r="EI268"/>
      <c r="EJ268"/>
      <c r="EK268"/>
      <c r="EL268"/>
      <c r="EM268"/>
      <c r="EN268"/>
      <c r="EO268"/>
      <c r="EP268"/>
      <c r="EQ268"/>
      <c r="ER268"/>
      <c r="ES268"/>
      <c r="ET268"/>
      <c r="EU268"/>
      <c r="EV268"/>
      <c r="EW268"/>
      <c r="EX268"/>
      <c r="EY268"/>
      <c r="EZ268"/>
      <c r="FA268"/>
      <c r="FB268"/>
      <c r="FC268"/>
      <c r="FD268"/>
      <c r="FE268"/>
      <c r="FF268"/>
      <c r="FG268"/>
      <c r="FH268"/>
      <c r="FI268"/>
      <c r="FJ268"/>
      <c r="FK268"/>
      <c r="FL268"/>
      <c r="FM268"/>
      <c r="FN268"/>
      <c r="FO268"/>
      <c r="FP268"/>
      <c r="FQ268"/>
      <c r="FR268"/>
      <c r="FS268"/>
      <c r="FT268"/>
      <c r="FU268"/>
      <c r="FV268"/>
      <c r="FW268"/>
      <c r="FX268"/>
      <c r="FY268"/>
      <c r="FZ268"/>
      <c r="GA268"/>
      <c r="GB268"/>
      <c r="GC268"/>
      <c r="GD268"/>
      <c r="GE268"/>
      <c r="GF268"/>
      <c r="GG268"/>
      <c r="GH268"/>
      <c r="GI268"/>
      <c r="GJ268"/>
      <c r="GK268"/>
      <c r="GL268"/>
      <c r="GM268"/>
      <c r="GN268"/>
      <c r="GO268"/>
      <c r="GP268"/>
      <c r="GQ268"/>
      <c r="GR268"/>
      <c r="GS268"/>
      <c r="GT268"/>
      <c r="GU268"/>
      <c r="GV268"/>
      <c r="GW268"/>
      <c r="GX268"/>
      <c r="GY268"/>
      <c r="GZ268"/>
      <c r="HA268"/>
    </row>
    <row r="269" spans="1:209" ht="15" customHeight="1" x14ac:dyDescent="0.15">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c r="DA269"/>
      <c r="DB269"/>
      <c r="DC269"/>
      <c r="DD269"/>
      <c r="DE269"/>
      <c r="DF269"/>
      <c r="DG269"/>
      <c r="DH269"/>
      <c r="DI269"/>
      <c r="DJ269"/>
      <c r="DK269"/>
      <c r="DL269"/>
      <c r="DM269"/>
      <c r="DN269"/>
      <c r="DO269"/>
      <c r="DP269"/>
      <c r="DQ269"/>
      <c r="DR269"/>
      <c r="DS269"/>
      <c r="DT269"/>
      <c r="DU269"/>
      <c r="DV269"/>
      <c r="DW269"/>
      <c r="DX269"/>
      <c r="DY269"/>
      <c r="DZ269"/>
      <c r="EA269"/>
      <c r="EB269"/>
      <c r="EC269"/>
      <c r="ED269"/>
      <c r="EE269"/>
      <c r="EF269"/>
      <c r="EG269"/>
      <c r="EH269"/>
      <c r="EI269"/>
      <c r="EJ269"/>
      <c r="EK269"/>
      <c r="EL269"/>
      <c r="EM269"/>
      <c r="EN269"/>
      <c r="EO269"/>
      <c r="EP269"/>
      <c r="EQ269"/>
      <c r="ER269"/>
      <c r="ES269"/>
      <c r="ET269"/>
      <c r="EU269"/>
      <c r="EV269"/>
      <c r="EW269"/>
      <c r="EX269"/>
      <c r="EY269"/>
      <c r="EZ269"/>
      <c r="FA269"/>
      <c r="FB269"/>
      <c r="FC269"/>
      <c r="FD269"/>
      <c r="FE269"/>
      <c r="FF269"/>
      <c r="FG269"/>
      <c r="FH269"/>
      <c r="FI269"/>
      <c r="FJ269"/>
      <c r="FK269"/>
      <c r="FL269"/>
      <c r="FM269"/>
      <c r="FN269"/>
      <c r="FO269"/>
      <c r="FP269"/>
      <c r="FQ269"/>
      <c r="FR269"/>
      <c r="FS269"/>
      <c r="FT269"/>
      <c r="FU269"/>
      <c r="FV269"/>
      <c r="FW269"/>
      <c r="FX269"/>
      <c r="FY269"/>
      <c r="FZ269"/>
      <c r="GA269"/>
      <c r="GB269"/>
      <c r="GC269"/>
      <c r="GD269"/>
      <c r="GE269"/>
      <c r="GF269"/>
      <c r="GG269"/>
      <c r="GH269"/>
      <c r="GI269"/>
      <c r="GJ269"/>
      <c r="GK269"/>
      <c r="GL269"/>
      <c r="GM269"/>
      <c r="GN269"/>
      <c r="GO269"/>
      <c r="GP269"/>
      <c r="GQ269"/>
      <c r="GR269"/>
      <c r="GS269"/>
      <c r="GT269"/>
      <c r="GU269"/>
      <c r="GV269"/>
      <c r="GW269"/>
      <c r="GX269"/>
      <c r="GY269"/>
      <c r="GZ269"/>
      <c r="HA269"/>
    </row>
    <row r="270" spans="1:209" ht="15" customHeight="1" x14ac:dyDescent="0.15">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c r="DA270"/>
      <c r="DB270"/>
      <c r="DC270"/>
      <c r="DD270"/>
      <c r="DE270"/>
      <c r="DF270"/>
      <c r="DG270"/>
      <c r="DH270"/>
      <c r="DI270"/>
      <c r="DJ270"/>
      <c r="DK270"/>
      <c r="DL270"/>
      <c r="DM270"/>
      <c r="DN270"/>
      <c r="DO270"/>
      <c r="DP270"/>
      <c r="DQ270"/>
      <c r="DR270"/>
      <c r="DS270"/>
      <c r="DT270"/>
      <c r="DU270"/>
      <c r="DV270"/>
      <c r="DW270"/>
      <c r="DX270"/>
      <c r="DY270"/>
      <c r="DZ270"/>
      <c r="EA270"/>
      <c r="EB270"/>
      <c r="EC270"/>
      <c r="ED270"/>
      <c r="EE270"/>
      <c r="EF270"/>
      <c r="EG270"/>
      <c r="EH270"/>
      <c r="EI270"/>
      <c r="EJ270"/>
      <c r="EK270"/>
      <c r="EL270"/>
      <c r="EM270"/>
      <c r="EN270"/>
      <c r="EO270"/>
      <c r="EP270"/>
      <c r="EQ270"/>
      <c r="ER270"/>
      <c r="ES270"/>
      <c r="ET270"/>
      <c r="EU270"/>
      <c r="EV270"/>
      <c r="EW270"/>
      <c r="EX270"/>
      <c r="EY270"/>
      <c r="EZ270"/>
      <c r="FA270"/>
      <c r="FB270"/>
      <c r="FC270"/>
      <c r="FD270"/>
      <c r="FE270"/>
      <c r="FF270"/>
      <c r="FG270"/>
      <c r="FH270"/>
      <c r="FI270"/>
      <c r="FJ270"/>
      <c r="FK270"/>
      <c r="FL270"/>
      <c r="FM270"/>
      <c r="FN270"/>
      <c r="FO270"/>
      <c r="FP270"/>
      <c r="FQ270"/>
      <c r="FR270"/>
      <c r="FS270"/>
      <c r="FT270"/>
      <c r="FU270"/>
      <c r="FV270"/>
      <c r="FW270"/>
      <c r="FX270"/>
      <c r="FY270"/>
      <c r="FZ270"/>
      <c r="GA270"/>
      <c r="GB270"/>
      <c r="GC270"/>
      <c r="GD270"/>
      <c r="GE270"/>
      <c r="GF270"/>
      <c r="GG270"/>
      <c r="GH270"/>
      <c r="GI270"/>
      <c r="GJ270"/>
      <c r="GK270"/>
      <c r="GL270"/>
      <c r="GM270"/>
      <c r="GN270"/>
      <c r="GO270"/>
      <c r="GP270"/>
      <c r="GQ270"/>
      <c r="GR270"/>
      <c r="GS270"/>
      <c r="GT270"/>
      <c r="GU270"/>
      <c r="GV270"/>
      <c r="GW270"/>
      <c r="GX270"/>
      <c r="GY270"/>
      <c r="GZ270"/>
      <c r="HA270"/>
    </row>
    <row r="271" spans="1:209" ht="15" customHeight="1" x14ac:dyDescent="0.15">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c r="DF271"/>
      <c r="DG271"/>
      <c r="DH271"/>
      <c r="DI271"/>
      <c r="DJ271"/>
      <c r="DK271"/>
      <c r="DL271"/>
      <c r="DM271"/>
      <c r="DN271"/>
      <c r="DO271"/>
      <c r="DP271"/>
      <c r="DQ271"/>
      <c r="DR271"/>
      <c r="DS271"/>
      <c r="DT271"/>
      <c r="DU271"/>
      <c r="DV271"/>
      <c r="DW271"/>
      <c r="DX271"/>
      <c r="DY271"/>
      <c r="DZ271"/>
      <c r="EA271"/>
      <c r="EB271"/>
      <c r="EC271"/>
      <c r="ED271"/>
      <c r="EE271"/>
      <c r="EF271"/>
      <c r="EG271"/>
      <c r="EH271"/>
      <c r="EI271"/>
      <c r="EJ271"/>
      <c r="EK271"/>
      <c r="EL271"/>
      <c r="EM271"/>
      <c r="EN271"/>
      <c r="EO271"/>
      <c r="EP271"/>
      <c r="EQ271"/>
      <c r="ER271"/>
      <c r="ES271"/>
      <c r="ET271"/>
      <c r="EU271"/>
      <c r="EV271"/>
      <c r="EW271"/>
      <c r="EX271"/>
      <c r="EY271"/>
      <c r="EZ271"/>
      <c r="FA271"/>
      <c r="FB271"/>
      <c r="FC271"/>
      <c r="FD271"/>
      <c r="FE271"/>
      <c r="FF271"/>
      <c r="FG271"/>
      <c r="FH271"/>
      <c r="FI271"/>
      <c r="FJ271"/>
      <c r="FK271"/>
      <c r="FL271"/>
      <c r="FM271"/>
      <c r="FN271"/>
      <c r="FO271"/>
      <c r="FP271"/>
      <c r="FQ271"/>
      <c r="FR271"/>
      <c r="FS271"/>
      <c r="FT271"/>
      <c r="FU271"/>
      <c r="FV271"/>
      <c r="FW271"/>
      <c r="FX271"/>
      <c r="FY271"/>
      <c r="FZ271"/>
      <c r="GA271"/>
      <c r="GB271"/>
      <c r="GC271"/>
      <c r="GD271"/>
      <c r="GE271"/>
      <c r="GF271"/>
      <c r="GG271"/>
      <c r="GH271"/>
      <c r="GI271"/>
      <c r="GJ271"/>
      <c r="GK271"/>
      <c r="GL271"/>
      <c r="GM271"/>
      <c r="GN271"/>
      <c r="GO271"/>
      <c r="GP271"/>
      <c r="GQ271"/>
      <c r="GR271"/>
      <c r="GS271"/>
      <c r="GT271"/>
      <c r="GU271"/>
      <c r="GV271"/>
      <c r="GW271"/>
      <c r="GX271"/>
      <c r="GY271"/>
      <c r="GZ271"/>
      <c r="HA271"/>
    </row>
    <row r="272" spans="1:209" ht="15" customHeight="1" x14ac:dyDescent="0.15">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c r="DE272"/>
      <c r="DF272"/>
      <c r="DG272"/>
      <c r="DH272"/>
      <c r="DI272"/>
      <c r="DJ272"/>
      <c r="DK272"/>
      <c r="DL272"/>
      <c r="DM272"/>
      <c r="DN272"/>
      <c r="DO272"/>
      <c r="DP272"/>
      <c r="DQ272"/>
      <c r="DR272"/>
      <c r="DS272"/>
      <c r="DT272"/>
      <c r="DU272"/>
      <c r="DV272"/>
      <c r="DW272"/>
      <c r="DX272"/>
      <c r="DY272"/>
      <c r="DZ272"/>
      <c r="EA272"/>
      <c r="EB272"/>
      <c r="EC272"/>
      <c r="ED272"/>
      <c r="EE272"/>
      <c r="EF272"/>
      <c r="EG272"/>
      <c r="EH272"/>
      <c r="EI272"/>
      <c r="EJ272"/>
      <c r="EK272"/>
      <c r="EL272"/>
      <c r="EM272"/>
      <c r="EN272"/>
      <c r="EO272"/>
      <c r="EP272"/>
      <c r="EQ272"/>
      <c r="ER272"/>
      <c r="ES272"/>
      <c r="ET272"/>
      <c r="EU272"/>
      <c r="EV272"/>
      <c r="EW272"/>
      <c r="EX272"/>
      <c r="EY272"/>
      <c r="EZ272"/>
      <c r="FA272"/>
      <c r="FB272"/>
      <c r="FC272"/>
      <c r="FD272"/>
      <c r="FE272"/>
      <c r="FF272"/>
      <c r="FG272"/>
      <c r="FH272"/>
      <c r="FI272"/>
      <c r="FJ272"/>
      <c r="FK272"/>
      <c r="FL272"/>
      <c r="FM272"/>
      <c r="FN272"/>
      <c r="FO272"/>
      <c r="FP272"/>
      <c r="FQ272"/>
      <c r="FR272"/>
      <c r="FS272"/>
      <c r="FT272"/>
      <c r="FU272"/>
      <c r="FV272"/>
      <c r="FW272"/>
      <c r="FX272"/>
      <c r="FY272"/>
      <c r="FZ272"/>
      <c r="GA272"/>
      <c r="GB272"/>
      <c r="GC272"/>
      <c r="GD272"/>
      <c r="GE272"/>
      <c r="GF272"/>
      <c r="GG272"/>
      <c r="GH272"/>
      <c r="GI272"/>
      <c r="GJ272"/>
      <c r="GK272"/>
      <c r="GL272"/>
      <c r="GM272"/>
      <c r="GN272"/>
      <c r="GO272"/>
      <c r="GP272"/>
      <c r="GQ272"/>
      <c r="GR272"/>
      <c r="GS272"/>
      <c r="GT272"/>
      <c r="GU272"/>
      <c r="GV272"/>
      <c r="GW272"/>
      <c r="GX272"/>
      <c r="GY272"/>
      <c r="GZ272"/>
      <c r="HA272"/>
    </row>
    <row r="273" spans="1:209" ht="15" customHeight="1" x14ac:dyDescent="0.15">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c r="DE273"/>
      <c r="DF273"/>
      <c r="DG273"/>
      <c r="DH273"/>
      <c r="DI273"/>
      <c r="DJ273"/>
      <c r="DK273"/>
      <c r="DL273"/>
      <c r="DM273"/>
      <c r="DN273"/>
      <c r="DO273"/>
      <c r="DP273"/>
      <c r="DQ273"/>
      <c r="DR273"/>
      <c r="DS273"/>
      <c r="DT273"/>
      <c r="DU273"/>
      <c r="DV273"/>
      <c r="DW273"/>
      <c r="DX273"/>
      <c r="DY273"/>
      <c r="DZ273"/>
      <c r="EA273"/>
      <c r="EB273"/>
      <c r="EC273"/>
      <c r="ED273"/>
      <c r="EE273"/>
      <c r="EF273"/>
      <c r="EG273"/>
      <c r="EH273"/>
      <c r="EI273"/>
      <c r="EJ273"/>
      <c r="EK273"/>
      <c r="EL273"/>
      <c r="EM273"/>
      <c r="EN273"/>
      <c r="EO273"/>
      <c r="EP273"/>
      <c r="EQ273"/>
      <c r="ER273"/>
      <c r="ES273"/>
      <c r="ET273"/>
      <c r="EU273"/>
      <c r="EV273"/>
      <c r="EW273"/>
      <c r="EX273"/>
      <c r="EY273"/>
      <c r="EZ273"/>
      <c r="FA273"/>
      <c r="FB273"/>
      <c r="FC273"/>
      <c r="FD273"/>
      <c r="FE273"/>
      <c r="FF273"/>
      <c r="FG273"/>
      <c r="FH273"/>
      <c r="FI273"/>
      <c r="FJ273"/>
      <c r="FK273"/>
      <c r="FL273"/>
      <c r="FM273"/>
      <c r="FN273"/>
      <c r="FO273"/>
      <c r="FP273"/>
      <c r="FQ273"/>
      <c r="FR273"/>
      <c r="FS273"/>
      <c r="FT273"/>
      <c r="FU273"/>
      <c r="FV273"/>
      <c r="FW273"/>
      <c r="FX273"/>
      <c r="FY273"/>
      <c r="FZ273"/>
      <c r="GA273"/>
      <c r="GB273"/>
      <c r="GC273"/>
      <c r="GD273"/>
      <c r="GE273"/>
      <c r="GF273"/>
      <c r="GG273"/>
      <c r="GH273"/>
      <c r="GI273"/>
      <c r="GJ273"/>
      <c r="GK273"/>
      <c r="GL273"/>
      <c r="GM273"/>
      <c r="GN273"/>
      <c r="GO273"/>
      <c r="GP273"/>
      <c r="GQ273"/>
      <c r="GR273"/>
      <c r="GS273"/>
      <c r="GT273"/>
      <c r="GU273"/>
      <c r="GV273"/>
      <c r="GW273"/>
      <c r="GX273"/>
      <c r="GY273"/>
      <c r="GZ273"/>
      <c r="HA273"/>
    </row>
    <row r="274" spans="1:209" ht="15" customHeight="1" x14ac:dyDescent="0.15">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c r="DA274"/>
      <c r="DB274"/>
      <c r="DC274"/>
      <c r="DD274"/>
      <c r="DE274"/>
      <c r="DF274"/>
      <c r="DG274"/>
      <c r="DH274"/>
      <c r="DI274"/>
      <c r="DJ274"/>
      <c r="DK274"/>
      <c r="DL274"/>
      <c r="DM274"/>
      <c r="DN274"/>
      <c r="DO274"/>
      <c r="DP274"/>
      <c r="DQ274"/>
      <c r="DR274"/>
      <c r="DS274"/>
      <c r="DT274"/>
      <c r="DU274"/>
      <c r="DV274"/>
      <c r="DW274"/>
      <c r="DX274"/>
      <c r="DY274"/>
      <c r="DZ274"/>
      <c r="EA274"/>
      <c r="EB274"/>
      <c r="EC274"/>
      <c r="ED274"/>
      <c r="EE274"/>
      <c r="EF274"/>
      <c r="EG274"/>
      <c r="EH274"/>
      <c r="EI274"/>
      <c r="EJ274"/>
      <c r="EK274"/>
      <c r="EL274"/>
      <c r="EM274"/>
      <c r="EN274"/>
      <c r="EO274"/>
      <c r="EP274"/>
      <c r="EQ274"/>
      <c r="ER274"/>
      <c r="ES274"/>
      <c r="ET274"/>
      <c r="EU274"/>
      <c r="EV274"/>
      <c r="EW274"/>
      <c r="EX274"/>
      <c r="EY274"/>
      <c r="EZ274"/>
      <c r="FA274"/>
      <c r="FB274"/>
      <c r="FC274"/>
      <c r="FD274"/>
      <c r="FE274"/>
      <c r="FF274"/>
      <c r="FG274"/>
      <c r="FH274"/>
      <c r="FI274"/>
      <c r="FJ274"/>
      <c r="FK274"/>
      <c r="FL274"/>
      <c r="FM274"/>
      <c r="FN274"/>
      <c r="FO274"/>
      <c r="FP274"/>
      <c r="FQ274"/>
      <c r="FR274"/>
      <c r="FS274"/>
      <c r="FT274"/>
      <c r="FU274"/>
      <c r="FV274"/>
      <c r="FW274"/>
      <c r="FX274"/>
      <c r="FY274"/>
      <c r="FZ274"/>
      <c r="GA274"/>
      <c r="GB274"/>
      <c r="GC274"/>
      <c r="GD274"/>
      <c r="GE274"/>
      <c r="GF274"/>
      <c r="GG274"/>
      <c r="GH274"/>
      <c r="GI274"/>
      <c r="GJ274"/>
      <c r="GK274"/>
      <c r="GL274"/>
      <c r="GM274"/>
      <c r="GN274"/>
      <c r="GO274"/>
      <c r="GP274"/>
      <c r="GQ274"/>
      <c r="GR274"/>
      <c r="GS274"/>
      <c r="GT274"/>
      <c r="GU274"/>
      <c r="GV274"/>
      <c r="GW274"/>
      <c r="GX274"/>
      <c r="GY274"/>
      <c r="GZ274"/>
      <c r="HA274"/>
    </row>
    <row r="275" spans="1:209" ht="15" customHeight="1" x14ac:dyDescent="0.15">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c r="DA275"/>
      <c r="DB275"/>
      <c r="DC275"/>
      <c r="DD275"/>
      <c r="DE275"/>
      <c r="DF275"/>
      <c r="DG275"/>
      <c r="DH275"/>
      <c r="DI275"/>
      <c r="DJ275"/>
      <c r="DK275"/>
      <c r="DL275"/>
      <c r="DM275"/>
      <c r="DN275"/>
      <c r="DO275"/>
      <c r="DP275"/>
      <c r="DQ275"/>
      <c r="DR275"/>
      <c r="DS275"/>
      <c r="DT275"/>
      <c r="DU275"/>
      <c r="DV275"/>
      <c r="DW275"/>
      <c r="DX275"/>
      <c r="DY275"/>
      <c r="DZ275"/>
      <c r="EA275"/>
      <c r="EB275"/>
      <c r="EC275"/>
      <c r="ED275"/>
      <c r="EE275"/>
      <c r="EF275"/>
      <c r="EG275"/>
      <c r="EH275"/>
      <c r="EI275"/>
      <c r="EJ275"/>
      <c r="EK275"/>
      <c r="EL275"/>
      <c r="EM275"/>
      <c r="EN275"/>
      <c r="EO275"/>
      <c r="EP275"/>
      <c r="EQ275"/>
      <c r="ER275"/>
      <c r="ES275"/>
      <c r="ET275"/>
      <c r="EU275"/>
      <c r="EV275"/>
      <c r="EW275"/>
      <c r="EX275"/>
      <c r="EY275"/>
      <c r="EZ275"/>
      <c r="FA275"/>
      <c r="FB275"/>
      <c r="FC275"/>
      <c r="FD275"/>
      <c r="FE275"/>
      <c r="FF275"/>
      <c r="FG275"/>
      <c r="FH275"/>
      <c r="FI275"/>
      <c r="FJ275"/>
      <c r="FK275"/>
      <c r="FL275"/>
      <c r="FM275"/>
      <c r="FN275"/>
      <c r="FO275"/>
      <c r="FP275"/>
      <c r="FQ275"/>
      <c r="FR275"/>
      <c r="FS275"/>
      <c r="FT275"/>
      <c r="FU275"/>
      <c r="FV275"/>
      <c r="FW275"/>
      <c r="FX275"/>
      <c r="FY275"/>
      <c r="FZ275"/>
      <c r="GA275"/>
      <c r="GB275"/>
      <c r="GC275"/>
      <c r="GD275"/>
      <c r="GE275"/>
      <c r="GF275"/>
      <c r="GG275"/>
      <c r="GH275"/>
      <c r="GI275"/>
      <c r="GJ275"/>
      <c r="GK275"/>
      <c r="GL275"/>
      <c r="GM275"/>
      <c r="GN275"/>
      <c r="GO275"/>
      <c r="GP275"/>
      <c r="GQ275"/>
      <c r="GR275"/>
      <c r="GS275"/>
      <c r="GT275"/>
      <c r="GU275"/>
      <c r="GV275"/>
      <c r="GW275"/>
      <c r="GX275"/>
      <c r="GY275"/>
      <c r="GZ275"/>
      <c r="HA275"/>
    </row>
    <row r="276" spans="1:209" ht="15" customHeight="1" x14ac:dyDescent="0.15">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c r="CY276"/>
      <c r="CZ276"/>
      <c r="DA276"/>
      <c r="DB276"/>
      <c r="DC276"/>
      <c r="DD276"/>
      <c r="DE276"/>
      <c r="DF276"/>
      <c r="DG276"/>
      <c r="DH276"/>
      <c r="DI276"/>
      <c r="DJ276"/>
      <c r="DK276"/>
      <c r="DL276"/>
      <c r="DM276"/>
      <c r="DN276"/>
      <c r="DO276"/>
      <c r="DP276"/>
      <c r="DQ276"/>
      <c r="DR276"/>
      <c r="DS276"/>
      <c r="DT276"/>
      <c r="DU276"/>
      <c r="DV276"/>
      <c r="DW276"/>
      <c r="DX276"/>
      <c r="DY276"/>
      <c r="DZ276"/>
      <c r="EA276"/>
      <c r="EB276"/>
      <c r="EC276"/>
      <c r="ED276"/>
      <c r="EE276"/>
      <c r="EF276"/>
      <c r="EG276"/>
      <c r="EH276"/>
      <c r="EI276"/>
      <c r="EJ276"/>
      <c r="EK276"/>
      <c r="EL276"/>
      <c r="EM276"/>
      <c r="EN276"/>
      <c r="EO276"/>
      <c r="EP276"/>
      <c r="EQ276"/>
      <c r="ER276"/>
      <c r="ES276"/>
      <c r="ET276"/>
      <c r="EU276"/>
      <c r="EV276"/>
      <c r="EW276"/>
      <c r="EX276"/>
      <c r="EY276"/>
      <c r="EZ276"/>
      <c r="FA276"/>
      <c r="FB276"/>
      <c r="FC276"/>
      <c r="FD276"/>
      <c r="FE276"/>
      <c r="FF276"/>
      <c r="FG276"/>
      <c r="FH276"/>
      <c r="FI276"/>
      <c r="FJ276"/>
      <c r="FK276"/>
      <c r="FL276"/>
      <c r="FM276"/>
      <c r="FN276"/>
      <c r="FO276"/>
      <c r="FP276"/>
      <c r="FQ276"/>
      <c r="FR276"/>
      <c r="FS276"/>
      <c r="FT276"/>
      <c r="FU276"/>
      <c r="FV276"/>
      <c r="FW276"/>
      <c r="FX276"/>
      <c r="FY276"/>
      <c r="FZ276"/>
      <c r="GA276"/>
      <c r="GB276"/>
      <c r="GC276"/>
      <c r="GD276"/>
      <c r="GE276"/>
      <c r="GF276"/>
      <c r="GG276"/>
      <c r="GH276"/>
      <c r="GI276"/>
      <c r="GJ276"/>
      <c r="GK276"/>
      <c r="GL276"/>
      <c r="GM276"/>
      <c r="GN276"/>
      <c r="GO276"/>
      <c r="GP276"/>
      <c r="GQ276"/>
      <c r="GR276"/>
      <c r="GS276"/>
      <c r="GT276"/>
      <c r="GU276"/>
      <c r="GV276"/>
      <c r="GW276"/>
      <c r="GX276"/>
      <c r="GY276"/>
      <c r="GZ276"/>
      <c r="HA276"/>
    </row>
    <row r="277" spans="1:209" ht="15" customHeight="1" x14ac:dyDescent="0.15">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c r="DA277"/>
      <c r="DB277"/>
      <c r="DC277"/>
      <c r="DD277"/>
      <c r="DE277"/>
      <c r="DF277"/>
      <c r="DG277"/>
      <c r="DH277"/>
      <c r="DI277"/>
      <c r="DJ277"/>
      <c r="DK277"/>
      <c r="DL277"/>
      <c r="DM277"/>
      <c r="DN277"/>
      <c r="DO277"/>
      <c r="DP277"/>
      <c r="DQ277"/>
      <c r="DR277"/>
      <c r="DS277"/>
      <c r="DT277"/>
      <c r="DU277"/>
      <c r="DV277"/>
      <c r="DW277"/>
      <c r="DX277"/>
      <c r="DY277"/>
      <c r="DZ277"/>
      <c r="EA277"/>
      <c r="EB277"/>
      <c r="EC277"/>
      <c r="ED277"/>
      <c r="EE277"/>
      <c r="EF277"/>
      <c r="EG277"/>
      <c r="EH277"/>
      <c r="EI277"/>
      <c r="EJ277"/>
      <c r="EK277"/>
      <c r="EL277"/>
      <c r="EM277"/>
      <c r="EN277"/>
      <c r="EO277"/>
      <c r="EP277"/>
      <c r="EQ277"/>
      <c r="ER277"/>
      <c r="ES277"/>
      <c r="ET277"/>
      <c r="EU277"/>
      <c r="EV277"/>
      <c r="EW277"/>
      <c r="EX277"/>
      <c r="EY277"/>
      <c r="EZ277"/>
      <c r="FA277"/>
      <c r="FB277"/>
      <c r="FC277"/>
      <c r="FD277"/>
      <c r="FE277"/>
      <c r="FF277"/>
      <c r="FG277"/>
      <c r="FH277"/>
      <c r="FI277"/>
      <c r="FJ277"/>
      <c r="FK277"/>
      <c r="FL277"/>
      <c r="FM277"/>
      <c r="FN277"/>
      <c r="FO277"/>
      <c r="FP277"/>
      <c r="FQ277"/>
      <c r="FR277"/>
      <c r="FS277"/>
      <c r="FT277"/>
      <c r="FU277"/>
      <c r="FV277"/>
      <c r="FW277"/>
      <c r="FX277"/>
      <c r="FY277"/>
      <c r="FZ277"/>
      <c r="GA277"/>
      <c r="GB277"/>
      <c r="GC277"/>
      <c r="GD277"/>
      <c r="GE277"/>
      <c r="GF277"/>
      <c r="GG277"/>
      <c r="GH277"/>
      <c r="GI277"/>
      <c r="GJ277"/>
      <c r="GK277"/>
      <c r="GL277"/>
      <c r="GM277"/>
      <c r="GN277"/>
      <c r="GO277"/>
      <c r="GP277"/>
      <c r="GQ277"/>
      <c r="GR277"/>
      <c r="GS277"/>
      <c r="GT277"/>
      <c r="GU277"/>
      <c r="GV277"/>
      <c r="GW277"/>
      <c r="GX277"/>
      <c r="GY277"/>
      <c r="GZ277"/>
      <c r="HA277"/>
    </row>
    <row r="278" spans="1:209" ht="15" customHeight="1" x14ac:dyDescent="0.15">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c r="DA278"/>
      <c r="DB278"/>
      <c r="DC278"/>
      <c r="DD278"/>
      <c r="DE278"/>
      <c r="DF278"/>
      <c r="DG278"/>
      <c r="DH278"/>
      <c r="DI278"/>
      <c r="DJ278"/>
      <c r="DK278"/>
      <c r="DL278"/>
      <c r="DM278"/>
      <c r="DN278"/>
      <c r="DO278"/>
      <c r="DP278"/>
      <c r="DQ278"/>
      <c r="DR278"/>
      <c r="DS278"/>
      <c r="DT278"/>
      <c r="DU278"/>
      <c r="DV278"/>
      <c r="DW278"/>
      <c r="DX278"/>
      <c r="DY278"/>
      <c r="DZ278"/>
      <c r="EA278"/>
      <c r="EB278"/>
      <c r="EC278"/>
      <c r="ED278"/>
      <c r="EE278"/>
      <c r="EF278"/>
      <c r="EG278"/>
      <c r="EH278"/>
      <c r="EI278"/>
      <c r="EJ278"/>
      <c r="EK278"/>
      <c r="EL278"/>
      <c r="EM278"/>
      <c r="EN278"/>
      <c r="EO278"/>
      <c r="EP278"/>
      <c r="EQ278"/>
      <c r="ER278"/>
      <c r="ES278"/>
      <c r="ET278"/>
      <c r="EU278"/>
      <c r="EV278"/>
      <c r="EW278"/>
      <c r="EX278"/>
      <c r="EY278"/>
      <c r="EZ278"/>
      <c r="FA278"/>
      <c r="FB278"/>
      <c r="FC278"/>
      <c r="FD278"/>
      <c r="FE278"/>
      <c r="FF278"/>
      <c r="FG278"/>
      <c r="FH278"/>
      <c r="FI278"/>
      <c r="FJ278"/>
      <c r="FK278"/>
      <c r="FL278"/>
      <c r="FM278"/>
      <c r="FN278"/>
      <c r="FO278"/>
      <c r="FP278"/>
      <c r="FQ278"/>
      <c r="FR278"/>
      <c r="FS278"/>
      <c r="FT278"/>
      <c r="FU278"/>
      <c r="FV278"/>
      <c r="FW278"/>
      <c r="FX278"/>
      <c r="FY278"/>
      <c r="FZ278"/>
      <c r="GA278"/>
      <c r="GB278"/>
      <c r="GC278"/>
      <c r="GD278"/>
      <c r="GE278"/>
      <c r="GF278"/>
      <c r="GG278"/>
      <c r="GH278"/>
      <c r="GI278"/>
      <c r="GJ278"/>
      <c r="GK278"/>
      <c r="GL278"/>
      <c r="GM278"/>
      <c r="GN278"/>
      <c r="GO278"/>
      <c r="GP278"/>
      <c r="GQ278"/>
      <c r="GR278"/>
      <c r="GS278"/>
      <c r="GT278"/>
      <c r="GU278"/>
      <c r="GV278"/>
      <c r="GW278"/>
      <c r="GX278"/>
      <c r="GY278"/>
      <c r="GZ278"/>
      <c r="HA278"/>
    </row>
    <row r="279" spans="1:209" ht="15" customHeight="1" x14ac:dyDescent="0.15">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c r="DA279"/>
      <c r="DB279"/>
      <c r="DC279"/>
      <c r="DD279"/>
      <c r="DE279"/>
      <c r="DF279"/>
      <c r="DG279"/>
      <c r="DH279"/>
      <c r="DI279"/>
      <c r="DJ279"/>
      <c r="DK279"/>
      <c r="DL279"/>
      <c r="DM279"/>
      <c r="DN279"/>
      <c r="DO279"/>
      <c r="DP279"/>
      <c r="DQ279"/>
      <c r="DR279"/>
      <c r="DS279"/>
      <c r="DT279"/>
      <c r="DU279"/>
      <c r="DV279"/>
      <c r="DW279"/>
      <c r="DX279"/>
      <c r="DY279"/>
      <c r="DZ279"/>
      <c r="EA279"/>
      <c r="EB279"/>
      <c r="EC279"/>
      <c r="ED279"/>
      <c r="EE279"/>
      <c r="EF279"/>
      <c r="EG279"/>
      <c r="EH279"/>
      <c r="EI279"/>
      <c r="EJ279"/>
      <c r="EK279"/>
      <c r="EL279"/>
      <c r="EM279"/>
      <c r="EN279"/>
      <c r="EO279"/>
      <c r="EP279"/>
      <c r="EQ279"/>
      <c r="ER279"/>
      <c r="ES279"/>
      <c r="ET279"/>
      <c r="EU279"/>
      <c r="EV279"/>
      <c r="EW279"/>
      <c r="EX279"/>
      <c r="EY279"/>
      <c r="EZ279"/>
      <c r="FA279"/>
      <c r="FB279"/>
      <c r="FC279"/>
      <c r="FD279"/>
      <c r="FE279"/>
      <c r="FF279"/>
      <c r="FG279"/>
      <c r="FH279"/>
      <c r="FI279"/>
      <c r="FJ279"/>
      <c r="FK279"/>
      <c r="FL279"/>
      <c r="FM279"/>
      <c r="FN279"/>
      <c r="FO279"/>
      <c r="FP279"/>
      <c r="FQ279"/>
      <c r="FR279"/>
      <c r="FS279"/>
      <c r="FT279"/>
      <c r="FU279"/>
      <c r="FV279"/>
      <c r="FW279"/>
      <c r="FX279"/>
      <c r="FY279"/>
      <c r="FZ279"/>
      <c r="GA279"/>
      <c r="GB279"/>
      <c r="GC279"/>
      <c r="GD279"/>
      <c r="GE279"/>
      <c r="GF279"/>
      <c r="GG279"/>
      <c r="GH279"/>
      <c r="GI279"/>
      <c r="GJ279"/>
      <c r="GK279"/>
      <c r="GL279"/>
      <c r="GM279"/>
      <c r="GN279"/>
      <c r="GO279"/>
      <c r="GP279"/>
      <c r="GQ279"/>
      <c r="GR279"/>
      <c r="GS279"/>
      <c r="GT279"/>
      <c r="GU279"/>
      <c r="GV279"/>
      <c r="GW279"/>
      <c r="GX279"/>
      <c r="GY279"/>
      <c r="GZ279"/>
      <c r="HA279"/>
    </row>
    <row r="280" spans="1:209" ht="15" customHeight="1" x14ac:dyDescent="0.15">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c r="DA280"/>
      <c r="DB280"/>
      <c r="DC280"/>
      <c r="DD280"/>
      <c r="DE280"/>
      <c r="DF280"/>
      <c r="DG280"/>
      <c r="DH280"/>
      <c r="DI280"/>
      <c r="DJ280"/>
      <c r="DK280"/>
      <c r="DL280"/>
      <c r="DM280"/>
      <c r="DN280"/>
      <c r="DO280"/>
      <c r="DP280"/>
      <c r="DQ280"/>
      <c r="DR280"/>
      <c r="DS280"/>
      <c r="DT280"/>
      <c r="DU280"/>
      <c r="DV280"/>
      <c r="DW280"/>
      <c r="DX280"/>
      <c r="DY280"/>
      <c r="DZ280"/>
      <c r="EA280"/>
      <c r="EB280"/>
      <c r="EC280"/>
      <c r="ED280"/>
      <c r="EE280"/>
      <c r="EF280"/>
      <c r="EG280"/>
      <c r="EH280"/>
      <c r="EI280"/>
      <c r="EJ280"/>
      <c r="EK280"/>
      <c r="EL280"/>
      <c r="EM280"/>
      <c r="EN280"/>
      <c r="EO280"/>
      <c r="EP280"/>
      <c r="EQ280"/>
      <c r="ER280"/>
      <c r="ES280"/>
      <c r="ET280"/>
      <c r="EU280"/>
      <c r="EV280"/>
      <c r="EW280"/>
      <c r="EX280"/>
      <c r="EY280"/>
      <c r="EZ280"/>
      <c r="FA280"/>
      <c r="FB280"/>
      <c r="FC280"/>
      <c r="FD280"/>
      <c r="FE280"/>
      <c r="FF280"/>
      <c r="FG280"/>
      <c r="FH280"/>
      <c r="FI280"/>
      <c r="FJ280"/>
      <c r="FK280"/>
      <c r="FL280"/>
      <c r="FM280"/>
      <c r="FN280"/>
      <c r="FO280"/>
      <c r="FP280"/>
      <c r="FQ280"/>
      <c r="FR280"/>
      <c r="FS280"/>
      <c r="FT280"/>
      <c r="FU280"/>
      <c r="FV280"/>
      <c r="FW280"/>
      <c r="FX280"/>
      <c r="FY280"/>
      <c r="FZ280"/>
      <c r="GA280"/>
      <c r="GB280"/>
      <c r="GC280"/>
      <c r="GD280"/>
      <c r="GE280"/>
      <c r="GF280"/>
      <c r="GG280"/>
      <c r="GH280"/>
      <c r="GI280"/>
      <c r="GJ280"/>
      <c r="GK280"/>
      <c r="GL280"/>
      <c r="GM280"/>
      <c r="GN280"/>
      <c r="GO280"/>
      <c r="GP280"/>
      <c r="GQ280"/>
      <c r="GR280"/>
      <c r="GS280"/>
      <c r="GT280"/>
      <c r="GU280"/>
      <c r="GV280"/>
      <c r="GW280"/>
      <c r="GX280"/>
      <c r="GY280"/>
      <c r="GZ280"/>
      <c r="HA280"/>
    </row>
    <row r="281" spans="1:209" ht="15" customHeight="1" x14ac:dyDescent="0.15">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c r="DE281"/>
      <c r="DF281"/>
      <c r="DG281"/>
      <c r="DH281"/>
      <c r="DI281"/>
      <c r="DJ281"/>
      <c r="DK281"/>
      <c r="DL281"/>
      <c r="DM281"/>
      <c r="DN281"/>
      <c r="DO281"/>
      <c r="DP281"/>
      <c r="DQ281"/>
      <c r="DR281"/>
      <c r="DS281"/>
      <c r="DT281"/>
      <c r="DU281"/>
      <c r="DV281"/>
      <c r="DW281"/>
      <c r="DX281"/>
      <c r="DY281"/>
      <c r="DZ281"/>
      <c r="EA281"/>
      <c r="EB281"/>
      <c r="EC281"/>
      <c r="ED281"/>
      <c r="EE281"/>
      <c r="EF281"/>
      <c r="EG281"/>
      <c r="EH281"/>
      <c r="EI281"/>
      <c r="EJ281"/>
      <c r="EK281"/>
      <c r="EL281"/>
      <c r="EM281"/>
      <c r="EN281"/>
      <c r="EO281"/>
      <c r="EP281"/>
      <c r="EQ281"/>
      <c r="ER281"/>
      <c r="ES281"/>
      <c r="ET281"/>
      <c r="EU281"/>
      <c r="EV281"/>
      <c r="EW281"/>
      <c r="EX281"/>
      <c r="EY281"/>
      <c r="EZ281"/>
      <c r="FA281"/>
      <c r="FB281"/>
      <c r="FC281"/>
      <c r="FD281"/>
      <c r="FE281"/>
      <c r="FF281"/>
      <c r="FG281"/>
      <c r="FH281"/>
      <c r="FI281"/>
      <c r="FJ281"/>
      <c r="FK281"/>
      <c r="FL281"/>
      <c r="FM281"/>
      <c r="FN281"/>
      <c r="FO281"/>
      <c r="FP281"/>
      <c r="FQ281"/>
      <c r="FR281"/>
      <c r="FS281"/>
      <c r="FT281"/>
      <c r="FU281"/>
      <c r="FV281"/>
      <c r="FW281"/>
      <c r="FX281"/>
      <c r="FY281"/>
      <c r="FZ281"/>
      <c r="GA281"/>
      <c r="GB281"/>
      <c r="GC281"/>
      <c r="GD281"/>
      <c r="GE281"/>
      <c r="GF281"/>
      <c r="GG281"/>
      <c r="GH281"/>
      <c r="GI281"/>
      <c r="GJ281"/>
      <c r="GK281"/>
      <c r="GL281"/>
      <c r="GM281"/>
      <c r="GN281"/>
      <c r="GO281"/>
      <c r="GP281"/>
      <c r="GQ281"/>
      <c r="GR281"/>
      <c r="GS281"/>
      <c r="GT281"/>
      <c r="GU281"/>
      <c r="GV281"/>
      <c r="GW281"/>
      <c r="GX281"/>
      <c r="GY281"/>
      <c r="GZ281"/>
      <c r="HA281"/>
    </row>
    <row r="282" spans="1:209" ht="15" customHeight="1" x14ac:dyDescent="0.15">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c r="DE282"/>
      <c r="DF282"/>
      <c r="DG282"/>
      <c r="DH282"/>
      <c r="DI282"/>
      <c r="DJ282"/>
      <c r="DK282"/>
      <c r="DL282"/>
      <c r="DM282"/>
      <c r="DN282"/>
      <c r="DO282"/>
      <c r="DP282"/>
      <c r="DQ282"/>
      <c r="DR282"/>
      <c r="DS282"/>
      <c r="DT282"/>
      <c r="DU282"/>
      <c r="DV282"/>
      <c r="DW282"/>
      <c r="DX282"/>
      <c r="DY282"/>
      <c r="DZ282"/>
      <c r="EA282"/>
      <c r="EB282"/>
      <c r="EC282"/>
      <c r="ED282"/>
      <c r="EE282"/>
      <c r="EF282"/>
      <c r="EG282"/>
      <c r="EH282"/>
      <c r="EI282"/>
      <c r="EJ282"/>
      <c r="EK282"/>
      <c r="EL282"/>
      <c r="EM282"/>
      <c r="EN282"/>
      <c r="EO282"/>
      <c r="EP282"/>
      <c r="EQ282"/>
      <c r="ER282"/>
      <c r="ES282"/>
      <c r="ET282"/>
      <c r="EU282"/>
      <c r="EV282"/>
      <c r="EW282"/>
      <c r="EX282"/>
      <c r="EY282"/>
      <c r="EZ282"/>
      <c r="FA282"/>
      <c r="FB282"/>
      <c r="FC282"/>
      <c r="FD282"/>
      <c r="FE282"/>
      <c r="FF282"/>
      <c r="FG282"/>
      <c r="FH282"/>
      <c r="FI282"/>
      <c r="FJ282"/>
      <c r="FK282"/>
      <c r="FL282"/>
      <c r="FM282"/>
      <c r="FN282"/>
      <c r="FO282"/>
      <c r="FP282"/>
      <c r="FQ282"/>
      <c r="FR282"/>
      <c r="FS282"/>
      <c r="FT282"/>
      <c r="FU282"/>
      <c r="FV282"/>
      <c r="FW282"/>
      <c r="FX282"/>
      <c r="FY282"/>
      <c r="FZ282"/>
      <c r="GA282"/>
      <c r="GB282"/>
      <c r="GC282"/>
      <c r="GD282"/>
      <c r="GE282"/>
      <c r="GF282"/>
      <c r="GG282"/>
      <c r="GH282"/>
      <c r="GI282"/>
      <c r="GJ282"/>
      <c r="GK282"/>
      <c r="GL282"/>
      <c r="GM282"/>
      <c r="GN282"/>
      <c r="GO282"/>
      <c r="GP282"/>
      <c r="GQ282"/>
      <c r="GR282"/>
      <c r="GS282"/>
      <c r="GT282"/>
      <c r="GU282"/>
      <c r="GV282"/>
      <c r="GW282"/>
      <c r="GX282"/>
      <c r="GY282"/>
      <c r="GZ282"/>
      <c r="HA282"/>
    </row>
    <row r="283" spans="1:209" ht="15" customHeight="1" x14ac:dyDescent="0.15">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c r="CZ283"/>
      <c r="DA283"/>
      <c r="DB283"/>
      <c r="DC283"/>
      <c r="DD283"/>
      <c r="DE283"/>
      <c r="DF283"/>
      <c r="DG283"/>
      <c r="DH283"/>
      <c r="DI283"/>
      <c r="DJ283"/>
      <c r="DK283"/>
      <c r="DL283"/>
      <c r="DM283"/>
      <c r="DN283"/>
      <c r="DO283"/>
      <c r="DP283"/>
      <c r="DQ283"/>
      <c r="DR283"/>
      <c r="DS283"/>
      <c r="DT283"/>
      <c r="DU283"/>
      <c r="DV283"/>
      <c r="DW283"/>
      <c r="DX283"/>
      <c r="DY283"/>
      <c r="DZ283"/>
      <c r="EA283"/>
      <c r="EB283"/>
      <c r="EC283"/>
      <c r="ED283"/>
      <c r="EE283"/>
      <c r="EF283"/>
      <c r="EG283"/>
      <c r="EH283"/>
      <c r="EI283"/>
      <c r="EJ283"/>
      <c r="EK283"/>
      <c r="EL283"/>
      <c r="EM283"/>
      <c r="EN283"/>
      <c r="EO283"/>
      <c r="EP283"/>
      <c r="EQ283"/>
      <c r="ER283"/>
      <c r="ES283"/>
      <c r="ET283"/>
      <c r="EU283"/>
      <c r="EV283"/>
      <c r="EW283"/>
      <c r="EX283"/>
      <c r="EY283"/>
      <c r="EZ283"/>
      <c r="FA283"/>
      <c r="FB283"/>
      <c r="FC283"/>
      <c r="FD283"/>
      <c r="FE283"/>
      <c r="FF283"/>
      <c r="FG283"/>
      <c r="FH283"/>
      <c r="FI283"/>
      <c r="FJ283"/>
      <c r="FK283"/>
      <c r="FL283"/>
      <c r="FM283"/>
      <c r="FN283"/>
      <c r="FO283"/>
      <c r="FP283"/>
      <c r="FQ283"/>
      <c r="FR283"/>
      <c r="FS283"/>
      <c r="FT283"/>
      <c r="FU283"/>
      <c r="FV283"/>
      <c r="FW283"/>
      <c r="FX283"/>
      <c r="FY283"/>
      <c r="FZ283"/>
      <c r="GA283"/>
      <c r="GB283"/>
      <c r="GC283"/>
      <c r="GD283"/>
      <c r="GE283"/>
      <c r="GF283"/>
      <c r="GG283"/>
      <c r="GH283"/>
      <c r="GI283"/>
      <c r="GJ283"/>
      <c r="GK283"/>
      <c r="GL283"/>
      <c r="GM283"/>
      <c r="GN283"/>
      <c r="GO283"/>
      <c r="GP283"/>
      <c r="GQ283"/>
      <c r="GR283"/>
      <c r="GS283"/>
      <c r="GT283"/>
      <c r="GU283"/>
      <c r="GV283"/>
      <c r="GW283"/>
      <c r="GX283"/>
      <c r="GY283"/>
      <c r="GZ283"/>
      <c r="HA283"/>
    </row>
    <row r="284" spans="1:209" ht="15" customHeight="1" x14ac:dyDescent="0.15">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c r="CZ284"/>
      <c r="DA284"/>
      <c r="DB284"/>
      <c r="DC284"/>
      <c r="DD284"/>
      <c r="DE284"/>
      <c r="DF284"/>
      <c r="DG284"/>
      <c r="DH284"/>
      <c r="DI284"/>
      <c r="DJ284"/>
      <c r="DK284"/>
      <c r="DL284"/>
      <c r="DM284"/>
      <c r="DN284"/>
      <c r="DO284"/>
      <c r="DP284"/>
      <c r="DQ284"/>
      <c r="DR284"/>
      <c r="DS284"/>
      <c r="DT284"/>
      <c r="DU284"/>
      <c r="DV284"/>
      <c r="DW284"/>
      <c r="DX284"/>
      <c r="DY284"/>
      <c r="DZ284"/>
      <c r="EA284"/>
      <c r="EB284"/>
      <c r="EC284"/>
      <c r="ED284"/>
      <c r="EE284"/>
      <c r="EF284"/>
      <c r="EG284"/>
      <c r="EH284"/>
      <c r="EI284"/>
      <c r="EJ284"/>
      <c r="EK284"/>
      <c r="EL284"/>
      <c r="EM284"/>
      <c r="EN284"/>
      <c r="EO284"/>
      <c r="EP284"/>
      <c r="EQ284"/>
      <c r="ER284"/>
      <c r="ES284"/>
      <c r="ET284"/>
      <c r="EU284"/>
      <c r="EV284"/>
      <c r="EW284"/>
      <c r="EX284"/>
      <c r="EY284"/>
      <c r="EZ284"/>
      <c r="FA284"/>
      <c r="FB284"/>
      <c r="FC284"/>
      <c r="FD284"/>
      <c r="FE284"/>
      <c r="FF284"/>
      <c r="FG284"/>
      <c r="FH284"/>
      <c r="FI284"/>
      <c r="FJ284"/>
      <c r="FK284"/>
      <c r="FL284"/>
      <c r="FM284"/>
      <c r="FN284"/>
      <c r="FO284"/>
      <c r="FP284"/>
      <c r="FQ284"/>
      <c r="FR284"/>
      <c r="FS284"/>
      <c r="FT284"/>
      <c r="FU284"/>
      <c r="FV284"/>
      <c r="FW284"/>
      <c r="FX284"/>
      <c r="FY284"/>
      <c r="FZ284"/>
      <c r="GA284"/>
      <c r="GB284"/>
      <c r="GC284"/>
      <c r="GD284"/>
      <c r="GE284"/>
      <c r="GF284"/>
      <c r="GG284"/>
      <c r="GH284"/>
      <c r="GI284"/>
      <c r="GJ284"/>
      <c r="GK284"/>
      <c r="GL284"/>
      <c r="GM284"/>
      <c r="GN284"/>
      <c r="GO284"/>
      <c r="GP284"/>
      <c r="GQ284"/>
      <c r="GR284"/>
      <c r="GS284"/>
      <c r="GT284"/>
      <c r="GU284"/>
      <c r="GV284"/>
      <c r="GW284"/>
      <c r="GX284"/>
      <c r="GY284"/>
      <c r="GZ284"/>
      <c r="HA284"/>
    </row>
    <row r="285" spans="1:209" ht="15" customHeight="1" x14ac:dyDescent="0.15">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c r="CZ285"/>
      <c r="DA285"/>
      <c r="DB285"/>
      <c r="DC285"/>
      <c r="DD285"/>
      <c r="DE285"/>
      <c r="DF285"/>
      <c r="DG285"/>
      <c r="DH285"/>
      <c r="DI285"/>
      <c r="DJ285"/>
      <c r="DK285"/>
      <c r="DL285"/>
      <c r="DM285"/>
      <c r="DN285"/>
      <c r="DO285"/>
      <c r="DP285"/>
      <c r="DQ285"/>
      <c r="DR285"/>
      <c r="DS285"/>
      <c r="DT285"/>
      <c r="DU285"/>
      <c r="DV285"/>
      <c r="DW285"/>
      <c r="DX285"/>
      <c r="DY285"/>
      <c r="DZ285"/>
      <c r="EA285"/>
      <c r="EB285"/>
      <c r="EC285"/>
      <c r="ED285"/>
      <c r="EE285"/>
      <c r="EF285"/>
      <c r="EG285"/>
      <c r="EH285"/>
      <c r="EI285"/>
      <c r="EJ285"/>
      <c r="EK285"/>
      <c r="EL285"/>
      <c r="EM285"/>
      <c r="EN285"/>
      <c r="EO285"/>
      <c r="EP285"/>
      <c r="EQ285"/>
      <c r="ER285"/>
      <c r="ES285"/>
      <c r="ET285"/>
      <c r="EU285"/>
      <c r="EV285"/>
      <c r="EW285"/>
      <c r="EX285"/>
      <c r="EY285"/>
      <c r="EZ285"/>
      <c r="FA285"/>
      <c r="FB285"/>
      <c r="FC285"/>
      <c r="FD285"/>
      <c r="FE285"/>
      <c r="FF285"/>
      <c r="FG285"/>
      <c r="FH285"/>
      <c r="FI285"/>
      <c r="FJ285"/>
      <c r="FK285"/>
      <c r="FL285"/>
      <c r="FM285"/>
      <c r="FN285"/>
      <c r="FO285"/>
      <c r="FP285"/>
      <c r="FQ285"/>
      <c r="FR285"/>
      <c r="FS285"/>
      <c r="FT285"/>
      <c r="FU285"/>
      <c r="FV285"/>
      <c r="FW285"/>
      <c r="FX285"/>
      <c r="FY285"/>
      <c r="FZ285"/>
      <c r="GA285"/>
      <c r="GB285"/>
      <c r="GC285"/>
      <c r="GD285"/>
      <c r="GE285"/>
      <c r="GF285"/>
      <c r="GG285"/>
      <c r="GH285"/>
      <c r="GI285"/>
      <c r="GJ285"/>
      <c r="GK285"/>
      <c r="GL285"/>
      <c r="GM285"/>
      <c r="GN285"/>
      <c r="GO285"/>
      <c r="GP285"/>
      <c r="GQ285"/>
      <c r="GR285"/>
      <c r="GS285"/>
      <c r="GT285"/>
      <c r="GU285"/>
      <c r="GV285"/>
      <c r="GW285"/>
      <c r="GX285"/>
      <c r="GY285"/>
      <c r="GZ285"/>
      <c r="HA285"/>
    </row>
    <row r="286" spans="1:209" ht="15" customHeight="1" x14ac:dyDescent="0.15">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c r="CY286"/>
      <c r="CZ286"/>
      <c r="DA286"/>
      <c r="DB286"/>
      <c r="DC286"/>
      <c r="DD286"/>
      <c r="DE286"/>
      <c r="DF286"/>
      <c r="DG286"/>
      <c r="DH286"/>
      <c r="DI286"/>
      <c r="DJ286"/>
      <c r="DK286"/>
      <c r="DL286"/>
      <c r="DM286"/>
      <c r="DN286"/>
      <c r="DO286"/>
      <c r="DP286"/>
      <c r="DQ286"/>
      <c r="DR286"/>
      <c r="DS286"/>
      <c r="DT286"/>
      <c r="DU286"/>
      <c r="DV286"/>
      <c r="DW286"/>
      <c r="DX286"/>
      <c r="DY286"/>
      <c r="DZ286"/>
      <c r="EA286"/>
      <c r="EB286"/>
      <c r="EC286"/>
      <c r="ED286"/>
      <c r="EE286"/>
      <c r="EF286"/>
      <c r="EG286"/>
      <c r="EH286"/>
      <c r="EI286"/>
      <c r="EJ286"/>
      <c r="EK286"/>
      <c r="EL286"/>
      <c r="EM286"/>
      <c r="EN286"/>
      <c r="EO286"/>
      <c r="EP286"/>
      <c r="EQ286"/>
      <c r="ER286"/>
      <c r="ES286"/>
      <c r="ET286"/>
      <c r="EU286"/>
      <c r="EV286"/>
      <c r="EW286"/>
      <c r="EX286"/>
      <c r="EY286"/>
      <c r="EZ286"/>
      <c r="FA286"/>
      <c r="FB286"/>
      <c r="FC286"/>
      <c r="FD286"/>
      <c r="FE286"/>
      <c r="FF286"/>
      <c r="FG286"/>
      <c r="FH286"/>
      <c r="FI286"/>
      <c r="FJ286"/>
      <c r="FK286"/>
      <c r="FL286"/>
      <c r="FM286"/>
      <c r="FN286"/>
      <c r="FO286"/>
      <c r="FP286"/>
      <c r="FQ286"/>
      <c r="FR286"/>
      <c r="FS286"/>
      <c r="FT286"/>
      <c r="FU286"/>
      <c r="FV286"/>
      <c r="FW286"/>
      <c r="FX286"/>
      <c r="FY286"/>
      <c r="FZ286"/>
      <c r="GA286"/>
      <c r="GB286"/>
      <c r="GC286"/>
      <c r="GD286"/>
      <c r="GE286"/>
      <c r="GF286"/>
      <c r="GG286"/>
      <c r="GH286"/>
      <c r="GI286"/>
      <c r="GJ286"/>
      <c r="GK286"/>
      <c r="GL286"/>
      <c r="GM286"/>
      <c r="GN286"/>
      <c r="GO286"/>
      <c r="GP286"/>
      <c r="GQ286"/>
      <c r="GR286"/>
      <c r="GS286"/>
      <c r="GT286"/>
      <c r="GU286"/>
      <c r="GV286"/>
      <c r="GW286"/>
      <c r="GX286"/>
      <c r="GY286"/>
      <c r="GZ286"/>
      <c r="HA286"/>
    </row>
    <row r="287" spans="1:209" ht="15" customHeight="1" x14ac:dyDescent="0.15">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c r="CY287"/>
      <c r="CZ287"/>
      <c r="DA287"/>
      <c r="DB287"/>
      <c r="DC287"/>
      <c r="DD287"/>
      <c r="DE287"/>
      <c r="DF287"/>
      <c r="DG287"/>
      <c r="DH287"/>
      <c r="DI287"/>
      <c r="DJ287"/>
      <c r="DK287"/>
      <c r="DL287"/>
      <c r="DM287"/>
      <c r="DN287"/>
      <c r="DO287"/>
      <c r="DP287"/>
      <c r="DQ287"/>
      <c r="DR287"/>
      <c r="DS287"/>
      <c r="DT287"/>
      <c r="DU287"/>
      <c r="DV287"/>
      <c r="DW287"/>
      <c r="DX287"/>
      <c r="DY287"/>
      <c r="DZ287"/>
      <c r="EA287"/>
      <c r="EB287"/>
      <c r="EC287"/>
      <c r="ED287"/>
      <c r="EE287"/>
      <c r="EF287"/>
      <c r="EG287"/>
      <c r="EH287"/>
      <c r="EI287"/>
      <c r="EJ287"/>
      <c r="EK287"/>
      <c r="EL287"/>
      <c r="EM287"/>
      <c r="EN287"/>
      <c r="EO287"/>
      <c r="EP287"/>
      <c r="EQ287"/>
      <c r="ER287"/>
      <c r="ES287"/>
      <c r="ET287"/>
      <c r="EU287"/>
      <c r="EV287"/>
      <c r="EW287"/>
      <c r="EX287"/>
      <c r="EY287"/>
      <c r="EZ287"/>
      <c r="FA287"/>
      <c r="FB287"/>
      <c r="FC287"/>
      <c r="FD287"/>
      <c r="FE287"/>
      <c r="FF287"/>
      <c r="FG287"/>
      <c r="FH287"/>
      <c r="FI287"/>
      <c r="FJ287"/>
      <c r="FK287"/>
      <c r="FL287"/>
      <c r="FM287"/>
      <c r="FN287"/>
      <c r="FO287"/>
      <c r="FP287"/>
      <c r="FQ287"/>
      <c r="FR287"/>
      <c r="FS287"/>
      <c r="FT287"/>
      <c r="FU287"/>
      <c r="FV287"/>
      <c r="FW287"/>
      <c r="FX287"/>
      <c r="FY287"/>
      <c r="FZ287"/>
      <c r="GA287"/>
      <c r="GB287"/>
      <c r="GC287"/>
      <c r="GD287"/>
      <c r="GE287"/>
      <c r="GF287"/>
      <c r="GG287"/>
      <c r="GH287"/>
      <c r="GI287"/>
      <c r="GJ287"/>
      <c r="GK287"/>
      <c r="GL287"/>
      <c r="GM287"/>
      <c r="GN287"/>
      <c r="GO287"/>
      <c r="GP287"/>
      <c r="GQ287"/>
      <c r="GR287"/>
      <c r="GS287"/>
      <c r="GT287"/>
      <c r="GU287"/>
      <c r="GV287"/>
      <c r="GW287"/>
      <c r="GX287"/>
      <c r="GY287"/>
      <c r="GZ287"/>
      <c r="HA287"/>
    </row>
    <row r="288" spans="1:209" ht="15" customHeight="1" x14ac:dyDescent="0.15">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c r="CZ288"/>
      <c r="DA288"/>
      <c r="DB288"/>
      <c r="DC288"/>
      <c r="DD288"/>
      <c r="DE288"/>
      <c r="DF288"/>
      <c r="DG288"/>
      <c r="DH288"/>
      <c r="DI288"/>
      <c r="DJ288"/>
      <c r="DK288"/>
      <c r="DL288"/>
      <c r="DM288"/>
      <c r="DN288"/>
      <c r="DO288"/>
      <c r="DP288"/>
      <c r="DQ288"/>
      <c r="DR288"/>
      <c r="DS288"/>
      <c r="DT288"/>
      <c r="DU288"/>
      <c r="DV288"/>
      <c r="DW288"/>
      <c r="DX288"/>
      <c r="DY288"/>
      <c r="DZ288"/>
      <c r="EA288"/>
      <c r="EB288"/>
      <c r="EC288"/>
      <c r="ED288"/>
      <c r="EE288"/>
      <c r="EF288"/>
      <c r="EG288"/>
      <c r="EH288"/>
      <c r="EI288"/>
      <c r="EJ288"/>
      <c r="EK288"/>
      <c r="EL288"/>
      <c r="EM288"/>
      <c r="EN288"/>
      <c r="EO288"/>
      <c r="EP288"/>
      <c r="EQ288"/>
      <c r="ER288"/>
      <c r="ES288"/>
      <c r="ET288"/>
      <c r="EU288"/>
      <c r="EV288"/>
      <c r="EW288"/>
      <c r="EX288"/>
      <c r="EY288"/>
      <c r="EZ288"/>
      <c r="FA288"/>
      <c r="FB288"/>
      <c r="FC288"/>
      <c r="FD288"/>
      <c r="FE288"/>
      <c r="FF288"/>
      <c r="FG288"/>
      <c r="FH288"/>
      <c r="FI288"/>
      <c r="FJ288"/>
      <c r="FK288"/>
      <c r="FL288"/>
      <c r="FM288"/>
      <c r="FN288"/>
      <c r="FO288"/>
      <c r="FP288"/>
      <c r="FQ288"/>
      <c r="FR288"/>
      <c r="FS288"/>
      <c r="FT288"/>
      <c r="FU288"/>
      <c r="FV288"/>
      <c r="FW288"/>
      <c r="FX288"/>
      <c r="FY288"/>
      <c r="FZ288"/>
      <c r="GA288"/>
      <c r="GB288"/>
      <c r="GC288"/>
      <c r="GD288"/>
      <c r="GE288"/>
      <c r="GF288"/>
      <c r="GG288"/>
      <c r="GH288"/>
      <c r="GI288"/>
      <c r="GJ288"/>
      <c r="GK288"/>
      <c r="GL288"/>
      <c r="GM288"/>
      <c r="GN288"/>
      <c r="GO288"/>
      <c r="GP288"/>
      <c r="GQ288"/>
      <c r="GR288"/>
      <c r="GS288"/>
      <c r="GT288"/>
      <c r="GU288"/>
      <c r="GV288"/>
      <c r="GW288"/>
      <c r="GX288"/>
      <c r="GY288"/>
      <c r="GZ288"/>
      <c r="HA288"/>
    </row>
    <row r="289" spans="1:209" ht="15" customHeight="1" x14ac:dyDescent="0.15">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c r="DA289"/>
      <c r="DB289"/>
      <c r="DC289"/>
      <c r="DD289"/>
      <c r="DE289"/>
      <c r="DF289"/>
      <c r="DG289"/>
      <c r="DH289"/>
      <c r="DI289"/>
      <c r="DJ289"/>
      <c r="DK289"/>
      <c r="DL289"/>
      <c r="DM289"/>
      <c r="DN289"/>
      <c r="DO289"/>
      <c r="DP289"/>
      <c r="DQ289"/>
      <c r="DR289"/>
      <c r="DS289"/>
      <c r="DT289"/>
      <c r="DU289"/>
      <c r="DV289"/>
      <c r="DW289"/>
      <c r="DX289"/>
      <c r="DY289"/>
      <c r="DZ289"/>
      <c r="EA289"/>
      <c r="EB289"/>
      <c r="EC289"/>
      <c r="ED289"/>
      <c r="EE289"/>
      <c r="EF289"/>
      <c r="EG289"/>
      <c r="EH289"/>
      <c r="EI289"/>
      <c r="EJ289"/>
      <c r="EK289"/>
      <c r="EL289"/>
      <c r="EM289"/>
      <c r="EN289"/>
      <c r="EO289"/>
      <c r="EP289"/>
      <c r="EQ289"/>
      <c r="ER289"/>
      <c r="ES289"/>
      <c r="ET289"/>
      <c r="EU289"/>
      <c r="EV289"/>
      <c r="EW289"/>
      <c r="EX289"/>
      <c r="EY289"/>
      <c r="EZ289"/>
      <c r="FA289"/>
      <c r="FB289"/>
      <c r="FC289"/>
      <c r="FD289"/>
      <c r="FE289"/>
      <c r="FF289"/>
      <c r="FG289"/>
      <c r="FH289"/>
      <c r="FI289"/>
      <c r="FJ289"/>
      <c r="FK289"/>
      <c r="FL289"/>
      <c r="FM289"/>
      <c r="FN289"/>
      <c r="FO289"/>
      <c r="FP289"/>
      <c r="FQ289"/>
      <c r="FR289"/>
      <c r="FS289"/>
      <c r="FT289"/>
      <c r="FU289"/>
      <c r="FV289"/>
      <c r="FW289"/>
      <c r="FX289"/>
      <c r="FY289"/>
      <c r="FZ289"/>
      <c r="GA289"/>
      <c r="GB289"/>
      <c r="GC289"/>
      <c r="GD289"/>
      <c r="GE289"/>
      <c r="GF289"/>
      <c r="GG289"/>
      <c r="GH289"/>
      <c r="GI289"/>
      <c r="GJ289"/>
      <c r="GK289"/>
      <c r="GL289"/>
      <c r="GM289"/>
      <c r="GN289"/>
      <c r="GO289"/>
      <c r="GP289"/>
      <c r="GQ289"/>
      <c r="GR289"/>
      <c r="GS289"/>
      <c r="GT289"/>
      <c r="GU289"/>
      <c r="GV289"/>
      <c r="GW289"/>
      <c r="GX289"/>
      <c r="GY289"/>
      <c r="GZ289"/>
      <c r="HA289"/>
    </row>
    <row r="290" spans="1:209" ht="15" customHeight="1" x14ac:dyDescent="0.15">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c r="CZ290"/>
      <c r="DA290"/>
      <c r="DB290"/>
      <c r="DC290"/>
      <c r="DD290"/>
      <c r="DE290"/>
      <c r="DF290"/>
      <c r="DG290"/>
      <c r="DH290"/>
      <c r="DI290"/>
      <c r="DJ290"/>
      <c r="DK290"/>
      <c r="DL290"/>
      <c r="DM290"/>
      <c r="DN290"/>
      <c r="DO290"/>
      <c r="DP290"/>
      <c r="DQ290"/>
      <c r="DR290"/>
      <c r="DS290"/>
      <c r="DT290"/>
      <c r="DU290"/>
      <c r="DV290"/>
      <c r="DW290"/>
      <c r="DX290"/>
      <c r="DY290"/>
      <c r="DZ290"/>
      <c r="EA290"/>
      <c r="EB290"/>
      <c r="EC290"/>
      <c r="ED290"/>
      <c r="EE290"/>
      <c r="EF290"/>
      <c r="EG290"/>
      <c r="EH290"/>
      <c r="EI290"/>
      <c r="EJ290"/>
      <c r="EK290"/>
      <c r="EL290"/>
      <c r="EM290"/>
      <c r="EN290"/>
      <c r="EO290"/>
      <c r="EP290"/>
      <c r="EQ290"/>
      <c r="ER290"/>
      <c r="ES290"/>
      <c r="ET290"/>
      <c r="EU290"/>
      <c r="EV290"/>
      <c r="EW290"/>
      <c r="EX290"/>
      <c r="EY290"/>
      <c r="EZ290"/>
      <c r="FA290"/>
      <c r="FB290"/>
      <c r="FC290"/>
      <c r="FD290"/>
      <c r="FE290"/>
      <c r="FF290"/>
      <c r="FG290"/>
      <c r="FH290"/>
      <c r="FI290"/>
      <c r="FJ290"/>
      <c r="FK290"/>
      <c r="FL290"/>
      <c r="FM290"/>
      <c r="FN290"/>
      <c r="FO290"/>
      <c r="FP290"/>
      <c r="FQ290"/>
      <c r="FR290"/>
      <c r="FS290"/>
      <c r="FT290"/>
      <c r="FU290"/>
      <c r="FV290"/>
      <c r="FW290"/>
      <c r="FX290"/>
      <c r="FY290"/>
      <c r="FZ290"/>
      <c r="GA290"/>
      <c r="GB290"/>
      <c r="GC290"/>
      <c r="GD290"/>
      <c r="GE290"/>
      <c r="GF290"/>
      <c r="GG290"/>
      <c r="GH290"/>
      <c r="GI290"/>
      <c r="GJ290"/>
      <c r="GK290"/>
      <c r="GL290"/>
      <c r="GM290"/>
      <c r="GN290"/>
      <c r="GO290"/>
      <c r="GP290"/>
      <c r="GQ290"/>
      <c r="GR290"/>
      <c r="GS290"/>
      <c r="GT290"/>
      <c r="GU290"/>
      <c r="GV290"/>
      <c r="GW290"/>
      <c r="GX290"/>
      <c r="GY290"/>
      <c r="GZ290"/>
      <c r="HA290"/>
    </row>
    <row r="291" spans="1:209" ht="15" customHeight="1" x14ac:dyDescent="0.15">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c r="CZ291"/>
      <c r="DA291"/>
      <c r="DB291"/>
      <c r="DC291"/>
      <c r="DD291"/>
      <c r="DE291"/>
      <c r="DF291"/>
      <c r="DG291"/>
      <c r="DH291"/>
      <c r="DI291"/>
      <c r="DJ291"/>
      <c r="DK291"/>
      <c r="DL291"/>
      <c r="DM291"/>
      <c r="DN291"/>
      <c r="DO291"/>
      <c r="DP291"/>
      <c r="DQ291"/>
      <c r="DR291"/>
      <c r="DS291"/>
      <c r="DT291"/>
      <c r="DU291"/>
      <c r="DV291"/>
      <c r="DW291"/>
      <c r="DX291"/>
      <c r="DY291"/>
      <c r="DZ291"/>
      <c r="EA291"/>
      <c r="EB291"/>
      <c r="EC291"/>
      <c r="ED291"/>
      <c r="EE291"/>
      <c r="EF291"/>
      <c r="EG291"/>
      <c r="EH291"/>
      <c r="EI291"/>
      <c r="EJ291"/>
      <c r="EK291"/>
      <c r="EL291"/>
      <c r="EM291"/>
      <c r="EN291"/>
      <c r="EO291"/>
      <c r="EP291"/>
      <c r="EQ291"/>
      <c r="ER291"/>
      <c r="ES291"/>
      <c r="ET291"/>
      <c r="EU291"/>
      <c r="EV291"/>
      <c r="EW291"/>
      <c r="EX291"/>
      <c r="EY291"/>
      <c r="EZ291"/>
      <c r="FA291"/>
      <c r="FB291"/>
      <c r="FC291"/>
      <c r="FD291"/>
      <c r="FE291"/>
      <c r="FF291"/>
      <c r="FG291"/>
      <c r="FH291"/>
      <c r="FI291"/>
      <c r="FJ291"/>
      <c r="FK291"/>
      <c r="FL291"/>
      <c r="FM291"/>
      <c r="FN291"/>
      <c r="FO291"/>
      <c r="FP291"/>
      <c r="FQ291"/>
      <c r="FR291"/>
      <c r="FS291"/>
      <c r="FT291"/>
      <c r="FU291"/>
      <c r="FV291"/>
      <c r="FW291"/>
      <c r="FX291"/>
      <c r="FY291"/>
      <c r="FZ291"/>
      <c r="GA291"/>
      <c r="GB291"/>
      <c r="GC291"/>
      <c r="GD291"/>
      <c r="GE291"/>
      <c r="GF291"/>
      <c r="GG291"/>
      <c r="GH291"/>
      <c r="GI291"/>
      <c r="GJ291"/>
      <c r="GK291"/>
      <c r="GL291"/>
      <c r="GM291"/>
      <c r="GN291"/>
      <c r="GO291"/>
      <c r="GP291"/>
      <c r="GQ291"/>
      <c r="GR291"/>
      <c r="GS291"/>
      <c r="GT291"/>
      <c r="GU291"/>
      <c r="GV291"/>
      <c r="GW291"/>
      <c r="GX291"/>
      <c r="GY291"/>
      <c r="GZ291"/>
      <c r="HA291"/>
    </row>
    <row r="292" spans="1:209" ht="15" customHeight="1" x14ac:dyDescent="0.15">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c r="CZ292"/>
      <c r="DA292"/>
      <c r="DB292"/>
      <c r="DC292"/>
      <c r="DD292"/>
      <c r="DE292"/>
      <c r="DF292"/>
      <c r="DG292"/>
      <c r="DH292"/>
      <c r="DI292"/>
      <c r="DJ292"/>
      <c r="DK292"/>
      <c r="DL292"/>
      <c r="DM292"/>
      <c r="DN292"/>
      <c r="DO292"/>
      <c r="DP292"/>
      <c r="DQ292"/>
      <c r="DR292"/>
      <c r="DS292"/>
      <c r="DT292"/>
      <c r="DU292"/>
      <c r="DV292"/>
      <c r="DW292"/>
      <c r="DX292"/>
      <c r="DY292"/>
      <c r="DZ292"/>
      <c r="EA292"/>
      <c r="EB292"/>
      <c r="EC292"/>
      <c r="ED292"/>
      <c r="EE292"/>
      <c r="EF292"/>
      <c r="EG292"/>
      <c r="EH292"/>
      <c r="EI292"/>
      <c r="EJ292"/>
      <c r="EK292"/>
      <c r="EL292"/>
      <c r="EM292"/>
      <c r="EN292"/>
      <c r="EO292"/>
      <c r="EP292"/>
      <c r="EQ292"/>
      <c r="ER292"/>
      <c r="ES292"/>
      <c r="ET292"/>
      <c r="EU292"/>
      <c r="EV292"/>
      <c r="EW292"/>
      <c r="EX292"/>
      <c r="EY292"/>
      <c r="EZ292"/>
      <c r="FA292"/>
      <c r="FB292"/>
      <c r="FC292"/>
      <c r="FD292"/>
      <c r="FE292"/>
      <c r="FF292"/>
      <c r="FG292"/>
      <c r="FH292"/>
      <c r="FI292"/>
      <c r="FJ292"/>
      <c r="FK292"/>
      <c r="FL292"/>
      <c r="FM292"/>
      <c r="FN292"/>
      <c r="FO292"/>
      <c r="FP292"/>
      <c r="FQ292"/>
      <c r="FR292"/>
      <c r="FS292"/>
      <c r="FT292"/>
      <c r="FU292"/>
      <c r="FV292"/>
      <c r="FW292"/>
      <c r="FX292"/>
      <c r="FY292"/>
      <c r="FZ292"/>
      <c r="GA292"/>
      <c r="GB292"/>
      <c r="GC292"/>
      <c r="GD292"/>
      <c r="GE292"/>
      <c r="GF292"/>
      <c r="GG292"/>
      <c r="GH292"/>
      <c r="GI292"/>
      <c r="GJ292"/>
      <c r="GK292"/>
      <c r="GL292"/>
      <c r="GM292"/>
      <c r="GN292"/>
      <c r="GO292"/>
      <c r="GP292"/>
      <c r="GQ292"/>
      <c r="GR292"/>
      <c r="GS292"/>
      <c r="GT292"/>
      <c r="GU292"/>
      <c r="GV292"/>
      <c r="GW292"/>
      <c r="GX292"/>
      <c r="GY292"/>
      <c r="GZ292"/>
      <c r="HA292"/>
    </row>
    <row r="293" spans="1:209" ht="15" customHeight="1" x14ac:dyDescent="0.15">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c r="CX293"/>
      <c r="CY293"/>
      <c r="CZ293"/>
      <c r="DA293"/>
      <c r="DB293"/>
      <c r="DC293"/>
      <c r="DD293"/>
      <c r="DE293"/>
      <c r="DF293"/>
      <c r="DG293"/>
      <c r="DH293"/>
      <c r="DI293"/>
      <c r="DJ293"/>
      <c r="DK293"/>
      <c r="DL293"/>
      <c r="DM293"/>
      <c r="DN293"/>
      <c r="DO293"/>
      <c r="DP293"/>
      <c r="DQ293"/>
      <c r="DR293"/>
      <c r="DS293"/>
      <c r="DT293"/>
      <c r="DU293"/>
      <c r="DV293"/>
      <c r="DW293"/>
      <c r="DX293"/>
      <c r="DY293"/>
      <c r="DZ293"/>
      <c r="EA293"/>
      <c r="EB293"/>
      <c r="EC293"/>
      <c r="ED293"/>
      <c r="EE293"/>
      <c r="EF293"/>
      <c r="EG293"/>
      <c r="EH293"/>
      <c r="EI293"/>
      <c r="EJ293"/>
      <c r="EK293"/>
      <c r="EL293"/>
      <c r="EM293"/>
      <c r="EN293"/>
      <c r="EO293"/>
      <c r="EP293"/>
      <c r="EQ293"/>
      <c r="ER293"/>
      <c r="ES293"/>
      <c r="ET293"/>
      <c r="EU293"/>
      <c r="EV293"/>
      <c r="EW293"/>
      <c r="EX293"/>
      <c r="EY293"/>
      <c r="EZ293"/>
      <c r="FA293"/>
      <c r="FB293"/>
      <c r="FC293"/>
      <c r="FD293"/>
      <c r="FE293"/>
      <c r="FF293"/>
      <c r="FG293"/>
      <c r="FH293"/>
      <c r="FI293"/>
      <c r="FJ293"/>
      <c r="FK293"/>
      <c r="FL293"/>
      <c r="FM293"/>
      <c r="FN293"/>
      <c r="FO293"/>
      <c r="FP293"/>
      <c r="FQ293"/>
      <c r="FR293"/>
      <c r="FS293"/>
      <c r="FT293"/>
      <c r="FU293"/>
      <c r="FV293"/>
      <c r="FW293"/>
      <c r="FX293"/>
      <c r="FY293"/>
      <c r="FZ293"/>
      <c r="GA293"/>
      <c r="GB293"/>
      <c r="GC293"/>
      <c r="GD293"/>
      <c r="GE293"/>
      <c r="GF293"/>
      <c r="GG293"/>
      <c r="GH293"/>
      <c r="GI293"/>
      <c r="GJ293"/>
      <c r="GK293"/>
      <c r="GL293"/>
      <c r="GM293"/>
      <c r="GN293"/>
      <c r="GO293"/>
      <c r="GP293"/>
      <c r="GQ293"/>
      <c r="GR293"/>
      <c r="GS293"/>
      <c r="GT293"/>
      <c r="GU293"/>
      <c r="GV293"/>
      <c r="GW293"/>
      <c r="GX293"/>
      <c r="GY293"/>
      <c r="GZ293"/>
      <c r="HA293"/>
    </row>
    <row r="294" spans="1:209" ht="15" customHeight="1" x14ac:dyDescent="0.15">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c r="CX294"/>
      <c r="CY294"/>
      <c r="CZ294"/>
      <c r="DA294"/>
      <c r="DB294"/>
      <c r="DC294"/>
      <c r="DD294"/>
      <c r="DE294"/>
      <c r="DF294"/>
      <c r="DG294"/>
      <c r="DH294"/>
      <c r="DI294"/>
      <c r="DJ294"/>
      <c r="DK294"/>
      <c r="DL294"/>
      <c r="DM294"/>
      <c r="DN294"/>
      <c r="DO294"/>
      <c r="DP294"/>
      <c r="DQ294"/>
      <c r="DR294"/>
      <c r="DS294"/>
      <c r="DT294"/>
      <c r="DU294"/>
      <c r="DV294"/>
      <c r="DW294"/>
      <c r="DX294"/>
      <c r="DY294"/>
      <c r="DZ294"/>
      <c r="EA294"/>
      <c r="EB294"/>
      <c r="EC294"/>
      <c r="ED294"/>
      <c r="EE294"/>
      <c r="EF294"/>
      <c r="EG294"/>
      <c r="EH294"/>
      <c r="EI294"/>
      <c r="EJ294"/>
      <c r="EK294"/>
      <c r="EL294"/>
      <c r="EM294"/>
      <c r="EN294"/>
      <c r="EO294"/>
      <c r="EP294"/>
      <c r="EQ294"/>
      <c r="ER294"/>
      <c r="ES294"/>
      <c r="ET294"/>
      <c r="EU294"/>
      <c r="EV294"/>
      <c r="EW294"/>
      <c r="EX294"/>
      <c r="EY294"/>
      <c r="EZ294"/>
      <c r="FA294"/>
      <c r="FB294"/>
      <c r="FC294"/>
      <c r="FD294"/>
      <c r="FE294"/>
      <c r="FF294"/>
      <c r="FG294"/>
      <c r="FH294"/>
      <c r="FI294"/>
      <c r="FJ294"/>
      <c r="FK294"/>
      <c r="FL294"/>
      <c r="FM294"/>
      <c r="FN294"/>
      <c r="FO294"/>
      <c r="FP294"/>
      <c r="FQ294"/>
      <c r="FR294"/>
      <c r="FS294"/>
      <c r="FT294"/>
      <c r="FU294"/>
      <c r="FV294"/>
      <c r="FW294"/>
      <c r="FX294"/>
      <c r="FY294"/>
      <c r="FZ294"/>
      <c r="GA294"/>
      <c r="GB294"/>
      <c r="GC294"/>
      <c r="GD294"/>
      <c r="GE294"/>
      <c r="GF294"/>
      <c r="GG294"/>
      <c r="GH294"/>
      <c r="GI294"/>
      <c r="GJ294"/>
      <c r="GK294"/>
      <c r="GL294"/>
      <c r="GM294"/>
      <c r="GN294"/>
      <c r="GO294"/>
      <c r="GP294"/>
      <c r="GQ294"/>
      <c r="GR294"/>
      <c r="GS294"/>
      <c r="GT294"/>
      <c r="GU294"/>
      <c r="GV294"/>
      <c r="GW294"/>
      <c r="GX294"/>
      <c r="GY294"/>
      <c r="GZ294"/>
      <c r="HA294"/>
    </row>
    <row r="295" spans="1:209" ht="15" customHeight="1" x14ac:dyDescent="0.15">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c r="CY295"/>
      <c r="CZ295"/>
      <c r="DA295"/>
      <c r="DB295"/>
      <c r="DC295"/>
      <c r="DD295"/>
      <c r="DE295"/>
      <c r="DF295"/>
      <c r="DG295"/>
      <c r="DH295"/>
      <c r="DI295"/>
      <c r="DJ295"/>
      <c r="DK295"/>
      <c r="DL295"/>
      <c r="DM295"/>
      <c r="DN295"/>
      <c r="DO295"/>
      <c r="DP295"/>
      <c r="DQ295"/>
      <c r="DR295"/>
      <c r="DS295"/>
      <c r="DT295"/>
      <c r="DU295"/>
      <c r="DV295"/>
      <c r="DW295"/>
      <c r="DX295"/>
      <c r="DY295"/>
      <c r="DZ295"/>
      <c r="EA295"/>
      <c r="EB295"/>
      <c r="EC295"/>
      <c r="ED295"/>
      <c r="EE295"/>
      <c r="EF295"/>
      <c r="EG295"/>
      <c r="EH295"/>
      <c r="EI295"/>
      <c r="EJ295"/>
      <c r="EK295"/>
      <c r="EL295"/>
      <c r="EM295"/>
      <c r="EN295"/>
      <c r="EO295"/>
      <c r="EP295"/>
      <c r="EQ295"/>
      <c r="ER295"/>
      <c r="ES295"/>
      <c r="ET295"/>
      <c r="EU295"/>
      <c r="EV295"/>
      <c r="EW295"/>
      <c r="EX295"/>
      <c r="EY295"/>
      <c r="EZ295"/>
      <c r="FA295"/>
      <c r="FB295"/>
      <c r="FC295"/>
      <c r="FD295"/>
      <c r="FE295"/>
      <c r="FF295"/>
      <c r="FG295"/>
      <c r="FH295"/>
      <c r="FI295"/>
      <c r="FJ295"/>
      <c r="FK295"/>
      <c r="FL295"/>
      <c r="FM295"/>
      <c r="FN295"/>
      <c r="FO295"/>
      <c r="FP295"/>
      <c r="FQ295"/>
      <c r="FR295"/>
      <c r="FS295"/>
      <c r="FT295"/>
      <c r="FU295"/>
      <c r="FV295"/>
      <c r="FW295"/>
      <c r="FX295"/>
      <c r="FY295"/>
      <c r="FZ295"/>
      <c r="GA295"/>
      <c r="GB295"/>
      <c r="GC295"/>
      <c r="GD295"/>
      <c r="GE295"/>
      <c r="GF295"/>
      <c r="GG295"/>
      <c r="GH295"/>
      <c r="GI295"/>
      <c r="GJ295"/>
      <c r="GK295"/>
      <c r="GL295"/>
      <c r="GM295"/>
      <c r="GN295"/>
      <c r="GO295"/>
      <c r="GP295"/>
      <c r="GQ295"/>
      <c r="GR295"/>
      <c r="GS295"/>
      <c r="GT295"/>
      <c r="GU295"/>
      <c r="GV295"/>
      <c r="GW295"/>
      <c r="GX295"/>
      <c r="GY295"/>
      <c r="GZ295"/>
      <c r="HA295"/>
    </row>
    <row r="296" spans="1:209" ht="15" customHeight="1" x14ac:dyDescent="0.15">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c r="CY296"/>
      <c r="CZ296"/>
      <c r="DA296"/>
      <c r="DB296"/>
      <c r="DC296"/>
      <c r="DD296"/>
      <c r="DE296"/>
      <c r="DF296"/>
      <c r="DG296"/>
      <c r="DH296"/>
      <c r="DI296"/>
      <c r="DJ296"/>
      <c r="DK296"/>
      <c r="DL296"/>
      <c r="DM296"/>
      <c r="DN296"/>
      <c r="DO296"/>
      <c r="DP296"/>
      <c r="DQ296"/>
      <c r="DR296"/>
      <c r="DS296"/>
      <c r="DT296"/>
      <c r="DU296"/>
      <c r="DV296"/>
      <c r="DW296"/>
      <c r="DX296"/>
      <c r="DY296"/>
      <c r="DZ296"/>
      <c r="EA296"/>
      <c r="EB296"/>
      <c r="EC296"/>
      <c r="ED296"/>
      <c r="EE296"/>
      <c r="EF296"/>
      <c r="EG296"/>
      <c r="EH296"/>
      <c r="EI296"/>
      <c r="EJ296"/>
      <c r="EK296"/>
      <c r="EL296"/>
      <c r="EM296"/>
      <c r="EN296"/>
      <c r="EO296"/>
      <c r="EP296"/>
      <c r="EQ296"/>
      <c r="ER296"/>
      <c r="ES296"/>
      <c r="ET296"/>
      <c r="EU296"/>
      <c r="EV296"/>
      <c r="EW296"/>
      <c r="EX296"/>
      <c r="EY296"/>
      <c r="EZ296"/>
      <c r="FA296"/>
      <c r="FB296"/>
      <c r="FC296"/>
      <c r="FD296"/>
      <c r="FE296"/>
      <c r="FF296"/>
      <c r="FG296"/>
      <c r="FH296"/>
      <c r="FI296"/>
      <c r="FJ296"/>
      <c r="FK296"/>
      <c r="FL296"/>
      <c r="FM296"/>
      <c r="FN296"/>
      <c r="FO296"/>
      <c r="FP296"/>
      <c r="FQ296"/>
      <c r="FR296"/>
      <c r="FS296"/>
      <c r="FT296"/>
      <c r="FU296"/>
      <c r="FV296"/>
      <c r="FW296"/>
      <c r="FX296"/>
      <c r="FY296"/>
      <c r="FZ296"/>
      <c r="GA296"/>
      <c r="GB296"/>
      <c r="GC296"/>
      <c r="GD296"/>
      <c r="GE296"/>
      <c r="GF296"/>
      <c r="GG296"/>
      <c r="GH296"/>
      <c r="GI296"/>
      <c r="GJ296"/>
      <c r="GK296"/>
      <c r="GL296"/>
      <c r="GM296"/>
      <c r="GN296"/>
      <c r="GO296"/>
      <c r="GP296"/>
      <c r="GQ296"/>
      <c r="GR296"/>
      <c r="GS296"/>
      <c r="GT296"/>
      <c r="GU296"/>
      <c r="GV296"/>
      <c r="GW296"/>
      <c r="GX296"/>
      <c r="GY296"/>
      <c r="GZ296"/>
      <c r="HA296"/>
    </row>
    <row r="297" spans="1:209" ht="15" customHeight="1" x14ac:dyDescent="0.15">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c r="CX297"/>
      <c r="CY297"/>
      <c r="CZ297"/>
      <c r="DA297"/>
      <c r="DB297"/>
      <c r="DC297"/>
      <c r="DD297"/>
      <c r="DE297"/>
      <c r="DF297"/>
      <c r="DG297"/>
      <c r="DH297"/>
      <c r="DI297"/>
      <c r="DJ297"/>
      <c r="DK297"/>
      <c r="DL297"/>
      <c r="DM297"/>
      <c r="DN297"/>
      <c r="DO297"/>
      <c r="DP297"/>
      <c r="DQ297"/>
      <c r="DR297"/>
      <c r="DS297"/>
      <c r="DT297"/>
      <c r="DU297"/>
      <c r="DV297"/>
      <c r="DW297"/>
      <c r="DX297"/>
      <c r="DY297"/>
      <c r="DZ297"/>
      <c r="EA297"/>
      <c r="EB297"/>
      <c r="EC297"/>
      <c r="ED297"/>
      <c r="EE297"/>
      <c r="EF297"/>
      <c r="EG297"/>
      <c r="EH297"/>
      <c r="EI297"/>
      <c r="EJ297"/>
      <c r="EK297"/>
      <c r="EL297"/>
      <c r="EM297"/>
      <c r="EN297"/>
      <c r="EO297"/>
      <c r="EP297"/>
      <c r="EQ297"/>
      <c r="ER297"/>
      <c r="ES297"/>
      <c r="ET297"/>
      <c r="EU297"/>
      <c r="EV297"/>
      <c r="EW297"/>
      <c r="EX297"/>
      <c r="EY297"/>
      <c r="EZ297"/>
      <c r="FA297"/>
      <c r="FB297"/>
      <c r="FC297"/>
      <c r="FD297"/>
      <c r="FE297"/>
      <c r="FF297"/>
      <c r="FG297"/>
      <c r="FH297"/>
      <c r="FI297"/>
      <c r="FJ297"/>
      <c r="FK297"/>
      <c r="FL297"/>
      <c r="FM297"/>
      <c r="FN297"/>
      <c r="FO297"/>
      <c r="FP297"/>
      <c r="FQ297"/>
      <c r="FR297"/>
      <c r="FS297"/>
      <c r="FT297"/>
      <c r="FU297"/>
      <c r="FV297"/>
      <c r="FW297"/>
      <c r="FX297"/>
      <c r="FY297"/>
      <c r="FZ297"/>
      <c r="GA297"/>
      <c r="GB297"/>
      <c r="GC297"/>
      <c r="GD297"/>
      <c r="GE297"/>
      <c r="GF297"/>
      <c r="GG297"/>
      <c r="GH297"/>
      <c r="GI297"/>
      <c r="GJ297"/>
      <c r="GK297"/>
      <c r="GL297"/>
      <c r="GM297"/>
      <c r="GN297"/>
      <c r="GO297"/>
      <c r="GP297"/>
      <c r="GQ297"/>
      <c r="GR297"/>
      <c r="GS297"/>
      <c r="GT297"/>
      <c r="GU297"/>
      <c r="GV297"/>
      <c r="GW297"/>
      <c r="GX297"/>
      <c r="GY297"/>
      <c r="GZ297"/>
      <c r="HA297"/>
    </row>
    <row r="298" spans="1:209" ht="15" customHeight="1" x14ac:dyDescent="0.15">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c r="CY298"/>
      <c r="CZ298"/>
      <c r="DA298"/>
      <c r="DB298"/>
      <c r="DC298"/>
      <c r="DD298"/>
      <c r="DE298"/>
      <c r="DF298"/>
      <c r="DG298"/>
      <c r="DH298"/>
      <c r="DI298"/>
      <c r="DJ298"/>
      <c r="DK298"/>
      <c r="DL298"/>
      <c r="DM298"/>
      <c r="DN298"/>
      <c r="DO298"/>
      <c r="DP298"/>
      <c r="DQ298"/>
      <c r="DR298"/>
      <c r="DS298"/>
      <c r="DT298"/>
      <c r="DU298"/>
      <c r="DV298"/>
      <c r="DW298"/>
      <c r="DX298"/>
      <c r="DY298"/>
      <c r="DZ298"/>
      <c r="EA298"/>
      <c r="EB298"/>
      <c r="EC298"/>
      <c r="ED298"/>
      <c r="EE298"/>
      <c r="EF298"/>
      <c r="EG298"/>
      <c r="EH298"/>
      <c r="EI298"/>
      <c r="EJ298"/>
      <c r="EK298"/>
      <c r="EL298"/>
      <c r="EM298"/>
      <c r="EN298"/>
      <c r="EO298"/>
      <c r="EP298"/>
      <c r="EQ298"/>
      <c r="ER298"/>
      <c r="ES298"/>
      <c r="ET298"/>
      <c r="EU298"/>
      <c r="EV298"/>
      <c r="EW298"/>
      <c r="EX298"/>
      <c r="EY298"/>
      <c r="EZ298"/>
      <c r="FA298"/>
      <c r="FB298"/>
      <c r="FC298"/>
      <c r="FD298"/>
      <c r="FE298"/>
      <c r="FF298"/>
      <c r="FG298"/>
      <c r="FH298"/>
      <c r="FI298"/>
      <c r="FJ298"/>
      <c r="FK298"/>
      <c r="FL298"/>
      <c r="FM298"/>
      <c r="FN298"/>
      <c r="FO298"/>
      <c r="FP298"/>
      <c r="FQ298"/>
      <c r="FR298"/>
      <c r="FS298"/>
      <c r="FT298"/>
      <c r="FU298"/>
      <c r="FV298"/>
      <c r="FW298"/>
      <c r="FX298"/>
      <c r="FY298"/>
      <c r="FZ298"/>
      <c r="GA298"/>
      <c r="GB298"/>
      <c r="GC298"/>
      <c r="GD298"/>
      <c r="GE298"/>
      <c r="GF298"/>
      <c r="GG298"/>
      <c r="GH298"/>
      <c r="GI298"/>
      <c r="GJ298"/>
      <c r="GK298"/>
      <c r="GL298"/>
      <c r="GM298"/>
      <c r="GN298"/>
      <c r="GO298"/>
      <c r="GP298"/>
      <c r="GQ298"/>
      <c r="GR298"/>
      <c r="GS298"/>
      <c r="GT298"/>
      <c r="GU298"/>
      <c r="GV298"/>
      <c r="GW298"/>
      <c r="GX298"/>
      <c r="GY298"/>
      <c r="GZ298"/>
      <c r="HA298"/>
    </row>
    <row r="299" spans="1:209" ht="15" customHeight="1" x14ac:dyDescent="0.15">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c r="CY299"/>
      <c r="CZ299"/>
      <c r="DA299"/>
      <c r="DB299"/>
      <c r="DC299"/>
      <c r="DD299"/>
      <c r="DE299"/>
      <c r="DF299"/>
      <c r="DG299"/>
      <c r="DH299"/>
      <c r="DI299"/>
      <c r="DJ299"/>
      <c r="DK299"/>
      <c r="DL299"/>
      <c r="DM299"/>
      <c r="DN299"/>
      <c r="DO299"/>
      <c r="DP299"/>
      <c r="DQ299"/>
      <c r="DR299"/>
      <c r="DS299"/>
      <c r="DT299"/>
      <c r="DU299"/>
      <c r="DV299"/>
      <c r="DW299"/>
      <c r="DX299"/>
      <c r="DY299"/>
      <c r="DZ299"/>
      <c r="EA299"/>
      <c r="EB299"/>
      <c r="EC299"/>
      <c r="ED299"/>
      <c r="EE299"/>
      <c r="EF299"/>
      <c r="EG299"/>
      <c r="EH299"/>
      <c r="EI299"/>
      <c r="EJ299"/>
      <c r="EK299"/>
      <c r="EL299"/>
      <c r="EM299"/>
      <c r="EN299"/>
      <c r="EO299"/>
      <c r="EP299"/>
      <c r="EQ299"/>
      <c r="ER299"/>
      <c r="ES299"/>
      <c r="ET299"/>
      <c r="EU299"/>
      <c r="EV299"/>
      <c r="EW299"/>
      <c r="EX299"/>
      <c r="EY299"/>
      <c r="EZ299"/>
      <c r="FA299"/>
      <c r="FB299"/>
      <c r="FC299"/>
      <c r="FD299"/>
      <c r="FE299"/>
      <c r="FF299"/>
      <c r="FG299"/>
      <c r="FH299"/>
      <c r="FI299"/>
      <c r="FJ299"/>
      <c r="FK299"/>
      <c r="FL299"/>
      <c r="FM299"/>
      <c r="FN299"/>
      <c r="FO299"/>
      <c r="FP299"/>
      <c r="FQ299"/>
      <c r="FR299"/>
      <c r="FS299"/>
      <c r="FT299"/>
      <c r="FU299"/>
      <c r="FV299"/>
      <c r="FW299"/>
      <c r="FX299"/>
      <c r="FY299"/>
      <c r="FZ299"/>
      <c r="GA299"/>
      <c r="GB299"/>
      <c r="GC299"/>
      <c r="GD299"/>
      <c r="GE299"/>
      <c r="GF299"/>
      <c r="GG299"/>
      <c r="GH299"/>
      <c r="GI299"/>
      <c r="GJ299"/>
      <c r="GK299"/>
      <c r="GL299"/>
      <c r="GM299"/>
      <c r="GN299"/>
      <c r="GO299"/>
      <c r="GP299"/>
      <c r="GQ299"/>
      <c r="GR299"/>
      <c r="GS299"/>
      <c r="GT299"/>
      <c r="GU299"/>
      <c r="GV299"/>
      <c r="GW299"/>
      <c r="GX299"/>
      <c r="GY299"/>
      <c r="GZ299"/>
      <c r="HA299"/>
    </row>
    <row r="300" spans="1:209" ht="15" customHeight="1" x14ac:dyDescent="0.15">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c r="CY300"/>
      <c r="CZ300"/>
      <c r="DA300"/>
      <c r="DB300"/>
      <c r="DC300"/>
      <c r="DD300"/>
      <c r="DE300"/>
      <c r="DF300"/>
      <c r="DG300"/>
      <c r="DH300"/>
      <c r="DI300"/>
      <c r="DJ300"/>
      <c r="DK300"/>
      <c r="DL300"/>
      <c r="DM300"/>
      <c r="DN300"/>
      <c r="DO300"/>
      <c r="DP300"/>
      <c r="DQ300"/>
      <c r="DR300"/>
      <c r="DS300"/>
      <c r="DT300"/>
      <c r="DU300"/>
      <c r="DV300"/>
      <c r="DW300"/>
      <c r="DX300"/>
      <c r="DY300"/>
      <c r="DZ300"/>
      <c r="EA300"/>
      <c r="EB300"/>
      <c r="EC300"/>
      <c r="ED300"/>
      <c r="EE300"/>
      <c r="EF300"/>
      <c r="EG300"/>
      <c r="EH300"/>
      <c r="EI300"/>
      <c r="EJ300"/>
      <c r="EK300"/>
      <c r="EL300"/>
      <c r="EM300"/>
      <c r="EN300"/>
      <c r="EO300"/>
      <c r="EP300"/>
      <c r="EQ300"/>
      <c r="ER300"/>
      <c r="ES300"/>
      <c r="ET300"/>
      <c r="EU300"/>
      <c r="EV300"/>
      <c r="EW300"/>
      <c r="EX300"/>
      <c r="EY300"/>
      <c r="EZ300"/>
      <c r="FA300"/>
      <c r="FB300"/>
      <c r="FC300"/>
      <c r="FD300"/>
      <c r="FE300"/>
      <c r="FF300"/>
      <c r="FG300"/>
      <c r="FH300"/>
      <c r="FI300"/>
      <c r="FJ300"/>
      <c r="FK300"/>
      <c r="FL300"/>
      <c r="FM300"/>
      <c r="FN300"/>
      <c r="FO300"/>
      <c r="FP300"/>
      <c r="FQ300"/>
      <c r="FR300"/>
      <c r="FS300"/>
      <c r="FT300"/>
      <c r="FU300"/>
      <c r="FV300"/>
      <c r="FW300"/>
      <c r="FX300"/>
      <c r="FY300"/>
      <c r="FZ300"/>
      <c r="GA300"/>
      <c r="GB300"/>
      <c r="GC300"/>
      <c r="GD300"/>
      <c r="GE300"/>
      <c r="GF300"/>
      <c r="GG300"/>
      <c r="GH300"/>
      <c r="GI300"/>
      <c r="GJ300"/>
      <c r="GK300"/>
      <c r="GL300"/>
      <c r="GM300"/>
      <c r="GN300"/>
      <c r="GO300"/>
      <c r="GP300"/>
      <c r="GQ300"/>
      <c r="GR300"/>
      <c r="GS300"/>
      <c r="GT300"/>
      <c r="GU300"/>
      <c r="GV300"/>
      <c r="GW300"/>
      <c r="GX300"/>
      <c r="GY300"/>
      <c r="GZ300"/>
      <c r="HA300"/>
    </row>
    <row r="301" spans="1:209" ht="15" customHeight="1" x14ac:dyDescent="0.15">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c r="CY301"/>
      <c r="CZ301"/>
      <c r="DA301"/>
      <c r="DB301"/>
      <c r="DC301"/>
      <c r="DD301"/>
      <c r="DE301"/>
      <c r="DF301"/>
      <c r="DG301"/>
      <c r="DH301"/>
      <c r="DI301"/>
      <c r="DJ301"/>
      <c r="DK301"/>
      <c r="DL301"/>
      <c r="DM301"/>
      <c r="DN301"/>
      <c r="DO301"/>
      <c r="DP301"/>
      <c r="DQ301"/>
      <c r="DR301"/>
      <c r="DS301"/>
      <c r="DT301"/>
      <c r="DU301"/>
      <c r="DV301"/>
      <c r="DW301"/>
      <c r="DX301"/>
      <c r="DY301"/>
      <c r="DZ301"/>
      <c r="EA301"/>
      <c r="EB301"/>
      <c r="EC301"/>
      <c r="ED301"/>
      <c r="EE301"/>
      <c r="EF301"/>
      <c r="EG301"/>
      <c r="EH301"/>
      <c r="EI301"/>
      <c r="EJ301"/>
      <c r="EK301"/>
      <c r="EL301"/>
      <c r="EM301"/>
      <c r="EN301"/>
      <c r="EO301"/>
      <c r="EP301"/>
      <c r="EQ301"/>
      <c r="ER301"/>
      <c r="ES301"/>
      <c r="ET301"/>
      <c r="EU301"/>
      <c r="EV301"/>
      <c r="EW301"/>
      <c r="EX301"/>
      <c r="EY301"/>
      <c r="EZ301"/>
      <c r="FA301"/>
      <c r="FB301"/>
      <c r="FC301"/>
      <c r="FD301"/>
      <c r="FE301"/>
      <c r="FF301"/>
      <c r="FG301"/>
      <c r="FH301"/>
      <c r="FI301"/>
      <c r="FJ301"/>
      <c r="FK301"/>
      <c r="FL301"/>
      <c r="FM301"/>
      <c r="FN301"/>
      <c r="FO301"/>
      <c r="FP301"/>
      <c r="FQ301"/>
      <c r="FR301"/>
      <c r="FS301"/>
      <c r="FT301"/>
      <c r="FU301"/>
      <c r="FV301"/>
      <c r="FW301"/>
      <c r="FX301"/>
      <c r="FY301"/>
      <c r="FZ301"/>
      <c r="GA301"/>
      <c r="GB301"/>
      <c r="GC301"/>
      <c r="GD301"/>
      <c r="GE301"/>
      <c r="GF301"/>
      <c r="GG301"/>
      <c r="GH301"/>
      <c r="GI301"/>
      <c r="GJ301"/>
      <c r="GK301"/>
      <c r="GL301"/>
      <c r="GM301"/>
      <c r="GN301"/>
      <c r="GO301"/>
      <c r="GP301"/>
      <c r="GQ301"/>
      <c r="GR301"/>
      <c r="GS301"/>
      <c r="GT301"/>
      <c r="GU301"/>
      <c r="GV301"/>
      <c r="GW301"/>
      <c r="GX301"/>
      <c r="GY301"/>
      <c r="GZ301"/>
      <c r="HA301"/>
    </row>
    <row r="302" spans="1:209" ht="15" customHeight="1" x14ac:dyDescent="0.15">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c r="CZ302"/>
      <c r="DA302"/>
      <c r="DB302"/>
      <c r="DC302"/>
      <c r="DD302"/>
      <c r="DE302"/>
      <c r="DF302"/>
      <c r="DG302"/>
      <c r="DH302"/>
      <c r="DI302"/>
      <c r="DJ302"/>
      <c r="DK302"/>
      <c r="DL302"/>
      <c r="DM302"/>
      <c r="DN302"/>
      <c r="DO302"/>
      <c r="DP302"/>
      <c r="DQ302"/>
      <c r="DR302"/>
      <c r="DS302"/>
      <c r="DT302"/>
      <c r="DU302"/>
      <c r="DV302"/>
      <c r="DW302"/>
      <c r="DX302"/>
      <c r="DY302"/>
      <c r="DZ302"/>
      <c r="EA302"/>
      <c r="EB302"/>
      <c r="EC302"/>
      <c r="ED302"/>
      <c r="EE302"/>
      <c r="EF302"/>
      <c r="EG302"/>
      <c r="EH302"/>
      <c r="EI302"/>
      <c r="EJ302"/>
      <c r="EK302"/>
      <c r="EL302"/>
      <c r="EM302"/>
      <c r="EN302"/>
      <c r="EO302"/>
      <c r="EP302"/>
      <c r="EQ302"/>
      <c r="ER302"/>
      <c r="ES302"/>
      <c r="ET302"/>
      <c r="EU302"/>
      <c r="EV302"/>
      <c r="EW302"/>
      <c r="EX302"/>
      <c r="EY302"/>
      <c r="EZ302"/>
      <c r="FA302"/>
      <c r="FB302"/>
      <c r="FC302"/>
      <c r="FD302"/>
      <c r="FE302"/>
      <c r="FF302"/>
      <c r="FG302"/>
      <c r="FH302"/>
      <c r="FI302"/>
      <c r="FJ302"/>
      <c r="FK302"/>
      <c r="FL302"/>
      <c r="FM302"/>
      <c r="FN302"/>
      <c r="FO302"/>
      <c r="FP302"/>
      <c r="FQ302"/>
      <c r="FR302"/>
      <c r="FS302"/>
      <c r="FT302"/>
      <c r="FU302"/>
      <c r="FV302"/>
      <c r="FW302"/>
      <c r="FX302"/>
      <c r="FY302"/>
      <c r="FZ302"/>
      <c r="GA302"/>
      <c r="GB302"/>
      <c r="GC302"/>
      <c r="GD302"/>
      <c r="GE302"/>
      <c r="GF302"/>
      <c r="GG302"/>
      <c r="GH302"/>
      <c r="GI302"/>
      <c r="GJ302"/>
      <c r="GK302"/>
      <c r="GL302"/>
      <c r="GM302"/>
      <c r="GN302"/>
      <c r="GO302"/>
      <c r="GP302"/>
      <c r="GQ302"/>
      <c r="GR302"/>
      <c r="GS302"/>
      <c r="GT302"/>
      <c r="GU302"/>
      <c r="GV302"/>
      <c r="GW302"/>
      <c r="GX302"/>
      <c r="GY302"/>
      <c r="GZ302"/>
      <c r="HA302"/>
    </row>
    <row r="303" spans="1:209" ht="15" customHeight="1" x14ac:dyDescent="0.15">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c r="DE303"/>
      <c r="DF303"/>
      <c r="DG303"/>
      <c r="DH303"/>
      <c r="DI303"/>
      <c r="DJ303"/>
      <c r="DK303"/>
      <c r="DL303"/>
      <c r="DM303"/>
      <c r="DN303"/>
      <c r="DO303"/>
      <c r="DP303"/>
      <c r="DQ303"/>
      <c r="DR303"/>
      <c r="DS303"/>
      <c r="DT303"/>
      <c r="DU303"/>
      <c r="DV303"/>
      <c r="DW303"/>
      <c r="DX303"/>
      <c r="DY303"/>
      <c r="DZ303"/>
      <c r="EA303"/>
      <c r="EB303"/>
      <c r="EC303"/>
      <c r="ED303"/>
      <c r="EE303"/>
      <c r="EF303"/>
      <c r="EG303"/>
      <c r="EH303"/>
      <c r="EI303"/>
      <c r="EJ303"/>
      <c r="EK303"/>
      <c r="EL303"/>
      <c r="EM303"/>
      <c r="EN303"/>
      <c r="EO303"/>
      <c r="EP303"/>
      <c r="EQ303"/>
      <c r="ER303"/>
      <c r="ES303"/>
      <c r="ET303"/>
      <c r="EU303"/>
      <c r="EV303"/>
      <c r="EW303"/>
      <c r="EX303"/>
      <c r="EY303"/>
      <c r="EZ303"/>
      <c r="FA303"/>
      <c r="FB303"/>
      <c r="FC303"/>
      <c r="FD303"/>
      <c r="FE303"/>
      <c r="FF303"/>
      <c r="FG303"/>
      <c r="FH303"/>
      <c r="FI303"/>
      <c r="FJ303"/>
      <c r="FK303"/>
      <c r="FL303"/>
      <c r="FM303"/>
      <c r="FN303"/>
      <c r="FO303"/>
      <c r="FP303"/>
      <c r="FQ303"/>
      <c r="FR303"/>
      <c r="FS303"/>
      <c r="FT303"/>
      <c r="FU303"/>
      <c r="FV303"/>
      <c r="FW303"/>
      <c r="FX303"/>
      <c r="FY303"/>
      <c r="FZ303"/>
      <c r="GA303"/>
      <c r="GB303"/>
      <c r="GC303"/>
      <c r="GD303"/>
      <c r="GE303"/>
      <c r="GF303"/>
      <c r="GG303"/>
      <c r="GH303"/>
      <c r="GI303"/>
      <c r="GJ303"/>
      <c r="GK303"/>
      <c r="GL303"/>
      <c r="GM303"/>
      <c r="GN303"/>
      <c r="GO303"/>
      <c r="GP303"/>
      <c r="GQ303"/>
      <c r="GR303"/>
      <c r="GS303"/>
      <c r="GT303"/>
      <c r="GU303"/>
      <c r="GV303"/>
      <c r="GW303"/>
      <c r="GX303"/>
      <c r="GY303"/>
      <c r="GZ303"/>
      <c r="HA303"/>
    </row>
    <row r="304" spans="1:209" ht="15" customHeight="1" x14ac:dyDescent="0.15">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c r="CW304"/>
      <c r="CX304"/>
      <c r="CY304"/>
      <c r="CZ304"/>
      <c r="DA304"/>
      <c r="DB304"/>
      <c r="DC304"/>
      <c r="DD304"/>
      <c r="DE304"/>
      <c r="DF304"/>
      <c r="DG304"/>
      <c r="DH304"/>
      <c r="DI304"/>
      <c r="DJ304"/>
      <c r="DK304"/>
      <c r="DL304"/>
      <c r="DM304"/>
      <c r="DN304"/>
      <c r="DO304"/>
      <c r="DP304"/>
      <c r="DQ304"/>
      <c r="DR304"/>
      <c r="DS304"/>
      <c r="DT304"/>
      <c r="DU304"/>
      <c r="DV304"/>
      <c r="DW304"/>
      <c r="DX304"/>
      <c r="DY304"/>
      <c r="DZ304"/>
      <c r="EA304"/>
      <c r="EB304"/>
      <c r="EC304"/>
      <c r="ED304"/>
      <c r="EE304"/>
      <c r="EF304"/>
      <c r="EG304"/>
      <c r="EH304"/>
      <c r="EI304"/>
      <c r="EJ304"/>
      <c r="EK304"/>
      <c r="EL304"/>
      <c r="EM304"/>
      <c r="EN304"/>
      <c r="EO304"/>
      <c r="EP304"/>
      <c r="EQ304"/>
      <c r="ER304"/>
      <c r="ES304"/>
      <c r="ET304"/>
      <c r="EU304"/>
      <c r="EV304"/>
      <c r="EW304"/>
      <c r="EX304"/>
      <c r="EY304"/>
      <c r="EZ304"/>
      <c r="FA304"/>
      <c r="FB304"/>
      <c r="FC304"/>
      <c r="FD304"/>
      <c r="FE304"/>
      <c r="FF304"/>
      <c r="FG304"/>
      <c r="FH304"/>
      <c r="FI304"/>
      <c r="FJ304"/>
      <c r="FK304"/>
      <c r="FL304"/>
      <c r="FM304"/>
      <c r="FN304"/>
      <c r="FO304"/>
      <c r="FP304"/>
      <c r="FQ304"/>
      <c r="FR304"/>
      <c r="FS304"/>
      <c r="FT304"/>
      <c r="FU304"/>
      <c r="FV304"/>
      <c r="FW304"/>
      <c r="FX304"/>
      <c r="FY304"/>
      <c r="FZ304"/>
      <c r="GA304"/>
      <c r="GB304"/>
      <c r="GC304"/>
      <c r="GD304"/>
      <c r="GE304"/>
      <c r="GF304"/>
      <c r="GG304"/>
      <c r="GH304"/>
      <c r="GI304"/>
      <c r="GJ304"/>
      <c r="GK304"/>
      <c r="GL304"/>
      <c r="GM304"/>
      <c r="GN304"/>
      <c r="GO304"/>
      <c r="GP304"/>
      <c r="GQ304"/>
      <c r="GR304"/>
      <c r="GS304"/>
      <c r="GT304"/>
      <c r="GU304"/>
      <c r="GV304"/>
      <c r="GW304"/>
      <c r="GX304"/>
      <c r="GY304"/>
      <c r="GZ304"/>
      <c r="HA304"/>
    </row>
    <row r="305" spans="1:209" ht="15" customHeight="1" x14ac:dyDescent="0.15">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c r="CX305"/>
      <c r="CY305"/>
      <c r="CZ305"/>
      <c r="DA305"/>
      <c r="DB305"/>
      <c r="DC305"/>
      <c r="DD305"/>
      <c r="DE305"/>
      <c r="DF305"/>
      <c r="DG305"/>
      <c r="DH305"/>
      <c r="DI305"/>
      <c r="DJ305"/>
      <c r="DK305"/>
      <c r="DL305"/>
      <c r="DM305"/>
      <c r="DN305"/>
      <c r="DO305"/>
      <c r="DP305"/>
      <c r="DQ305"/>
      <c r="DR305"/>
      <c r="DS305"/>
      <c r="DT305"/>
      <c r="DU305"/>
      <c r="DV305"/>
      <c r="DW305"/>
      <c r="DX305"/>
      <c r="DY305"/>
      <c r="DZ305"/>
      <c r="EA305"/>
      <c r="EB305"/>
      <c r="EC305"/>
      <c r="ED305"/>
      <c r="EE305"/>
      <c r="EF305"/>
      <c r="EG305"/>
      <c r="EH305"/>
      <c r="EI305"/>
      <c r="EJ305"/>
      <c r="EK305"/>
      <c r="EL305"/>
      <c r="EM305"/>
      <c r="EN305"/>
      <c r="EO305"/>
      <c r="EP305"/>
      <c r="EQ305"/>
      <c r="ER305"/>
      <c r="ES305"/>
      <c r="ET305"/>
      <c r="EU305"/>
      <c r="EV305"/>
      <c r="EW305"/>
      <c r="EX305"/>
      <c r="EY305"/>
      <c r="EZ305"/>
      <c r="FA305"/>
      <c r="FB305"/>
      <c r="FC305"/>
      <c r="FD305"/>
      <c r="FE305"/>
      <c r="FF305"/>
      <c r="FG305"/>
      <c r="FH305"/>
      <c r="FI305"/>
      <c r="FJ305"/>
      <c r="FK305"/>
      <c r="FL305"/>
      <c r="FM305"/>
      <c r="FN305"/>
      <c r="FO305"/>
      <c r="FP305"/>
      <c r="FQ305"/>
      <c r="FR305"/>
      <c r="FS305"/>
      <c r="FT305"/>
      <c r="FU305"/>
      <c r="FV305"/>
      <c r="FW305"/>
      <c r="FX305"/>
      <c r="FY305"/>
      <c r="FZ305"/>
      <c r="GA305"/>
      <c r="GB305"/>
      <c r="GC305"/>
      <c r="GD305"/>
      <c r="GE305"/>
      <c r="GF305"/>
      <c r="GG305"/>
      <c r="GH305"/>
      <c r="GI305"/>
      <c r="GJ305"/>
      <c r="GK305"/>
      <c r="GL305"/>
      <c r="GM305"/>
      <c r="GN305"/>
      <c r="GO305"/>
      <c r="GP305"/>
      <c r="GQ305"/>
      <c r="GR305"/>
      <c r="GS305"/>
      <c r="GT305"/>
      <c r="GU305"/>
      <c r="GV305"/>
      <c r="GW305"/>
      <c r="GX305"/>
      <c r="GY305"/>
      <c r="GZ305"/>
      <c r="HA305"/>
    </row>
    <row r="306" spans="1:209" ht="15" customHeight="1" x14ac:dyDescent="0.15">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c r="CX306"/>
      <c r="CY306"/>
      <c r="CZ306"/>
      <c r="DA306"/>
      <c r="DB306"/>
      <c r="DC306"/>
      <c r="DD306"/>
      <c r="DE306"/>
      <c r="DF306"/>
      <c r="DG306"/>
      <c r="DH306"/>
      <c r="DI306"/>
      <c r="DJ306"/>
      <c r="DK306"/>
      <c r="DL306"/>
      <c r="DM306"/>
      <c r="DN306"/>
      <c r="DO306"/>
      <c r="DP306"/>
      <c r="DQ306"/>
      <c r="DR306"/>
      <c r="DS306"/>
      <c r="DT306"/>
      <c r="DU306"/>
      <c r="DV306"/>
      <c r="DW306"/>
      <c r="DX306"/>
      <c r="DY306"/>
      <c r="DZ306"/>
      <c r="EA306"/>
      <c r="EB306"/>
      <c r="EC306"/>
      <c r="ED306"/>
      <c r="EE306"/>
      <c r="EF306"/>
      <c r="EG306"/>
      <c r="EH306"/>
      <c r="EI306"/>
      <c r="EJ306"/>
      <c r="EK306"/>
      <c r="EL306"/>
      <c r="EM306"/>
      <c r="EN306"/>
      <c r="EO306"/>
      <c r="EP306"/>
      <c r="EQ306"/>
      <c r="ER306"/>
      <c r="ES306"/>
      <c r="ET306"/>
      <c r="EU306"/>
      <c r="EV306"/>
      <c r="EW306"/>
      <c r="EX306"/>
      <c r="EY306"/>
      <c r="EZ306"/>
      <c r="FA306"/>
      <c r="FB306"/>
      <c r="FC306"/>
      <c r="FD306"/>
      <c r="FE306"/>
      <c r="FF306"/>
      <c r="FG306"/>
      <c r="FH306"/>
      <c r="FI306"/>
      <c r="FJ306"/>
      <c r="FK306"/>
      <c r="FL306"/>
      <c r="FM306"/>
      <c r="FN306"/>
      <c r="FO306"/>
      <c r="FP306"/>
      <c r="FQ306"/>
      <c r="FR306"/>
      <c r="FS306"/>
      <c r="FT306"/>
      <c r="FU306"/>
      <c r="FV306"/>
      <c r="FW306"/>
      <c r="FX306"/>
      <c r="FY306"/>
      <c r="FZ306"/>
      <c r="GA306"/>
      <c r="GB306"/>
      <c r="GC306"/>
      <c r="GD306"/>
      <c r="GE306"/>
      <c r="GF306"/>
      <c r="GG306"/>
      <c r="GH306"/>
      <c r="GI306"/>
      <c r="GJ306"/>
      <c r="GK306"/>
      <c r="GL306"/>
      <c r="GM306"/>
      <c r="GN306"/>
      <c r="GO306"/>
      <c r="GP306"/>
      <c r="GQ306"/>
      <c r="GR306"/>
      <c r="GS306"/>
      <c r="GT306"/>
      <c r="GU306"/>
      <c r="GV306"/>
      <c r="GW306"/>
      <c r="GX306"/>
      <c r="GY306"/>
      <c r="GZ306"/>
      <c r="HA306"/>
    </row>
    <row r="307" spans="1:209" ht="15" customHeight="1" x14ac:dyDescent="0.15">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c r="CX307"/>
      <c r="CY307"/>
      <c r="CZ307"/>
      <c r="DA307"/>
      <c r="DB307"/>
      <c r="DC307"/>
      <c r="DD307"/>
      <c r="DE307"/>
      <c r="DF307"/>
      <c r="DG307"/>
      <c r="DH307"/>
      <c r="DI307"/>
      <c r="DJ307"/>
      <c r="DK307"/>
      <c r="DL307"/>
      <c r="DM307"/>
      <c r="DN307"/>
      <c r="DO307"/>
      <c r="DP307"/>
      <c r="DQ307"/>
      <c r="DR307"/>
      <c r="DS307"/>
      <c r="DT307"/>
      <c r="DU307"/>
      <c r="DV307"/>
      <c r="DW307"/>
      <c r="DX307"/>
      <c r="DY307"/>
      <c r="DZ307"/>
      <c r="EA307"/>
      <c r="EB307"/>
      <c r="EC307"/>
      <c r="ED307"/>
      <c r="EE307"/>
      <c r="EF307"/>
      <c r="EG307"/>
      <c r="EH307"/>
      <c r="EI307"/>
      <c r="EJ307"/>
      <c r="EK307"/>
      <c r="EL307"/>
      <c r="EM307"/>
      <c r="EN307"/>
      <c r="EO307"/>
      <c r="EP307"/>
      <c r="EQ307"/>
      <c r="ER307"/>
      <c r="ES307"/>
      <c r="ET307"/>
      <c r="EU307"/>
      <c r="EV307"/>
      <c r="EW307"/>
      <c r="EX307"/>
      <c r="EY307"/>
      <c r="EZ307"/>
      <c r="FA307"/>
      <c r="FB307"/>
      <c r="FC307"/>
      <c r="FD307"/>
      <c r="FE307"/>
      <c r="FF307"/>
      <c r="FG307"/>
      <c r="FH307"/>
      <c r="FI307"/>
      <c r="FJ307"/>
      <c r="FK307"/>
      <c r="FL307"/>
      <c r="FM307"/>
      <c r="FN307"/>
      <c r="FO307"/>
      <c r="FP307"/>
      <c r="FQ307"/>
      <c r="FR307"/>
      <c r="FS307"/>
      <c r="FT307"/>
      <c r="FU307"/>
      <c r="FV307"/>
      <c r="FW307"/>
      <c r="FX307"/>
      <c r="FY307"/>
      <c r="FZ307"/>
      <c r="GA307"/>
      <c r="GB307"/>
      <c r="GC307"/>
      <c r="GD307"/>
      <c r="GE307"/>
      <c r="GF307"/>
      <c r="GG307"/>
      <c r="GH307"/>
      <c r="GI307"/>
      <c r="GJ307"/>
      <c r="GK307"/>
      <c r="GL307"/>
      <c r="GM307"/>
      <c r="GN307"/>
      <c r="GO307"/>
      <c r="GP307"/>
      <c r="GQ307"/>
      <c r="GR307"/>
      <c r="GS307"/>
      <c r="GT307"/>
      <c r="GU307"/>
      <c r="GV307"/>
      <c r="GW307"/>
      <c r="GX307"/>
      <c r="GY307"/>
      <c r="GZ307"/>
      <c r="HA307"/>
    </row>
    <row r="308" spans="1:209" ht="15" customHeight="1" x14ac:dyDescent="0.15">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c r="CX308"/>
      <c r="CY308"/>
      <c r="CZ308"/>
      <c r="DA308"/>
      <c r="DB308"/>
      <c r="DC308"/>
      <c r="DD308"/>
      <c r="DE308"/>
      <c r="DF308"/>
      <c r="DG308"/>
      <c r="DH308"/>
      <c r="DI308"/>
      <c r="DJ308"/>
      <c r="DK308"/>
      <c r="DL308"/>
      <c r="DM308"/>
      <c r="DN308"/>
      <c r="DO308"/>
      <c r="DP308"/>
      <c r="DQ308"/>
      <c r="DR308"/>
      <c r="DS308"/>
      <c r="DT308"/>
      <c r="DU308"/>
      <c r="DV308"/>
      <c r="DW308"/>
      <c r="DX308"/>
      <c r="DY308"/>
      <c r="DZ308"/>
      <c r="EA308"/>
      <c r="EB308"/>
      <c r="EC308"/>
      <c r="ED308"/>
      <c r="EE308"/>
      <c r="EF308"/>
      <c r="EG308"/>
      <c r="EH308"/>
      <c r="EI308"/>
      <c r="EJ308"/>
      <c r="EK308"/>
      <c r="EL308"/>
      <c r="EM308"/>
      <c r="EN308"/>
      <c r="EO308"/>
      <c r="EP308"/>
      <c r="EQ308"/>
      <c r="ER308"/>
      <c r="ES308"/>
      <c r="ET308"/>
      <c r="EU308"/>
      <c r="EV308"/>
      <c r="EW308"/>
      <c r="EX308"/>
      <c r="EY308"/>
      <c r="EZ308"/>
      <c r="FA308"/>
      <c r="FB308"/>
      <c r="FC308"/>
      <c r="FD308"/>
      <c r="FE308"/>
      <c r="FF308"/>
      <c r="FG308"/>
      <c r="FH308"/>
      <c r="FI308"/>
      <c r="FJ308"/>
      <c r="FK308"/>
      <c r="FL308"/>
      <c r="FM308"/>
      <c r="FN308"/>
      <c r="FO308"/>
      <c r="FP308"/>
      <c r="FQ308"/>
      <c r="FR308"/>
      <c r="FS308"/>
      <c r="FT308"/>
      <c r="FU308"/>
      <c r="FV308"/>
      <c r="FW308"/>
      <c r="FX308"/>
      <c r="FY308"/>
      <c r="FZ308"/>
      <c r="GA308"/>
      <c r="GB308"/>
      <c r="GC308"/>
      <c r="GD308"/>
      <c r="GE308"/>
      <c r="GF308"/>
      <c r="GG308"/>
      <c r="GH308"/>
      <c r="GI308"/>
      <c r="GJ308"/>
      <c r="GK308"/>
      <c r="GL308"/>
      <c r="GM308"/>
      <c r="GN308"/>
      <c r="GO308"/>
      <c r="GP308"/>
      <c r="GQ308"/>
      <c r="GR308"/>
      <c r="GS308"/>
      <c r="GT308"/>
      <c r="GU308"/>
      <c r="GV308"/>
      <c r="GW308"/>
      <c r="GX308"/>
      <c r="GY308"/>
      <c r="GZ308"/>
      <c r="HA308"/>
    </row>
    <row r="309" spans="1:209" ht="15" customHeight="1" x14ac:dyDescent="0.15">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row>
    <row r="310" spans="1:209" ht="15" customHeight="1" x14ac:dyDescent="0.15">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c r="CW310"/>
      <c r="CX310"/>
      <c r="CY310"/>
      <c r="CZ310"/>
      <c r="DA310"/>
      <c r="DB310"/>
      <c r="DC310"/>
      <c r="DD310"/>
      <c r="DE310"/>
      <c r="DF310"/>
      <c r="DG310"/>
      <c r="DH310"/>
      <c r="DI310"/>
      <c r="DJ310"/>
      <c r="DK310"/>
      <c r="DL310"/>
      <c r="DM310"/>
      <c r="DN310"/>
      <c r="DO310"/>
      <c r="DP310"/>
      <c r="DQ310"/>
      <c r="DR310"/>
      <c r="DS310"/>
      <c r="DT310"/>
      <c r="DU310"/>
      <c r="DV310"/>
      <c r="DW310"/>
      <c r="DX310"/>
      <c r="DY310"/>
      <c r="DZ310"/>
      <c r="EA310"/>
      <c r="EB310"/>
      <c r="EC310"/>
      <c r="ED310"/>
      <c r="EE310"/>
      <c r="EF310"/>
      <c r="EG310"/>
      <c r="EH310"/>
      <c r="EI310"/>
      <c r="EJ310"/>
      <c r="EK310"/>
      <c r="EL310"/>
      <c r="EM310"/>
      <c r="EN310"/>
      <c r="EO310"/>
      <c r="EP310"/>
      <c r="EQ310"/>
      <c r="ER310"/>
      <c r="ES310"/>
      <c r="ET310"/>
      <c r="EU310"/>
      <c r="EV310"/>
      <c r="EW310"/>
      <c r="EX310"/>
      <c r="EY310"/>
      <c r="EZ310"/>
      <c r="FA310"/>
      <c r="FB310"/>
      <c r="FC310"/>
      <c r="FD310"/>
      <c r="FE310"/>
      <c r="FF310"/>
      <c r="FG310"/>
      <c r="FH310"/>
      <c r="FI310"/>
      <c r="FJ310"/>
      <c r="FK310"/>
      <c r="FL310"/>
      <c r="FM310"/>
      <c r="FN310"/>
      <c r="FO310"/>
      <c r="FP310"/>
      <c r="FQ310"/>
      <c r="FR310"/>
      <c r="FS310"/>
      <c r="FT310"/>
      <c r="FU310"/>
      <c r="FV310"/>
      <c r="FW310"/>
      <c r="FX310"/>
      <c r="FY310"/>
      <c r="FZ310"/>
      <c r="GA310"/>
      <c r="GB310"/>
      <c r="GC310"/>
      <c r="GD310"/>
      <c r="GE310"/>
      <c r="GF310"/>
      <c r="GG310"/>
      <c r="GH310"/>
      <c r="GI310"/>
      <c r="GJ310"/>
      <c r="GK310"/>
      <c r="GL310"/>
      <c r="GM310"/>
      <c r="GN310"/>
      <c r="GO310"/>
      <c r="GP310"/>
      <c r="GQ310"/>
      <c r="GR310"/>
      <c r="GS310"/>
      <c r="GT310"/>
      <c r="GU310"/>
      <c r="GV310"/>
      <c r="GW310"/>
      <c r="GX310"/>
      <c r="GY310"/>
      <c r="GZ310"/>
      <c r="HA310"/>
    </row>
    <row r="311" spans="1:209" ht="15" customHeight="1" x14ac:dyDescent="0.15">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c r="CW311"/>
      <c r="CX311"/>
      <c r="CY311"/>
      <c r="CZ311"/>
      <c r="DA311"/>
      <c r="DB311"/>
      <c r="DC311"/>
      <c r="DD311"/>
      <c r="DE311"/>
      <c r="DF311"/>
      <c r="DG311"/>
      <c r="DH311"/>
      <c r="DI311"/>
      <c r="DJ311"/>
      <c r="DK311"/>
      <c r="DL311"/>
      <c r="DM311"/>
      <c r="DN311"/>
      <c r="DO311"/>
      <c r="DP311"/>
      <c r="DQ311"/>
      <c r="DR311"/>
      <c r="DS311"/>
      <c r="DT311"/>
      <c r="DU311"/>
      <c r="DV311"/>
      <c r="DW311"/>
      <c r="DX311"/>
      <c r="DY311"/>
      <c r="DZ311"/>
      <c r="EA311"/>
      <c r="EB311"/>
      <c r="EC311"/>
      <c r="ED311"/>
      <c r="EE311"/>
      <c r="EF311"/>
      <c r="EG311"/>
      <c r="EH311"/>
      <c r="EI311"/>
      <c r="EJ311"/>
      <c r="EK311"/>
      <c r="EL311"/>
      <c r="EM311"/>
      <c r="EN311"/>
      <c r="EO311"/>
      <c r="EP311"/>
      <c r="EQ311"/>
      <c r="ER311"/>
      <c r="ES311"/>
      <c r="ET311"/>
      <c r="EU311"/>
      <c r="EV311"/>
      <c r="EW311"/>
      <c r="EX311"/>
      <c r="EY311"/>
      <c r="EZ311"/>
      <c r="FA311"/>
      <c r="FB311"/>
      <c r="FC311"/>
      <c r="FD311"/>
      <c r="FE311"/>
      <c r="FF311"/>
      <c r="FG311"/>
      <c r="FH311"/>
      <c r="FI311"/>
      <c r="FJ311"/>
      <c r="FK311"/>
      <c r="FL311"/>
      <c r="FM311"/>
      <c r="FN311"/>
      <c r="FO311"/>
      <c r="FP311"/>
      <c r="FQ311"/>
      <c r="FR311"/>
      <c r="FS311"/>
      <c r="FT311"/>
      <c r="FU311"/>
      <c r="FV311"/>
      <c r="FW311"/>
      <c r="FX311"/>
      <c r="FY311"/>
      <c r="FZ311"/>
      <c r="GA311"/>
      <c r="GB311"/>
      <c r="GC311"/>
      <c r="GD311"/>
      <c r="GE311"/>
      <c r="GF311"/>
      <c r="GG311"/>
      <c r="GH311"/>
      <c r="GI311"/>
      <c r="GJ311"/>
      <c r="GK311"/>
      <c r="GL311"/>
      <c r="GM311"/>
      <c r="GN311"/>
      <c r="GO311"/>
      <c r="GP311"/>
      <c r="GQ311"/>
      <c r="GR311"/>
      <c r="GS311"/>
      <c r="GT311"/>
      <c r="GU311"/>
      <c r="GV311"/>
      <c r="GW311"/>
      <c r="GX311"/>
      <c r="GY311"/>
      <c r="GZ311"/>
      <c r="HA311"/>
    </row>
    <row r="312" spans="1:209" ht="15" customHeight="1" x14ac:dyDescent="0.15">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c r="CW312"/>
      <c r="CX312"/>
      <c r="CY312"/>
      <c r="CZ312"/>
      <c r="DA312"/>
      <c r="DB312"/>
      <c r="DC312"/>
      <c r="DD312"/>
      <c r="DE312"/>
      <c r="DF312"/>
      <c r="DG312"/>
      <c r="DH312"/>
      <c r="DI312"/>
      <c r="DJ312"/>
      <c r="DK312"/>
      <c r="DL312"/>
      <c r="DM312"/>
      <c r="DN312"/>
      <c r="DO312"/>
      <c r="DP312"/>
      <c r="DQ312"/>
      <c r="DR312"/>
      <c r="DS312"/>
      <c r="DT312"/>
      <c r="DU312"/>
      <c r="DV312"/>
      <c r="DW312"/>
      <c r="DX312"/>
      <c r="DY312"/>
      <c r="DZ312"/>
      <c r="EA312"/>
      <c r="EB312"/>
      <c r="EC312"/>
      <c r="ED312"/>
      <c r="EE312"/>
      <c r="EF312"/>
      <c r="EG312"/>
      <c r="EH312"/>
      <c r="EI312"/>
      <c r="EJ312"/>
      <c r="EK312"/>
      <c r="EL312"/>
      <c r="EM312"/>
      <c r="EN312"/>
      <c r="EO312"/>
      <c r="EP312"/>
      <c r="EQ312"/>
      <c r="ER312"/>
      <c r="ES312"/>
      <c r="ET312"/>
      <c r="EU312"/>
      <c r="EV312"/>
      <c r="EW312"/>
      <c r="EX312"/>
      <c r="EY312"/>
      <c r="EZ312"/>
      <c r="FA312"/>
      <c r="FB312"/>
      <c r="FC312"/>
      <c r="FD312"/>
      <c r="FE312"/>
      <c r="FF312"/>
      <c r="FG312"/>
      <c r="FH312"/>
      <c r="FI312"/>
      <c r="FJ312"/>
      <c r="FK312"/>
      <c r="FL312"/>
      <c r="FM312"/>
      <c r="FN312"/>
      <c r="FO312"/>
      <c r="FP312"/>
      <c r="FQ312"/>
      <c r="FR312"/>
      <c r="FS312"/>
      <c r="FT312"/>
      <c r="FU312"/>
      <c r="FV312"/>
      <c r="FW312"/>
      <c r="FX312"/>
      <c r="FY312"/>
      <c r="FZ312"/>
      <c r="GA312"/>
      <c r="GB312"/>
      <c r="GC312"/>
      <c r="GD312"/>
      <c r="GE312"/>
      <c r="GF312"/>
      <c r="GG312"/>
      <c r="GH312"/>
      <c r="GI312"/>
      <c r="GJ312"/>
      <c r="GK312"/>
      <c r="GL312"/>
      <c r="GM312"/>
      <c r="GN312"/>
      <c r="GO312"/>
      <c r="GP312"/>
      <c r="GQ312"/>
      <c r="GR312"/>
      <c r="GS312"/>
      <c r="GT312"/>
      <c r="GU312"/>
      <c r="GV312"/>
      <c r="GW312"/>
      <c r="GX312"/>
      <c r="GY312"/>
      <c r="GZ312"/>
      <c r="HA312"/>
    </row>
    <row r="313" spans="1:209" ht="15" customHeight="1" x14ac:dyDescent="0.15">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c r="CW313"/>
      <c r="CX313"/>
      <c r="CY313"/>
      <c r="CZ313"/>
      <c r="DA313"/>
      <c r="DB313"/>
      <c r="DC313"/>
      <c r="DD313"/>
      <c r="DE313"/>
      <c r="DF313"/>
      <c r="DG313"/>
      <c r="DH313"/>
      <c r="DI313"/>
      <c r="DJ313"/>
      <c r="DK313"/>
      <c r="DL313"/>
      <c r="DM313"/>
      <c r="DN313"/>
      <c r="DO313"/>
      <c r="DP313"/>
      <c r="DQ313"/>
      <c r="DR313"/>
      <c r="DS313"/>
      <c r="DT313"/>
      <c r="DU313"/>
      <c r="DV313"/>
      <c r="DW313"/>
      <c r="DX313"/>
      <c r="DY313"/>
      <c r="DZ313"/>
      <c r="EA313"/>
      <c r="EB313"/>
      <c r="EC313"/>
      <c r="ED313"/>
      <c r="EE313"/>
      <c r="EF313"/>
      <c r="EG313"/>
      <c r="EH313"/>
      <c r="EI313"/>
      <c r="EJ313"/>
      <c r="EK313"/>
      <c r="EL313"/>
      <c r="EM313"/>
      <c r="EN313"/>
      <c r="EO313"/>
      <c r="EP313"/>
      <c r="EQ313"/>
      <c r="ER313"/>
      <c r="ES313"/>
      <c r="ET313"/>
      <c r="EU313"/>
      <c r="EV313"/>
      <c r="EW313"/>
      <c r="EX313"/>
      <c r="EY313"/>
      <c r="EZ313"/>
      <c r="FA313"/>
      <c r="FB313"/>
      <c r="FC313"/>
      <c r="FD313"/>
      <c r="FE313"/>
      <c r="FF313"/>
      <c r="FG313"/>
      <c r="FH313"/>
      <c r="FI313"/>
      <c r="FJ313"/>
      <c r="FK313"/>
      <c r="FL313"/>
      <c r="FM313"/>
      <c r="FN313"/>
      <c r="FO313"/>
      <c r="FP313"/>
      <c r="FQ313"/>
      <c r="FR313"/>
      <c r="FS313"/>
      <c r="FT313"/>
      <c r="FU313"/>
      <c r="FV313"/>
      <c r="FW313"/>
      <c r="FX313"/>
      <c r="FY313"/>
      <c r="FZ313"/>
      <c r="GA313"/>
      <c r="GB313"/>
      <c r="GC313"/>
      <c r="GD313"/>
      <c r="GE313"/>
      <c r="GF313"/>
      <c r="GG313"/>
      <c r="GH313"/>
      <c r="GI313"/>
      <c r="GJ313"/>
      <c r="GK313"/>
      <c r="GL313"/>
      <c r="GM313"/>
      <c r="GN313"/>
      <c r="GO313"/>
      <c r="GP313"/>
      <c r="GQ313"/>
      <c r="GR313"/>
      <c r="GS313"/>
      <c r="GT313"/>
      <c r="GU313"/>
      <c r="GV313"/>
      <c r="GW313"/>
      <c r="GX313"/>
      <c r="GY313"/>
      <c r="GZ313"/>
      <c r="HA313"/>
    </row>
    <row r="314" spans="1:209" ht="15" customHeight="1" x14ac:dyDescent="0.15">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c r="CW314"/>
      <c r="CX314"/>
      <c r="CY314"/>
      <c r="CZ314"/>
      <c r="DA314"/>
      <c r="DB314"/>
      <c r="DC314"/>
      <c r="DD314"/>
      <c r="DE314"/>
      <c r="DF314"/>
      <c r="DG314"/>
      <c r="DH314"/>
      <c r="DI314"/>
      <c r="DJ314"/>
      <c r="DK314"/>
      <c r="DL314"/>
      <c r="DM314"/>
      <c r="DN314"/>
      <c r="DO314"/>
      <c r="DP314"/>
      <c r="DQ314"/>
      <c r="DR314"/>
      <c r="DS314"/>
      <c r="DT314"/>
      <c r="DU314"/>
      <c r="DV314"/>
      <c r="DW314"/>
      <c r="DX314"/>
      <c r="DY314"/>
      <c r="DZ314"/>
      <c r="EA314"/>
      <c r="EB314"/>
      <c r="EC314"/>
      <c r="ED314"/>
      <c r="EE314"/>
      <c r="EF314"/>
      <c r="EG314"/>
      <c r="EH314"/>
      <c r="EI314"/>
      <c r="EJ314"/>
      <c r="EK314"/>
      <c r="EL314"/>
      <c r="EM314"/>
      <c r="EN314"/>
      <c r="EO314"/>
      <c r="EP314"/>
      <c r="EQ314"/>
      <c r="ER314"/>
      <c r="ES314"/>
      <c r="ET314"/>
      <c r="EU314"/>
      <c r="EV314"/>
      <c r="EW314"/>
      <c r="EX314"/>
      <c r="EY314"/>
      <c r="EZ314"/>
      <c r="FA314"/>
      <c r="FB314"/>
      <c r="FC314"/>
      <c r="FD314"/>
      <c r="FE314"/>
      <c r="FF314"/>
      <c r="FG314"/>
      <c r="FH314"/>
      <c r="FI314"/>
      <c r="FJ314"/>
      <c r="FK314"/>
      <c r="FL314"/>
      <c r="FM314"/>
      <c r="FN314"/>
      <c r="FO314"/>
      <c r="FP314"/>
      <c r="FQ314"/>
      <c r="FR314"/>
      <c r="FS314"/>
      <c r="FT314"/>
      <c r="FU314"/>
      <c r="FV314"/>
      <c r="FW314"/>
      <c r="FX314"/>
      <c r="FY314"/>
      <c r="FZ314"/>
      <c r="GA314"/>
      <c r="GB314"/>
      <c r="GC314"/>
      <c r="GD314"/>
      <c r="GE314"/>
      <c r="GF314"/>
      <c r="GG314"/>
      <c r="GH314"/>
      <c r="GI314"/>
      <c r="GJ314"/>
      <c r="GK314"/>
      <c r="GL314"/>
      <c r="GM314"/>
      <c r="GN314"/>
      <c r="GO314"/>
      <c r="GP314"/>
      <c r="GQ314"/>
      <c r="GR314"/>
      <c r="GS314"/>
      <c r="GT314"/>
      <c r="GU314"/>
      <c r="GV314"/>
      <c r="GW314"/>
      <c r="GX314"/>
      <c r="GY314"/>
      <c r="GZ314"/>
      <c r="HA314"/>
    </row>
    <row r="315" spans="1:209" ht="15" customHeight="1" x14ac:dyDescent="0.15">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c r="CW315"/>
      <c r="CX315"/>
      <c r="CY315"/>
      <c r="CZ315"/>
      <c r="DA315"/>
      <c r="DB315"/>
      <c r="DC315"/>
      <c r="DD315"/>
      <c r="DE315"/>
      <c r="DF315"/>
      <c r="DG315"/>
      <c r="DH315"/>
      <c r="DI315"/>
      <c r="DJ315"/>
      <c r="DK315"/>
      <c r="DL315"/>
      <c r="DM315"/>
      <c r="DN315"/>
      <c r="DO315"/>
      <c r="DP315"/>
      <c r="DQ315"/>
      <c r="DR315"/>
      <c r="DS315"/>
      <c r="DT315"/>
      <c r="DU315"/>
      <c r="DV315"/>
      <c r="DW315"/>
      <c r="DX315"/>
      <c r="DY315"/>
      <c r="DZ315"/>
      <c r="EA315"/>
      <c r="EB315"/>
      <c r="EC315"/>
      <c r="ED315"/>
      <c r="EE315"/>
      <c r="EF315"/>
      <c r="EG315"/>
      <c r="EH315"/>
      <c r="EI315"/>
      <c r="EJ315"/>
      <c r="EK315"/>
      <c r="EL315"/>
      <c r="EM315"/>
      <c r="EN315"/>
      <c r="EO315"/>
      <c r="EP315"/>
      <c r="EQ315"/>
      <c r="ER315"/>
      <c r="ES315"/>
      <c r="ET315"/>
      <c r="EU315"/>
      <c r="EV315"/>
      <c r="EW315"/>
      <c r="EX315"/>
      <c r="EY315"/>
      <c r="EZ315"/>
      <c r="FA315"/>
      <c r="FB315"/>
      <c r="FC315"/>
      <c r="FD315"/>
      <c r="FE315"/>
      <c r="FF315"/>
      <c r="FG315"/>
      <c r="FH315"/>
      <c r="FI315"/>
      <c r="FJ315"/>
      <c r="FK315"/>
      <c r="FL315"/>
      <c r="FM315"/>
      <c r="FN315"/>
      <c r="FO315"/>
      <c r="FP315"/>
      <c r="FQ315"/>
      <c r="FR315"/>
      <c r="FS315"/>
      <c r="FT315"/>
      <c r="FU315"/>
      <c r="FV315"/>
      <c r="FW315"/>
      <c r="FX315"/>
      <c r="FY315"/>
      <c r="FZ315"/>
      <c r="GA315"/>
      <c r="GB315"/>
      <c r="GC315"/>
      <c r="GD315"/>
      <c r="GE315"/>
      <c r="GF315"/>
      <c r="GG315"/>
      <c r="GH315"/>
      <c r="GI315"/>
      <c r="GJ315"/>
      <c r="GK315"/>
      <c r="GL315"/>
      <c r="GM315"/>
      <c r="GN315"/>
      <c r="GO315"/>
      <c r="GP315"/>
      <c r="GQ315"/>
      <c r="GR315"/>
      <c r="GS315"/>
      <c r="GT315"/>
      <c r="GU315"/>
      <c r="GV315"/>
      <c r="GW315"/>
      <c r="GX315"/>
      <c r="GY315"/>
      <c r="GZ315"/>
      <c r="HA315"/>
    </row>
    <row r="316" spans="1:209" ht="15" customHeight="1" x14ac:dyDescent="0.15">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c r="CW316"/>
      <c r="CX316"/>
      <c r="CY316"/>
      <c r="CZ316"/>
      <c r="DA316"/>
      <c r="DB316"/>
      <c r="DC316"/>
      <c r="DD316"/>
      <c r="DE316"/>
      <c r="DF316"/>
      <c r="DG316"/>
      <c r="DH316"/>
      <c r="DI316"/>
      <c r="DJ316"/>
      <c r="DK316"/>
      <c r="DL316"/>
      <c r="DM316"/>
      <c r="DN316"/>
      <c r="DO316"/>
      <c r="DP316"/>
      <c r="DQ316"/>
      <c r="DR316"/>
      <c r="DS316"/>
      <c r="DT316"/>
      <c r="DU316"/>
      <c r="DV316"/>
      <c r="DW316"/>
      <c r="DX316"/>
      <c r="DY316"/>
      <c r="DZ316"/>
      <c r="EA316"/>
      <c r="EB316"/>
      <c r="EC316"/>
      <c r="ED316"/>
      <c r="EE316"/>
      <c r="EF316"/>
      <c r="EG316"/>
      <c r="EH316"/>
      <c r="EI316"/>
      <c r="EJ316"/>
      <c r="EK316"/>
      <c r="EL316"/>
      <c r="EM316"/>
      <c r="EN316"/>
      <c r="EO316"/>
      <c r="EP316"/>
      <c r="EQ316"/>
      <c r="ER316"/>
      <c r="ES316"/>
      <c r="ET316"/>
      <c r="EU316"/>
      <c r="EV316"/>
      <c r="EW316"/>
      <c r="EX316"/>
      <c r="EY316"/>
      <c r="EZ316"/>
      <c r="FA316"/>
      <c r="FB316"/>
      <c r="FC316"/>
      <c r="FD316"/>
      <c r="FE316"/>
      <c r="FF316"/>
      <c r="FG316"/>
      <c r="FH316"/>
      <c r="FI316"/>
      <c r="FJ316"/>
      <c r="FK316"/>
      <c r="FL316"/>
      <c r="FM316"/>
      <c r="FN316"/>
      <c r="FO316"/>
      <c r="FP316"/>
      <c r="FQ316"/>
      <c r="FR316"/>
      <c r="FS316"/>
      <c r="FT316"/>
      <c r="FU316"/>
      <c r="FV316"/>
      <c r="FW316"/>
      <c r="FX316"/>
      <c r="FY316"/>
      <c r="FZ316"/>
      <c r="GA316"/>
      <c r="GB316"/>
      <c r="GC316"/>
      <c r="GD316"/>
      <c r="GE316"/>
      <c r="GF316"/>
      <c r="GG316"/>
      <c r="GH316"/>
      <c r="GI316"/>
      <c r="GJ316"/>
      <c r="GK316"/>
      <c r="GL316"/>
      <c r="GM316"/>
      <c r="GN316"/>
      <c r="GO316"/>
      <c r="GP316"/>
      <c r="GQ316"/>
      <c r="GR316"/>
      <c r="GS316"/>
      <c r="GT316"/>
      <c r="GU316"/>
      <c r="GV316"/>
      <c r="GW316"/>
      <c r="GX316"/>
      <c r="GY316"/>
      <c r="GZ316"/>
      <c r="HA316"/>
    </row>
    <row r="317" spans="1:209" ht="15" customHeight="1" x14ac:dyDescent="0.15">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c r="CW317"/>
      <c r="CX317"/>
      <c r="CY317"/>
      <c r="CZ317"/>
      <c r="DA317"/>
      <c r="DB317"/>
      <c r="DC317"/>
      <c r="DD317"/>
      <c r="DE317"/>
      <c r="DF317"/>
      <c r="DG317"/>
      <c r="DH317"/>
      <c r="DI317"/>
      <c r="DJ317"/>
      <c r="DK317"/>
      <c r="DL317"/>
      <c r="DM317"/>
      <c r="DN317"/>
      <c r="DO317"/>
      <c r="DP317"/>
      <c r="DQ317"/>
      <c r="DR317"/>
      <c r="DS317"/>
      <c r="DT317"/>
      <c r="DU317"/>
      <c r="DV317"/>
      <c r="DW317"/>
      <c r="DX317"/>
      <c r="DY317"/>
      <c r="DZ317"/>
      <c r="EA317"/>
      <c r="EB317"/>
      <c r="EC317"/>
      <c r="ED317"/>
      <c r="EE317"/>
      <c r="EF317"/>
      <c r="EG317"/>
      <c r="EH317"/>
      <c r="EI317"/>
      <c r="EJ317"/>
      <c r="EK317"/>
      <c r="EL317"/>
      <c r="EM317"/>
      <c r="EN317"/>
      <c r="EO317"/>
      <c r="EP317"/>
      <c r="EQ317"/>
      <c r="ER317"/>
      <c r="ES317"/>
      <c r="ET317"/>
      <c r="EU317"/>
      <c r="EV317"/>
      <c r="EW317"/>
      <c r="EX317"/>
      <c r="EY317"/>
      <c r="EZ317"/>
      <c r="FA317"/>
      <c r="FB317"/>
      <c r="FC317"/>
      <c r="FD317"/>
      <c r="FE317"/>
      <c r="FF317"/>
      <c r="FG317"/>
      <c r="FH317"/>
      <c r="FI317"/>
      <c r="FJ317"/>
      <c r="FK317"/>
      <c r="FL317"/>
      <c r="FM317"/>
      <c r="FN317"/>
      <c r="FO317"/>
      <c r="FP317"/>
      <c r="FQ317"/>
      <c r="FR317"/>
      <c r="FS317"/>
      <c r="FT317"/>
      <c r="FU317"/>
      <c r="FV317"/>
      <c r="FW317"/>
      <c r="FX317"/>
      <c r="FY317"/>
      <c r="FZ317"/>
      <c r="GA317"/>
      <c r="GB317"/>
      <c r="GC317"/>
      <c r="GD317"/>
      <c r="GE317"/>
      <c r="GF317"/>
      <c r="GG317"/>
      <c r="GH317"/>
      <c r="GI317"/>
      <c r="GJ317"/>
      <c r="GK317"/>
      <c r="GL317"/>
      <c r="GM317"/>
      <c r="GN317"/>
      <c r="GO317"/>
      <c r="GP317"/>
      <c r="GQ317"/>
      <c r="GR317"/>
      <c r="GS317"/>
      <c r="GT317"/>
      <c r="GU317"/>
      <c r="GV317"/>
      <c r="GW317"/>
      <c r="GX317"/>
      <c r="GY317"/>
      <c r="GZ317"/>
      <c r="HA317"/>
    </row>
    <row r="318" spans="1:209" ht="15" customHeight="1" x14ac:dyDescent="0.15">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c r="CW318"/>
      <c r="CX318"/>
      <c r="CY318"/>
      <c r="CZ318"/>
      <c r="DA318"/>
      <c r="DB318"/>
      <c r="DC318"/>
      <c r="DD318"/>
      <c r="DE318"/>
      <c r="DF318"/>
      <c r="DG318"/>
      <c r="DH318"/>
      <c r="DI318"/>
      <c r="DJ318"/>
      <c r="DK318"/>
      <c r="DL318"/>
      <c r="DM318"/>
      <c r="DN318"/>
      <c r="DO318"/>
      <c r="DP318"/>
      <c r="DQ318"/>
      <c r="DR318"/>
      <c r="DS318"/>
      <c r="DT318"/>
      <c r="DU318"/>
      <c r="DV318"/>
      <c r="DW318"/>
      <c r="DX318"/>
      <c r="DY318"/>
      <c r="DZ318"/>
      <c r="EA318"/>
      <c r="EB318"/>
      <c r="EC318"/>
      <c r="ED318"/>
      <c r="EE318"/>
      <c r="EF318"/>
      <c r="EG318"/>
      <c r="EH318"/>
      <c r="EI318"/>
      <c r="EJ318"/>
      <c r="EK318"/>
      <c r="EL318"/>
      <c r="EM318"/>
      <c r="EN318"/>
      <c r="EO318"/>
      <c r="EP318"/>
      <c r="EQ318"/>
      <c r="ER318"/>
      <c r="ES318"/>
      <c r="ET318"/>
      <c r="EU318"/>
      <c r="EV318"/>
      <c r="EW318"/>
      <c r="EX318"/>
      <c r="EY318"/>
      <c r="EZ318"/>
      <c r="FA318"/>
      <c r="FB318"/>
      <c r="FC318"/>
      <c r="FD318"/>
      <c r="FE318"/>
      <c r="FF318"/>
      <c r="FG318"/>
      <c r="FH318"/>
      <c r="FI318"/>
      <c r="FJ318"/>
      <c r="FK318"/>
      <c r="FL318"/>
      <c r="FM318"/>
      <c r="FN318"/>
      <c r="FO318"/>
      <c r="FP318"/>
      <c r="FQ318"/>
      <c r="FR318"/>
      <c r="FS318"/>
      <c r="FT318"/>
      <c r="FU318"/>
      <c r="FV318"/>
      <c r="FW318"/>
      <c r="FX318"/>
      <c r="FY318"/>
      <c r="FZ318"/>
      <c r="GA318"/>
      <c r="GB318"/>
      <c r="GC318"/>
      <c r="GD318"/>
      <c r="GE318"/>
      <c r="GF318"/>
      <c r="GG318"/>
      <c r="GH318"/>
      <c r="GI318"/>
      <c r="GJ318"/>
      <c r="GK318"/>
      <c r="GL318"/>
      <c r="GM318"/>
      <c r="GN318"/>
      <c r="GO318"/>
      <c r="GP318"/>
      <c r="GQ318"/>
      <c r="GR318"/>
      <c r="GS318"/>
      <c r="GT318"/>
      <c r="GU318"/>
      <c r="GV318"/>
      <c r="GW318"/>
      <c r="GX318"/>
      <c r="GY318"/>
      <c r="GZ318"/>
      <c r="HA318"/>
    </row>
    <row r="319" spans="1:209" ht="15" customHeight="1" x14ac:dyDescent="0.15">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c r="CW319"/>
      <c r="CX319"/>
      <c r="CY319"/>
      <c r="CZ319"/>
      <c r="DA319"/>
      <c r="DB319"/>
      <c r="DC319"/>
      <c r="DD319"/>
      <c r="DE319"/>
      <c r="DF319"/>
      <c r="DG319"/>
      <c r="DH319"/>
      <c r="DI319"/>
      <c r="DJ319"/>
      <c r="DK319"/>
      <c r="DL319"/>
      <c r="DM319"/>
      <c r="DN319"/>
      <c r="DO319"/>
      <c r="DP319"/>
      <c r="DQ319"/>
      <c r="DR319"/>
      <c r="DS319"/>
      <c r="DT319"/>
      <c r="DU319"/>
      <c r="DV319"/>
      <c r="DW319"/>
      <c r="DX319"/>
      <c r="DY319"/>
      <c r="DZ319"/>
      <c r="EA319"/>
      <c r="EB319"/>
      <c r="EC319"/>
      <c r="ED319"/>
      <c r="EE319"/>
      <c r="EF319"/>
      <c r="EG319"/>
      <c r="EH319"/>
      <c r="EI319"/>
      <c r="EJ319"/>
      <c r="EK319"/>
      <c r="EL319"/>
      <c r="EM319"/>
      <c r="EN319"/>
      <c r="EO319"/>
      <c r="EP319"/>
      <c r="EQ319"/>
      <c r="ER319"/>
      <c r="ES319"/>
      <c r="ET319"/>
      <c r="EU319"/>
      <c r="EV319"/>
      <c r="EW319"/>
      <c r="EX319"/>
      <c r="EY319"/>
      <c r="EZ319"/>
      <c r="FA319"/>
      <c r="FB319"/>
      <c r="FC319"/>
      <c r="FD319"/>
      <c r="FE319"/>
      <c r="FF319"/>
      <c r="FG319"/>
      <c r="FH319"/>
      <c r="FI319"/>
      <c r="FJ319"/>
      <c r="FK319"/>
      <c r="FL319"/>
      <c r="FM319"/>
      <c r="FN319"/>
      <c r="FO319"/>
      <c r="FP319"/>
      <c r="FQ319"/>
      <c r="FR319"/>
      <c r="FS319"/>
      <c r="FT319"/>
      <c r="FU319"/>
      <c r="FV319"/>
      <c r="FW319"/>
      <c r="FX319"/>
      <c r="FY319"/>
      <c r="FZ319"/>
      <c r="GA319"/>
      <c r="GB319"/>
      <c r="GC319"/>
      <c r="GD319"/>
      <c r="GE319"/>
      <c r="GF319"/>
      <c r="GG319"/>
      <c r="GH319"/>
      <c r="GI319"/>
      <c r="GJ319"/>
      <c r="GK319"/>
      <c r="GL319"/>
      <c r="GM319"/>
      <c r="GN319"/>
      <c r="GO319"/>
      <c r="GP319"/>
      <c r="GQ319"/>
      <c r="GR319"/>
      <c r="GS319"/>
      <c r="GT319"/>
      <c r="GU319"/>
      <c r="GV319"/>
      <c r="GW319"/>
      <c r="GX319"/>
      <c r="GY319"/>
      <c r="GZ319"/>
      <c r="HA319"/>
    </row>
    <row r="320" spans="1:209" ht="15" customHeight="1" x14ac:dyDescent="0.15">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c r="CW320"/>
      <c r="CX320"/>
      <c r="CY320"/>
      <c r="CZ320"/>
      <c r="DA320"/>
      <c r="DB320"/>
      <c r="DC320"/>
      <c r="DD320"/>
      <c r="DE320"/>
      <c r="DF320"/>
      <c r="DG320"/>
      <c r="DH320"/>
      <c r="DI320"/>
      <c r="DJ320"/>
      <c r="DK320"/>
      <c r="DL320"/>
      <c r="DM320"/>
      <c r="DN320"/>
      <c r="DO320"/>
      <c r="DP320"/>
      <c r="DQ320"/>
      <c r="DR320"/>
      <c r="DS320"/>
      <c r="DT320"/>
      <c r="DU320"/>
      <c r="DV320"/>
      <c r="DW320"/>
      <c r="DX320"/>
      <c r="DY320"/>
      <c r="DZ320"/>
      <c r="EA320"/>
      <c r="EB320"/>
      <c r="EC320"/>
      <c r="ED320"/>
      <c r="EE320"/>
      <c r="EF320"/>
      <c r="EG320"/>
      <c r="EH320"/>
      <c r="EI320"/>
      <c r="EJ320"/>
      <c r="EK320"/>
      <c r="EL320"/>
      <c r="EM320"/>
      <c r="EN320"/>
      <c r="EO320"/>
      <c r="EP320"/>
      <c r="EQ320"/>
      <c r="ER320"/>
      <c r="ES320"/>
      <c r="ET320"/>
      <c r="EU320"/>
      <c r="EV320"/>
      <c r="EW320"/>
      <c r="EX320"/>
      <c r="EY320"/>
      <c r="EZ320"/>
      <c r="FA320"/>
      <c r="FB320"/>
      <c r="FC320"/>
      <c r="FD320"/>
      <c r="FE320"/>
      <c r="FF320"/>
      <c r="FG320"/>
      <c r="FH320"/>
      <c r="FI320"/>
      <c r="FJ320"/>
      <c r="FK320"/>
      <c r="FL320"/>
      <c r="FM320"/>
      <c r="FN320"/>
      <c r="FO320"/>
      <c r="FP320"/>
      <c r="FQ320"/>
      <c r="FR320"/>
      <c r="FS320"/>
      <c r="FT320"/>
      <c r="FU320"/>
      <c r="FV320"/>
      <c r="FW320"/>
      <c r="FX320"/>
      <c r="FY320"/>
      <c r="FZ320"/>
      <c r="GA320"/>
      <c r="GB320"/>
      <c r="GC320"/>
      <c r="GD320"/>
      <c r="GE320"/>
      <c r="GF320"/>
      <c r="GG320"/>
      <c r="GH320"/>
      <c r="GI320"/>
      <c r="GJ320"/>
      <c r="GK320"/>
      <c r="GL320"/>
      <c r="GM320"/>
      <c r="GN320"/>
      <c r="GO320"/>
      <c r="GP320"/>
      <c r="GQ320"/>
      <c r="GR320"/>
      <c r="GS320"/>
      <c r="GT320"/>
      <c r="GU320"/>
      <c r="GV320"/>
      <c r="GW320"/>
      <c r="GX320"/>
      <c r="GY320"/>
      <c r="GZ320"/>
      <c r="HA320"/>
    </row>
    <row r="321" spans="1:209" ht="15" customHeight="1" x14ac:dyDescent="0.15">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c r="CW321"/>
      <c r="CX321"/>
      <c r="CY321"/>
      <c r="CZ321"/>
      <c r="DA321"/>
      <c r="DB321"/>
      <c r="DC321"/>
      <c r="DD321"/>
      <c r="DE321"/>
      <c r="DF321"/>
      <c r="DG321"/>
      <c r="DH321"/>
      <c r="DI321"/>
      <c r="DJ321"/>
      <c r="DK321"/>
      <c r="DL321"/>
      <c r="DM321"/>
      <c r="DN321"/>
      <c r="DO321"/>
      <c r="DP321"/>
      <c r="DQ321"/>
      <c r="DR321"/>
      <c r="DS321"/>
      <c r="DT321"/>
      <c r="DU321"/>
      <c r="DV321"/>
      <c r="DW321"/>
      <c r="DX321"/>
      <c r="DY321"/>
      <c r="DZ321"/>
      <c r="EA321"/>
      <c r="EB321"/>
      <c r="EC321"/>
      <c r="ED321"/>
      <c r="EE321"/>
      <c r="EF321"/>
      <c r="EG321"/>
      <c r="EH321"/>
      <c r="EI321"/>
      <c r="EJ321"/>
      <c r="EK321"/>
      <c r="EL321"/>
      <c r="EM321"/>
      <c r="EN321"/>
      <c r="EO321"/>
      <c r="EP321"/>
      <c r="EQ321"/>
      <c r="ER321"/>
      <c r="ES321"/>
      <c r="ET321"/>
      <c r="EU321"/>
      <c r="EV321"/>
      <c r="EW321"/>
      <c r="EX321"/>
      <c r="EY321"/>
      <c r="EZ321"/>
      <c r="FA321"/>
      <c r="FB321"/>
      <c r="FC321"/>
      <c r="FD321"/>
      <c r="FE321"/>
      <c r="FF321"/>
      <c r="FG321"/>
      <c r="FH321"/>
      <c r="FI321"/>
      <c r="FJ321"/>
      <c r="FK321"/>
      <c r="FL321"/>
      <c r="FM321"/>
      <c r="FN321"/>
      <c r="FO321"/>
      <c r="FP321"/>
      <c r="FQ321"/>
      <c r="FR321"/>
      <c r="FS321"/>
      <c r="FT321"/>
      <c r="FU321"/>
      <c r="FV321"/>
      <c r="FW321"/>
      <c r="FX321"/>
      <c r="FY321"/>
      <c r="FZ321"/>
      <c r="GA321"/>
      <c r="GB321"/>
      <c r="GC321"/>
      <c r="GD321"/>
      <c r="GE321"/>
      <c r="GF321"/>
      <c r="GG321"/>
      <c r="GH321"/>
      <c r="GI321"/>
      <c r="GJ321"/>
      <c r="GK321"/>
      <c r="GL321"/>
      <c r="GM321"/>
      <c r="GN321"/>
      <c r="GO321"/>
      <c r="GP321"/>
      <c r="GQ321"/>
      <c r="GR321"/>
      <c r="GS321"/>
      <c r="GT321"/>
      <c r="GU321"/>
      <c r="GV321"/>
      <c r="GW321"/>
      <c r="GX321"/>
      <c r="GY321"/>
      <c r="GZ321"/>
      <c r="HA321"/>
    </row>
    <row r="322" spans="1:209" ht="15" customHeight="1" x14ac:dyDescent="0.15">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c r="CW322"/>
      <c r="CX322"/>
      <c r="CY322"/>
      <c r="CZ322"/>
      <c r="DA322"/>
      <c r="DB322"/>
      <c r="DC322"/>
      <c r="DD322"/>
      <c r="DE322"/>
      <c r="DF322"/>
      <c r="DG322"/>
      <c r="DH322"/>
      <c r="DI322"/>
      <c r="DJ322"/>
      <c r="DK322"/>
      <c r="DL322"/>
      <c r="DM322"/>
      <c r="DN322"/>
      <c r="DO322"/>
      <c r="DP322"/>
      <c r="DQ322"/>
      <c r="DR322"/>
      <c r="DS322"/>
      <c r="DT322"/>
      <c r="DU322"/>
      <c r="DV322"/>
      <c r="DW322"/>
      <c r="DX322"/>
      <c r="DY322"/>
      <c r="DZ322"/>
      <c r="EA322"/>
      <c r="EB322"/>
      <c r="EC322"/>
      <c r="ED322"/>
      <c r="EE322"/>
      <c r="EF322"/>
      <c r="EG322"/>
      <c r="EH322"/>
      <c r="EI322"/>
      <c r="EJ322"/>
      <c r="EK322"/>
      <c r="EL322"/>
      <c r="EM322"/>
      <c r="EN322"/>
      <c r="EO322"/>
      <c r="EP322"/>
      <c r="EQ322"/>
      <c r="ER322"/>
      <c r="ES322"/>
      <c r="ET322"/>
      <c r="EU322"/>
      <c r="EV322"/>
      <c r="EW322"/>
      <c r="EX322"/>
      <c r="EY322"/>
      <c r="EZ322"/>
      <c r="FA322"/>
      <c r="FB322"/>
      <c r="FC322"/>
      <c r="FD322"/>
      <c r="FE322"/>
      <c r="FF322"/>
      <c r="FG322"/>
      <c r="FH322"/>
      <c r="FI322"/>
      <c r="FJ322"/>
      <c r="FK322"/>
      <c r="FL322"/>
      <c r="FM322"/>
      <c r="FN322"/>
      <c r="FO322"/>
      <c r="FP322"/>
      <c r="FQ322"/>
      <c r="FR322"/>
      <c r="FS322"/>
      <c r="FT322"/>
      <c r="FU322"/>
      <c r="FV322"/>
      <c r="FW322"/>
      <c r="FX322"/>
      <c r="FY322"/>
      <c r="FZ322"/>
      <c r="GA322"/>
      <c r="GB322"/>
      <c r="GC322"/>
      <c r="GD322"/>
      <c r="GE322"/>
      <c r="GF322"/>
      <c r="GG322"/>
      <c r="GH322"/>
      <c r="GI322"/>
      <c r="GJ322"/>
      <c r="GK322"/>
      <c r="GL322"/>
      <c r="GM322"/>
      <c r="GN322"/>
      <c r="GO322"/>
      <c r="GP322"/>
      <c r="GQ322"/>
      <c r="GR322"/>
      <c r="GS322"/>
      <c r="GT322"/>
      <c r="GU322"/>
      <c r="GV322"/>
      <c r="GW322"/>
      <c r="GX322"/>
      <c r="GY322"/>
      <c r="GZ322"/>
      <c r="HA322"/>
    </row>
    <row r="323" spans="1:209" ht="15" customHeight="1" x14ac:dyDescent="0.15">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c r="CW323"/>
      <c r="CX323"/>
      <c r="CY323"/>
      <c r="CZ323"/>
      <c r="DA323"/>
      <c r="DB323"/>
      <c r="DC323"/>
      <c r="DD323"/>
      <c r="DE323"/>
      <c r="DF323"/>
      <c r="DG323"/>
      <c r="DH323"/>
      <c r="DI323"/>
      <c r="DJ323"/>
      <c r="DK323"/>
      <c r="DL323"/>
      <c r="DM323"/>
      <c r="DN323"/>
      <c r="DO323"/>
      <c r="DP323"/>
      <c r="DQ323"/>
      <c r="DR323"/>
      <c r="DS323"/>
      <c r="DT323"/>
      <c r="DU323"/>
      <c r="DV323"/>
      <c r="DW323"/>
      <c r="DX323"/>
      <c r="DY323"/>
      <c r="DZ323"/>
      <c r="EA323"/>
      <c r="EB323"/>
      <c r="EC323"/>
      <c r="ED323"/>
      <c r="EE323"/>
      <c r="EF323"/>
      <c r="EG323"/>
      <c r="EH323"/>
      <c r="EI323"/>
      <c r="EJ323"/>
      <c r="EK323"/>
      <c r="EL323"/>
      <c r="EM323"/>
      <c r="EN323"/>
      <c r="EO323"/>
      <c r="EP323"/>
      <c r="EQ323"/>
      <c r="ER323"/>
      <c r="ES323"/>
      <c r="ET323"/>
      <c r="EU323"/>
      <c r="EV323"/>
      <c r="EW323"/>
      <c r="EX323"/>
      <c r="EY323"/>
      <c r="EZ323"/>
      <c r="FA323"/>
      <c r="FB323"/>
      <c r="FC323"/>
      <c r="FD323"/>
      <c r="FE323"/>
      <c r="FF323"/>
      <c r="FG323"/>
      <c r="FH323"/>
      <c r="FI323"/>
      <c r="FJ323"/>
      <c r="FK323"/>
      <c r="FL323"/>
      <c r="FM323"/>
      <c r="FN323"/>
      <c r="FO323"/>
      <c r="FP323"/>
      <c r="FQ323"/>
      <c r="FR323"/>
      <c r="FS323"/>
      <c r="FT323"/>
      <c r="FU323"/>
      <c r="FV323"/>
      <c r="FW323"/>
      <c r="FX323"/>
      <c r="FY323"/>
      <c r="FZ323"/>
      <c r="GA323"/>
      <c r="GB323"/>
      <c r="GC323"/>
      <c r="GD323"/>
      <c r="GE323"/>
      <c r="GF323"/>
      <c r="GG323"/>
      <c r="GH323"/>
      <c r="GI323"/>
      <c r="GJ323"/>
      <c r="GK323"/>
      <c r="GL323"/>
      <c r="GM323"/>
      <c r="GN323"/>
      <c r="GO323"/>
      <c r="GP323"/>
      <c r="GQ323"/>
      <c r="GR323"/>
      <c r="GS323"/>
      <c r="GT323"/>
      <c r="GU323"/>
      <c r="GV323"/>
      <c r="GW323"/>
      <c r="GX323"/>
      <c r="GY323"/>
      <c r="GZ323"/>
      <c r="HA323"/>
    </row>
    <row r="324" spans="1:209" ht="15" customHeight="1" x14ac:dyDescent="0.15">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c r="CW324"/>
      <c r="CX324"/>
      <c r="CY324"/>
      <c r="CZ324"/>
      <c r="DA324"/>
      <c r="DB324"/>
      <c r="DC324"/>
      <c r="DD324"/>
      <c r="DE324"/>
      <c r="DF324"/>
      <c r="DG324"/>
      <c r="DH324"/>
      <c r="DI324"/>
      <c r="DJ324"/>
      <c r="DK324"/>
      <c r="DL324"/>
      <c r="DM324"/>
      <c r="DN324"/>
      <c r="DO324"/>
      <c r="DP324"/>
      <c r="DQ324"/>
      <c r="DR324"/>
      <c r="DS324"/>
      <c r="DT324"/>
      <c r="DU324"/>
      <c r="DV324"/>
      <c r="DW324"/>
      <c r="DX324"/>
      <c r="DY324"/>
      <c r="DZ324"/>
      <c r="EA324"/>
      <c r="EB324"/>
      <c r="EC324"/>
      <c r="ED324"/>
      <c r="EE324"/>
      <c r="EF324"/>
      <c r="EG324"/>
      <c r="EH324"/>
      <c r="EI324"/>
      <c r="EJ324"/>
      <c r="EK324"/>
      <c r="EL324"/>
      <c r="EM324"/>
      <c r="EN324"/>
      <c r="EO324"/>
      <c r="EP324"/>
      <c r="EQ324"/>
      <c r="ER324"/>
      <c r="ES324"/>
      <c r="ET324"/>
      <c r="EU324"/>
      <c r="EV324"/>
      <c r="EW324"/>
      <c r="EX324"/>
      <c r="EY324"/>
      <c r="EZ324"/>
      <c r="FA324"/>
      <c r="FB324"/>
      <c r="FC324"/>
      <c r="FD324"/>
      <c r="FE324"/>
      <c r="FF324"/>
      <c r="FG324"/>
      <c r="FH324"/>
      <c r="FI324"/>
      <c r="FJ324"/>
      <c r="FK324"/>
      <c r="FL324"/>
      <c r="FM324"/>
      <c r="FN324"/>
      <c r="FO324"/>
      <c r="FP324"/>
      <c r="FQ324"/>
      <c r="FR324"/>
      <c r="FS324"/>
      <c r="FT324"/>
      <c r="FU324"/>
      <c r="FV324"/>
      <c r="FW324"/>
      <c r="FX324"/>
      <c r="FY324"/>
      <c r="FZ324"/>
      <c r="GA324"/>
      <c r="GB324"/>
      <c r="GC324"/>
      <c r="GD324"/>
      <c r="GE324"/>
      <c r="GF324"/>
      <c r="GG324"/>
      <c r="GH324"/>
      <c r="GI324"/>
      <c r="GJ324"/>
      <c r="GK324"/>
      <c r="GL324"/>
      <c r="GM324"/>
      <c r="GN324"/>
      <c r="GO324"/>
      <c r="GP324"/>
      <c r="GQ324"/>
      <c r="GR324"/>
      <c r="GS324"/>
      <c r="GT324"/>
      <c r="GU324"/>
      <c r="GV324"/>
      <c r="GW324"/>
      <c r="GX324"/>
      <c r="GY324"/>
      <c r="GZ324"/>
      <c r="HA324"/>
    </row>
    <row r="325" spans="1:209" ht="15" customHeight="1" x14ac:dyDescent="0.15">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c r="CW325"/>
      <c r="CX325"/>
      <c r="CY325"/>
      <c r="CZ325"/>
      <c r="DA325"/>
      <c r="DB325"/>
      <c r="DC325"/>
      <c r="DD325"/>
      <c r="DE325"/>
      <c r="DF325"/>
      <c r="DG325"/>
      <c r="DH325"/>
      <c r="DI325"/>
      <c r="DJ325"/>
      <c r="DK325"/>
      <c r="DL325"/>
      <c r="DM325"/>
      <c r="DN325"/>
      <c r="DO325"/>
      <c r="DP325"/>
      <c r="DQ325"/>
      <c r="DR325"/>
      <c r="DS325"/>
      <c r="DT325"/>
      <c r="DU325"/>
      <c r="DV325"/>
      <c r="DW325"/>
      <c r="DX325"/>
      <c r="DY325"/>
      <c r="DZ325"/>
      <c r="EA325"/>
      <c r="EB325"/>
      <c r="EC325"/>
      <c r="ED325"/>
      <c r="EE325"/>
      <c r="EF325"/>
      <c r="EG325"/>
      <c r="EH325"/>
      <c r="EI325"/>
      <c r="EJ325"/>
      <c r="EK325"/>
      <c r="EL325"/>
      <c r="EM325"/>
      <c r="EN325"/>
      <c r="EO325"/>
      <c r="EP325"/>
      <c r="EQ325"/>
      <c r="ER325"/>
      <c r="ES325"/>
      <c r="ET325"/>
      <c r="EU325"/>
      <c r="EV325"/>
      <c r="EW325"/>
      <c r="EX325"/>
      <c r="EY325"/>
      <c r="EZ325"/>
      <c r="FA325"/>
      <c r="FB325"/>
      <c r="FC325"/>
      <c r="FD325"/>
      <c r="FE325"/>
      <c r="FF325"/>
      <c r="FG325"/>
      <c r="FH325"/>
      <c r="FI325"/>
      <c r="FJ325"/>
      <c r="FK325"/>
      <c r="FL325"/>
      <c r="FM325"/>
      <c r="FN325"/>
      <c r="FO325"/>
      <c r="FP325"/>
      <c r="FQ325"/>
      <c r="FR325"/>
      <c r="FS325"/>
      <c r="FT325"/>
      <c r="FU325"/>
      <c r="FV325"/>
      <c r="FW325"/>
      <c r="FX325"/>
      <c r="FY325"/>
      <c r="FZ325"/>
      <c r="GA325"/>
      <c r="GB325"/>
      <c r="GC325"/>
      <c r="GD325"/>
      <c r="GE325"/>
      <c r="GF325"/>
      <c r="GG325"/>
      <c r="GH325"/>
      <c r="GI325"/>
      <c r="GJ325"/>
      <c r="GK325"/>
      <c r="GL325"/>
      <c r="GM325"/>
      <c r="GN325"/>
      <c r="GO325"/>
      <c r="GP325"/>
      <c r="GQ325"/>
      <c r="GR325"/>
      <c r="GS325"/>
      <c r="GT325"/>
      <c r="GU325"/>
      <c r="GV325"/>
      <c r="GW325"/>
      <c r="GX325"/>
      <c r="GY325"/>
      <c r="GZ325"/>
      <c r="HA325"/>
    </row>
    <row r="326" spans="1:209" ht="15" customHeight="1" x14ac:dyDescent="0.15">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c r="CW326"/>
      <c r="CX326"/>
      <c r="CY326"/>
      <c r="CZ326"/>
      <c r="DA326"/>
      <c r="DB326"/>
      <c r="DC326"/>
      <c r="DD326"/>
      <c r="DE326"/>
      <c r="DF326"/>
      <c r="DG326"/>
      <c r="DH326"/>
      <c r="DI326"/>
      <c r="DJ326"/>
      <c r="DK326"/>
      <c r="DL326"/>
      <c r="DM326"/>
      <c r="DN326"/>
      <c r="DO326"/>
      <c r="DP326"/>
      <c r="DQ326"/>
      <c r="DR326"/>
      <c r="DS326"/>
      <c r="DT326"/>
      <c r="DU326"/>
      <c r="DV326"/>
      <c r="DW326"/>
      <c r="DX326"/>
      <c r="DY326"/>
      <c r="DZ326"/>
      <c r="EA326"/>
      <c r="EB326"/>
      <c r="EC326"/>
      <c r="ED326"/>
      <c r="EE326"/>
      <c r="EF326"/>
      <c r="EG326"/>
      <c r="EH326"/>
      <c r="EI326"/>
      <c r="EJ326"/>
      <c r="EK326"/>
      <c r="EL326"/>
      <c r="EM326"/>
      <c r="EN326"/>
      <c r="EO326"/>
      <c r="EP326"/>
      <c r="EQ326"/>
      <c r="ER326"/>
      <c r="ES326"/>
      <c r="ET326"/>
      <c r="EU326"/>
      <c r="EV326"/>
      <c r="EW326"/>
      <c r="EX326"/>
      <c r="EY326"/>
      <c r="EZ326"/>
      <c r="FA326"/>
      <c r="FB326"/>
      <c r="FC326"/>
      <c r="FD326"/>
      <c r="FE326"/>
      <c r="FF326"/>
      <c r="FG326"/>
      <c r="FH326"/>
      <c r="FI326"/>
      <c r="FJ326"/>
      <c r="FK326"/>
      <c r="FL326"/>
      <c r="FM326"/>
      <c r="FN326"/>
      <c r="FO326"/>
      <c r="FP326"/>
      <c r="FQ326"/>
      <c r="FR326"/>
      <c r="FS326"/>
      <c r="FT326"/>
      <c r="FU326"/>
      <c r="FV326"/>
      <c r="FW326"/>
      <c r="FX326"/>
      <c r="FY326"/>
      <c r="FZ326"/>
      <c r="GA326"/>
      <c r="GB326"/>
      <c r="GC326"/>
      <c r="GD326"/>
      <c r="GE326"/>
      <c r="GF326"/>
      <c r="GG326"/>
      <c r="GH326"/>
      <c r="GI326"/>
      <c r="GJ326"/>
      <c r="GK326"/>
      <c r="GL326"/>
      <c r="GM326"/>
      <c r="GN326"/>
      <c r="GO326"/>
      <c r="GP326"/>
      <c r="GQ326"/>
      <c r="GR326"/>
      <c r="GS326"/>
      <c r="GT326"/>
      <c r="GU326"/>
      <c r="GV326"/>
      <c r="GW326"/>
      <c r="GX326"/>
      <c r="GY326"/>
      <c r="GZ326"/>
      <c r="HA326"/>
    </row>
    <row r="327" spans="1:209" ht="15" customHeight="1" x14ac:dyDescent="0.15">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c r="CW327"/>
      <c r="CX327"/>
      <c r="CY327"/>
      <c r="CZ327"/>
      <c r="DA327"/>
      <c r="DB327"/>
      <c r="DC327"/>
      <c r="DD327"/>
      <c r="DE327"/>
      <c r="DF327"/>
      <c r="DG327"/>
      <c r="DH327"/>
      <c r="DI327"/>
      <c r="DJ327"/>
      <c r="DK327"/>
      <c r="DL327"/>
      <c r="DM327"/>
      <c r="DN327"/>
      <c r="DO327"/>
      <c r="DP327"/>
      <c r="DQ327"/>
      <c r="DR327"/>
      <c r="DS327"/>
      <c r="DT327"/>
      <c r="DU327"/>
      <c r="DV327"/>
      <c r="DW327"/>
      <c r="DX327"/>
      <c r="DY327"/>
      <c r="DZ327"/>
      <c r="EA327"/>
      <c r="EB327"/>
      <c r="EC327"/>
      <c r="ED327"/>
      <c r="EE327"/>
      <c r="EF327"/>
      <c r="EG327"/>
      <c r="EH327"/>
      <c r="EI327"/>
      <c r="EJ327"/>
      <c r="EK327"/>
      <c r="EL327"/>
      <c r="EM327"/>
      <c r="EN327"/>
      <c r="EO327"/>
      <c r="EP327"/>
      <c r="EQ327"/>
      <c r="ER327"/>
      <c r="ES327"/>
      <c r="ET327"/>
      <c r="EU327"/>
      <c r="EV327"/>
      <c r="EW327"/>
      <c r="EX327"/>
      <c r="EY327"/>
      <c r="EZ327"/>
      <c r="FA327"/>
      <c r="FB327"/>
      <c r="FC327"/>
      <c r="FD327"/>
      <c r="FE327"/>
      <c r="FF327"/>
      <c r="FG327"/>
      <c r="FH327"/>
      <c r="FI327"/>
      <c r="FJ327"/>
      <c r="FK327"/>
      <c r="FL327"/>
      <c r="FM327"/>
      <c r="FN327"/>
      <c r="FO327"/>
      <c r="FP327"/>
      <c r="FQ327"/>
      <c r="FR327"/>
      <c r="FS327"/>
      <c r="FT327"/>
      <c r="FU327"/>
      <c r="FV327"/>
      <c r="FW327"/>
      <c r="FX327"/>
      <c r="FY327"/>
      <c r="FZ327"/>
      <c r="GA327"/>
      <c r="GB327"/>
      <c r="GC327"/>
      <c r="GD327"/>
      <c r="GE327"/>
      <c r="GF327"/>
      <c r="GG327"/>
      <c r="GH327"/>
      <c r="GI327"/>
      <c r="GJ327"/>
      <c r="GK327"/>
      <c r="GL327"/>
      <c r="GM327"/>
      <c r="GN327"/>
      <c r="GO327"/>
      <c r="GP327"/>
      <c r="GQ327"/>
      <c r="GR327"/>
      <c r="GS327"/>
      <c r="GT327"/>
      <c r="GU327"/>
      <c r="GV327"/>
      <c r="GW327"/>
      <c r="GX327"/>
      <c r="GY327"/>
      <c r="GZ327"/>
      <c r="HA327"/>
    </row>
    <row r="328" spans="1:209" ht="15" customHeight="1" x14ac:dyDescent="0.15">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c r="CW328"/>
      <c r="CX328"/>
      <c r="CY328"/>
      <c r="CZ328"/>
      <c r="DA328"/>
      <c r="DB328"/>
      <c r="DC328"/>
      <c r="DD328"/>
      <c r="DE328"/>
      <c r="DF328"/>
      <c r="DG328"/>
      <c r="DH328"/>
      <c r="DI328"/>
      <c r="DJ328"/>
      <c r="DK328"/>
      <c r="DL328"/>
      <c r="DM328"/>
      <c r="DN328"/>
      <c r="DO328"/>
      <c r="DP328"/>
      <c r="DQ328"/>
      <c r="DR328"/>
      <c r="DS328"/>
      <c r="DT328"/>
      <c r="DU328"/>
      <c r="DV328"/>
      <c r="DW328"/>
      <c r="DX328"/>
      <c r="DY328"/>
      <c r="DZ328"/>
      <c r="EA328"/>
      <c r="EB328"/>
      <c r="EC328"/>
      <c r="ED328"/>
      <c r="EE328"/>
      <c r="EF328"/>
      <c r="EG328"/>
      <c r="EH328"/>
      <c r="EI328"/>
      <c r="EJ328"/>
      <c r="EK328"/>
      <c r="EL328"/>
      <c r="EM328"/>
      <c r="EN328"/>
      <c r="EO328"/>
      <c r="EP328"/>
      <c r="EQ328"/>
      <c r="ER328"/>
      <c r="ES328"/>
      <c r="ET328"/>
      <c r="EU328"/>
      <c r="EV328"/>
      <c r="EW328"/>
      <c r="EX328"/>
      <c r="EY328"/>
      <c r="EZ328"/>
      <c r="FA328"/>
      <c r="FB328"/>
      <c r="FC328"/>
      <c r="FD328"/>
      <c r="FE328"/>
      <c r="FF328"/>
      <c r="FG328"/>
      <c r="FH328"/>
      <c r="FI328"/>
      <c r="FJ328"/>
      <c r="FK328"/>
      <c r="FL328"/>
      <c r="FM328"/>
      <c r="FN328"/>
      <c r="FO328"/>
      <c r="FP328"/>
      <c r="FQ328"/>
      <c r="FR328"/>
      <c r="FS328"/>
      <c r="FT328"/>
      <c r="FU328"/>
      <c r="FV328"/>
      <c r="FW328"/>
      <c r="FX328"/>
      <c r="FY328"/>
      <c r="FZ328"/>
      <c r="GA328"/>
      <c r="GB328"/>
      <c r="GC328"/>
      <c r="GD328"/>
      <c r="GE328"/>
      <c r="GF328"/>
      <c r="GG328"/>
      <c r="GH328"/>
      <c r="GI328"/>
      <c r="GJ328"/>
      <c r="GK328"/>
      <c r="GL328"/>
      <c r="GM328"/>
      <c r="GN328"/>
      <c r="GO328"/>
      <c r="GP328"/>
      <c r="GQ328"/>
      <c r="GR328"/>
      <c r="GS328"/>
      <c r="GT328"/>
      <c r="GU328"/>
      <c r="GV328"/>
      <c r="GW328"/>
      <c r="GX328"/>
      <c r="GY328"/>
      <c r="GZ328"/>
      <c r="HA328"/>
    </row>
    <row r="329" spans="1:209" ht="15" customHeight="1" x14ac:dyDescent="0.15">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c r="CW329"/>
      <c r="CX329"/>
      <c r="CY329"/>
      <c r="CZ329"/>
      <c r="DA329"/>
      <c r="DB329"/>
      <c r="DC329"/>
      <c r="DD329"/>
      <c r="DE329"/>
      <c r="DF329"/>
      <c r="DG329"/>
      <c r="DH329"/>
      <c r="DI329"/>
      <c r="DJ329"/>
      <c r="DK329"/>
      <c r="DL329"/>
      <c r="DM329"/>
      <c r="DN329"/>
      <c r="DO329"/>
      <c r="DP329"/>
      <c r="DQ329"/>
      <c r="DR329"/>
      <c r="DS329"/>
      <c r="DT329"/>
      <c r="DU329"/>
      <c r="DV329"/>
      <c r="DW329"/>
      <c r="DX329"/>
      <c r="DY329"/>
      <c r="DZ329"/>
      <c r="EA329"/>
      <c r="EB329"/>
      <c r="EC329"/>
      <c r="ED329"/>
      <c r="EE329"/>
      <c r="EF329"/>
      <c r="EG329"/>
      <c r="EH329"/>
      <c r="EI329"/>
      <c r="EJ329"/>
      <c r="EK329"/>
      <c r="EL329"/>
      <c r="EM329"/>
      <c r="EN329"/>
      <c r="EO329"/>
      <c r="EP329"/>
      <c r="EQ329"/>
      <c r="ER329"/>
      <c r="ES329"/>
      <c r="ET329"/>
      <c r="EU329"/>
      <c r="EV329"/>
      <c r="EW329"/>
      <c r="EX329"/>
      <c r="EY329"/>
      <c r="EZ329"/>
      <c r="FA329"/>
      <c r="FB329"/>
      <c r="FC329"/>
      <c r="FD329"/>
      <c r="FE329"/>
      <c r="FF329"/>
      <c r="FG329"/>
      <c r="FH329"/>
      <c r="FI329"/>
      <c r="FJ329"/>
      <c r="FK329"/>
      <c r="FL329"/>
      <c r="FM329"/>
      <c r="FN329"/>
      <c r="FO329"/>
      <c r="FP329"/>
      <c r="FQ329"/>
      <c r="FR329"/>
      <c r="FS329"/>
      <c r="FT329"/>
      <c r="FU329"/>
      <c r="FV329"/>
      <c r="FW329"/>
      <c r="FX329"/>
      <c r="FY329"/>
      <c r="FZ329"/>
      <c r="GA329"/>
      <c r="GB329"/>
      <c r="GC329"/>
      <c r="GD329"/>
      <c r="GE329"/>
      <c r="GF329"/>
      <c r="GG329"/>
      <c r="GH329"/>
      <c r="GI329"/>
      <c r="GJ329"/>
      <c r="GK329"/>
      <c r="GL329"/>
      <c r="GM329"/>
      <c r="GN329"/>
      <c r="GO329"/>
      <c r="GP329"/>
      <c r="GQ329"/>
      <c r="GR329"/>
      <c r="GS329"/>
      <c r="GT329"/>
      <c r="GU329"/>
      <c r="GV329"/>
      <c r="GW329"/>
      <c r="GX329"/>
      <c r="GY329"/>
      <c r="GZ329"/>
      <c r="HA329"/>
    </row>
    <row r="330" spans="1:209" ht="15" customHeight="1" x14ac:dyDescent="0.15">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c r="CW330"/>
      <c r="CX330"/>
      <c r="CY330"/>
      <c r="CZ330"/>
      <c r="DA330"/>
      <c r="DB330"/>
      <c r="DC330"/>
      <c r="DD330"/>
      <c r="DE330"/>
      <c r="DF330"/>
      <c r="DG330"/>
      <c r="DH330"/>
      <c r="DI330"/>
      <c r="DJ330"/>
      <c r="DK330"/>
      <c r="DL330"/>
      <c r="DM330"/>
      <c r="DN330"/>
      <c r="DO330"/>
      <c r="DP330"/>
      <c r="DQ330"/>
      <c r="DR330"/>
      <c r="DS330"/>
      <c r="DT330"/>
      <c r="DU330"/>
      <c r="DV330"/>
      <c r="DW330"/>
      <c r="DX330"/>
      <c r="DY330"/>
      <c r="DZ330"/>
      <c r="EA330"/>
      <c r="EB330"/>
      <c r="EC330"/>
      <c r="ED330"/>
      <c r="EE330"/>
      <c r="EF330"/>
      <c r="EG330"/>
      <c r="EH330"/>
      <c r="EI330"/>
      <c r="EJ330"/>
      <c r="EK330"/>
      <c r="EL330"/>
      <c r="EM330"/>
      <c r="EN330"/>
      <c r="EO330"/>
      <c r="EP330"/>
      <c r="EQ330"/>
      <c r="ER330"/>
      <c r="ES330"/>
      <c r="ET330"/>
      <c r="EU330"/>
      <c r="EV330"/>
      <c r="EW330"/>
      <c r="EX330"/>
      <c r="EY330"/>
      <c r="EZ330"/>
      <c r="FA330"/>
      <c r="FB330"/>
      <c r="FC330"/>
      <c r="FD330"/>
      <c r="FE330"/>
      <c r="FF330"/>
      <c r="FG330"/>
      <c r="FH330"/>
      <c r="FI330"/>
      <c r="FJ330"/>
      <c r="FK330"/>
      <c r="FL330"/>
      <c r="FM330"/>
      <c r="FN330"/>
      <c r="FO330"/>
      <c r="FP330"/>
      <c r="FQ330"/>
      <c r="FR330"/>
      <c r="FS330"/>
      <c r="FT330"/>
      <c r="FU330"/>
      <c r="FV330"/>
      <c r="FW330"/>
      <c r="FX330"/>
      <c r="FY330"/>
      <c r="FZ330"/>
      <c r="GA330"/>
      <c r="GB330"/>
      <c r="GC330"/>
      <c r="GD330"/>
      <c r="GE330"/>
      <c r="GF330"/>
      <c r="GG330"/>
      <c r="GH330"/>
      <c r="GI330"/>
      <c r="GJ330"/>
      <c r="GK330"/>
      <c r="GL330"/>
      <c r="GM330"/>
      <c r="GN330"/>
      <c r="GO330"/>
      <c r="GP330"/>
      <c r="GQ330"/>
      <c r="GR330"/>
      <c r="GS330"/>
      <c r="GT330"/>
      <c r="GU330"/>
      <c r="GV330"/>
      <c r="GW330"/>
      <c r="GX330"/>
      <c r="GY330"/>
      <c r="GZ330"/>
      <c r="HA330"/>
    </row>
    <row r="331" spans="1:209" ht="15" customHeight="1" x14ac:dyDescent="0.15">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c r="CW331"/>
      <c r="CX331"/>
      <c r="CY331"/>
      <c r="CZ331"/>
      <c r="DA331"/>
      <c r="DB331"/>
      <c r="DC331"/>
      <c r="DD331"/>
      <c r="DE331"/>
      <c r="DF331"/>
      <c r="DG331"/>
      <c r="DH331"/>
      <c r="DI331"/>
      <c r="DJ331"/>
      <c r="DK331"/>
      <c r="DL331"/>
      <c r="DM331"/>
      <c r="DN331"/>
      <c r="DO331"/>
      <c r="DP331"/>
      <c r="DQ331"/>
      <c r="DR331"/>
      <c r="DS331"/>
      <c r="DT331"/>
      <c r="DU331"/>
      <c r="DV331"/>
      <c r="DW331"/>
      <c r="DX331"/>
      <c r="DY331"/>
      <c r="DZ331"/>
      <c r="EA331"/>
      <c r="EB331"/>
      <c r="EC331"/>
      <c r="ED331"/>
      <c r="EE331"/>
      <c r="EF331"/>
      <c r="EG331"/>
      <c r="EH331"/>
      <c r="EI331"/>
      <c r="EJ331"/>
      <c r="EK331"/>
      <c r="EL331"/>
      <c r="EM331"/>
      <c r="EN331"/>
      <c r="EO331"/>
      <c r="EP331"/>
      <c r="EQ331"/>
      <c r="ER331"/>
      <c r="ES331"/>
      <c r="ET331"/>
      <c r="EU331"/>
      <c r="EV331"/>
      <c r="EW331"/>
      <c r="EX331"/>
      <c r="EY331"/>
      <c r="EZ331"/>
      <c r="FA331"/>
      <c r="FB331"/>
      <c r="FC331"/>
      <c r="FD331"/>
      <c r="FE331"/>
      <c r="FF331"/>
      <c r="FG331"/>
      <c r="FH331"/>
      <c r="FI331"/>
      <c r="FJ331"/>
      <c r="FK331"/>
      <c r="FL331"/>
      <c r="FM331"/>
      <c r="FN331"/>
      <c r="FO331"/>
      <c r="FP331"/>
      <c r="FQ331"/>
      <c r="FR331"/>
      <c r="FS331"/>
      <c r="FT331"/>
      <c r="FU331"/>
      <c r="FV331"/>
      <c r="FW331"/>
      <c r="FX331"/>
      <c r="FY331"/>
      <c r="FZ331"/>
      <c r="GA331"/>
      <c r="GB331"/>
      <c r="GC331"/>
      <c r="GD331"/>
      <c r="GE331"/>
      <c r="GF331"/>
      <c r="GG331"/>
      <c r="GH331"/>
      <c r="GI331"/>
      <c r="GJ331"/>
      <c r="GK331"/>
      <c r="GL331"/>
      <c r="GM331"/>
      <c r="GN331"/>
      <c r="GO331"/>
      <c r="GP331"/>
      <c r="GQ331"/>
      <c r="GR331"/>
      <c r="GS331"/>
      <c r="GT331"/>
      <c r="GU331"/>
      <c r="GV331"/>
      <c r="GW331"/>
      <c r="GX331"/>
      <c r="GY331"/>
      <c r="GZ331"/>
      <c r="HA331"/>
    </row>
    <row r="332" spans="1:209" ht="15" customHeight="1" x14ac:dyDescent="0.15">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c r="CW332"/>
      <c r="CX332"/>
      <c r="CY332"/>
      <c r="CZ332"/>
      <c r="DA332"/>
      <c r="DB332"/>
      <c r="DC332"/>
      <c r="DD332"/>
      <c r="DE332"/>
      <c r="DF332"/>
      <c r="DG332"/>
      <c r="DH332"/>
      <c r="DI332"/>
      <c r="DJ332"/>
      <c r="DK332"/>
      <c r="DL332"/>
      <c r="DM332"/>
      <c r="DN332"/>
      <c r="DO332"/>
      <c r="DP332"/>
      <c r="DQ332"/>
      <c r="DR332"/>
      <c r="DS332"/>
      <c r="DT332"/>
      <c r="DU332"/>
      <c r="DV332"/>
      <c r="DW332"/>
      <c r="DX332"/>
      <c r="DY332"/>
      <c r="DZ332"/>
      <c r="EA332"/>
      <c r="EB332"/>
      <c r="EC332"/>
      <c r="ED332"/>
      <c r="EE332"/>
      <c r="EF332"/>
      <c r="EG332"/>
      <c r="EH332"/>
      <c r="EI332"/>
      <c r="EJ332"/>
      <c r="EK332"/>
      <c r="EL332"/>
      <c r="EM332"/>
      <c r="EN332"/>
      <c r="EO332"/>
      <c r="EP332"/>
      <c r="EQ332"/>
      <c r="ER332"/>
      <c r="ES332"/>
      <c r="ET332"/>
      <c r="EU332"/>
      <c r="EV332"/>
      <c r="EW332"/>
      <c r="EX332"/>
      <c r="EY332"/>
      <c r="EZ332"/>
      <c r="FA332"/>
      <c r="FB332"/>
      <c r="FC332"/>
      <c r="FD332"/>
      <c r="FE332"/>
      <c r="FF332"/>
      <c r="FG332"/>
      <c r="FH332"/>
      <c r="FI332"/>
      <c r="FJ332"/>
      <c r="FK332"/>
      <c r="FL332"/>
      <c r="FM332"/>
      <c r="FN332"/>
      <c r="FO332"/>
      <c r="FP332"/>
      <c r="FQ332"/>
      <c r="FR332"/>
      <c r="FS332"/>
      <c r="FT332"/>
      <c r="FU332"/>
      <c r="FV332"/>
      <c r="FW332"/>
      <c r="FX332"/>
      <c r="FY332"/>
      <c r="FZ332"/>
      <c r="GA332"/>
      <c r="GB332"/>
      <c r="GC332"/>
      <c r="GD332"/>
      <c r="GE332"/>
      <c r="GF332"/>
      <c r="GG332"/>
      <c r="GH332"/>
      <c r="GI332"/>
      <c r="GJ332"/>
      <c r="GK332"/>
      <c r="GL332"/>
      <c r="GM332"/>
      <c r="GN332"/>
      <c r="GO332"/>
      <c r="GP332"/>
      <c r="GQ332"/>
      <c r="GR332"/>
      <c r="GS332"/>
      <c r="GT332"/>
      <c r="GU332"/>
      <c r="GV332"/>
      <c r="GW332"/>
      <c r="GX332"/>
      <c r="GY332"/>
      <c r="GZ332"/>
      <c r="HA332"/>
    </row>
    <row r="333" spans="1:209" ht="15" customHeight="1" x14ac:dyDescent="0.15">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c r="CW333"/>
      <c r="CX333"/>
      <c r="CY333"/>
      <c r="CZ333"/>
      <c r="DA333"/>
      <c r="DB333"/>
      <c r="DC333"/>
      <c r="DD333"/>
      <c r="DE333"/>
      <c r="DF333"/>
      <c r="DG333"/>
      <c r="DH333"/>
      <c r="DI333"/>
      <c r="DJ333"/>
      <c r="DK333"/>
      <c r="DL333"/>
      <c r="DM333"/>
      <c r="DN333"/>
      <c r="DO333"/>
      <c r="DP333"/>
      <c r="DQ333"/>
      <c r="DR333"/>
      <c r="DS333"/>
      <c r="DT333"/>
      <c r="DU333"/>
      <c r="DV333"/>
      <c r="DW333"/>
      <c r="DX333"/>
      <c r="DY333"/>
      <c r="DZ333"/>
      <c r="EA333"/>
      <c r="EB333"/>
      <c r="EC333"/>
      <c r="ED333"/>
      <c r="EE333"/>
      <c r="EF333"/>
      <c r="EG333"/>
      <c r="EH333"/>
      <c r="EI333"/>
      <c r="EJ333"/>
      <c r="EK333"/>
      <c r="EL333"/>
      <c r="EM333"/>
      <c r="EN333"/>
      <c r="EO333"/>
      <c r="EP333"/>
      <c r="EQ333"/>
      <c r="ER333"/>
      <c r="ES333"/>
      <c r="ET333"/>
      <c r="EU333"/>
      <c r="EV333"/>
      <c r="EW333"/>
      <c r="EX333"/>
      <c r="EY333"/>
      <c r="EZ333"/>
      <c r="FA333"/>
      <c r="FB333"/>
      <c r="FC333"/>
      <c r="FD333"/>
      <c r="FE333"/>
      <c r="FF333"/>
      <c r="FG333"/>
      <c r="FH333"/>
      <c r="FI333"/>
      <c r="FJ333"/>
      <c r="FK333"/>
      <c r="FL333"/>
      <c r="FM333"/>
      <c r="FN333"/>
      <c r="FO333"/>
      <c r="FP333"/>
      <c r="FQ333"/>
      <c r="FR333"/>
      <c r="FS333"/>
      <c r="FT333"/>
      <c r="FU333"/>
      <c r="FV333"/>
      <c r="FW333"/>
      <c r="FX333"/>
      <c r="FY333"/>
      <c r="FZ333"/>
      <c r="GA333"/>
      <c r="GB333"/>
      <c r="GC333"/>
      <c r="GD333"/>
      <c r="GE333"/>
      <c r="GF333"/>
      <c r="GG333"/>
      <c r="GH333"/>
      <c r="GI333"/>
      <c r="GJ333"/>
      <c r="GK333"/>
      <c r="GL333"/>
      <c r="GM333"/>
      <c r="GN333"/>
      <c r="GO333"/>
      <c r="GP333"/>
      <c r="GQ333"/>
      <c r="GR333"/>
      <c r="GS333"/>
      <c r="GT333"/>
      <c r="GU333"/>
      <c r="GV333"/>
      <c r="GW333"/>
      <c r="GX333"/>
      <c r="GY333"/>
      <c r="GZ333"/>
      <c r="HA333"/>
    </row>
    <row r="334" spans="1:209" ht="15" customHeight="1" x14ac:dyDescent="0.15">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c r="CW334"/>
      <c r="CX334"/>
      <c r="CY334"/>
      <c r="CZ334"/>
      <c r="DA334"/>
      <c r="DB334"/>
      <c r="DC334"/>
      <c r="DD334"/>
      <c r="DE334"/>
      <c r="DF334"/>
      <c r="DG334"/>
      <c r="DH334"/>
      <c r="DI334"/>
      <c r="DJ334"/>
      <c r="DK334"/>
      <c r="DL334"/>
      <c r="DM334"/>
      <c r="DN334"/>
      <c r="DO334"/>
      <c r="DP334"/>
      <c r="DQ334"/>
      <c r="DR334"/>
      <c r="DS334"/>
      <c r="DT334"/>
      <c r="DU334"/>
      <c r="DV334"/>
      <c r="DW334"/>
      <c r="DX334"/>
      <c r="DY334"/>
      <c r="DZ334"/>
      <c r="EA334"/>
      <c r="EB334"/>
      <c r="EC334"/>
      <c r="ED334"/>
      <c r="EE334"/>
      <c r="EF334"/>
      <c r="EG334"/>
      <c r="EH334"/>
      <c r="EI334"/>
      <c r="EJ334"/>
      <c r="EK334"/>
      <c r="EL334"/>
      <c r="EM334"/>
      <c r="EN334"/>
      <c r="EO334"/>
      <c r="EP334"/>
      <c r="EQ334"/>
      <c r="ER334"/>
      <c r="ES334"/>
      <c r="ET334"/>
      <c r="EU334"/>
      <c r="EV334"/>
      <c r="EW334"/>
      <c r="EX334"/>
      <c r="EY334"/>
      <c r="EZ334"/>
      <c r="FA334"/>
      <c r="FB334"/>
      <c r="FC334"/>
      <c r="FD334"/>
      <c r="FE334"/>
      <c r="FF334"/>
      <c r="FG334"/>
      <c r="FH334"/>
      <c r="FI334"/>
      <c r="FJ334"/>
      <c r="FK334"/>
      <c r="FL334"/>
      <c r="FM334"/>
      <c r="FN334"/>
      <c r="FO334"/>
      <c r="FP334"/>
      <c r="FQ334"/>
      <c r="FR334"/>
      <c r="FS334"/>
      <c r="FT334"/>
      <c r="FU334"/>
      <c r="FV334"/>
      <c r="FW334"/>
      <c r="FX334"/>
      <c r="FY334"/>
      <c r="FZ334"/>
      <c r="GA334"/>
      <c r="GB334"/>
      <c r="GC334"/>
      <c r="GD334"/>
      <c r="GE334"/>
      <c r="GF334"/>
      <c r="GG334"/>
      <c r="GH334"/>
      <c r="GI334"/>
      <c r="GJ334"/>
      <c r="GK334"/>
      <c r="GL334"/>
      <c r="GM334"/>
      <c r="GN334"/>
      <c r="GO334"/>
      <c r="GP334"/>
      <c r="GQ334"/>
      <c r="GR334"/>
      <c r="GS334"/>
      <c r="GT334"/>
      <c r="GU334"/>
      <c r="GV334"/>
      <c r="GW334"/>
      <c r="GX334"/>
      <c r="GY334"/>
      <c r="GZ334"/>
      <c r="HA334"/>
    </row>
    <row r="335" spans="1:209" ht="15" customHeight="1" x14ac:dyDescent="0.15">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c r="CW335"/>
      <c r="CX335"/>
      <c r="CY335"/>
      <c r="CZ335"/>
      <c r="DA335"/>
      <c r="DB335"/>
      <c r="DC335"/>
      <c r="DD335"/>
      <c r="DE335"/>
      <c r="DF335"/>
      <c r="DG335"/>
      <c r="DH335"/>
      <c r="DI335"/>
      <c r="DJ335"/>
      <c r="DK335"/>
      <c r="DL335"/>
      <c r="DM335"/>
      <c r="DN335"/>
      <c r="DO335"/>
      <c r="DP335"/>
      <c r="DQ335"/>
      <c r="DR335"/>
      <c r="DS335"/>
      <c r="DT335"/>
      <c r="DU335"/>
      <c r="DV335"/>
      <c r="DW335"/>
      <c r="DX335"/>
      <c r="DY335"/>
      <c r="DZ335"/>
      <c r="EA335"/>
      <c r="EB335"/>
      <c r="EC335"/>
      <c r="ED335"/>
      <c r="EE335"/>
      <c r="EF335"/>
      <c r="EG335"/>
      <c r="EH335"/>
      <c r="EI335"/>
      <c r="EJ335"/>
      <c r="EK335"/>
      <c r="EL335"/>
      <c r="EM335"/>
      <c r="EN335"/>
      <c r="EO335"/>
      <c r="EP335"/>
      <c r="EQ335"/>
      <c r="ER335"/>
      <c r="ES335"/>
      <c r="ET335"/>
      <c r="EU335"/>
      <c r="EV335"/>
      <c r="EW335"/>
      <c r="EX335"/>
      <c r="EY335"/>
      <c r="EZ335"/>
      <c r="FA335"/>
      <c r="FB335"/>
      <c r="FC335"/>
      <c r="FD335"/>
      <c r="FE335"/>
      <c r="FF335"/>
      <c r="FG335"/>
      <c r="FH335"/>
      <c r="FI335"/>
      <c r="FJ335"/>
      <c r="FK335"/>
      <c r="FL335"/>
      <c r="FM335"/>
      <c r="FN335"/>
      <c r="FO335"/>
      <c r="FP335"/>
      <c r="FQ335"/>
      <c r="FR335"/>
      <c r="FS335"/>
      <c r="FT335"/>
      <c r="FU335"/>
      <c r="FV335"/>
      <c r="FW335"/>
      <c r="FX335"/>
      <c r="FY335"/>
      <c r="FZ335"/>
      <c r="GA335"/>
      <c r="GB335"/>
      <c r="GC335"/>
      <c r="GD335"/>
      <c r="GE335"/>
      <c r="GF335"/>
      <c r="GG335"/>
      <c r="GH335"/>
      <c r="GI335"/>
      <c r="GJ335"/>
      <c r="GK335"/>
      <c r="GL335"/>
      <c r="GM335"/>
      <c r="GN335"/>
      <c r="GO335"/>
      <c r="GP335"/>
      <c r="GQ335"/>
      <c r="GR335"/>
      <c r="GS335"/>
      <c r="GT335"/>
      <c r="GU335"/>
      <c r="GV335"/>
      <c r="GW335"/>
      <c r="GX335"/>
      <c r="GY335"/>
      <c r="GZ335"/>
      <c r="HA335"/>
    </row>
    <row r="336" spans="1:209" ht="15" customHeight="1" x14ac:dyDescent="0.15">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c r="CW336"/>
      <c r="CX336"/>
      <c r="CY336"/>
      <c r="CZ336"/>
      <c r="DA336"/>
      <c r="DB336"/>
      <c r="DC336"/>
      <c r="DD336"/>
      <c r="DE336"/>
      <c r="DF336"/>
      <c r="DG336"/>
      <c r="DH336"/>
      <c r="DI336"/>
      <c r="DJ336"/>
      <c r="DK336"/>
      <c r="DL336"/>
      <c r="DM336"/>
      <c r="DN336"/>
      <c r="DO336"/>
      <c r="DP336"/>
      <c r="DQ336"/>
      <c r="DR336"/>
      <c r="DS336"/>
      <c r="DT336"/>
      <c r="DU336"/>
      <c r="DV336"/>
      <c r="DW336"/>
      <c r="DX336"/>
      <c r="DY336"/>
      <c r="DZ336"/>
      <c r="EA336"/>
      <c r="EB336"/>
      <c r="EC336"/>
      <c r="ED336"/>
      <c r="EE336"/>
      <c r="EF336"/>
      <c r="EG336"/>
      <c r="EH336"/>
      <c r="EI336"/>
      <c r="EJ336"/>
      <c r="EK336"/>
      <c r="EL336"/>
      <c r="EM336"/>
      <c r="EN336"/>
      <c r="EO336"/>
      <c r="EP336"/>
      <c r="EQ336"/>
      <c r="ER336"/>
      <c r="ES336"/>
      <c r="ET336"/>
      <c r="EU336"/>
      <c r="EV336"/>
      <c r="EW336"/>
      <c r="EX336"/>
      <c r="EY336"/>
      <c r="EZ336"/>
      <c r="FA336"/>
      <c r="FB336"/>
      <c r="FC336"/>
      <c r="FD336"/>
      <c r="FE336"/>
      <c r="FF336"/>
      <c r="FG336"/>
      <c r="FH336"/>
      <c r="FI336"/>
      <c r="FJ336"/>
      <c r="FK336"/>
      <c r="FL336"/>
      <c r="FM336"/>
      <c r="FN336"/>
      <c r="FO336"/>
      <c r="FP336"/>
      <c r="FQ336"/>
      <c r="FR336"/>
      <c r="FS336"/>
      <c r="FT336"/>
      <c r="FU336"/>
      <c r="FV336"/>
      <c r="FW336"/>
      <c r="FX336"/>
      <c r="FY336"/>
      <c r="FZ336"/>
      <c r="GA336"/>
      <c r="GB336"/>
      <c r="GC336"/>
      <c r="GD336"/>
      <c r="GE336"/>
      <c r="GF336"/>
      <c r="GG336"/>
      <c r="GH336"/>
      <c r="GI336"/>
      <c r="GJ336"/>
      <c r="GK336"/>
      <c r="GL336"/>
      <c r="GM336"/>
      <c r="GN336"/>
      <c r="GO336"/>
      <c r="GP336"/>
      <c r="GQ336"/>
      <c r="GR336"/>
      <c r="GS336"/>
      <c r="GT336"/>
      <c r="GU336"/>
      <c r="GV336"/>
      <c r="GW336"/>
      <c r="GX336"/>
      <c r="GY336"/>
      <c r="GZ336"/>
      <c r="HA336"/>
    </row>
    <row r="337" spans="1:209" ht="15" customHeight="1" x14ac:dyDescent="0.15">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c r="CW337"/>
      <c r="CX337"/>
      <c r="CY337"/>
      <c r="CZ337"/>
      <c r="DA337"/>
      <c r="DB337"/>
      <c r="DC337"/>
      <c r="DD337"/>
      <c r="DE337"/>
      <c r="DF337"/>
      <c r="DG337"/>
      <c r="DH337"/>
      <c r="DI337"/>
      <c r="DJ337"/>
      <c r="DK337"/>
      <c r="DL337"/>
      <c r="DM337"/>
      <c r="DN337"/>
      <c r="DO337"/>
      <c r="DP337"/>
      <c r="DQ337"/>
      <c r="DR337"/>
      <c r="DS337"/>
      <c r="DT337"/>
      <c r="DU337"/>
      <c r="DV337"/>
      <c r="DW337"/>
      <c r="DX337"/>
      <c r="DY337"/>
      <c r="DZ337"/>
      <c r="EA337"/>
      <c r="EB337"/>
      <c r="EC337"/>
      <c r="ED337"/>
      <c r="EE337"/>
      <c r="EF337"/>
      <c r="EG337"/>
      <c r="EH337"/>
      <c r="EI337"/>
      <c r="EJ337"/>
      <c r="EK337"/>
      <c r="EL337"/>
      <c r="EM337"/>
      <c r="EN337"/>
      <c r="EO337"/>
      <c r="EP337"/>
      <c r="EQ337"/>
      <c r="ER337"/>
      <c r="ES337"/>
      <c r="ET337"/>
      <c r="EU337"/>
      <c r="EV337"/>
      <c r="EW337"/>
      <c r="EX337"/>
      <c r="EY337"/>
      <c r="EZ337"/>
      <c r="FA337"/>
      <c r="FB337"/>
      <c r="FC337"/>
      <c r="FD337"/>
      <c r="FE337"/>
      <c r="FF337"/>
      <c r="FG337"/>
      <c r="FH337"/>
      <c r="FI337"/>
      <c r="FJ337"/>
      <c r="FK337"/>
      <c r="FL337"/>
      <c r="FM337"/>
      <c r="FN337"/>
      <c r="FO337"/>
      <c r="FP337"/>
      <c r="FQ337"/>
      <c r="FR337"/>
      <c r="FS337"/>
      <c r="FT337"/>
      <c r="FU337"/>
      <c r="FV337"/>
      <c r="FW337"/>
      <c r="FX337"/>
      <c r="FY337"/>
      <c r="FZ337"/>
      <c r="GA337"/>
      <c r="GB337"/>
      <c r="GC337"/>
      <c r="GD337"/>
      <c r="GE337"/>
      <c r="GF337"/>
      <c r="GG337"/>
      <c r="GH337"/>
      <c r="GI337"/>
      <c r="GJ337"/>
      <c r="GK337"/>
      <c r="GL337"/>
      <c r="GM337"/>
      <c r="GN337"/>
      <c r="GO337"/>
      <c r="GP337"/>
      <c r="GQ337"/>
      <c r="GR337"/>
      <c r="GS337"/>
      <c r="GT337"/>
      <c r="GU337"/>
      <c r="GV337"/>
      <c r="GW337"/>
      <c r="GX337"/>
      <c r="GY337"/>
      <c r="GZ337"/>
      <c r="HA337"/>
    </row>
    <row r="338" spans="1:209" ht="15" customHeight="1" x14ac:dyDescent="0.15">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c r="CW338"/>
      <c r="CX338"/>
      <c r="CY338"/>
      <c r="CZ338"/>
      <c r="DA338"/>
      <c r="DB338"/>
      <c r="DC338"/>
      <c r="DD338"/>
      <c r="DE338"/>
      <c r="DF338"/>
      <c r="DG338"/>
      <c r="DH338"/>
      <c r="DI338"/>
      <c r="DJ338"/>
      <c r="DK338"/>
      <c r="DL338"/>
      <c r="DM338"/>
      <c r="DN338"/>
      <c r="DO338"/>
      <c r="DP338"/>
      <c r="DQ338"/>
      <c r="DR338"/>
      <c r="DS338"/>
      <c r="DT338"/>
      <c r="DU338"/>
      <c r="DV338"/>
      <c r="DW338"/>
      <c r="DX338"/>
      <c r="DY338"/>
      <c r="DZ338"/>
      <c r="EA338"/>
      <c r="EB338"/>
      <c r="EC338"/>
      <c r="ED338"/>
      <c r="EE338"/>
      <c r="EF338"/>
      <c r="EG338"/>
      <c r="EH338"/>
      <c r="EI338"/>
      <c r="EJ338"/>
      <c r="EK338"/>
      <c r="EL338"/>
      <c r="EM338"/>
      <c r="EN338"/>
      <c r="EO338"/>
      <c r="EP338"/>
      <c r="EQ338"/>
      <c r="ER338"/>
      <c r="ES338"/>
      <c r="ET338"/>
      <c r="EU338"/>
      <c r="EV338"/>
      <c r="EW338"/>
      <c r="EX338"/>
      <c r="EY338"/>
      <c r="EZ338"/>
      <c r="FA338"/>
      <c r="FB338"/>
      <c r="FC338"/>
      <c r="FD338"/>
      <c r="FE338"/>
      <c r="FF338"/>
      <c r="FG338"/>
      <c r="FH338"/>
      <c r="FI338"/>
      <c r="FJ338"/>
      <c r="FK338"/>
      <c r="FL338"/>
      <c r="FM338"/>
      <c r="FN338"/>
      <c r="FO338"/>
      <c r="FP338"/>
      <c r="FQ338"/>
      <c r="FR338"/>
      <c r="FS338"/>
      <c r="FT338"/>
      <c r="FU338"/>
      <c r="FV338"/>
      <c r="FW338"/>
      <c r="FX338"/>
      <c r="FY338"/>
      <c r="FZ338"/>
      <c r="GA338"/>
      <c r="GB338"/>
      <c r="GC338"/>
      <c r="GD338"/>
      <c r="GE338"/>
      <c r="GF338"/>
      <c r="GG338"/>
      <c r="GH338"/>
      <c r="GI338"/>
      <c r="GJ338"/>
      <c r="GK338"/>
      <c r="GL338"/>
      <c r="GM338"/>
      <c r="GN338"/>
      <c r="GO338"/>
      <c r="GP338"/>
      <c r="GQ338"/>
      <c r="GR338"/>
      <c r="GS338"/>
      <c r="GT338"/>
      <c r="GU338"/>
      <c r="GV338"/>
      <c r="GW338"/>
      <c r="GX338"/>
      <c r="GY338"/>
      <c r="GZ338"/>
      <c r="HA338"/>
    </row>
    <row r="339" spans="1:209" ht="15" customHeight="1" x14ac:dyDescent="0.15">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c r="CW339"/>
      <c r="CX339"/>
      <c r="CY339"/>
      <c r="CZ339"/>
      <c r="DA339"/>
      <c r="DB339"/>
      <c r="DC339"/>
      <c r="DD339"/>
      <c r="DE339"/>
      <c r="DF339"/>
      <c r="DG339"/>
      <c r="DH339"/>
      <c r="DI339"/>
      <c r="DJ339"/>
      <c r="DK339"/>
      <c r="DL339"/>
      <c r="DM339"/>
      <c r="DN339"/>
      <c r="DO339"/>
      <c r="DP339"/>
      <c r="DQ339"/>
      <c r="DR339"/>
      <c r="DS339"/>
      <c r="DT339"/>
      <c r="DU339"/>
      <c r="DV339"/>
      <c r="DW339"/>
      <c r="DX339"/>
      <c r="DY339"/>
      <c r="DZ339"/>
      <c r="EA339"/>
      <c r="EB339"/>
      <c r="EC339"/>
      <c r="ED339"/>
      <c r="EE339"/>
      <c r="EF339"/>
      <c r="EG339"/>
      <c r="EH339"/>
      <c r="EI339"/>
      <c r="EJ339"/>
      <c r="EK339"/>
      <c r="EL339"/>
      <c r="EM339"/>
      <c r="EN339"/>
      <c r="EO339"/>
      <c r="EP339"/>
      <c r="EQ339"/>
      <c r="ER339"/>
      <c r="ES339"/>
      <c r="ET339"/>
      <c r="EU339"/>
      <c r="EV339"/>
      <c r="EW339"/>
      <c r="EX339"/>
      <c r="EY339"/>
      <c r="EZ339"/>
      <c r="FA339"/>
      <c r="FB339"/>
      <c r="FC339"/>
      <c r="FD339"/>
      <c r="FE339"/>
      <c r="FF339"/>
      <c r="FG339"/>
      <c r="FH339"/>
      <c r="FI339"/>
      <c r="FJ339"/>
      <c r="FK339"/>
      <c r="FL339"/>
      <c r="FM339"/>
      <c r="FN339"/>
      <c r="FO339"/>
      <c r="FP339"/>
      <c r="FQ339"/>
      <c r="FR339"/>
      <c r="FS339"/>
      <c r="FT339"/>
      <c r="FU339"/>
      <c r="FV339"/>
      <c r="FW339"/>
      <c r="FX339"/>
      <c r="FY339"/>
      <c r="FZ339"/>
      <c r="GA339"/>
      <c r="GB339"/>
      <c r="GC339"/>
      <c r="GD339"/>
      <c r="GE339"/>
      <c r="GF339"/>
      <c r="GG339"/>
      <c r="GH339"/>
      <c r="GI339"/>
      <c r="GJ339"/>
      <c r="GK339"/>
      <c r="GL339"/>
      <c r="GM339"/>
      <c r="GN339"/>
      <c r="GO339"/>
      <c r="GP339"/>
      <c r="GQ339"/>
      <c r="GR339"/>
      <c r="GS339"/>
      <c r="GT339"/>
      <c r="GU339"/>
      <c r="GV339"/>
      <c r="GW339"/>
      <c r="GX339"/>
      <c r="GY339"/>
      <c r="GZ339"/>
      <c r="HA339"/>
    </row>
    <row r="340" spans="1:209" ht="15" customHeight="1" x14ac:dyDescent="0.15">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c r="CW340"/>
      <c r="CX340"/>
      <c r="CY340"/>
      <c r="CZ340"/>
      <c r="DA340"/>
      <c r="DB340"/>
      <c r="DC340"/>
      <c r="DD340"/>
      <c r="DE340"/>
      <c r="DF340"/>
      <c r="DG340"/>
      <c r="DH340"/>
      <c r="DI340"/>
      <c r="DJ340"/>
      <c r="DK340"/>
      <c r="DL340"/>
      <c r="DM340"/>
      <c r="DN340"/>
      <c r="DO340"/>
      <c r="DP340"/>
      <c r="DQ340"/>
      <c r="DR340"/>
      <c r="DS340"/>
      <c r="DT340"/>
      <c r="DU340"/>
      <c r="DV340"/>
      <c r="DW340"/>
      <c r="DX340"/>
      <c r="DY340"/>
      <c r="DZ340"/>
      <c r="EA340"/>
      <c r="EB340"/>
      <c r="EC340"/>
      <c r="ED340"/>
      <c r="EE340"/>
      <c r="EF340"/>
      <c r="EG340"/>
      <c r="EH340"/>
      <c r="EI340"/>
      <c r="EJ340"/>
      <c r="EK340"/>
      <c r="EL340"/>
      <c r="EM340"/>
      <c r="EN340"/>
      <c r="EO340"/>
      <c r="EP340"/>
      <c r="EQ340"/>
      <c r="ER340"/>
      <c r="ES340"/>
      <c r="ET340"/>
      <c r="EU340"/>
      <c r="EV340"/>
      <c r="EW340"/>
      <c r="EX340"/>
      <c r="EY340"/>
      <c r="EZ340"/>
      <c r="FA340"/>
      <c r="FB340"/>
      <c r="FC340"/>
      <c r="FD340"/>
      <c r="FE340"/>
      <c r="FF340"/>
      <c r="FG340"/>
      <c r="FH340"/>
      <c r="FI340"/>
      <c r="FJ340"/>
      <c r="FK340"/>
      <c r="FL340"/>
      <c r="FM340"/>
      <c r="FN340"/>
      <c r="FO340"/>
      <c r="FP340"/>
      <c r="FQ340"/>
      <c r="FR340"/>
      <c r="FS340"/>
      <c r="FT340"/>
      <c r="FU340"/>
      <c r="FV340"/>
      <c r="FW340"/>
      <c r="FX340"/>
      <c r="FY340"/>
      <c r="FZ340"/>
      <c r="GA340"/>
      <c r="GB340"/>
      <c r="GC340"/>
      <c r="GD340"/>
      <c r="GE340"/>
      <c r="GF340"/>
      <c r="GG340"/>
      <c r="GH340"/>
      <c r="GI340"/>
      <c r="GJ340"/>
      <c r="GK340"/>
      <c r="GL340"/>
      <c r="GM340"/>
      <c r="GN340"/>
      <c r="GO340"/>
      <c r="GP340"/>
      <c r="GQ340"/>
      <c r="GR340"/>
      <c r="GS340"/>
      <c r="GT340"/>
      <c r="GU340"/>
      <c r="GV340"/>
      <c r="GW340"/>
      <c r="GX340"/>
      <c r="GY340"/>
      <c r="GZ340"/>
      <c r="HA340"/>
    </row>
    <row r="341" spans="1:209" ht="15" customHeight="1" x14ac:dyDescent="0.15">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c r="CW341"/>
      <c r="CX341"/>
      <c r="CY341"/>
      <c r="CZ341"/>
      <c r="DA341"/>
      <c r="DB341"/>
      <c r="DC341"/>
      <c r="DD341"/>
      <c r="DE341"/>
      <c r="DF341"/>
      <c r="DG341"/>
      <c r="DH341"/>
      <c r="DI341"/>
      <c r="DJ341"/>
      <c r="DK341"/>
      <c r="DL341"/>
      <c r="DM341"/>
      <c r="DN341"/>
      <c r="DO341"/>
      <c r="DP341"/>
      <c r="DQ341"/>
      <c r="DR341"/>
      <c r="DS341"/>
      <c r="DT341"/>
      <c r="DU341"/>
      <c r="DV341"/>
      <c r="DW341"/>
      <c r="DX341"/>
      <c r="DY341"/>
      <c r="DZ341"/>
      <c r="EA341"/>
      <c r="EB341"/>
      <c r="EC341"/>
      <c r="ED341"/>
      <c r="EE341"/>
      <c r="EF341"/>
      <c r="EG341"/>
      <c r="EH341"/>
      <c r="EI341"/>
      <c r="EJ341"/>
      <c r="EK341"/>
      <c r="EL341"/>
      <c r="EM341"/>
      <c r="EN341"/>
      <c r="EO341"/>
      <c r="EP341"/>
      <c r="EQ341"/>
      <c r="ER341"/>
      <c r="ES341"/>
      <c r="ET341"/>
      <c r="EU341"/>
      <c r="EV341"/>
      <c r="EW341"/>
      <c r="EX341"/>
      <c r="EY341"/>
      <c r="EZ341"/>
      <c r="FA341"/>
      <c r="FB341"/>
      <c r="FC341"/>
      <c r="FD341"/>
      <c r="FE341"/>
      <c r="FF341"/>
      <c r="FG341"/>
      <c r="FH341"/>
      <c r="FI341"/>
      <c r="FJ341"/>
      <c r="FK341"/>
      <c r="FL341"/>
      <c r="FM341"/>
      <c r="FN341"/>
      <c r="FO341"/>
      <c r="FP341"/>
      <c r="FQ341"/>
      <c r="FR341"/>
      <c r="FS341"/>
      <c r="FT341"/>
      <c r="FU341"/>
      <c r="FV341"/>
      <c r="FW341"/>
      <c r="FX341"/>
      <c r="FY341"/>
      <c r="FZ341"/>
      <c r="GA341"/>
      <c r="GB341"/>
      <c r="GC341"/>
      <c r="GD341"/>
      <c r="GE341"/>
      <c r="GF341"/>
      <c r="GG341"/>
      <c r="GH341"/>
      <c r="GI341"/>
      <c r="GJ341"/>
      <c r="GK341"/>
      <c r="GL341"/>
      <c r="GM341"/>
      <c r="GN341"/>
      <c r="GO341"/>
      <c r="GP341"/>
      <c r="GQ341"/>
      <c r="GR341"/>
      <c r="GS341"/>
      <c r="GT341"/>
      <c r="GU341"/>
      <c r="GV341"/>
      <c r="GW341"/>
      <c r="GX341"/>
      <c r="GY341"/>
      <c r="GZ341"/>
      <c r="HA341"/>
    </row>
    <row r="342" spans="1:209" ht="15" customHeight="1" x14ac:dyDescent="0.15">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c r="CW342"/>
      <c r="CX342"/>
      <c r="CY342"/>
      <c r="CZ342"/>
      <c r="DA342"/>
      <c r="DB342"/>
      <c r="DC342"/>
      <c r="DD342"/>
      <c r="DE342"/>
      <c r="DF342"/>
      <c r="DG342"/>
      <c r="DH342"/>
      <c r="DI342"/>
      <c r="DJ342"/>
      <c r="DK342"/>
      <c r="DL342"/>
      <c r="DM342"/>
      <c r="DN342"/>
      <c r="DO342"/>
      <c r="DP342"/>
      <c r="DQ342"/>
      <c r="DR342"/>
      <c r="DS342"/>
      <c r="DT342"/>
      <c r="DU342"/>
      <c r="DV342"/>
      <c r="DW342"/>
      <c r="DX342"/>
      <c r="DY342"/>
      <c r="DZ342"/>
      <c r="EA342"/>
      <c r="EB342"/>
      <c r="EC342"/>
      <c r="ED342"/>
      <c r="EE342"/>
      <c r="EF342"/>
      <c r="EG342"/>
      <c r="EH342"/>
      <c r="EI342"/>
      <c r="EJ342"/>
      <c r="EK342"/>
      <c r="EL342"/>
      <c r="EM342"/>
      <c r="EN342"/>
      <c r="EO342"/>
      <c r="EP342"/>
      <c r="EQ342"/>
      <c r="ER342"/>
      <c r="ES342"/>
      <c r="ET342"/>
      <c r="EU342"/>
      <c r="EV342"/>
      <c r="EW342"/>
      <c r="EX342"/>
      <c r="EY342"/>
      <c r="EZ342"/>
      <c r="FA342"/>
      <c r="FB342"/>
      <c r="FC342"/>
      <c r="FD342"/>
      <c r="FE342"/>
      <c r="FF342"/>
      <c r="FG342"/>
      <c r="FH342"/>
      <c r="FI342"/>
      <c r="FJ342"/>
      <c r="FK342"/>
      <c r="FL342"/>
      <c r="FM342"/>
      <c r="FN342"/>
      <c r="FO342"/>
      <c r="FP342"/>
      <c r="FQ342"/>
      <c r="FR342"/>
      <c r="FS342"/>
      <c r="FT342"/>
      <c r="FU342"/>
      <c r="FV342"/>
      <c r="FW342"/>
      <c r="FX342"/>
      <c r="FY342"/>
      <c r="FZ342"/>
      <c r="GA342"/>
      <c r="GB342"/>
      <c r="GC342"/>
      <c r="GD342"/>
      <c r="GE342"/>
      <c r="GF342"/>
      <c r="GG342"/>
      <c r="GH342"/>
      <c r="GI342"/>
      <c r="GJ342"/>
      <c r="GK342"/>
      <c r="GL342"/>
      <c r="GM342"/>
      <c r="GN342"/>
      <c r="GO342"/>
      <c r="GP342"/>
      <c r="GQ342"/>
      <c r="GR342"/>
      <c r="GS342"/>
      <c r="GT342"/>
      <c r="GU342"/>
      <c r="GV342"/>
      <c r="GW342"/>
      <c r="GX342"/>
      <c r="GY342"/>
      <c r="GZ342"/>
      <c r="HA342"/>
    </row>
    <row r="343" spans="1:209" ht="15" customHeight="1" x14ac:dyDescent="0.15">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c r="CW343"/>
      <c r="CX343"/>
      <c r="CY343"/>
      <c r="CZ343"/>
      <c r="DA343"/>
      <c r="DB343"/>
      <c r="DC343"/>
      <c r="DD343"/>
      <c r="DE343"/>
      <c r="DF343"/>
      <c r="DG343"/>
      <c r="DH343"/>
      <c r="DI343"/>
      <c r="DJ343"/>
      <c r="DK343"/>
      <c r="DL343"/>
      <c r="DM343"/>
      <c r="DN343"/>
      <c r="DO343"/>
      <c r="DP343"/>
      <c r="DQ343"/>
      <c r="DR343"/>
      <c r="DS343"/>
      <c r="DT343"/>
      <c r="DU343"/>
      <c r="DV343"/>
      <c r="DW343"/>
      <c r="DX343"/>
      <c r="DY343"/>
      <c r="DZ343"/>
      <c r="EA343"/>
      <c r="EB343"/>
      <c r="EC343"/>
      <c r="ED343"/>
      <c r="EE343"/>
      <c r="EF343"/>
      <c r="EG343"/>
      <c r="EH343"/>
      <c r="EI343"/>
      <c r="EJ343"/>
      <c r="EK343"/>
      <c r="EL343"/>
      <c r="EM343"/>
      <c r="EN343"/>
      <c r="EO343"/>
      <c r="EP343"/>
      <c r="EQ343"/>
      <c r="ER343"/>
      <c r="ES343"/>
      <c r="ET343"/>
      <c r="EU343"/>
      <c r="EV343"/>
      <c r="EW343"/>
      <c r="EX343"/>
      <c r="EY343"/>
      <c r="EZ343"/>
      <c r="FA343"/>
      <c r="FB343"/>
      <c r="FC343"/>
      <c r="FD343"/>
      <c r="FE343"/>
      <c r="FF343"/>
      <c r="FG343"/>
      <c r="FH343"/>
      <c r="FI343"/>
      <c r="FJ343"/>
      <c r="FK343"/>
      <c r="FL343"/>
      <c r="FM343"/>
      <c r="FN343"/>
      <c r="FO343"/>
      <c r="FP343"/>
      <c r="FQ343"/>
      <c r="FR343"/>
      <c r="FS343"/>
      <c r="FT343"/>
      <c r="FU343"/>
      <c r="FV343"/>
      <c r="FW343"/>
      <c r="FX343"/>
      <c r="FY343"/>
      <c r="FZ343"/>
      <c r="GA343"/>
      <c r="GB343"/>
      <c r="GC343"/>
      <c r="GD343"/>
      <c r="GE343"/>
      <c r="GF343"/>
      <c r="GG343"/>
      <c r="GH343"/>
      <c r="GI343"/>
      <c r="GJ343"/>
      <c r="GK343"/>
      <c r="GL343"/>
      <c r="GM343"/>
      <c r="GN343"/>
      <c r="GO343"/>
      <c r="GP343"/>
      <c r="GQ343"/>
      <c r="GR343"/>
      <c r="GS343"/>
      <c r="GT343"/>
      <c r="GU343"/>
      <c r="GV343"/>
      <c r="GW343"/>
      <c r="GX343"/>
      <c r="GY343"/>
      <c r="GZ343"/>
      <c r="HA343"/>
    </row>
    <row r="344" spans="1:209" ht="15" customHeight="1" x14ac:dyDescent="0.15">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c r="CW344"/>
      <c r="CX344"/>
      <c r="CY344"/>
      <c r="CZ344"/>
      <c r="DA344"/>
      <c r="DB344"/>
      <c r="DC344"/>
      <c r="DD344"/>
      <c r="DE344"/>
      <c r="DF344"/>
      <c r="DG344"/>
      <c r="DH344"/>
      <c r="DI344"/>
      <c r="DJ344"/>
      <c r="DK344"/>
      <c r="DL344"/>
      <c r="DM344"/>
      <c r="DN344"/>
      <c r="DO344"/>
      <c r="DP344"/>
      <c r="DQ344"/>
      <c r="DR344"/>
      <c r="DS344"/>
      <c r="DT344"/>
      <c r="DU344"/>
      <c r="DV344"/>
      <c r="DW344"/>
      <c r="DX344"/>
      <c r="DY344"/>
      <c r="DZ344"/>
      <c r="EA344"/>
      <c r="EB344"/>
      <c r="EC344"/>
      <c r="ED344"/>
      <c r="EE344"/>
      <c r="EF344"/>
      <c r="EG344"/>
      <c r="EH344"/>
      <c r="EI344"/>
      <c r="EJ344"/>
      <c r="EK344"/>
      <c r="EL344"/>
      <c r="EM344"/>
      <c r="EN344"/>
      <c r="EO344"/>
      <c r="EP344"/>
      <c r="EQ344"/>
      <c r="ER344"/>
      <c r="ES344"/>
      <c r="ET344"/>
      <c r="EU344"/>
      <c r="EV344"/>
      <c r="EW344"/>
      <c r="EX344"/>
      <c r="EY344"/>
      <c r="EZ344"/>
      <c r="FA344"/>
      <c r="FB344"/>
      <c r="FC344"/>
      <c r="FD344"/>
      <c r="FE344"/>
      <c r="FF344"/>
      <c r="FG344"/>
      <c r="FH344"/>
      <c r="FI344"/>
      <c r="FJ344"/>
      <c r="FK344"/>
      <c r="FL344"/>
      <c r="FM344"/>
      <c r="FN344"/>
      <c r="FO344"/>
      <c r="FP344"/>
      <c r="FQ344"/>
      <c r="FR344"/>
      <c r="FS344"/>
      <c r="FT344"/>
      <c r="FU344"/>
      <c r="FV344"/>
      <c r="FW344"/>
      <c r="FX344"/>
      <c r="FY344"/>
      <c r="FZ344"/>
      <c r="GA344"/>
      <c r="GB344"/>
      <c r="GC344"/>
      <c r="GD344"/>
      <c r="GE344"/>
      <c r="GF344"/>
      <c r="GG344"/>
      <c r="GH344"/>
      <c r="GI344"/>
      <c r="GJ344"/>
      <c r="GK344"/>
      <c r="GL344"/>
      <c r="GM344"/>
      <c r="GN344"/>
      <c r="GO344"/>
      <c r="GP344"/>
      <c r="GQ344"/>
      <c r="GR344"/>
      <c r="GS344"/>
      <c r="GT344"/>
      <c r="GU344"/>
      <c r="GV344"/>
      <c r="GW344"/>
      <c r="GX344"/>
      <c r="GY344"/>
      <c r="GZ344"/>
      <c r="HA344"/>
    </row>
    <row r="345" spans="1:209" ht="15" customHeight="1" x14ac:dyDescent="0.15">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c r="CW345"/>
      <c r="CX345"/>
      <c r="CY345"/>
      <c r="CZ345"/>
      <c r="DA345"/>
      <c r="DB345"/>
      <c r="DC345"/>
      <c r="DD345"/>
      <c r="DE345"/>
      <c r="DF345"/>
      <c r="DG345"/>
      <c r="DH345"/>
      <c r="DI345"/>
      <c r="DJ345"/>
      <c r="DK345"/>
      <c r="DL345"/>
      <c r="DM345"/>
      <c r="DN345"/>
      <c r="DO345"/>
      <c r="DP345"/>
      <c r="DQ345"/>
      <c r="DR345"/>
      <c r="DS345"/>
      <c r="DT345"/>
      <c r="DU345"/>
      <c r="DV345"/>
      <c r="DW345"/>
      <c r="DX345"/>
      <c r="DY345"/>
      <c r="DZ345"/>
      <c r="EA345"/>
      <c r="EB345"/>
      <c r="EC345"/>
      <c r="ED345"/>
      <c r="EE345"/>
      <c r="EF345"/>
      <c r="EG345"/>
      <c r="EH345"/>
      <c r="EI345"/>
      <c r="EJ345"/>
      <c r="EK345"/>
      <c r="EL345"/>
      <c r="EM345"/>
      <c r="EN345"/>
      <c r="EO345"/>
      <c r="EP345"/>
      <c r="EQ345"/>
      <c r="ER345"/>
      <c r="ES345"/>
      <c r="ET345"/>
      <c r="EU345"/>
      <c r="EV345"/>
      <c r="EW345"/>
      <c r="EX345"/>
      <c r="EY345"/>
      <c r="EZ345"/>
      <c r="FA345"/>
      <c r="FB345"/>
      <c r="FC345"/>
      <c r="FD345"/>
      <c r="FE345"/>
      <c r="FF345"/>
      <c r="FG345"/>
      <c r="FH345"/>
      <c r="FI345"/>
      <c r="FJ345"/>
      <c r="FK345"/>
      <c r="FL345"/>
      <c r="FM345"/>
      <c r="FN345"/>
      <c r="FO345"/>
      <c r="FP345"/>
      <c r="FQ345"/>
      <c r="FR345"/>
      <c r="FS345"/>
      <c r="FT345"/>
      <c r="FU345"/>
      <c r="FV345"/>
      <c r="FW345"/>
      <c r="FX345"/>
      <c r="FY345"/>
      <c r="FZ345"/>
      <c r="GA345"/>
      <c r="GB345"/>
      <c r="GC345"/>
      <c r="GD345"/>
      <c r="GE345"/>
      <c r="GF345"/>
      <c r="GG345"/>
      <c r="GH345"/>
      <c r="GI345"/>
      <c r="GJ345"/>
      <c r="GK345"/>
      <c r="GL345"/>
      <c r="GM345"/>
      <c r="GN345"/>
      <c r="GO345"/>
      <c r="GP345"/>
      <c r="GQ345"/>
      <c r="GR345"/>
      <c r="GS345"/>
      <c r="GT345"/>
      <c r="GU345"/>
      <c r="GV345"/>
      <c r="GW345"/>
      <c r="GX345"/>
      <c r="GY345"/>
      <c r="GZ345"/>
      <c r="HA345"/>
    </row>
    <row r="346" spans="1:209" ht="15" customHeight="1" x14ac:dyDescent="0.15">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c r="CW346"/>
      <c r="CX346"/>
      <c r="CY346"/>
      <c r="CZ346"/>
      <c r="DA346"/>
      <c r="DB346"/>
      <c r="DC346"/>
      <c r="DD346"/>
      <c r="DE346"/>
      <c r="DF346"/>
      <c r="DG346"/>
      <c r="DH346"/>
      <c r="DI346"/>
      <c r="DJ346"/>
      <c r="DK346"/>
      <c r="DL346"/>
      <c r="DM346"/>
      <c r="DN346"/>
      <c r="DO346"/>
      <c r="DP346"/>
      <c r="DQ346"/>
      <c r="DR346"/>
      <c r="DS346"/>
      <c r="DT346"/>
      <c r="DU346"/>
      <c r="DV346"/>
      <c r="DW346"/>
      <c r="DX346"/>
      <c r="DY346"/>
      <c r="DZ346"/>
      <c r="EA346"/>
      <c r="EB346"/>
      <c r="EC346"/>
      <c r="ED346"/>
      <c r="EE346"/>
      <c r="EF346"/>
      <c r="EG346"/>
      <c r="EH346"/>
      <c r="EI346"/>
      <c r="EJ346"/>
      <c r="EK346"/>
      <c r="EL346"/>
      <c r="EM346"/>
      <c r="EN346"/>
      <c r="EO346"/>
      <c r="EP346"/>
      <c r="EQ346"/>
      <c r="ER346"/>
      <c r="ES346"/>
      <c r="ET346"/>
      <c r="EU346"/>
      <c r="EV346"/>
      <c r="EW346"/>
      <c r="EX346"/>
      <c r="EY346"/>
      <c r="EZ346"/>
      <c r="FA346"/>
      <c r="FB346"/>
      <c r="FC346"/>
      <c r="FD346"/>
      <c r="FE346"/>
      <c r="FF346"/>
      <c r="FG346"/>
      <c r="FH346"/>
      <c r="FI346"/>
      <c r="FJ346"/>
      <c r="FK346"/>
      <c r="FL346"/>
      <c r="FM346"/>
      <c r="FN346"/>
      <c r="FO346"/>
      <c r="FP346"/>
      <c r="FQ346"/>
      <c r="FR346"/>
      <c r="FS346"/>
      <c r="FT346"/>
      <c r="FU346"/>
      <c r="FV346"/>
      <c r="FW346"/>
      <c r="FX346"/>
      <c r="FY346"/>
      <c r="FZ346"/>
      <c r="GA346"/>
      <c r="GB346"/>
      <c r="GC346"/>
      <c r="GD346"/>
      <c r="GE346"/>
      <c r="GF346"/>
      <c r="GG346"/>
      <c r="GH346"/>
      <c r="GI346"/>
      <c r="GJ346"/>
      <c r="GK346"/>
      <c r="GL346"/>
      <c r="GM346"/>
      <c r="GN346"/>
      <c r="GO346"/>
      <c r="GP346"/>
      <c r="GQ346"/>
      <c r="GR346"/>
      <c r="GS346"/>
      <c r="GT346"/>
      <c r="GU346"/>
      <c r="GV346"/>
      <c r="GW346"/>
      <c r="GX346"/>
      <c r="GY346"/>
      <c r="GZ346"/>
      <c r="HA346"/>
    </row>
    <row r="347" spans="1:209" ht="15" customHeight="1" x14ac:dyDescent="0.15">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c r="CW347"/>
      <c r="CX347"/>
      <c r="CY347"/>
      <c r="CZ347"/>
      <c r="DA347"/>
      <c r="DB347"/>
      <c r="DC347"/>
      <c r="DD347"/>
      <c r="DE347"/>
      <c r="DF347"/>
      <c r="DG347"/>
      <c r="DH347"/>
      <c r="DI347"/>
      <c r="DJ347"/>
      <c r="DK347"/>
      <c r="DL347"/>
      <c r="DM347"/>
      <c r="DN347"/>
      <c r="DO347"/>
      <c r="DP347"/>
      <c r="DQ347"/>
      <c r="DR347"/>
      <c r="DS347"/>
      <c r="DT347"/>
      <c r="DU347"/>
      <c r="DV347"/>
      <c r="DW347"/>
      <c r="DX347"/>
      <c r="DY347"/>
      <c r="DZ347"/>
      <c r="EA347"/>
      <c r="EB347"/>
      <c r="EC347"/>
      <c r="ED347"/>
      <c r="EE347"/>
      <c r="EF347"/>
      <c r="EG347"/>
      <c r="EH347"/>
      <c r="EI347"/>
      <c r="EJ347"/>
      <c r="EK347"/>
      <c r="EL347"/>
      <c r="EM347"/>
      <c r="EN347"/>
      <c r="EO347"/>
      <c r="EP347"/>
      <c r="EQ347"/>
      <c r="ER347"/>
      <c r="ES347"/>
      <c r="ET347"/>
      <c r="EU347"/>
      <c r="EV347"/>
      <c r="EW347"/>
      <c r="EX347"/>
      <c r="EY347"/>
      <c r="EZ347"/>
      <c r="FA347"/>
      <c r="FB347"/>
      <c r="FC347"/>
      <c r="FD347"/>
      <c r="FE347"/>
      <c r="FF347"/>
      <c r="FG347"/>
      <c r="FH347"/>
      <c r="FI347"/>
      <c r="FJ347"/>
      <c r="FK347"/>
      <c r="FL347"/>
      <c r="FM347"/>
      <c r="FN347"/>
      <c r="FO347"/>
      <c r="FP347"/>
      <c r="FQ347"/>
      <c r="FR347"/>
      <c r="FS347"/>
      <c r="FT347"/>
      <c r="FU347"/>
      <c r="FV347"/>
      <c r="FW347"/>
      <c r="FX347"/>
      <c r="FY347"/>
      <c r="FZ347"/>
      <c r="GA347"/>
      <c r="GB347"/>
      <c r="GC347"/>
      <c r="GD347"/>
      <c r="GE347"/>
      <c r="GF347"/>
      <c r="GG347"/>
      <c r="GH347"/>
      <c r="GI347"/>
      <c r="GJ347"/>
      <c r="GK347"/>
      <c r="GL347"/>
      <c r="GM347"/>
      <c r="GN347"/>
      <c r="GO347"/>
      <c r="GP347"/>
      <c r="GQ347"/>
      <c r="GR347"/>
      <c r="GS347"/>
      <c r="GT347"/>
      <c r="GU347"/>
      <c r="GV347"/>
      <c r="GW347"/>
      <c r="GX347"/>
      <c r="GY347"/>
      <c r="GZ347"/>
      <c r="HA347"/>
    </row>
    <row r="348" spans="1:209" ht="15" customHeight="1" x14ac:dyDescent="0.15">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c r="CW348"/>
      <c r="CX348"/>
      <c r="CY348"/>
      <c r="CZ348"/>
      <c r="DA348"/>
      <c r="DB348"/>
      <c r="DC348"/>
      <c r="DD348"/>
      <c r="DE348"/>
      <c r="DF348"/>
      <c r="DG348"/>
      <c r="DH348"/>
      <c r="DI348"/>
      <c r="DJ348"/>
      <c r="DK348"/>
      <c r="DL348"/>
      <c r="DM348"/>
      <c r="DN348"/>
      <c r="DO348"/>
      <c r="DP348"/>
      <c r="DQ348"/>
      <c r="DR348"/>
      <c r="DS348"/>
      <c r="DT348"/>
      <c r="DU348"/>
      <c r="DV348"/>
      <c r="DW348"/>
      <c r="DX348"/>
      <c r="DY348"/>
      <c r="DZ348"/>
      <c r="EA348"/>
      <c r="EB348"/>
      <c r="EC348"/>
      <c r="ED348"/>
      <c r="EE348"/>
      <c r="EF348"/>
      <c r="EG348"/>
      <c r="EH348"/>
      <c r="EI348"/>
      <c r="EJ348"/>
      <c r="EK348"/>
      <c r="EL348"/>
      <c r="EM348"/>
      <c r="EN348"/>
      <c r="EO348"/>
      <c r="EP348"/>
      <c r="EQ348"/>
      <c r="ER348"/>
      <c r="ES348"/>
      <c r="ET348"/>
      <c r="EU348"/>
      <c r="EV348"/>
      <c r="EW348"/>
      <c r="EX348"/>
      <c r="EY348"/>
      <c r="EZ348"/>
      <c r="FA348"/>
      <c r="FB348"/>
      <c r="FC348"/>
      <c r="FD348"/>
      <c r="FE348"/>
      <c r="FF348"/>
      <c r="FG348"/>
      <c r="FH348"/>
      <c r="FI348"/>
      <c r="FJ348"/>
      <c r="FK348"/>
      <c r="FL348"/>
      <c r="FM348"/>
      <c r="FN348"/>
      <c r="FO348"/>
      <c r="FP348"/>
      <c r="FQ348"/>
      <c r="FR348"/>
      <c r="FS348"/>
      <c r="FT348"/>
      <c r="FU348"/>
      <c r="FV348"/>
      <c r="FW348"/>
      <c r="FX348"/>
      <c r="FY348"/>
      <c r="FZ348"/>
      <c r="GA348"/>
      <c r="GB348"/>
      <c r="GC348"/>
      <c r="GD348"/>
      <c r="GE348"/>
      <c r="GF348"/>
      <c r="GG348"/>
      <c r="GH348"/>
      <c r="GI348"/>
      <c r="GJ348"/>
      <c r="GK348"/>
      <c r="GL348"/>
      <c r="GM348"/>
      <c r="GN348"/>
      <c r="GO348"/>
      <c r="GP348"/>
      <c r="GQ348"/>
      <c r="GR348"/>
      <c r="GS348"/>
      <c r="GT348"/>
      <c r="GU348"/>
      <c r="GV348"/>
      <c r="GW348"/>
      <c r="GX348"/>
      <c r="GY348"/>
      <c r="GZ348"/>
      <c r="HA348"/>
    </row>
    <row r="349" spans="1:209" ht="15" customHeight="1" x14ac:dyDescent="0.15">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c r="CW349"/>
      <c r="CX349"/>
      <c r="CY349"/>
      <c r="CZ349"/>
      <c r="DA349"/>
      <c r="DB349"/>
      <c r="DC349"/>
      <c r="DD349"/>
      <c r="DE349"/>
      <c r="DF349"/>
      <c r="DG349"/>
      <c r="DH349"/>
      <c r="DI349"/>
      <c r="DJ349"/>
      <c r="DK349"/>
      <c r="DL349"/>
      <c r="DM349"/>
      <c r="DN349"/>
      <c r="DO349"/>
      <c r="DP349"/>
      <c r="DQ349"/>
      <c r="DR349"/>
      <c r="DS349"/>
      <c r="DT349"/>
      <c r="DU349"/>
      <c r="DV349"/>
      <c r="DW349"/>
      <c r="DX349"/>
      <c r="DY349"/>
      <c r="DZ349"/>
      <c r="EA349"/>
      <c r="EB349"/>
      <c r="EC349"/>
      <c r="ED349"/>
      <c r="EE349"/>
      <c r="EF349"/>
      <c r="EG349"/>
      <c r="EH349"/>
      <c r="EI349"/>
      <c r="EJ349"/>
      <c r="EK349"/>
      <c r="EL349"/>
      <c r="EM349"/>
      <c r="EN349"/>
      <c r="EO349"/>
      <c r="EP349"/>
      <c r="EQ349"/>
      <c r="ER349"/>
      <c r="ES349"/>
      <c r="ET349"/>
      <c r="EU349"/>
      <c r="EV349"/>
      <c r="EW349"/>
      <c r="EX349"/>
      <c r="EY349"/>
      <c r="EZ349"/>
      <c r="FA349"/>
      <c r="FB349"/>
      <c r="FC349"/>
      <c r="FD349"/>
      <c r="FE349"/>
      <c r="FF349"/>
      <c r="FG349"/>
      <c r="FH349"/>
      <c r="FI349"/>
      <c r="FJ349"/>
      <c r="FK349"/>
      <c r="FL349"/>
      <c r="FM349"/>
      <c r="FN349"/>
      <c r="FO349"/>
      <c r="FP349"/>
      <c r="FQ349"/>
      <c r="FR349"/>
      <c r="FS349"/>
      <c r="FT349"/>
      <c r="FU349"/>
      <c r="FV349"/>
      <c r="FW349"/>
      <c r="FX349"/>
      <c r="FY349"/>
      <c r="FZ349"/>
      <c r="GA349"/>
      <c r="GB349"/>
      <c r="GC349"/>
      <c r="GD349"/>
      <c r="GE349"/>
      <c r="GF349"/>
      <c r="GG349"/>
      <c r="GH349"/>
      <c r="GI349"/>
      <c r="GJ349"/>
      <c r="GK349"/>
      <c r="GL349"/>
      <c r="GM349"/>
      <c r="GN349"/>
      <c r="GO349"/>
      <c r="GP349"/>
      <c r="GQ349"/>
      <c r="GR349"/>
      <c r="GS349"/>
      <c r="GT349"/>
      <c r="GU349"/>
      <c r="GV349"/>
      <c r="GW349"/>
      <c r="GX349"/>
      <c r="GY349"/>
      <c r="GZ349"/>
      <c r="HA349"/>
    </row>
    <row r="350" spans="1:209" ht="15" customHeight="1" x14ac:dyDescent="0.15">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c r="CW350"/>
      <c r="CX350"/>
      <c r="CY350"/>
      <c r="CZ350"/>
      <c r="DA350"/>
      <c r="DB350"/>
      <c r="DC350"/>
      <c r="DD350"/>
      <c r="DE350"/>
      <c r="DF350"/>
      <c r="DG350"/>
      <c r="DH350"/>
      <c r="DI350"/>
      <c r="DJ350"/>
      <c r="DK350"/>
      <c r="DL350"/>
      <c r="DM350"/>
      <c r="DN350"/>
      <c r="DO350"/>
      <c r="DP350"/>
      <c r="DQ350"/>
      <c r="DR350"/>
      <c r="DS350"/>
      <c r="DT350"/>
      <c r="DU350"/>
      <c r="DV350"/>
      <c r="DW350"/>
      <c r="DX350"/>
      <c r="DY350"/>
      <c r="DZ350"/>
      <c r="EA350"/>
      <c r="EB350"/>
      <c r="EC350"/>
      <c r="ED350"/>
      <c r="EE350"/>
      <c r="EF350"/>
      <c r="EG350"/>
      <c r="EH350"/>
      <c r="EI350"/>
      <c r="EJ350"/>
      <c r="EK350"/>
      <c r="EL350"/>
      <c r="EM350"/>
      <c r="EN350"/>
      <c r="EO350"/>
      <c r="EP350"/>
      <c r="EQ350"/>
      <c r="ER350"/>
      <c r="ES350"/>
      <c r="ET350"/>
      <c r="EU350"/>
      <c r="EV350"/>
      <c r="EW350"/>
      <c r="EX350"/>
      <c r="EY350"/>
      <c r="EZ350"/>
      <c r="FA350"/>
      <c r="FB350"/>
      <c r="FC350"/>
      <c r="FD350"/>
      <c r="FE350"/>
      <c r="FF350"/>
      <c r="FG350"/>
      <c r="FH350"/>
      <c r="FI350"/>
      <c r="FJ350"/>
      <c r="FK350"/>
      <c r="FL350"/>
      <c r="FM350"/>
      <c r="FN350"/>
      <c r="FO350"/>
      <c r="FP350"/>
      <c r="FQ350"/>
      <c r="FR350"/>
      <c r="FS350"/>
      <c r="FT350"/>
      <c r="FU350"/>
      <c r="FV350"/>
      <c r="FW350"/>
      <c r="FX350"/>
      <c r="FY350"/>
      <c r="FZ350"/>
      <c r="GA350"/>
      <c r="GB350"/>
      <c r="GC350"/>
      <c r="GD350"/>
      <c r="GE350"/>
      <c r="GF350"/>
      <c r="GG350"/>
      <c r="GH350"/>
      <c r="GI350"/>
      <c r="GJ350"/>
      <c r="GK350"/>
      <c r="GL350"/>
      <c r="GM350"/>
      <c r="GN350"/>
      <c r="GO350"/>
      <c r="GP350"/>
      <c r="GQ350"/>
      <c r="GR350"/>
      <c r="GS350"/>
      <c r="GT350"/>
      <c r="GU350"/>
      <c r="GV350"/>
      <c r="GW350"/>
      <c r="GX350"/>
      <c r="GY350"/>
      <c r="GZ350"/>
      <c r="HA350"/>
    </row>
    <row r="351" spans="1:209" ht="15" customHeight="1" x14ac:dyDescent="0.15">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c r="CW351"/>
      <c r="CX351"/>
      <c r="CY351"/>
      <c r="CZ351"/>
      <c r="DA351"/>
      <c r="DB351"/>
      <c r="DC351"/>
      <c r="DD351"/>
      <c r="DE351"/>
      <c r="DF351"/>
      <c r="DG351"/>
      <c r="DH351"/>
      <c r="DI351"/>
      <c r="DJ351"/>
      <c r="DK351"/>
      <c r="DL351"/>
      <c r="DM351"/>
      <c r="DN351"/>
      <c r="DO351"/>
      <c r="DP351"/>
      <c r="DQ351"/>
      <c r="DR351"/>
      <c r="DS351"/>
      <c r="DT351"/>
      <c r="DU351"/>
      <c r="DV351"/>
      <c r="DW351"/>
      <c r="DX351"/>
      <c r="DY351"/>
      <c r="DZ351"/>
      <c r="EA351"/>
      <c r="EB351"/>
      <c r="EC351"/>
      <c r="ED351"/>
      <c r="EE351"/>
      <c r="EF351"/>
      <c r="EG351"/>
      <c r="EH351"/>
      <c r="EI351"/>
      <c r="EJ351"/>
      <c r="EK351"/>
      <c r="EL351"/>
      <c r="EM351"/>
      <c r="EN351"/>
      <c r="EO351"/>
      <c r="EP351"/>
      <c r="EQ351"/>
      <c r="ER351"/>
      <c r="ES351"/>
      <c r="ET351"/>
      <c r="EU351"/>
      <c r="EV351"/>
      <c r="EW351"/>
      <c r="EX351"/>
      <c r="EY351"/>
      <c r="EZ351"/>
      <c r="FA351"/>
      <c r="FB351"/>
      <c r="FC351"/>
      <c r="FD351"/>
      <c r="FE351"/>
      <c r="FF351"/>
      <c r="FG351"/>
      <c r="FH351"/>
      <c r="FI351"/>
      <c r="FJ351"/>
      <c r="FK351"/>
      <c r="FL351"/>
      <c r="FM351"/>
      <c r="FN351"/>
      <c r="FO351"/>
      <c r="FP351"/>
      <c r="FQ351"/>
      <c r="FR351"/>
      <c r="FS351"/>
      <c r="FT351"/>
      <c r="FU351"/>
      <c r="FV351"/>
      <c r="FW351"/>
      <c r="FX351"/>
      <c r="FY351"/>
      <c r="FZ351"/>
      <c r="GA351"/>
      <c r="GB351"/>
      <c r="GC351"/>
      <c r="GD351"/>
      <c r="GE351"/>
      <c r="GF351"/>
      <c r="GG351"/>
      <c r="GH351"/>
      <c r="GI351"/>
      <c r="GJ351"/>
      <c r="GK351"/>
      <c r="GL351"/>
      <c r="GM351"/>
      <c r="GN351"/>
      <c r="GO351"/>
      <c r="GP351"/>
      <c r="GQ351"/>
      <c r="GR351"/>
      <c r="GS351"/>
      <c r="GT351"/>
      <c r="GU351"/>
      <c r="GV351"/>
      <c r="GW351"/>
      <c r="GX351"/>
      <c r="GY351"/>
      <c r="GZ351"/>
      <c r="HA351"/>
    </row>
    <row r="352" spans="1:209" ht="15" customHeight="1" x14ac:dyDescent="0.15">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c r="CW352"/>
      <c r="CX352"/>
      <c r="CY352"/>
      <c r="CZ352"/>
      <c r="DA352"/>
      <c r="DB352"/>
      <c r="DC352"/>
      <c r="DD352"/>
      <c r="DE352"/>
      <c r="DF352"/>
      <c r="DG352"/>
      <c r="DH352"/>
      <c r="DI352"/>
      <c r="DJ352"/>
      <c r="DK352"/>
      <c r="DL352"/>
      <c r="DM352"/>
      <c r="DN352"/>
      <c r="DO352"/>
      <c r="DP352"/>
      <c r="DQ352"/>
      <c r="DR352"/>
      <c r="DS352"/>
      <c r="DT352"/>
      <c r="DU352"/>
      <c r="DV352"/>
      <c r="DW352"/>
      <c r="DX352"/>
      <c r="DY352"/>
      <c r="DZ352"/>
      <c r="EA352"/>
      <c r="EB352"/>
      <c r="EC352"/>
      <c r="ED352"/>
      <c r="EE352"/>
      <c r="EF352"/>
      <c r="EG352"/>
      <c r="EH352"/>
      <c r="EI352"/>
      <c r="EJ352"/>
      <c r="EK352"/>
      <c r="EL352"/>
      <c r="EM352"/>
      <c r="EN352"/>
      <c r="EO352"/>
      <c r="EP352"/>
      <c r="EQ352"/>
      <c r="ER352"/>
      <c r="ES352"/>
      <c r="ET352"/>
      <c r="EU352"/>
      <c r="EV352"/>
      <c r="EW352"/>
      <c r="EX352"/>
      <c r="EY352"/>
      <c r="EZ352"/>
      <c r="FA352"/>
      <c r="FB352"/>
      <c r="FC352"/>
      <c r="FD352"/>
      <c r="FE352"/>
      <c r="FF352"/>
      <c r="FG352"/>
      <c r="FH352"/>
      <c r="FI352"/>
      <c r="FJ352"/>
      <c r="FK352"/>
      <c r="FL352"/>
      <c r="FM352"/>
      <c r="FN352"/>
      <c r="FO352"/>
      <c r="FP352"/>
      <c r="FQ352"/>
      <c r="FR352"/>
      <c r="FS352"/>
      <c r="FT352"/>
      <c r="FU352"/>
      <c r="FV352"/>
      <c r="FW352"/>
      <c r="FX352"/>
      <c r="FY352"/>
      <c r="FZ352"/>
      <c r="GA352"/>
      <c r="GB352"/>
      <c r="GC352"/>
      <c r="GD352"/>
      <c r="GE352"/>
      <c r="GF352"/>
      <c r="GG352"/>
      <c r="GH352"/>
      <c r="GI352"/>
      <c r="GJ352"/>
      <c r="GK352"/>
      <c r="GL352"/>
      <c r="GM352"/>
      <c r="GN352"/>
      <c r="GO352"/>
      <c r="GP352"/>
      <c r="GQ352"/>
      <c r="GR352"/>
      <c r="GS352"/>
      <c r="GT352"/>
      <c r="GU352"/>
      <c r="GV352"/>
      <c r="GW352"/>
      <c r="GX352"/>
      <c r="GY352"/>
      <c r="GZ352"/>
      <c r="HA352"/>
    </row>
    <row r="353" spans="1:209" ht="15" customHeight="1" x14ac:dyDescent="0.15">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c r="CW353"/>
      <c r="CX353"/>
      <c r="CY353"/>
      <c r="CZ353"/>
      <c r="DA353"/>
      <c r="DB353"/>
      <c r="DC353"/>
      <c r="DD353"/>
      <c r="DE353"/>
      <c r="DF353"/>
      <c r="DG353"/>
      <c r="DH353"/>
      <c r="DI353"/>
      <c r="DJ353"/>
      <c r="DK353"/>
      <c r="DL353"/>
      <c r="DM353"/>
      <c r="DN353"/>
      <c r="DO353"/>
      <c r="DP353"/>
      <c r="DQ353"/>
      <c r="DR353"/>
      <c r="DS353"/>
      <c r="DT353"/>
      <c r="DU353"/>
      <c r="DV353"/>
      <c r="DW353"/>
      <c r="DX353"/>
      <c r="DY353"/>
      <c r="DZ353"/>
      <c r="EA353"/>
      <c r="EB353"/>
      <c r="EC353"/>
      <c r="ED353"/>
      <c r="EE353"/>
      <c r="EF353"/>
      <c r="EG353"/>
      <c r="EH353"/>
      <c r="EI353"/>
      <c r="EJ353"/>
      <c r="EK353"/>
      <c r="EL353"/>
      <c r="EM353"/>
      <c r="EN353"/>
      <c r="EO353"/>
      <c r="EP353"/>
      <c r="EQ353"/>
      <c r="ER353"/>
      <c r="ES353"/>
      <c r="ET353"/>
      <c r="EU353"/>
      <c r="EV353"/>
      <c r="EW353"/>
      <c r="EX353"/>
      <c r="EY353"/>
      <c r="EZ353"/>
      <c r="FA353"/>
      <c r="FB353"/>
      <c r="FC353"/>
      <c r="FD353"/>
      <c r="FE353"/>
      <c r="FF353"/>
      <c r="FG353"/>
      <c r="FH353"/>
      <c r="FI353"/>
      <c r="FJ353"/>
      <c r="FK353"/>
      <c r="FL353"/>
      <c r="FM353"/>
      <c r="FN353"/>
      <c r="FO353"/>
      <c r="FP353"/>
      <c r="FQ353"/>
      <c r="FR353"/>
      <c r="FS353"/>
      <c r="FT353"/>
      <c r="FU353"/>
      <c r="FV353"/>
      <c r="FW353"/>
      <c r="FX353"/>
      <c r="FY353"/>
      <c r="FZ353"/>
      <c r="GA353"/>
      <c r="GB353"/>
      <c r="GC353"/>
      <c r="GD353"/>
      <c r="GE353"/>
      <c r="GF353"/>
      <c r="GG353"/>
      <c r="GH353"/>
      <c r="GI353"/>
      <c r="GJ353"/>
      <c r="GK353"/>
      <c r="GL353"/>
      <c r="GM353"/>
      <c r="GN353"/>
      <c r="GO353"/>
      <c r="GP353"/>
      <c r="GQ353"/>
      <c r="GR353"/>
      <c r="GS353"/>
      <c r="GT353"/>
      <c r="GU353"/>
      <c r="GV353"/>
      <c r="GW353"/>
      <c r="GX353"/>
      <c r="GY353"/>
      <c r="GZ353"/>
      <c r="HA353"/>
    </row>
    <row r="354" spans="1:209" ht="15" customHeight="1" x14ac:dyDescent="0.15">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c r="CW354"/>
      <c r="CX354"/>
      <c r="CY354"/>
      <c r="CZ354"/>
      <c r="DA354"/>
      <c r="DB354"/>
      <c r="DC354"/>
      <c r="DD354"/>
      <c r="DE354"/>
      <c r="DF354"/>
      <c r="DG354"/>
      <c r="DH354"/>
      <c r="DI354"/>
      <c r="DJ354"/>
      <c r="DK354"/>
      <c r="DL354"/>
      <c r="DM354"/>
      <c r="DN354"/>
      <c r="DO354"/>
      <c r="DP354"/>
      <c r="DQ354"/>
      <c r="DR354"/>
      <c r="DS354"/>
      <c r="DT354"/>
      <c r="DU354"/>
      <c r="DV354"/>
      <c r="DW354"/>
      <c r="DX354"/>
      <c r="DY354"/>
      <c r="DZ354"/>
      <c r="EA354"/>
      <c r="EB354"/>
      <c r="EC354"/>
      <c r="ED354"/>
      <c r="EE354"/>
      <c r="EF354"/>
      <c r="EG354"/>
      <c r="EH354"/>
      <c r="EI354"/>
      <c r="EJ354"/>
      <c r="EK354"/>
      <c r="EL354"/>
      <c r="EM354"/>
      <c r="EN354"/>
      <c r="EO354"/>
      <c r="EP354"/>
      <c r="EQ354"/>
      <c r="ER354"/>
      <c r="ES354"/>
      <c r="ET354"/>
      <c r="EU354"/>
      <c r="EV354"/>
      <c r="EW354"/>
      <c r="EX354"/>
      <c r="EY354"/>
      <c r="EZ354"/>
      <c r="FA354"/>
      <c r="FB354"/>
      <c r="FC354"/>
      <c r="FD354"/>
      <c r="FE354"/>
      <c r="FF354"/>
      <c r="FG354"/>
      <c r="FH354"/>
      <c r="FI354"/>
      <c r="FJ354"/>
      <c r="FK354"/>
      <c r="FL354"/>
      <c r="FM354"/>
      <c r="FN354"/>
      <c r="FO354"/>
      <c r="FP354"/>
      <c r="FQ354"/>
      <c r="FR354"/>
      <c r="FS354"/>
      <c r="FT354"/>
      <c r="FU354"/>
      <c r="FV354"/>
      <c r="FW354"/>
      <c r="FX354"/>
      <c r="FY354"/>
      <c r="FZ354"/>
      <c r="GA354"/>
      <c r="GB354"/>
      <c r="GC354"/>
      <c r="GD354"/>
      <c r="GE354"/>
      <c r="GF354"/>
      <c r="GG354"/>
      <c r="GH354"/>
      <c r="GI354"/>
      <c r="GJ354"/>
      <c r="GK354"/>
      <c r="GL354"/>
      <c r="GM354"/>
      <c r="GN354"/>
      <c r="GO354"/>
      <c r="GP354"/>
      <c r="GQ354"/>
      <c r="GR354"/>
      <c r="GS354"/>
      <c r="GT354"/>
      <c r="GU354"/>
      <c r="GV354"/>
      <c r="GW354"/>
      <c r="GX354"/>
      <c r="GY354"/>
      <c r="GZ354"/>
      <c r="HA354"/>
    </row>
    <row r="355" spans="1:209" ht="15" customHeight="1" x14ac:dyDescent="0.15">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c r="CW355"/>
      <c r="CX355"/>
      <c r="CY355"/>
      <c r="CZ355"/>
      <c r="DA355"/>
      <c r="DB355"/>
      <c r="DC355"/>
      <c r="DD355"/>
      <c r="DE355"/>
      <c r="DF355"/>
      <c r="DG355"/>
      <c r="DH355"/>
      <c r="DI355"/>
      <c r="DJ355"/>
      <c r="DK355"/>
      <c r="DL355"/>
      <c r="DM355"/>
      <c r="DN355"/>
      <c r="DO355"/>
      <c r="DP355"/>
      <c r="DQ355"/>
      <c r="DR355"/>
      <c r="DS355"/>
      <c r="DT355"/>
      <c r="DU355"/>
      <c r="DV355"/>
      <c r="DW355"/>
      <c r="DX355"/>
      <c r="DY355"/>
      <c r="DZ355"/>
      <c r="EA355"/>
      <c r="EB355"/>
      <c r="EC355"/>
      <c r="ED355"/>
      <c r="EE355"/>
      <c r="EF355"/>
      <c r="EG355"/>
      <c r="EH355"/>
      <c r="EI355"/>
      <c r="EJ355"/>
      <c r="EK355"/>
      <c r="EL355"/>
      <c r="EM355"/>
      <c r="EN355"/>
      <c r="EO355"/>
      <c r="EP355"/>
      <c r="EQ355"/>
      <c r="ER355"/>
      <c r="ES355"/>
      <c r="ET355"/>
      <c r="EU355"/>
      <c r="EV355"/>
      <c r="EW355"/>
      <c r="EX355"/>
      <c r="EY355"/>
      <c r="EZ355"/>
      <c r="FA355"/>
      <c r="FB355"/>
      <c r="FC355"/>
      <c r="FD355"/>
      <c r="FE355"/>
      <c r="FF355"/>
      <c r="FG355"/>
      <c r="FH355"/>
      <c r="FI355"/>
      <c r="FJ355"/>
      <c r="FK355"/>
      <c r="FL355"/>
      <c r="FM355"/>
      <c r="FN355"/>
      <c r="FO355"/>
      <c r="FP355"/>
      <c r="FQ355"/>
      <c r="FR355"/>
      <c r="FS355"/>
      <c r="FT355"/>
      <c r="FU355"/>
      <c r="FV355"/>
      <c r="FW355"/>
      <c r="FX355"/>
      <c r="FY355"/>
      <c r="FZ355"/>
      <c r="GA355"/>
      <c r="GB355"/>
      <c r="GC355"/>
      <c r="GD355"/>
      <c r="GE355"/>
      <c r="GF355"/>
      <c r="GG355"/>
      <c r="GH355"/>
      <c r="GI355"/>
      <c r="GJ355"/>
      <c r="GK355"/>
      <c r="GL355"/>
      <c r="GM355"/>
      <c r="GN355"/>
      <c r="GO355"/>
      <c r="GP355"/>
      <c r="GQ355"/>
      <c r="GR355"/>
      <c r="GS355"/>
      <c r="GT355"/>
      <c r="GU355"/>
      <c r="GV355"/>
      <c r="GW355"/>
      <c r="GX355"/>
      <c r="GY355"/>
      <c r="GZ355"/>
      <c r="HA355"/>
    </row>
    <row r="356" spans="1:209" ht="15" customHeight="1" x14ac:dyDescent="0.15">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c r="CW356"/>
      <c r="CX356"/>
      <c r="CY356"/>
      <c r="CZ356"/>
      <c r="DA356"/>
      <c r="DB356"/>
      <c r="DC356"/>
      <c r="DD356"/>
      <c r="DE356"/>
      <c r="DF356"/>
      <c r="DG356"/>
      <c r="DH356"/>
      <c r="DI356"/>
      <c r="DJ356"/>
      <c r="DK356"/>
      <c r="DL356"/>
      <c r="DM356"/>
      <c r="DN356"/>
      <c r="DO356"/>
      <c r="DP356"/>
      <c r="DQ356"/>
      <c r="DR356"/>
      <c r="DS356"/>
      <c r="DT356"/>
      <c r="DU356"/>
      <c r="DV356"/>
      <c r="DW356"/>
      <c r="DX356"/>
      <c r="DY356"/>
      <c r="DZ356"/>
      <c r="EA356"/>
      <c r="EB356"/>
      <c r="EC356"/>
      <c r="ED356"/>
      <c r="EE356"/>
      <c r="EF356"/>
      <c r="EG356"/>
      <c r="EH356"/>
      <c r="EI356"/>
      <c r="EJ356"/>
      <c r="EK356"/>
      <c r="EL356"/>
      <c r="EM356"/>
      <c r="EN356"/>
      <c r="EO356"/>
      <c r="EP356"/>
      <c r="EQ356"/>
      <c r="ER356"/>
      <c r="ES356"/>
      <c r="ET356"/>
      <c r="EU356"/>
      <c r="EV356"/>
      <c r="EW356"/>
      <c r="EX356"/>
      <c r="EY356"/>
      <c r="EZ356"/>
      <c r="FA356"/>
      <c r="FB356"/>
      <c r="FC356"/>
      <c r="FD356"/>
      <c r="FE356"/>
      <c r="FF356"/>
      <c r="FG356"/>
      <c r="FH356"/>
      <c r="FI356"/>
      <c r="FJ356"/>
      <c r="FK356"/>
      <c r="FL356"/>
      <c r="FM356"/>
      <c r="FN356"/>
      <c r="FO356"/>
      <c r="FP356"/>
      <c r="FQ356"/>
      <c r="FR356"/>
      <c r="FS356"/>
      <c r="FT356"/>
      <c r="FU356"/>
      <c r="FV356"/>
      <c r="FW356"/>
      <c r="FX356"/>
      <c r="FY356"/>
      <c r="FZ356"/>
      <c r="GA356"/>
      <c r="GB356"/>
      <c r="GC356"/>
      <c r="GD356"/>
      <c r="GE356"/>
      <c r="GF356"/>
      <c r="GG356"/>
      <c r="GH356"/>
      <c r="GI356"/>
      <c r="GJ356"/>
      <c r="GK356"/>
      <c r="GL356"/>
      <c r="GM356"/>
      <c r="GN356"/>
      <c r="GO356"/>
      <c r="GP356"/>
      <c r="GQ356"/>
      <c r="GR356"/>
      <c r="GS356"/>
      <c r="GT356"/>
      <c r="GU356"/>
      <c r="GV356"/>
      <c r="GW356"/>
      <c r="GX356"/>
      <c r="GY356"/>
      <c r="GZ356"/>
      <c r="HA356"/>
    </row>
    <row r="357" spans="1:209" ht="15" customHeight="1" x14ac:dyDescent="0.15">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c r="CW357"/>
      <c r="CX357"/>
      <c r="CY357"/>
      <c r="CZ357"/>
      <c r="DA357"/>
      <c r="DB357"/>
      <c r="DC357"/>
      <c r="DD357"/>
      <c r="DE357"/>
      <c r="DF357"/>
      <c r="DG357"/>
      <c r="DH357"/>
      <c r="DI357"/>
      <c r="DJ357"/>
      <c r="DK357"/>
      <c r="DL357"/>
      <c r="DM357"/>
      <c r="DN357"/>
      <c r="DO357"/>
      <c r="DP357"/>
      <c r="DQ357"/>
      <c r="DR357"/>
      <c r="DS357"/>
      <c r="DT357"/>
      <c r="DU357"/>
      <c r="DV357"/>
      <c r="DW357"/>
      <c r="DX357"/>
      <c r="DY357"/>
      <c r="DZ357"/>
      <c r="EA357"/>
      <c r="EB357"/>
      <c r="EC357"/>
      <c r="ED357"/>
      <c r="EE357"/>
      <c r="EF357"/>
      <c r="EG357"/>
      <c r="EH357"/>
      <c r="EI357"/>
      <c r="EJ357"/>
      <c r="EK357"/>
      <c r="EL357"/>
      <c r="EM357"/>
      <c r="EN357"/>
      <c r="EO357"/>
      <c r="EP357"/>
      <c r="EQ357"/>
      <c r="ER357"/>
      <c r="ES357"/>
      <c r="ET357"/>
      <c r="EU357"/>
      <c r="EV357"/>
      <c r="EW357"/>
      <c r="EX357"/>
      <c r="EY357"/>
      <c r="EZ357"/>
      <c r="FA357"/>
      <c r="FB357"/>
      <c r="FC357"/>
      <c r="FD357"/>
      <c r="FE357"/>
      <c r="FF357"/>
      <c r="FG357"/>
      <c r="FH357"/>
      <c r="FI357"/>
      <c r="FJ357"/>
      <c r="FK357"/>
      <c r="FL357"/>
      <c r="FM357"/>
      <c r="FN357"/>
      <c r="FO357"/>
      <c r="FP357"/>
      <c r="FQ357"/>
      <c r="FR357"/>
      <c r="FS357"/>
      <c r="FT357"/>
      <c r="FU357"/>
      <c r="FV357"/>
      <c r="FW357"/>
      <c r="FX357"/>
      <c r="FY357"/>
      <c r="FZ357"/>
      <c r="GA357"/>
      <c r="GB357"/>
      <c r="GC357"/>
      <c r="GD357"/>
      <c r="GE357"/>
      <c r="GF357"/>
      <c r="GG357"/>
      <c r="GH357"/>
      <c r="GI357"/>
      <c r="GJ357"/>
      <c r="GK357"/>
      <c r="GL357"/>
      <c r="GM357"/>
      <c r="GN357"/>
      <c r="GO357"/>
      <c r="GP357"/>
      <c r="GQ357"/>
      <c r="GR357"/>
      <c r="GS357"/>
      <c r="GT357"/>
      <c r="GU357"/>
      <c r="GV357"/>
      <c r="GW357"/>
      <c r="GX357"/>
      <c r="GY357"/>
      <c r="GZ357"/>
      <c r="HA357"/>
    </row>
    <row r="358" spans="1:209" ht="15" customHeight="1" x14ac:dyDescent="0.15">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c r="CW358"/>
      <c r="CX358"/>
      <c r="CY358"/>
      <c r="CZ358"/>
      <c r="DA358"/>
      <c r="DB358"/>
      <c r="DC358"/>
      <c r="DD358"/>
      <c r="DE358"/>
      <c r="DF358"/>
      <c r="DG358"/>
      <c r="DH358"/>
      <c r="DI358"/>
      <c r="DJ358"/>
      <c r="DK358"/>
      <c r="DL358"/>
      <c r="DM358"/>
      <c r="DN358"/>
      <c r="DO358"/>
      <c r="DP358"/>
      <c r="DQ358"/>
      <c r="DR358"/>
      <c r="DS358"/>
      <c r="DT358"/>
      <c r="DU358"/>
      <c r="DV358"/>
      <c r="DW358"/>
      <c r="DX358"/>
      <c r="DY358"/>
      <c r="DZ358"/>
      <c r="EA358"/>
      <c r="EB358"/>
      <c r="EC358"/>
      <c r="ED358"/>
      <c r="EE358"/>
      <c r="EF358"/>
      <c r="EG358"/>
      <c r="EH358"/>
      <c r="EI358"/>
      <c r="EJ358"/>
      <c r="EK358"/>
      <c r="EL358"/>
      <c r="EM358"/>
      <c r="EN358"/>
      <c r="EO358"/>
      <c r="EP358"/>
      <c r="EQ358"/>
      <c r="ER358"/>
      <c r="ES358"/>
      <c r="ET358"/>
      <c r="EU358"/>
      <c r="EV358"/>
      <c r="EW358"/>
      <c r="EX358"/>
      <c r="EY358"/>
      <c r="EZ358"/>
      <c r="FA358"/>
      <c r="FB358"/>
      <c r="FC358"/>
      <c r="FD358"/>
      <c r="FE358"/>
      <c r="FF358"/>
      <c r="FG358"/>
      <c r="FH358"/>
      <c r="FI358"/>
      <c r="FJ358"/>
      <c r="FK358"/>
      <c r="FL358"/>
      <c r="FM358"/>
      <c r="FN358"/>
      <c r="FO358"/>
      <c r="FP358"/>
      <c r="FQ358"/>
      <c r="FR358"/>
      <c r="FS358"/>
      <c r="FT358"/>
      <c r="FU358"/>
      <c r="FV358"/>
      <c r="FW358"/>
      <c r="FX358"/>
      <c r="FY358"/>
      <c r="FZ358"/>
      <c r="GA358"/>
      <c r="GB358"/>
      <c r="GC358"/>
      <c r="GD358"/>
      <c r="GE358"/>
      <c r="GF358"/>
      <c r="GG358"/>
      <c r="GH358"/>
      <c r="GI358"/>
      <c r="GJ358"/>
      <c r="GK358"/>
      <c r="GL358"/>
      <c r="GM358"/>
      <c r="GN358"/>
      <c r="GO358"/>
      <c r="GP358"/>
      <c r="GQ358"/>
      <c r="GR358"/>
      <c r="GS358"/>
      <c r="GT358"/>
      <c r="GU358"/>
      <c r="GV358"/>
      <c r="GW358"/>
      <c r="GX358"/>
      <c r="GY358"/>
      <c r="GZ358"/>
      <c r="HA358"/>
    </row>
    <row r="359" spans="1:209" ht="15" customHeight="1" x14ac:dyDescent="0.15">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c r="CW359"/>
      <c r="CX359"/>
      <c r="CY359"/>
      <c r="CZ359"/>
      <c r="DA359"/>
      <c r="DB359"/>
      <c r="DC359"/>
      <c r="DD359"/>
      <c r="DE359"/>
      <c r="DF359"/>
      <c r="DG359"/>
      <c r="DH359"/>
      <c r="DI359"/>
      <c r="DJ359"/>
      <c r="DK359"/>
      <c r="DL359"/>
      <c r="DM359"/>
      <c r="DN359"/>
      <c r="DO359"/>
      <c r="DP359"/>
      <c r="DQ359"/>
      <c r="DR359"/>
      <c r="DS359"/>
      <c r="DT359"/>
      <c r="DU359"/>
      <c r="DV359"/>
      <c r="DW359"/>
      <c r="DX359"/>
      <c r="DY359"/>
      <c r="DZ359"/>
      <c r="EA359"/>
      <c r="EB359"/>
      <c r="EC359"/>
      <c r="ED359"/>
      <c r="EE359"/>
      <c r="EF359"/>
      <c r="EG359"/>
      <c r="EH359"/>
      <c r="EI359"/>
      <c r="EJ359"/>
      <c r="EK359"/>
      <c r="EL359"/>
      <c r="EM359"/>
      <c r="EN359"/>
      <c r="EO359"/>
      <c r="EP359"/>
      <c r="EQ359"/>
      <c r="ER359"/>
      <c r="ES359"/>
      <c r="ET359"/>
      <c r="EU359"/>
      <c r="EV359"/>
      <c r="EW359"/>
      <c r="EX359"/>
      <c r="EY359"/>
      <c r="EZ359"/>
      <c r="FA359"/>
      <c r="FB359"/>
      <c r="FC359"/>
      <c r="FD359"/>
      <c r="FE359"/>
      <c r="FF359"/>
      <c r="FG359"/>
      <c r="FH359"/>
      <c r="FI359"/>
      <c r="FJ359"/>
      <c r="FK359"/>
      <c r="FL359"/>
      <c r="FM359"/>
      <c r="FN359"/>
      <c r="FO359"/>
      <c r="FP359"/>
      <c r="FQ359"/>
      <c r="FR359"/>
      <c r="FS359"/>
      <c r="FT359"/>
      <c r="FU359"/>
      <c r="FV359"/>
      <c r="FW359"/>
      <c r="FX359"/>
      <c r="FY359"/>
      <c r="FZ359"/>
      <c r="GA359"/>
      <c r="GB359"/>
      <c r="GC359"/>
      <c r="GD359"/>
      <c r="GE359"/>
      <c r="GF359"/>
      <c r="GG359"/>
      <c r="GH359"/>
      <c r="GI359"/>
      <c r="GJ359"/>
      <c r="GK359"/>
      <c r="GL359"/>
      <c r="GM359"/>
      <c r="GN359"/>
      <c r="GO359"/>
      <c r="GP359"/>
      <c r="GQ359"/>
      <c r="GR359"/>
      <c r="GS359"/>
      <c r="GT359"/>
      <c r="GU359"/>
      <c r="GV359"/>
      <c r="GW359"/>
      <c r="GX359"/>
      <c r="GY359"/>
      <c r="GZ359"/>
      <c r="HA359"/>
    </row>
    <row r="360" spans="1:209" ht="15" customHeight="1" x14ac:dyDescent="0.15">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c r="CW360"/>
      <c r="CX360"/>
      <c r="CY360"/>
      <c r="CZ360"/>
      <c r="DA360"/>
      <c r="DB360"/>
      <c r="DC360"/>
      <c r="DD360"/>
      <c r="DE360"/>
      <c r="DF360"/>
      <c r="DG360"/>
      <c r="DH360"/>
      <c r="DI360"/>
      <c r="DJ360"/>
      <c r="DK360"/>
      <c r="DL360"/>
      <c r="DM360"/>
      <c r="DN360"/>
      <c r="DO360"/>
      <c r="DP360"/>
      <c r="DQ360"/>
      <c r="DR360"/>
      <c r="DS360"/>
      <c r="DT360"/>
      <c r="DU360"/>
      <c r="DV360"/>
      <c r="DW360"/>
      <c r="DX360"/>
      <c r="DY360"/>
      <c r="DZ360"/>
      <c r="EA360"/>
      <c r="EB360"/>
      <c r="EC360"/>
      <c r="ED360"/>
      <c r="EE360"/>
      <c r="EF360"/>
      <c r="EG360"/>
      <c r="EH360"/>
      <c r="EI360"/>
      <c r="EJ360"/>
      <c r="EK360"/>
      <c r="EL360"/>
      <c r="EM360"/>
      <c r="EN360"/>
      <c r="EO360"/>
      <c r="EP360"/>
      <c r="EQ360"/>
      <c r="ER360"/>
      <c r="ES360"/>
      <c r="ET360"/>
      <c r="EU360"/>
      <c r="EV360"/>
      <c r="EW360"/>
      <c r="EX360"/>
      <c r="EY360"/>
      <c r="EZ360"/>
      <c r="FA360"/>
      <c r="FB360"/>
      <c r="FC360"/>
      <c r="FD360"/>
      <c r="FE360"/>
      <c r="FF360"/>
      <c r="FG360"/>
      <c r="FH360"/>
      <c r="FI360"/>
      <c r="FJ360"/>
      <c r="FK360"/>
      <c r="FL360"/>
      <c r="FM360"/>
      <c r="FN360"/>
      <c r="FO360"/>
      <c r="FP360"/>
      <c r="FQ360"/>
      <c r="FR360"/>
      <c r="FS360"/>
      <c r="FT360"/>
      <c r="FU360"/>
      <c r="FV360"/>
      <c r="FW360"/>
      <c r="FX360"/>
      <c r="FY360"/>
      <c r="FZ360"/>
      <c r="GA360"/>
      <c r="GB360"/>
      <c r="GC360"/>
      <c r="GD360"/>
      <c r="GE360"/>
      <c r="GF360"/>
      <c r="GG360"/>
      <c r="GH360"/>
      <c r="GI360"/>
      <c r="GJ360"/>
      <c r="GK360"/>
      <c r="GL360"/>
      <c r="GM360"/>
      <c r="GN360"/>
      <c r="GO360"/>
      <c r="GP360"/>
      <c r="GQ360"/>
      <c r="GR360"/>
      <c r="GS360"/>
      <c r="GT360"/>
      <c r="GU360"/>
      <c r="GV360"/>
      <c r="GW360"/>
      <c r="GX360"/>
      <c r="GY360"/>
      <c r="GZ360"/>
      <c r="HA360"/>
    </row>
    <row r="361" spans="1:209" ht="15" customHeight="1" x14ac:dyDescent="0.15">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c r="CW361"/>
      <c r="CX361"/>
      <c r="CY361"/>
      <c r="CZ361"/>
      <c r="DA361"/>
      <c r="DB361"/>
      <c r="DC361"/>
      <c r="DD361"/>
      <c r="DE361"/>
      <c r="DF361"/>
      <c r="DG361"/>
      <c r="DH361"/>
      <c r="DI361"/>
      <c r="DJ361"/>
      <c r="DK361"/>
      <c r="DL361"/>
      <c r="DM361"/>
      <c r="DN361"/>
      <c r="DO361"/>
      <c r="DP361"/>
      <c r="DQ361"/>
      <c r="DR361"/>
      <c r="DS361"/>
      <c r="DT361"/>
      <c r="DU361"/>
      <c r="DV361"/>
      <c r="DW361"/>
      <c r="DX361"/>
      <c r="DY361"/>
      <c r="DZ361"/>
      <c r="EA361"/>
      <c r="EB361"/>
      <c r="EC361"/>
      <c r="ED361"/>
      <c r="EE361"/>
      <c r="EF361"/>
      <c r="EG361"/>
      <c r="EH361"/>
      <c r="EI361"/>
      <c r="EJ361"/>
      <c r="EK361"/>
      <c r="EL361"/>
      <c r="EM361"/>
      <c r="EN361"/>
      <c r="EO361"/>
      <c r="EP361"/>
      <c r="EQ361"/>
      <c r="ER361"/>
      <c r="ES361"/>
      <c r="ET361"/>
      <c r="EU361"/>
      <c r="EV361"/>
      <c r="EW361"/>
      <c r="EX361"/>
      <c r="EY361"/>
      <c r="EZ361"/>
      <c r="FA361"/>
      <c r="FB361"/>
      <c r="FC361"/>
      <c r="FD361"/>
      <c r="FE361"/>
      <c r="FF361"/>
      <c r="FG361"/>
      <c r="FH361"/>
      <c r="FI361"/>
      <c r="FJ361"/>
      <c r="FK361"/>
      <c r="FL361"/>
      <c r="FM361"/>
      <c r="FN361"/>
      <c r="FO361"/>
      <c r="FP361"/>
      <c r="FQ361"/>
      <c r="FR361"/>
      <c r="FS361"/>
      <c r="FT361"/>
      <c r="FU361"/>
      <c r="FV361"/>
      <c r="FW361"/>
      <c r="FX361"/>
      <c r="FY361"/>
      <c r="FZ361"/>
      <c r="GA361"/>
      <c r="GB361"/>
      <c r="GC361"/>
      <c r="GD361"/>
      <c r="GE361"/>
      <c r="GF361"/>
      <c r="GG361"/>
      <c r="GH361"/>
      <c r="GI361"/>
      <c r="GJ361"/>
      <c r="GK361"/>
      <c r="GL361"/>
      <c r="GM361"/>
      <c r="GN361"/>
      <c r="GO361"/>
      <c r="GP361"/>
      <c r="GQ361"/>
      <c r="GR361"/>
      <c r="GS361"/>
      <c r="GT361"/>
      <c r="GU361"/>
      <c r="GV361"/>
      <c r="GW361"/>
      <c r="GX361"/>
      <c r="GY361"/>
      <c r="GZ361"/>
      <c r="HA361"/>
    </row>
    <row r="362" spans="1:209" ht="15" customHeight="1" x14ac:dyDescent="0.15">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c r="CW362"/>
      <c r="CX362"/>
      <c r="CY362"/>
      <c r="CZ362"/>
      <c r="DA362"/>
      <c r="DB362"/>
      <c r="DC362"/>
      <c r="DD362"/>
      <c r="DE362"/>
      <c r="DF362"/>
      <c r="DG362"/>
      <c r="DH362"/>
      <c r="DI362"/>
      <c r="DJ362"/>
      <c r="DK362"/>
      <c r="DL362"/>
      <c r="DM362"/>
      <c r="DN362"/>
      <c r="DO362"/>
      <c r="DP362"/>
      <c r="DQ362"/>
      <c r="DR362"/>
      <c r="DS362"/>
      <c r="DT362"/>
      <c r="DU362"/>
      <c r="DV362"/>
      <c r="DW362"/>
      <c r="DX362"/>
      <c r="DY362"/>
      <c r="DZ362"/>
      <c r="EA362"/>
      <c r="EB362"/>
      <c r="EC362"/>
      <c r="ED362"/>
      <c r="EE362"/>
      <c r="EF362"/>
      <c r="EG362"/>
      <c r="EH362"/>
      <c r="EI362"/>
      <c r="EJ362"/>
      <c r="EK362"/>
      <c r="EL362"/>
      <c r="EM362"/>
      <c r="EN362"/>
      <c r="EO362"/>
      <c r="EP362"/>
      <c r="EQ362"/>
      <c r="ER362"/>
      <c r="ES362"/>
      <c r="ET362"/>
      <c r="EU362"/>
      <c r="EV362"/>
      <c r="EW362"/>
      <c r="EX362"/>
      <c r="EY362"/>
      <c r="EZ362"/>
      <c r="FA362"/>
      <c r="FB362"/>
      <c r="FC362"/>
      <c r="FD362"/>
      <c r="FE362"/>
      <c r="FF362"/>
      <c r="FG362"/>
      <c r="FH362"/>
      <c r="FI362"/>
      <c r="FJ362"/>
      <c r="FK362"/>
      <c r="FL362"/>
      <c r="FM362"/>
      <c r="FN362"/>
      <c r="FO362"/>
      <c r="FP362"/>
      <c r="FQ362"/>
      <c r="FR362"/>
      <c r="FS362"/>
      <c r="FT362"/>
      <c r="FU362"/>
      <c r="FV362"/>
      <c r="FW362"/>
      <c r="FX362"/>
      <c r="FY362"/>
      <c r="FZ362"/>
      <c r="GA362"/>
      <c r="GB362"/>
      <c r="GC362"/>
      <c r="GD362"/>
      <c r="GE362"/>
      <c r="GF362"/>
      <c r="GG362"/>
      <c r="GH362"/>
      <c r="GI362"/>
      <c r="GJ362"/>
      <c r="GK362"/>
      <c r="GL362"/>
      <c r="GM362"/>
      <c r="GN362"/>
      <c r="GO362"/>
      <c r="GP362"/>
      <c r="GQ362"/>
      <c r="GR362"/>
      <c r="GS362"/>
      <c r="GT362"/>
      <c r="GU362"/>
      <c r="GV362"/>
      <c r="GW362"/>
      <c r="GX362"/>
      <c r="GY362"/>
      <c r="GZ362"/>
      <c r="HA362"/>
    </row>
    <row r="363" spans="1:209" ht="15" customHeight="1" x14ac:dyDescent="0.15">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c r="CW363"/>
      <c r="CX363"/>
      <c r="CY363"/>
      <c r="CZ363"/>
      <c r="DA363"/>
      <c r="DB363"/>
      <c r="DC363"/>
      <c r="DD363"/>
      <c r="DE363"/>
      <c r="DF363"/>
      <c r="DG363"/>
      <c r="DH363"/>
      <c r="DI363"/>
      <c r="DJ363"/>
      <c r="DK363"/>
      <c r="DL363"/>
      <c r="DM363"/>
      <c r="DN363"/>
      <c r="DO363"/>
      <c r="DP363"/>
      <c r="DQ363"/>
      <c r="DR363"/>
      <c r="DS363"/>
      <c r="DT363"/>
      <c r="DU363"/>
      <c r="DV363"/>
      <c r="DW363"/>
      <c r="DX363"/>
      <c r="DY363"/>
      <c r="DZ363"/>
      <c r="EA363"/>
      <c r="EB363"/>
      <c r="EC363"/>
      <c r="ED363"/>
      <c r="EE363"/>
      <c r="EF363"/>
      <c r="EG363"/>
      <c r="EH363"/>
      <c r="EI363"/>
      <c r="EJ363"/>
      <c r="EK363"/>
      <c r="EL363"/>
      <c r="EM363"/>
      <c r="EN363"/>
      <c r="EO363"/>
      <c r="EP363"/>
      <c r="EQ363"/>
      <c r="ER363"/>
      <c r="ES363"/>
      <c r="ET363"/>
      <c r="EU363"/>
      <c r="EV363"/>
      <c r="EW363"/>
      <c r="EX363"/>
      <c r="EY363"/>
      <c r="EZ363"/>
      <c r="FA363"/>
      <c r="FB363"/>
      <c r="FC363"/>
      <c r="FD363"/>
      <c r="FE363"/>
      <c r="FF363"/>
      <c r="FG363"/>
      <c r="FH363"/>
      <c r="FI363"/>
      <c r="FJ363"/>
      <c r="FK363"/>
      <c r="FL363"/>
      <c r="FM363"/>
      <c r="FN363"/>
      <c r="FO363"/>
      <c r="FP363"/>
      <c r="FQ363"/>
      <c r="FR363"/>
      <c r="FS363"/>
      <c r="FT363"/>
      <c r="FU363"/>
      <c r="FV363"/>
      <c r="FW363"/>
      <c r="FX363"/>
      <c r="FY363"/>
      <c r="FZ363"/>
      <c r="GA363"/>
      <c r="GB363"/>
      <c r="GC363"/>
      <c r="GD363"/>
      <c r="GE363"/>
      <c r="GF363"/>
      <c r="GG363"/>
      <c r="GH363"/>
      <c r="GI363"/>
      <c r="GJ363"/>
      <c r="GK363"/>
      <c r="GL363"/>
      <c r="GM363"/>
      <c r="GN363"/>
      <c r="GO363"/>
      <c r="GP363"/>
      <c r="GQ363"/>
      <c r="GR363"/>
      <c r="GS363"/>
      <c r="GT363"/>
      <c r="GU363"/>
      <c r="GV363"/>
      <c r="GW363"/>
      <c r="GX363"/>
      <c r="GY363"/>
      <c r="GZ363"/>
      <c r="HA363"/>
    </row>
    <row r="364" spans="1:209" ht="15" customHeight="1" x14ac:dyDescent="0.15">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c r="CW364"/>
      <c r="CX364"/>
      <c r="CY364"/>
      <c r="CZ364"/>
      <c r="DA364"/>
      <c r="DB364"/>
      <c r="DC364"/>
      <c r="DD364"/>
      <c r="DE364"/>
      <c r="DF364"/>
      <c r="DG364"/>
      <c r="DH364"/>
      <c r="DI364"/>
      <c r="DJ364"/>
      <c r="DK364"/>
      <c r="DL364"/>
      <c r="DM364"/>
      <c r="DN364"/>
      <c r="DO364"/>
      <c r="DP364"/>
      <c r="DQ364"/>
      <c r="DR364"/>
      <c r="DS364"/>
      <c r="DT364"/>
      <c r="DU364"/>
      <c r="DV364"/>
      <c r="DW364"/>
      <c r="DX364"/>
      <c r="DY364"/>
      <c r="DZ364"/>
      <c r="EA364"/>
      <c r="EB364"/>
      <c r="EC364"/>
      <c r="ED364"/>
      <c r="EE364"/>
      <c r="EF364"/>
      <c r="EG364"/>
      <c r="EH364"/>
      <c r="EI364"/>
      <c r="EJ364"/>
      <c r="EK364"/>
      <c r="EL364"/>
      <c r="EM364"/>
      <c r="EN364"/>
      <c r="EO364"/>
      <c r="EP364"/>
      <c r="EQ364"/>
      <c r="ER364"/>
      <c r="ES364"/>
      <c r="ET364"/>
      <c r="EU364"/>
      <c r="EV364"/>
      <c r="EW364"/>
      <c r="EX364"/>
      <c r="EY364"/>
      <c r="EZ364"/>
      <c r="FA364"/>
      <c r="FB364"/>
      <c r="FC364"/>
      <c r="FD364"/>
      <c r="FE364"/>
      <c r="FF364"/>
      <c r="FG364"/>
      <c r="FH364"/>
      <c r="FI364"/>
      <c r="FJ364"/>
      <c r="FK364"/>
      <c r="FL364"/>
      <c r="FM364"/>
      <c r="FN364"/>
      <c r="FO364"/>
      <c r="FP364"/>
      <c r="FQ364"/>
      <c r="FR364"/>
      <c r="FS364"/>
      <c r="FT364"/>
      <c r="FU364"/>
      <c r="FV364"/>
      <c r="FW364"/>
      <c r="FX364"/>
      <c r="FY364"/>
      <c r="FZ364"/>
      <c r="GA364"/>
      <c r="GB364"/>
      <c r="GC364"/>
      <c r="GD364"/>
      <c r="GE364"/>
      <c r="GF364"/>
      <c r="GG364"/>
      <c r="GH364"/>
      <c r="GI364"/>
      <c r="GJ364"/>
      <c r="GK364"/>
      <c r="GL364"/>
      <c r="GM364"/>
      <c r="GN364"/>
      <c r="GO364"/>
      <c r="GP364"/>
      <c r="GQ364"/>
      <c r="GR364"/>
      <c r="GS364"/>
      <c r="GT364"/>
      <c r="GU364"/>
      <c r="GV364"/>
      <c r="GW364"/>
      <c r="GX364"/>
      <c r="GY364"/>
      <c r="GZ364"/>
      <c r="HA364"/>
    </row>
    <row r="365" spans="1:209" ht="15" customHeight="1" x14ac:dyDescent="0.15">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c r="CW365"/>
      <c r="CX365"/>
      <c r="CY365"/>
      <c r="CZ365"/>
      <c r="DA365"/>
      <c r="DB365"/>
      <c r="DC365"/>
      <c r="DD365"/>
      <c r="DE365"/>
      <c r="DF365"/>
      <c r="DG365"/>
      <c r="DH365"/>
      <c r="DI365"/>
      <c r="DJ365"/>
      <c r="DK365"/>
      <c r="DL365"/>
      <c r="DM365"/>
      <c r="DN365"/>
      <c r="DO365"/>
      <c r="DP365"/>
      <c r="DQ365"/>
      <c r="DR365"/>
      <c r="DS365"/>
      <c r="DT365"/>
      <c r="DU365"/>
      <c r="DV365"/>
      <c r="DW365"/>
      <c r="DX365"/>
      <c r="DY365"/>
      <c r="DZ365"/>
      <c r="EA365"/>
      <c r="EB365"/>
      <c r="EC365"/>
      <c r="ED365"/>
      <c r="EE365"/>
      <c r="EF365"/>
      <c r="EG365"/>
      <c r="EH365"/>
      <c r="EI365"/>
      <c r="EJ365"/>
      <c r="EK365"/>
      <c r="EL365"/>
      <c r="EM365"/>
      <c r="EN365"/>
      <c r="EO365"/>
      <c r="EP365"/>
      <c r="EQ365"/>
      <c r="ER365"/>
      <c r="ES365"/>
      <c r="ET365"/>
      <c r="EU365"/>
      <c r="EV365"/>
      <c r="EW365"/>
      <c r="EX365"/>
      <c r="EY365"/>
      <c r="EZ365"/>
      <c r="FA365"/>
      <c r="FB365"/>
      <c r="FC365"/>
      <c r="FD365"/>
      <c r="FE365"/>
      <c r="FF365"/>
      <c r="FG365"/>
      <c r="FH365"/>
      <c r="FI365"/>
      <c r="FJ365"/>
      <c r="FK365"/>
      <c r="FL365"/>
      <c r="FM365"/>
      <c r="FN365"/>
      <c r="FO365"/>
      <c r="FP365"/>
      <c r="FQ365"/>
      <c r="FR365"/>
      <c r="FS365"/>
      <c r="FT365"/>
      <c r="FU365"/>
      <c r="FV365"/>
      <c r="FW365"/>
      <c r="FX365"/>
      <c r="FY365"/>
      <c r="FZ365"/>
      <c r="GA365"/>
      <c r="GB365"/>
      <c r="GC365"/>
      <c r="GD365"/>
      <c r="GE365"/>
      <c r="GF365"/>
      <c r="GG365"/>
      <c r="GH365"/>
      <c r="GI365"/>
      <c r="GJ365"/>
      <c r="GK365"/>
      <c r="GL365"/>
      <c r="GM365"/>
      <c r="GN365"/>
      <c r="GO365"/>
      <c r="GP365"/>
      <c r="GQ365"/>
      <c r="GR365"/>
      <c r="GS365"/>
      <c r="GT365"/>
      <c r="GU365"/>
      <c r="GV365"/>
      <c r="GW365"/>
      <c r="GX365"/>
      <c r="GY365"/>
      <c r="GZ365"/>
      <c r="HA365"/>
    </row>
    <row r="366" spans="1:209" ht="15" customHeight="1" x14ac:dyDescent="0.15">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c r="CW366"/>
      <c r="CX366"/>
      <c r="CY366"/>
      <c r="CZ366"/>
      <c r="DA366"/>
      <c r="DB366"/>
      <c r="DC366"/>
      <c r="DD366"/>
      <c r="DE366"/>
      <c r="DF366"/>
      <c r="DG366"/>
      <c r="DH366"/>
      <c r="DI366"/>
      <c r="DJ366"/>
      <c r="DK366"/>
      <c r="DL366"/>
      <c r="DM366"/>
      <c r="DN366"/>
      <c r="DO366"/>
      <c r="DP366"/>
      <c r="DQ366"/>
      <c r="DR366"/>
      <c r="DS366"/>
      <c r="DT366"/>
      <c r="DU366"/>
      <c r="DV366"/>
      <c r="DW366"/>
      <c r="DX366"/>
      <c r="DY366"/>
      <c r="DZ366"/>
      <c r="EA366"/>
      <c r="EB366"/>
      <c r="EC366"/>
      <c r="ED366"/>
      <c r="EE366"/>
      <c r="EF366"/>
      <c r="EG366"/>
      <c r="EH366"/>
      <c r="EI366"/>
      <c r="EJ366"/>
      <c r="EK366"/>
      <c r="EL366"/>
      <c r="EM366"/>
      <c r="EN366"/>
      <c r="EO366"/>
      <c r="EP366"/>
      <c r="EQ366"/>
      <c r="ER366"/>
      <c r="ES366"/>
      <c r="ET366"/>
      <c r="EU366"/>
      <c r="EV366"/>
      <c r="EW366"/>
      <c r="EX366"/>
      <c r="EY366"/>
      <c r="EZ366"/>
      <c r="FA366"/>
      <c r="FB366"/>
      <c r="FC366"/>
      <c r="FD366"/>
      <c r="FE366"/>
      <c r="FF366"/>
      <c r="FG366"/>
      <c r="FH366"/>
      <c r="FI366"/>
      <c r="FJ366"/>
      <c r="FK366"/>
      <c r="FL366"/>
      <c r="FM366"/>
      <c r="FN366"/>
      <c r="FO366"/>
      <c r="FP366"/>
      <c r="FQ366"/>
      <c r="FR366"/>
      <c r="FS366"/>
      <c r="FT366"/>
      <c r="FU366"/>
      <c r="FV366"/>
      <c r="FW366"/>
      <c r="FX366"/>
      <c r="FY366"/>
      <c r="FZ366"/>
      <c r="GA366"/>
      <c r="GB366"/>
      <c r="GC366"/>
      <c r="GD366"/>
      <c r="GE366"/>
      <c r="GF366"/>
      <c r="GG366"/>
      <c r="GH366"/>
      <c r="GI366"/>
      <c r="GJ366"/>
      <c r="GK366"/>
      <c r="GL366"/>
      <c r="GM366"/>
      <c r="GN366"/>
      <c r="GO366"/>
      <c r="GP366"/>
      <c r="GQ366"/>
      <c r="GR366"/>
      <c r="GS366"/>
      <c r="GT366"/>
      <c r="GU366"/>
      <c r="GV366"/>
      <c r="GW366"/>
      <c r="GX366"/>
      <c r="GY366"/>
      <c r="GZ366"/>
      <c r="HA366"/>
    </row>
    <row r="367" spans="1:209" ht="15" customHeight="1" x14ac:dyDescent="0.15">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c r="CW367"/>
      <c r="CX367"/>
      <c r="CY367"/>
      <c r="CZ367"/>
      <c r="DA367"/>
      <c r="DB367"/>
      <c r="DC367"/>
      <c r="DD367"/>
      <c r="DE367"/>
      <c r="DF367"/>
      <c r="DG367"/>
      <c r="DH367"/>
      <c r="DI367"/>
      <c r="DJ367"/>
      <c r="DK367"/>
      <c r="DL367"/>
      <c r="DM367"/>
      <c r="DN367"/>
      <c r="DO367"/>
      <c r="DP367"/>
      <c r="DQ367"/>
      <c r="DR367"/>
      <c r="DS367"/>
      <c r="DT367"/>
      <c r="DU367"/>
      <c r="DV367"/>
      <c r="DW367"/>
      <c r="DX367"/>
      <c r="DY367"/>
      <c r="DZ367"/>
      <c r="EA367"/>
      <c r="EB367"/>
      <c r="EC367"/>
      <c r="ED367"/>
      <c r="EE367"/>
      <c r="EF367"/>
      <c r="EG367"/>
      <c r="EH367"/>
      <c r="EI367"/>
      <c r="EJ367"/>
      <c r="EK367"/>
      <c r="EL367"/>
      <c r="EM367"/>
      <c r="EN367"/>
      <c r="EO367"/>
      <c r="EP367"/>
      <c r="EQ367"/>
      <c r="ER367"/>
      <c r="ES367"/>
      <c r="ET367"/>
      <c r="EU367"/>
      <c r="EV367"/>
      <c r="EW367"/>
      <c r="EX367"/>
      <c r="EY367"/>
      <c r="EZ367"/>
      <c r="FA367"/>
      <c r="FB367"/>
      <c r="FC367"/>
      <c r="FD367"/>
      <c r="FE367"/>
      <c r="FF367"/>
      <c r="FG367"/>
      <c r="FH367"/>
      <c r="FI367"/>
      <c r="FJ367"/>
      <c r="FK367"/>
      <c r="FL367"/>
      <c r="FM367"/>
      <c r="FN367"/>
      <c r="FO367"/>
      <c r="FP367"/>
      <c r="FQ367"/>
      <c r="FR367"/>
      <c r="FS367"/>
      <c r="FT367"/>
      <c r="FU367"/>
      <c r="FV367"/>
      <c r="FW367"/>
      <c r="FX367"/>
      <c r="FY367"/>
      <c r="FZ367"/>
      <c r="GA367"/>
      <c r="GB367"/>
      <c r="GC367"/>
      <c r="GD367"/>
      <c r="GE367"/>
      <c r="GF367"/>
      <c r="GG367"/>
      <c r="GH367"/>
      <c r="GI367"/>
      <c r="GJ367"/>
      <c r="GK367"/>
      <c r="GL367"/>
      <c r="GM367"/>
      <c r="GN367"/>
      <c r="GO367"/>
      <c r="GP367"/>
      <c r="GQ367"/>
      <c r="GR367"/>
      <c r="GS367"/>
      <c r="GT367"/>
      <c r="GU367"/>
      <c r="GV367"/>
      <c r="GW367"/>
      <c r="GX367"/>
      <c r="GY367"/>
      <c r="GZ367"/>
      <c r="HA367"/>
    </row>
    <row r="368" spans="1:209" ht="15" customHeight="1" x14ac:dyDescent="0.15">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c r="CW368"/>
      <c r="CX368"/>
      <c r="CY368"/>
      <c r="CZ368"/>
      <c r="DA368"/>
      <c r="DB368"/>
      <c r="DC368"/>
      <c r="DD368"/>
      <c r="DE368"/>
      <c r="DF368"/>
      <c r="DG368"/>
      <c r="DH368"/>
      <c r="DI368"/>
      <c r="DJ368"/>
      <c r="DK368"/>
      <c r="DL368"/>
      <c r="DM368"/>
      <c r="DN368"/>
      <c r="DO368"/>
      <c r="DP368"/>
      <c r="DQ368"/>
      <c r="DR368"/>
      <c r="DS368"/>
      <c r="DT368"/>
      <c r="DU368"/>
      <c r="DV368"/>
      <c r="DW368"/>
      <c r="DX368"/>
      <c r="DY368"/>
      <c r="DZ368"/>
      <c r="EA368"/>
      <c r="EB368"/>
      <c r="EC368"/>
      <c r="ED368"/>
      <c r="EE368"/>
      <c r="EF368"/>
      <c r="EG368"/>
      <c r="EH368"/>
      <c r="EI368"/>
      <c r="EJ368"/>
      <c r="EK368"/>
      <c r="EL368"/>
      <c r="EM368"/>
      <c r="EN368"/>
      <c r="EO368"/>
      <c r="EP368"/>
      <c r="EQ368"/>
      <c r="ER368"/>
      <c r="ES368"/>
      <c r="ET368"/>
      <c r="EU368"/>
      <c r="EV368"/>
      <c r="EW368"/>
      <c r="EX368"/>
      <c r="EY368"/>
      <c r="EZ368"/>
      <c r="FA368"/>
      <c r="FB368"/>
      <c r="FC368"/>
      <c r="FD368"/>
      <c r="FE368"/>
      <c r="FF368"/>
      <c r="FG368"/>
      <c r="FH368"/>
      <c r="FI368"/>
      <c r="FJ368"/>
      <c r="FK368"/>
      <c r="FL368"/>
      <c r="FM368"/>
      <c r="FN368"/>
      <c r="FO368"/>
      <c r="FP368"/>
      <c r="FQ368"/>
      <c r="FR368"/>
      <c r="FS368"/>
      <c r="FT368"/>
      <c r="FU368"/>
      <c r="FV368"/>
      <c r="FW368"/>
      <c r="FX368"/>
      <c r="FY368"/>
      <c r="FZ368"/>
      <c r="GA368"/>
      <c r="GB368"/>
      <c r="GC368"/>
      <c r="GD368"/>
      <c r="GE368"/>
      <c r="GF368"/>
      <c r="GG368"/>
      <c r="GH368"/>
      <c r="GI368"/>
      <c r="GJ368"/>
      <c r="GK368"/>
      <c r="GL368"/>
      <c r="GM368"/>
      <c r="GN368"/>
      <c r="GO368"/>
      <c r="GP368"/>
      <c r="GQ368"/>
      <c r="GR368"/>
      <c r="GS368"/>
      <c r="GT368"/>
      <c r="GU368"/>
      <c r="GV368"/>
      <c r="GW368"/>
      <c r="GX368"/>
      <c r="GY368"/>
      <c r="GZ368"/>
      <c r="HA368"/>
    </row>
    <row r="369" spans="1:209" ht="15" customHeight="1" x14ac:dyDescent="0.15">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c r="CW369"/>
      <c r="CX369"/>
      <c r="CY369"/>
      <c r="CZ369"/>
      <c r="DA369"/>
      <c r="DB369"/>
      <c r="DC369"/>
      <c r="DD369"/>
      <c r="DE369"/>
      <c r="DF369"/>
      <c r="DG369"/>
      <c r="DH369"/>
      <c r="DI369"/>
      <c r="DJ369"/>
      <c r="DK369"/>
      <c r="DL369"/>
      <c r="DM369"/>
      <c r="DN369"/>
      <c r="DO369"/>
      <c r="DP369"/>
      <c r="DQ369"/>
      <c r="DR369"/>
      <c r="DS369"/>
      <c r="DT369"/>
      <c r="DU369"/>
      <c r="DV369"/>
      <c r="DW369"/>
      <c r="DX369"/>
      <c r="DY369"/>
      <c r="DZ369"/>
      <c r="EA369"/>
      <c r="EB369"/>
      <c r="EC369"/>
      <c r="ED369"/>
      <c r="EE369"/>
      <c r="EF369"/>
      <c r="EG369"/>
      <c r="EH369"/>
      <c r="EI369"/>
      <c r="EJ369"/>
      <c r="EK369"/>
      <c r="EL369"/>
      <c r="EM369"/>
      <c r="EN369"/>
      <c r="EO369"/>
      <c r="EP369"/>
      <c r="EQ369"/>
      <c r="ER369"/>
      <c r="ES369"/>
      <c r="ET369"/>
      <c r="EU369"/>
      <c r="EV369"/>
      <c r="EW369"/>
      <c r="EX369"/>
      <c r="EY369"/>
      <c r="EZ369"/>
      <c r="FA369"/>
      <c r="FB369"/>
      <c r="FC369"/>
      <c r="FD369"/>
      <c r="FE369"/>
      <c r="FF369"/>
      <c r="FG369"/>
      <c r="FH369"/>
      <c r="FI369"/>
      <c r="FJ369"/>
      <c r="FK369"/>
      <c r="FL369"/>
      <c r="FM369"/>
      <c r="FN369"/>
      <c r="FO369"/>
      <c r="FP369"/>
      <c r="FQ369"/>
      <c r="FR369"/>
      <c r="FS369"/>
      <c r="FT369"/>
      <c r="FU369"/>
      <c r="FV369"/>
      <c r="FW369"/>
      <c r="FX369"/>
      <c r="FY369"/>
      <c r="FZ369"/>
      <c r="GA369"/>
      <c r="GB369"/>
      <c r="GC369"/>
      <c r="GD369"/>
      <c r="GE369"/>
      <c r="GF369"/>
      <c r="GG369"/>
      <c r="GH369"/>
      <c r="GI369"/>
      <c r="GJ369"/>
      <c r="GK369"/>
      <c r="GL369"/>
      <c r="GM369"/>
      <c r="GN369"/>
      <c r="GO369"/>
      <c r="GP369"/>
      <c r="GQ369"/>
      <c r="GR369"/>
      <c r="GS369"/>
      <c r="GT369"/>
      <c r="GU369"/>
      <c r="GV369"/>
      <c r="GW369"/>
      <c r="GX369"/>
      <c r="GY369"/>
      <c r="GZ369"/>
      <c r="HA369"/>
    </row>
    <row r="370" spans="1:209" ht="15" customHeight="1" x14ac:dyDescent="0.15">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c r="CW370"/>
      <c r="CX370"/>
      <c r="CY370"/>
      <c r="CZ370"/>
      <c r="DA370"/>
      <c r="DB370"/>
      <c r="DC370"/>
      <c r="DD370"/>
      <c r="DE370"/>
      <c r="DF370"/>
      <c r="DG370"/>
      <c r="DH370"/>
      <c r="DI370"/>
      <c r="DJ370"/>
      <c r="DK370"/>
      <c r="DL370"/>
      <c r="DM370"/>
      <c r="DN370"/>
      <c r="DO370"/>
      <c r="DP370"/>
      <c r="DQ370"/>
      <c r="DR370"/>
      <c r="DS370"/>
      <c r="DT370"/>
      <c r="DU370"/>
      <c r="DV370"/>
      <c r="DW370"/>
      <c r="DX370"/>
      <c r="DY370"/>
      <c r="DZ370"/>
      <c r="EA370"/>
      <c r="EB370"/>
      <c r="EC370"/>
      <c r="ED370"/>
      <c r="EE370"/>
      <c r="EF370"/>
      <c r="EG370"/>
      <c r="EH370"/>
      <c r="EI370"/>
      <c r="EJ370"/>
      <c r="EK370"/>
      <c r="EL370"/>
      <c r="EM370"/>
      <c r="EN370"/>
      <c r="EO370"/>
      <c r="EP370"/>
      <c r="EQ370"/>
      <c r="ER370"/>
      <c r="ES370"/>
      <c r="ET370"/>
      <c r="EU370"/>
      <c r="EV370"/>
      <c r="EW370"/>
      <c r="EX370"/>
      <c r="EY370"/>
      <c r="EZ370"/>
      <c r="FA370"/>
      <c r="FB370"/>
      <c r="FC370"/>
      <c r="FD370"/>
      <c r="FE370"/>
      <c r="FF370"/>
      <c r="FG370"/>
      <c r="FH370"/>
      <c r="FI370"/>
      <c r="FJ370"/>
      <c r="FK370"/>
      <c r="FL370"/>
      <c r="FM370"/>
      <c r="FN370"/>
      <c r="FO370"/>
      <c r="FP370"/>
      <c r="FQ370"/>
      <c r="FR370"/>
      <c r="FS370"/>
      <c r="FT370"/>
      <c r="FU370"/>
      <c r="FV370"/>
      <c r="FW370"/>
      <c r="FX370"/>
      <c r="FY370"/>
      <c r="FZ370"/>
      <c r="GA370"/>
      <c r="GB370"/>
      <c r="GC370"/>
      <c r="GD370"/>
      <c r="GE370"/>
      <c r="GF370"/>
      <c r="GG370"/>
      <c r="GH370"/>
      <c r="GI370"/>
      <c r="GJ370"/>
      <c r="GK370"/>
      <c r="GL370"/>
      <c r="GM370"/>
      <c r="GN370"/>
      <c r="GO370"/>
      <c r="GP370"/>
      <c r="GQ370"/>
      <c r="GR370"/>
      <c r="GS370"/>
      <c r="GT370"/>
      <c r="GU370"/>
      <c r="GV370"/>
      <c r="GW370"/>
      <c r="GX370"/>
      <c r="GY370"/>
      <c r="GZ370"/>
      <c r="HA370"/>
    </row>
    <row r="371" spans="1:209" ht="15" customHeight="1" x14ac:dyDescent="0.15">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c r="CW371"/>
      <c r="CX371"/>
      <c r="CY371"/>
      <c r="CZ371"/>
      <c r="DA371"/>
      <c r="DB371"/>
      <c r="DC371"/>
      <c r="DD371"/>
      <c r="DE371"/>
      <c r="DF371"/>
      <c r="DG371"/>
      <c r="DH371"/>
      <c r="DI371"/>
      <c r="DJ371"/>
      <c r="DK371"/>
      <c r="DL371"/>
      <c r="DM371"/>
      <c r="DN371"/>
      <c r="DO371"/>
      <c r="DP371"/>
      <c r="DQ371"/>
      <c r="DR371"/>
      <c r="DS371"/>
      <c r="DT371"/>
      <c r="DU371"/>
      <c r="DV371"/>
      <c r="DW371"/>
      <c r="DX371"/>
      <c r="DY371"/>
      <c r="DZ371"/>
      <c r="EA371"/>
      <c r="EB371"/>
      <c r="EC371"/>
      <c r="ED371"/>
      <c r="EE371"/>
      <c r="EF371"/>
      <c r="EG371"/>
      <c r="EH371"/>
      <c r="EI371"/>
      <c r="EJ371"/>
      <c r="EK371"/>
      <c r="EL371"/>
      <c r="EM371"/>
      <c r="EN371"/>
      <c r="EO371"/>
      <c r="EP371"/>
      <c r="EQ371"/>
      <c r="ER371"/>
      <c r="ES371"/>
      <c r="ET371"/>
      <c r="EU371"/>
      <c r="EV371"/>
      <c r="EW371"/>
      <c r="EX371"/>
      <c r="EY371"/>
      <c r="EZ371"/>
      <c r="FA371"/>
      <c r="FB371"/>
      <c r="FC371"/>
      <c r="FD371"/>
      <c r="FE371"/>
      <c r="FF371"/>
      <c r="FG371"/>
      <c r="FH371"/>
      <c r="FI371"/>
      <c r="FJ371"/>
      <c r="FK371"/>
      <c r="FL371"/>
      <c r="FM371"/>
      <c r="FN371"/>
      <c r="FO371"/>
      <c r="FP371"/>
      <c r="FQ371"/>
      <c r="FR371"/>
      <c r="FS371"/>
      <c r="FT371"/>
      <c r="FU371"/>
      <c r="FV371"/>
      <c r="FW371"/>
      <c r="FX371"/>
      <c r="FY371"/>
      <c r="FZ371"/>
      <c r="GA371"/>
      <c r="GB371"/>
      <c r="GC371"/>
      <c r="GD371"/>
      <c r="GE371"/>
      <c r="GF371"/>
      <c r="GG371"/>
      <c r="GH371"/>
      <c r="GI371"/>
      <c r="GJ371"/>
      <c r="GK371"/>
      <c r="GL371"/>
      <c r="GM371"/>
      <c r="GN371"/>
      <c r="GO371"/>
      <c r="GP371"/>
      <c r="GQ371"/>
      <c r="GR371"/>
      <c r="GS371"/>
      <c r="GT371"/>
      <c r="GU371"/>
      <c r="GV371"/>
      <c r="GW371"/>
      <c r="GX371"/>
      <c r="GY371"/>
      <c r="GZ371"/>
      <c r="HA371"/>
    </row>
    <row r="372" spans="1:209" ht="15" customHeight="1" x14ac:dyDescent="0.15">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c r="CW372"/>
      <c r="CX372"/>
      <c r="CY372"/>
      <c r="CZ372"/>
      <c r="DA372"/>
      <c r="DB372"/>
      <c r="DC372"/>
      <c r="DD372"/>
      <c r="DE372"/>
      <c r="DF372"/>
      <c r="DG372"/>
      <c r="DH372"/>
      <c r="DI372"/>
      <c r="DJ372"/>
      <c r="DK372"/>
      <c r="DL372"/>
      <c r="DM372"/>
      <c r="DN372"/>
      <c r="DO372"/>
      <c r="DP372"/>
      <c r="DQ372"/>
      <c r="DR372"/>
      <c r="DS372"/>
      <c r="DT372"/>
      <c r="DU372"/>
      <c r="DV372"/>
      <c r="DW372"/>
      <c r="DX372"/>
      <c r="DY372"/>
      <c r="DZ372"/>
      <c r="EA372"/>
      <c r="EB372"/>
      <c r="EC372"/>
      <c r="ED372"/>
      <c r="EE372"/>
      <c r="EF372"/>
      <c r="EG372"/>
      <c r="EH372"/>
      <c r="EI372"/>
      <c r="EJ372"/>
      <c r="EK372"/>
      <c r="EL372"/>
      <c r="EM372"/>
      <c r="EN372"/>
      <c r="EO372"/>
      <c r="EP372"/>
      <c r="EQ372"/>
      <c r="ER372"/>
      <c r="ES372"/>
      <c r="ET372"/>
      <c r="EU372"/>
      <c r="EV372"/>
      <c r="EW372"/>
      <c r="EX372"/>
      <c r="EY372"/>
      <c r="EZ372"/>
      <c r="FA372"/>
      <c r="FB372"/>
      <c r="FC372"/>
      <c r="FD372"/>
      <c r="FE372"/>
      <c r="FF372"/>
      <c r="FG372"/>
      <c r="FH372"/>
      <c r="FI372"/>
      <c r="FJ372"/>
      <c r="FK372"/>
      <c r="FL372"/>
      <c r="FM372"/>
      <c r="FN372"/>
      <c r="FO372"/>
      <c r="FP372"/>
      <c r="FQ372"/>
      <c r="FR372"/>
      <c r="FS372"/>
      <c r="FT372"/>
      <c r="FU372"/>
      <c r="FV372"/>
      <c r="FW372"/>
      <c r="FX372"/>
      <c r="FY372"/>
      <c r="FZ372"/>
      <c r="GA372"/>
      <c r="GB372"/>
      <c r="GC372"/>
      <c r="GD372"/>
      <c r="GE372"/>
      <c r="GF372"/>
      <c r="GG372"/>
      <c r="GH372"/>
      <c r="GI372"/>
      <c r="GJ372"/>
      <c r="GK372"/>
      <c r="GL372"/>
      <c r="GM372"/>
      <c r="GN372"/>
      <c r="GO372"/>
      <c r="GP372"/>
      <c r="GQ372"/>
      <c r="GR372"/>
      <c r="GS372"/>
      <c r="GT372"/>
      <c r="GU372"/>
      <c r="GV372"/>
      <c r="GW372"/>
      <c r="GX372"/>
      <c r="GY372"/>
      <c r="GZ372"/>
      <c r="HA372"/>
    </row>
    <row r="373" spans="1:209" ht="15" customHeight="1" x14ac:dyDescent="0.15">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c r="CW373"/>
      <c r="CX373"/>
      <c r="CY373"/>
      <c r="CZ373"/>
      <c r="DA373"/>
      <c r="DB373"/>
      <c r="DC373"/>
      <c r="DD373"/>
      <c r="DE373"/>
      <c r="DF373"/>
      <c r="DG373"/>
      <c r="DH373"/>
      <c r="DI373"/>
      <c r="DJ373"/>
      <c r="DK373"/>
      <c r="DL373"/>
      <c r="DM373"/>
      <c r="DN373"/>
      <c r="DO373"/>
      <c r="DP373"/>
      <c r="DQ373"/>
      <c r="DR373"/>
      <c r="DS373"/>
      <c r="DT373"/>
      <c r="DU373"/>
      <c r="DV373"/>
      <c r="DW373"/>
      <c r="DX373"/>
      <c r="DY373"/>
      <c r="DZ373"/>
      <c r="EA373"/>
      <c r="EB373"/>
      <c r="EC373"/>
      <c r="ED373"/>
      <c r="EE373"/>
      <c r="EF373"/>
      <c r="EG373"/>
      <c r="EH373"/>
      <c r="EI373"/>
      <c r="EJ373"/>
      <c r="EK373"/>
      <c r="EL373"/>
      <c r="EM373"/>
      <c r="EN373"/>
      <c r="EO373"/>
      <c r="EP373"/>
      <c r="EQ373"/>
      <c r="ER373"/>
      <c r="ES373"/>
      <c r="ET373"/>
      <c r="EU373"/>
      <c r="EV373"/>
      <c r="EW373"/>
      <c r="EX373"/>
      <c r="EY373"/>
      <c r="EZ373"/>
      <c r="FA373"/>
      <c r="FB373"/>
      <c r="FC373"/>
      <c r="FD373"/>
      <c r="FE373"/>
      <c r="FF373"/>
      <c r="FG373"/>
      <c r="FH373"/>
      <c r="FI373"/>
      <c r="FJ373"/>
      <c r="FK373"/>
      <c r="FL373"/>
      <c r="FM373"/>
      <c r="FN373"/>
      <c r="FO373"/>
      <c r="FP373"/>
      <c r="FQ373"/>
      <c r="FR373"/>
      <c r="FS373"/>
      <c r="FT373"/>
      <c r="FU373"/>
      <c r="FV373"/>
      <c r="FW373"/>
      <c r="FX373"/>
      <c r="FY373"/>
      <c r="FZ373"/>
      <c r="GA373"/>
      <c r="GB373"/>
      <c r="GC373"/>
      <c r="GD373"/>
      <c r="GE373"/>
      <c r="GF373"/>
      <c r="GG373"/>
      <c r="GH373"/>
      <c r="GI373"/>
      <c r="GJ373"/>
      <c r="GK373"/>
      <c r="GL373"/>
      <c r="GM373"/>
      <c r="GN373"/>
      <c r="GO373"/>
      <c r="GP373"/>
      <c r="GQ373"/>
      <c r="GR373"/>
      <c r="GS373"/>
      <c r="GT373"/>
      <c r="GU373"/>
      <c r="GV373"/>
      <c r="GW373"/>
      <c r="GX373"/>
      <c r="GY373"/>
      <c r="GZ373"/>
      <c r="HA373"/>
    </row>
    <row r="374" spans="1:209" ht="15" customHeight="1" x14ac:dyDescent="0.15">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c r="CW374"/>
      <c r="CX374"/>
      <c r="CY374"/>
      <c r="CZ374"/>
      <c r="DA374"/>
      <c r="DB374"/>
      <c r="DC374"/>
      <c r="DD374"/>
      <c r="DE374"/>
      <c r="DF374"/>
      <c r="DG374"/>
      <c r="DH374"/>
      <c r="DI374"/>
      <c r="DJ374"/>
      <c r="DK374"/>
      <c r="DL374"/>
      <c r="DM374"/>
      <c r="DN374"/>
      <c r="DO374"/>
      <c r="DP374"/>
      <c r="DQ374"/>
      <c r="DR374"/>
      <c r="DS374"/>
      <c r="DT374"/>
      <c r="DU374"/>
      <c r="DV374"/>
      <c r="DW374"/>
      <c r="DX374"/>
      <c r="DY374"/>
      <c r="DZ374"/>
      <c r="EA374"/>
      <c r="EB374"/>
      <c r="EC374"/>
      <c r="ED374"/>
      <c r="EE374"/>
      <c r="EF374"/>
      <c r="EG374"/>
      <c r="EH374"/>
      <c r="EI374"/>
      <c r="EJ374"/>
      <c r="EK374"/>
      <c r="EL374"/>
      <c r="EM374"/>
      <c r="EN374"/>
      <c r="EO374"/>
      <c r="EP374"/>
      <c r="EQ374"/>
      <c r="ER374"/>
      <c r="ES374"/>
      <c r="ET374"/>
      <c r="EU374"/>
      <c r="EV374"/>
      <c r="EW374"/>
      <c r="EX374"/>
      <c r="EY374"/>
      <c r="EZ374"/>
      <c r="FA374"/>
      <c r="FB374"/>
      <c r="FC374"/>
      <c r="FD374"/>
      <c r="FE374"/>
      <c r="FF374"/>
      <c r="FG374"/>
      <c r="FH374"/>
      <c r="FI374"/>
      <c r="FJ374"/>
      <c r="FK374"/>
      <c r="FL374"/>
      <c r="FM374"/>
      <c r="FN374"/>
      <c r="FO374"/>
      <c r="FP374"/>
      <c r="FQ374"/>
      <c r="FR374"/>
      <c r="FS374"/>
      <c r="FT374"/>
      <c r="FU374"/>
      <c r="FV374"/>
      <c r="FW374"/>
      <c r="FX374"/>
      <c r="FY374"/>
      <c r="FZ374"/>
      <c r="GA374"/>
      <c r="GB374"/>
      <c r="GC374"/>
      <c r="GD374"/>
      <c r="GE374"/>
      <c r="GF374"/>
      <c r="GG374"/>
      <c r="GH374"/>
      <c r="GI374"/>
      <c r="GJ374"/>
      <c r="GK374"/>
      <c r="GL374"/>
      <c r="GM374"/>
      <c r="GN374"/>
      <c r="GO374"/>
      <c r="GP374"/>
      <c r="GQ374"/>
      <c r="GR374"/>
      <c r="GS374"/>
      <c r="GT374"/>
      <c r="GU374"/>
      <c r="GV374"/>
      <c r="GW374"/>
      <c r="GX374"/>
      <c r="GY374"/>
      <c r="GZ374"/>
      <c r="HA374"/>
    </row>
    <row r="375" spans="1:209" ht="15" customHeight="1" x14ac:dyDescent="0.15">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c r="CW375"/>
      <c r="CX375"/>
      <c r="CY375"/>
      <c r="CZ375"/>
      <c r="DA375"/>
      <c r="DB375"/>
      <c r="DC375"/>
      <c r="DD375"/>
      <c r="DE375"/>
      <c r="DF375"/>
      <c r="DG375"/>
      <c r="DH375"/>
      <c r="DI375"/>
      <c r="DJ375"/>
      <c r="DK375"/>
      <c r="DL375"/>
      <c r="DM375"/>
      <c r="DN375"/>
      <c r="DO375"/>
      <c r="DP375"/>
      <c r="DQ375"/>
      <c r="DR375"/>
      <c r="DS375"/>
      <c r="DT375"/>
      <c r="DU375"/>
      <c r="DV375"/>
      <c r="DW375"/>
      <c r="DX375"/>
      <c r="DY375"/>
      <c r="DZ375"/>
      <c r="EA375"/>
      <c r="EB375"/>
      <c r="EC375"/>
      <c r="ED375"/>
      <c r="EE375"/>
      <c r="EF375"/>
      <c r="EG375"/>
      <c r="EH375"/>
      <c r="EI375"/>
      <c r="EJ375"/>
      <c r="EK375"/>
      <c r="EL375"/>
      <c r="EM375"/>
      <c r="EN375"/>
      <c r="EO375"/>
      <c r="EP375"/>
      <c r="EQ375"/>
      <c r="ER375"/>
      <c r="ES375"/>
      <c r="ET375"/>
      <c r="EU375"/>
      <c r="EV375"/>
      <c r="EW375"/>
      <c r="EX375"/>
      <c r="EY375"/>
      <c r="EZ375"/>
      <c r="FA375"/>
      <c r="FB375"/>
      <c r="FC375"/>
      <c r="FD375"/>
      <c r="FE375"/>
      <c r="FF375"/>
      <c r="FG375"/>
      <c r="FH375"/>
      <c r="FI375"/>
      <c r="FJ375"/>
      <c r="FK375"/>
      <c r="FL375"/>
      <c r="FM375"/>
      <c r="FN375"/>
      <c r="FO375"/>
      <c r="FP375"/>
      <c r="FQ375"/>
      <c r="FR375"/>
      <c r="FS375"/>
      <c r="FT375"/>
      <c r="FU375"/>
      <c r="FV375"/>
      <c r="FW375"/>
      <c r="FX375"/>
      <c r="FY375"/>
      <c r="FZ375"/>
      <c r="GA375"/>
      <c r="GB375"/>
      <c r="GC375"/>
      <c r="GD375"/>
      <c r="GE375"/>
      <c r="GF375"/>
      <c r="GG375"/>
      <c r="GH375"/>
      <c r="GI375"/>
      <c r="GJ375"/>
      <c r="GK375"/>
      <c r="GL375"/>
      <c r="GM375"/>
      <c r="GN375"/>
      <c r="GO375"/>
      <c r="GP375"/>
      <c r="GQ375"/>
      <c r="GR375"/>
      <c r="GS375"/>
      <c r="GT375"/>
      <c r="GU375"/>
      <c r="GV375"/>
      <c r="GW375"/>
      <c r="GX375"/>
      <c r="GY375"/>
      <c r="GZ375"/>
      <c r="HA375"/>
    </row>
    <row r="376" spans="1:209" ht="15" customHeight="1" x14ac:dyDescent="0.15">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c r="CW376"/>
      <c r="CX376"/>
      <c r="CY376"/>
      <c r="CZ376"/>
      <c r="DA376"/>
      <c r="DB376"/>
      <c r="DC376"/>
      <c r="DD376"/>
      <c r="DE376"/>
      <c r="DF376"/>
      <c r="DG376"/>
      <c r="DH376"/>
      <c r="DI376"/>
      <c r="DJ376"/>
      <c r="DK376"/>
      <c r="DL376"/>
      <c r="DM376"/>
      <c r="DN376"/>
      <c r="DO376"/>
      <c r="DP376"/>
      <c r="DQ376"/>
      <c r="DR376"/>
      <c r="DS376"/>
      <c r="DT376"/>
      <c r="DU376"/>
      <c r="DV376"/>
      <c r="DW376"/>
      <c r="DX376"/>
      <c r="DY376"/>
      <c r="DZ376"/>
      <c r="EA376"/>
      <c r="EB376"/>
      <c r="EC376"/>
      <c r="ED376"/>
      <c r="EE376"/>
      <c r="EF376"/>
      <c r="EG376"/>
      <c r="EH376"/>
      <c r="EI376"/>
      <c r="EJ376"/>
      <c r="EK376"/>
      <c r="EL376"/>
      <c r="EM376"/>
      <c r="EN376"/>
      <c r="EO376"/>
      <c r="EP376"/>
      <c r="EQ376"/>
      <c r="ER376"/>
      <c r="ES376"/>
      <c r="ET376"/>
      <c r="EU376"/>
      <c r="EV376"/>
      <c r="EW376"/>
      <c r="EX376"/>
      <c r="EY376"/>
      <c r="EZ376"/>
      <c r="FA376"/>
      <c r="FB376"/>
      <c r="FC376"/>
      <c r="FD376"/>
      <c r="FE376"/>
      <c r="FF376"/>
      <c r="FG376"/>
      <c r="FH376"/>
      <c r="FI376"/>
      <c r="FJ376"/>
      <c r="FK376"/>
      <c r="FL376"/>
      <c r="FM376"/>
      <c r="FN376"/>
      <c r="FO376"/>
      <c r="FP376"/>
      <c r="FQ376"/>
      <c r="FR376"/>
      <c r="FS376"/>
      <c r="FT376"/>
      <c r="FU376"/>
      <c r="FV376"/>
      <c r="FW376"/>
      <c r="FX376"/>
      <c r="FY376"/>
      <c r="FZ376"/>
      <c r="GA376"/>
      <c r="GB376"/>
      <c r="GC376"/>
      <c r="GD376"/>
      <c r="GE376"/>
      <c r="GF376"/>
      <c r="GG376"/>
      <c r="GH376"/>
      <c r="GI376"/>
      <c r="GJ376"/>
      <c r="GK376"/>
      <c r="GL376"/>
      <c r="GM376"/>
      <c r="GN376"/>
      <c r="GO376"/>
      <c r="GP376"/>
      <c r="GQ376"/>
      <c r="GR376"/>
      <c r="GS376"/>
      <c r="GT376"/>
      <c r="GU376"/>
      <c r="GV376"/>
      <c r="GW376"/>
      <c r="GX376"/>
      <c r="GY376"/>
      <c r="GZ376"/>
      <c r="HA376"/>
    </row>
    <row r="377" spans="1:209" ht="15" customHeight="1" x14ac:dyDescent="0.15">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c r="CW377"/>
      <c r="CX377"/>
      <c r="CY377"/>
      <c r="CZ377"/>
      <c r="DA377"/>
      <c r="DB377"/>
      <c r="DC377"/>
      <c r="DD377"/>
      <c r="DE377"/>
      <c r="DF377"/>
      <c r="DG377"/>
      <c r="DH377"/>
      <c r="DI377"/>
      <c r="DJ377"/>
      <c r="DK377"/>
      <c r="DL377"/>
      <c r="DM377"/>
      <c r="DN377"/>
      <c r="DO377"/>
      <c r="DP377"/>
      <c r="DQ377"/>
      <c r="DR377"/>
      <c r="DS377"/>
      <c r="DT377"/>
      <c r="DU377"/>
      <c r="DV377"/>
      <c r="DW377"/>
      <c r="DX377"/>
      <c r="DY377"/>
      <c r="DZ377"/>
      <c r="EA377"/>
      <c r="EB377"/>
      <c r="EC377"/>
      <c r="ED377"/>
      <c r="EE377"/>
      <c r="EF377"/>
      <c r="EG377"/>
      <c r="EH377"/>
      <c r="EI377"/>
      <c r="EJ377"/>
      <c r="EK377"/>
      <c r="EL377"/>
      <c r="EM377"/>
      <c r="EN377"/>
      <c r="EO377"/>
      <c r="EP377"/>
      <c r="EQ377"/>
      <c r="ER377"/>
      <c r="ES377"/>
      <c r="ET377"/>
      <c r="EU377"/>
      <c r="EV377"/>
      <c r="EW377"/>
      <c r="EX377"/>
      <c r="EY377"/>
      <c r="EZ377"/>
      <c r="FA377"/>
      <c r="FB377"/>
      <c r="FC377"/>
      <c r="FD377"/>
      <c r="FE377"/>
      <c r="FF377"/>
      <c r="FG377"/>
      <c r="FH377"/>
      <c r="FI377"/>
      <c r="FJ377"/>
      <c r="FK377"/>
      <c r="FL377"/>
      <c r="FM377"/>
      <c r="FN377"/>
      <c r="FO377"/>
      <c r="FP377"/>
      <c r="FQ377"/>
      <c r="FR377"/>
      <c r="FS377"/>
      <c r="FT377"/>
      <c r="FU377"/>
      <c r="FV377"/>
      <c r="FW377"/>
      <c r="FX377"/>
      <c r="FY377"/>
      <c r="FZ377"/>
      <c r="GA377"/>
      <c r="GB377"/>
      <c r="GC377"/>
      <c r="GD377"/>
      <c r="GE377"/>
      <c r="GF377"/>
      <c r="GG377"/>
      <c r="GH377"/>
      <c r="GI377"/>
      <c r="GJ377"/>
      <c r="GK377"/>
      <c r="GL377"/>
      <c r="GM377"/>
      <c r="GN377"/>
      <c r="GO377"/>
      <c r="GP377"/>
      <c r="GQ377"/>
      <c r="GR377"/>
      <c r="GS377"/>
      <c r="GT377"/>
      <c r="GU377"/>
      <c r="GV377"/>
      <c r="GW377"/>
      <c r="GX377"/>
      <c r="GY377"/>
      <c r="GZ377"/>
      <c r="HA377"/>
    </row>
    <row r="378" spans="1:209" ht="15" customHeight="1" x14ac:dyDescent="0.15">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c r="CW378"/>
      <c r="CX378"/>
      <c r="CY378"/>
      <c r="CZ378"/>
      <c r="DA378"/>
      <c r="DB378"/>
      <c r="DC378"/>
      <c r="DD378"/>
      <c r="DE378"/>
      <c r="DF378"/>
      <c r="DG378"/>
      <c r="DH378"/>
      <c r="DI378"/>
      <c r="DJ378"/>
      <c r="DK378"/>
      <c r="DL378"/>
      <c r="DM378"/>
      <c r="DN378"/>
      <c r="DO378"/>
      <c r="DP378"/>
      <c r="DQ378"/>
      <c r="DR378"/>
      <c r="DS378"/>
      <c r="DT378"/>
      <c r="DU378"/>
      <c r="DV378"/>
      <c r="DW378"/>
      <c r="DX378"/>
      <c r="DY378"/>
      <c r="DZ378"/>
      <c r="EA378"/>
      <c r="EB378"/>
      <c r="EC378"/>
      <c r="ED378"/>
      <c r="EE378"/>
      <c r="EF378"/>
      <c r="EG378"/>
      <c r="EH378"/>
      <c r="EI378"/>
      <c r="EJ378"/>
      <c r="EK378"/>
      <c r="EL378"/>
      <c r="EM378"/>
      <c r="EN378"/>
      <c r="EO378"/>
      <c r="EP378"/>
      <c r="EQ378"/>
      <c r="ER378"/>
      <c r="ES378"/>
      <c r="ET378"/>
      <c r="EU378"/>
      <c r="EV378"/>
      <c r="EW378"/>
      <c r="EX378"/>
      <c r="EY378"/>
      <c r="EZ378"/>
      <c r="FA378"/>
      <c r="FB378"/>
      <c r="FC378"/>
      <c r="FD378"/>
      <c r="FE378"/>
      <c r="FF378"/>
      <c r="FG378"/>
      <c r="FH378"/>
      <c r="FI378"/>
      <c r="FJ378"/>
      <c r="FK378"/>
      <c r="FL378"/>
      <c r="FM378"/>
      <c r="FN378"/>
      <c r="FO378"/>
      <c r="FP378"/>
      <c r="FQ378"/>
      <c r="FR378"/>
      <c r="FS378"/>
      <c r="FT378"/>
      <c r="FU378"/>
      <c r="FV378"/>
      <c r="FW378"/>
      <c r="FX378"/>
      <c r="FY378"/>
      <c r="FZ378"/>
      <c r="GA378"/>
      <c r="GB378"/>
      <c r="GC378"/>
      <c r="GD378"/>
      <c r="GE378"/>
      <c r="GF378"/>
      <c r="GG378"/>
      <c r="GH378"/>
      <c r="GI378"/>
      <c r="GJ378"/>
      <c r="GK378"/>
      <c r="GL378"/>
      <c r="GM378"/>
      <c r="GN378"/>
      <c r="GO378"/>
      <c r="GP378"/>
      <c r="GQ378"/>
      <c r="GR378"/>
      <c r="GS378"/>
      <c r="GT378"/>
      <c r="GU378"/>
      <c r="GV378"/>
      <c r="GW378"/>
      <c r="GX378"/>
      <c r="GY378"/>
      <c r="GZ378"/>
      <c r="HA378"/>
    </row>
    <row r="379" spans="1:209" ht="15" customHeight="1" x14ac:dyDescent="0.15">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c r="CW379"/>
      <c r="CX379"/>
      <c r="CY379"/>
      <c r="CZ379"/>
      <c r="DA379"/>
      <c r="DB379"/>
      <c r="DC379"/>
      <c r="DD379"/>
      <c r="DE379"/>
      <c r="DF379"/>
      <c r="DG379"/>
      <c r="DH379"/>
      <c r="DI379"/>
      <c r="DJ379"/>
      <c r="DK379"/>
      <c r="DL379"/>
      <c r="DM379"/>
      <c r="DN379"/>
      <c r="DO379"/>
      <c r="DP379"/>
      <c r="DQ379"/>
      <c r="DR379"/>
      <c r="DS379"/>
      <c r="DT379"/>
      <c r="DU379"/>
      <c r="DV379"/>
      <c r="DW379"/>
      <c r="DX379"/>
      <c r="DY379"/>
      <c r="DZ379"/>
      <c r="EA379"/>
      <c r="EB379"/>
      <c r="EC379"/>
      <c r="ED379"/>
      <c r="EE379"/>
      <c r="EF379"/>
      <c r="EG379"/>
      <c r="EH379"/>
      <c r="EI379"/>
      <c r="EJ379"/>
      <c r="EK379"/>
      <c r="EL379"/>
      <c r="EM379"/>
      <c r="EN379"/>
      <c r="EO379"/>
      <c r="EP379"/>
      <c r="EQ379"/>
      <c r="ER379"/>
      <c r="ES379"/>
      <c r="ET379"/>
      <c r="EU379"/>
      <c r="EV379"/>
      <c r="EW379"/>
      <c r="EX379"/>
      <c r="EY379"/>
      <c r="EZ379"/>
      <c r="FA379"/>
      <c r="FB379"/>
      <c r="FC379"/>
      <c r="FD379"/>
      <c r="FE379"/>
      <c r="FF379"/>
      <c r="FG379"/>
      <c r="FH379"/>
      <c r="FI379"/>
      <c r="FJ379"/>
      <c r="FK379"/>
      <c r="FL379"/>
      <c r="FM379"/>
      <c r="FN379"/>
      <c r="FO379"/>
      <c r="FP379"/>
      <c r="FQ379"/>
      <c r="FR379"/>
      <c r="FS379"/>
      <c r="FT379"/>
      <c r="FU379"/>
      <c r="FV379"/>
      <c r="FW379"/>
      <c r="FX379"/>
      <c r="FY379"/>
      <c r="FZ379"/>
      <c r="GA379"/>
      <c r="GB379"/>
      <c r="GC379"/>
      <c r="GD379"/>
      <c r="GE379"/>
      <c r="GF379"/>
      <c r="GG379"/>
      <c r="GH379"/>
      <c r="GI379"/>
      <c r="GJ379"/>
      <c r="GK379"/>
      <c r="GL379"/>
      <c r="GM379"/>
      <c r="GN379"/>
      <c r="GO379"/>
      <c r="GP379"/>
      <c r="GQ379"/>
      <c r="GR379"/>
      <c r="GS379"/>
      <c r="GT379"/>
      <c r="GU379"/>
      <c r="GV379"/>
      <c r="GW379"/>
      <c r="GX379"/>
      <c r="GY379"/>
      <c r="GZ379"/>
      <c r="HA379"/>
    </row>
    <row r="380" spans="1:209" ht="15" customHeight="1" x14ac:dyDescent="0.15">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c r="CW380"/>
      <c r="CX380"/>
      <c r="CY380"/>
      <c r="CZ380"/>
      <c r="DA380"/>
      <c r="DB380"/>
      <c r="DC380"/>
      <c r="DD380"/>
      <c r="DE380"/>
      <c r="DF380"/>
      <c r="DG380"/>
      <c r="DH380"/>
      <c r="DI380"/>
      <c r="DJ380"/>
      <c r="DK380"/>
      <c r="DL380"/>
      <c r="DM380"/>
      <c r="DN380"/>
      <c r="DO380"/>
      <c r="DP380"/>
      <c r="DQ380"/>
      <c r="DR380"/>
      <c r="DS380"/>
      <c r="DT380"/>
      <c r="DU380"/>
      <c r="DV380"/>
      <c r="DW380"/>
      <c r="DX380"/>
      <c r="DY380"/>
      <c r="DZ380"/>
      <c r="EA380"/>
      <c r="EB380"/>
      <c r="EC380"/>
      <c r="ED380"/>
      <c r="EE380"/>
      <c r="EF380"/>
      <c r="EG380"/>
      <c r="EH380"/>
      <c r="EI380"/>
      <c r="EJ380"/>
      <c r="EK380"/>
      <c r="EL380"/>
      <c r="EM380"/>
      <c r="EN380"/>
      <c r="EO380"/>
      <c r="EP380"/>
      <c r="EQ380"/>
      <c r="ER380"/>
      <c r="ES380"/>
      <c r="ET380"/>
      <c r="EU380"/>
      <c r="EV380"/>
      <c r="EW380"/>
      <c r="EX380"/>
      <c r="EY380"/>
      <c r="EZ380"/>
      <c r="FA380"/>
      <c r="FB380"/>
      <c r="FC380"/>
      <c r="FD380"/>
      <c r="FE380"/>
      <c r="FF380"/>
      <c r="FG380"/>
      <c r="FH380"/>
      <c r="FI380"/>
      <c r="FJ380"/>
      <c r="FK380"/>
      <c r="FL380"/>
      <c r="FM380"/>
      <c r="FN380"/>
      <c r="FO380"/>
      <c r="FP380"/>
      <c r="FQ380"/>
      <c r="FR380"/>
      <c r="FS380"/>
      <c r="FT380"/>
      <c r="FU380"/>
      <c r="FV380"/>
      <c r="FW380"/>
      <c r="FX380"/>
      <c r="FY380"/>
      <c r="FZ380"/>
      <c r="GA380"/>
      <c r="GB380"/>
      <c r="GC380"/>
      <c r="GD380"/>
      <c r="GE380"/>
      <c r="GF380"/>
      <c r="GG380"/>
      <c r="GH380"/>
      <c r="GI380"/>
      <c r="GJ380"/>
      <c r="GK380"/>
      <c r="GL380"/>
      <c r="GM380"/>
      <c r="GN380"/>
      <c r="GO380"/>
      <c r="GP380"/>
      <c r="GQ380"/>
      <c r="GR380"/>
      <c r="GS380"/>
      <c r="GT380"/>
      <c r="GU380"/>
      <c r="GV380"/>
      <c r="GW380"/>
      <c r="GX380"/>
      <c r="GY380"/>
      <c r="GZ380"/>
      <c r="HA380"/>
    </row>
    <row r="381" spans="1:209" ht="15" customHeight="1" x14ac:dyDescent="0.15">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c r="CW381"/>
      <c r="CX381"/>
      <c r="CY381"/>
      <c r="CZ381"/>
      <c r="DA381"/>
      <c r="DB381"/>
      <c r="DC381"/>
      <c r="DD381"/>
      <c r="DE381"/>
      <c r="DF381"/>
      <c r="DG381"/>
      <c r="DH381"/>
      <c r="DI381"/>
      <c r="DJ381"/>
      <c r="DK381"/>
      <c r="DL381"/>
      <c r="DM381"/>
      <c r="DN381"/>
      <c r="DO381"/>
      <c r="DP381"/>
      <c r="DQ381"/>
      <c r="DR381"/>
      <c r="DS381"/>
      <c r="DT381"/>
      <c r="DU381"/>
      <c r="DV381"/>
      <c r="DW381"/>
      <c r="DX381"/>
      <c r="DY381"/>
      <c r="DZ381"/>
      <c r="EA381"/>
      <c r="EB381"/>
      <c r="EC381"/>
      <c r="ED381"/>
      <c r="EE381"/>
      <c r="EF381"/>
      <c r="EG381"/>
      <c r="EH381"/>
      <c r="EI381"/>
      <c r="EJ381"/>
      <c r="EK381"/>
      <c r="EL381"/>
      <c r="EM381"/>
      <c r="EN381"/>
      <c r="EO381"/>
      <c r="EP381"/>
      <c r="EQ381"/>
      <c r="ER381"/>
      <c r="ES381"/>
      <c r="ET381"/>
      <c r="EU381"/>
      <c r="EV381"/>
      <c r="EW381"/>
      <c r="EX381"/>
      <c r="EY381"/>
      <c r="EZ381"/>
      <c r="FA381"/>
      <c r="FB381"/>
      <c r="FC381"/>
      <c r="FD381"/>
      <c r="FE381"/>
      <c r="FF381"/>
      <c r="FG381"/>
      <c r="FH381"/>
      <c r="FI381"/>
      <c r="FJ381"/>
      <c r="FK381"/>
      <c r="FL381"/>
      <c r="FM381"/>
      <c r="FN381"/>
      <c r="FO381"/>
      <c r="FP381"/>
      <c r="FQ381"/>
      <c r="FR381"/>
      <c r="FS381"/>
      <c r="FT381"/>
      <c r="FU381"/>
      <c r="FV381"/>
      <c r="FW381"/>
      <c r="FX381"/>
      <c r="FY381"/>
      <c r="FZ381"/>
      <c r="GA381"/>
      <c r="GB381"/>
      <c r="GC381"/>
      <c r="GD381"/>
      <c r="GE381"/>
      <c r="GF381"/>
      <c r="GG381"/>
      <c r="GH381"/>
      <c r="GI381"/>
      <c r="GJ381"/>
      <c r="GK381"/>
      <c r="GL381"/>
      <c r="GM381"/>
      <c r="GN381"/>
      <c r="GO381"/>
      <c r="GP381"/>
      <c r="GQ381"/>
      <c r="GR381"/>
      <c r="GS381"/>
      <c r="GT381"/>
      <c r="GU381"/>
      <c r="GV381"/>
      <c r="GW381"/>
      <c r="GX381"/>
      <c r="GY381"/>
      <c r="GZ381"/>
      <c r="HA381"/>
    </row>
    <row r="382" spans="1:209" ht="15" customHeight="1" x14ac:dyDescent="0.15">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c r="CW382"/>
      <c r="CX382"/>
      <c r="CY382"/>
      <c r="CZ382"/>
      <c r="DA382"/>
      <c r="DB382"/>
      <c r="DC382"/>
      <c r="DD382"/>
      <c r="DE382"/>
      <c r="DF382"/>
      <c r="DG382"/>
      <c r="DH382"/>
      <c r="DI382"/>
      <c r="DJ382"/>
      <c r="DK382"/>
      <c r="DL382"/>
      <c r="DM382"/>
      <c r="DN382"/>
      <c r="DO382"/>
      <c r="DP382"/>
      <c r="DQ382"/>
      <c r="DR382"/>
      <c r="DS382"/>
      <c r="DT382"/>
      <c r="DU382"/>
      <c r="DV382"/>
      <c r="DW382"/>
      <c r="DX382"/>
      <c r="DY382"/>
      <c r="DZ382"/>
      <c r="EA382"/>
      <c r="EB382"/>
      <c r="EC382"/>
      <c r="ED382"/>
      <c r="EE382"/>
      <c r="EF382"/>
      <c r="EG382"/>
      <c r="EH382"/>
      <c r="EI382"/>
      <c r="EJ382"/>
      <c r="EK382"/>
      <c r="EL382"/>
      <c r="EM382"/>
      <c r="EN382"/>
      <c r="EO382"/>
      <c r="EP382"/>
      <c r="EQ382"/>
      <c r="ER382"/>
      <c r="ES382"/>
      <c r="ET382"/>
      <c r="EU382"/>
      <c r="EV382"/>
      <c r="EW382"/>
      <c r="EX382"/>
      <c r="EY382"/>
      <c r="EZ382"/>
      <c r="FA382"/>
      <c r="FB382"/>
      <c r="FC382"/>
      <c r="FD382"/>
      <c r="FE382"/>
      <c r="FF382"/>
      <c r="FG382"/>
      <c r="FH382"/>
      <c r="FI382"/>
      <c r="FJ382"/>
      <c r="FK382"/>
      <c r="FL382"/>
      <c r="FM382"/>
      <c r="FN382"/>
      <c r="FO382"/>
      <c r="FP382"/>
      <c r="FQ382"/>
      <c r="FR382"/>
      <c r="FS382"/>
      <c r="FT382"/>
      <c r="FU382"/>
      <c r="FV382"/>
      <c r="FW382"/>
      <c r="FX382"/>
      <c r="FY382"/>
      <c r="FZ382"/>
      <c r="GA382"/>
      <c r="GB382"/>
      <c r="GC382"/>
      <c r="GD382"/>
      <c r="GE382"/>
      <c r="GF382"/>
      <c r="GG382"/>
      <c r="GH382"/>
      <c r="GI382"/>
      <c r="GJ382"/>
      <c r="GK382"/>
      <c r="GL382"/>
      <c r="GM382"/>
      <c r="GN382"/>
      <c r="GO382"/>
      <c r="GP382"/>
      <c r="GQ382"/>
      <c r="GR382"/>
      <c r="GS382"/>
      <c r="GT382"/>
      <c r="GU382"/>
      <c r="GV382"/>
      <c r="GW382"/>
      <c r="GX382"/>
      <c r="GY382"/>
      <c r="GZ382"/>
      <c r="HA382"/>
    </row>
    <row r="383" spans="1:209" ht="15" customHeight="1" x14ac:dyDescent="0.15">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c r="CW383"/>
      <c r="CX383"/>
      <c r="CY383"/>
      <c r="CZ383"/>
      <c r="DA383"/>
      <c r="DB383"/>
      <c r="DC383"/>
      <c r="DD383"/>
      <c r="DE383"/>
      <c r="DF383"/>
      <c r="DG383"/>
      <c r="DH383"/>
      <c r="DI383"/>
      <c r="DJ383"/>
      <c r="DK383"/>
      <c r="DL383"/>
      <c r="DM383"/>
      <c r="DN383"/>
      <c r="DO383"/>
      <c r="DP383"/>
      <c r="DQ383"/>
      <c r="DR383"/>
      <c r="DS383"/>
      <c r="DT383"/>
      <c r="DU383"/>
      <c r="DV383"/>
      <c r="DW383"/>
      <c r="DX383"/>
      <c r="DY383"/>
      <c r="DZ383"/>
      <c r="EA383"/>
      <c r="EB383"/>
      <c r="EC383"/>
      <c r="ED383"/>
      <c r="EE383"/>
      <c r="EF383"/>
      <c r="EG383"/>
      <c r="EH383"/>
      <c r="EI383"/>
      <c r="EJ383"/>
      <c r="EK383"/>
      <c r="EL383"/>
      <c r="EM383"/>
      <c r="EN383"/>
      <c r="EO383"/>
      <c r="EP383"/>
      <c r="EQ383"/>
      <c r="ER383"/>
      <c r="ES383"/>
      <c r="ET383"/>
      <c r="EU383"/>
      <c r="EV383"/>
      <c r="EW383"/>
      <c r="EX383"/>
      <c r="EY383"/>
      <c r="EZ383"/>
      <c r="FA383"/>
      <c r="FB383"/>
      <c r="FC383"/>
      <c r="FD383"/>
      <c r="FE383"/>
      <c r="FF383"/>
      <c r="FG383"/>
      <c r="FH383"/>
      <c r="FI383"/>
      <c r="FJ383"/>
      <c r="FK383"/>
      <c r="FL383"/>
      <c r="FM383"/>
      <c r="FN383"/>
      <c r="FO383"/>
      <c r="FP383"/>
      <c r="FQ383"/>
      <c r="FR383"/>
      <c r="FS383"/>
      <c r="FT383"/>
      <c r="FU383"/>
      <c r="FV383"/>
      <c r="FW383"/>
      <c r="FX383"/>
      <c r="FY383"/>
      <c r="FZ383"/>
      <c r="GA383"/>
      <c r="GB383"/>
      <c r="GC383"/>
      <c r="GD383"/>
      <c r="GE383"/>
      <c r="GF383"/>
      <c r="GG383"/>
      <c r="GH383"/>
      <c r="GI383"/>
      <c r="GJ383"/>
      <c r="GK383"/>
      <c r="GL383"/>
      <c r="GM383"/>
      <c r="GN383"/>
      <c r="GO383"/>
      <c r="GP383"/>
      <c r="GQ383"/>
      <c r="GR383"/>
      <c r="GS383"/>
      <c r="GT383"/>
      <c r="GU383"/>
      <c r="GV383"/>
      <c r="GW383"/>
      <c r="GX383"/>
      <c r="GY383"/>
      <c r="GZ383"/>
      <c r="HA383"/>
    </row>
    <row r="384" spans="1:209" ht="15" customHeight="1" x14ac:dyDescent="0.15">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c r="CW384"/>
      <c r="CX384"/>
      <c r="CY384"/>
      <c r="CZ384"/>
      <c r="DA384"/>
      <c r="DB384"/>
      <c r="DC384"/>
      <c r="DD384"/>
      <c r="DE384"/>
      <c r="DF384"/>
      <c r="DG384"/>
      <c r="DH384"/>
      <c r="DI384"/>
      <c r="DJ384"/>
      <c r="DK384"/>
      <c r="DL384"/>
      <c r="DM384"/>
      <c r="DN384"/>
      <c r="DO384"/>
      <c r="DP384"/>
      <c r="DQ384"/>
      <c r="DR384"/>
      <c r="DS384"/>
      <c r="DT384"/>
      <c r="DU384"/>
      <c r="DV384"/>
      <c r="DW384"/>
      <c r="DX384"/>
      <c r="DY384"/>
      <c r="DZ384"/>
      <c r="EA384"/>
      <c r="EB384"/>
      <c r="EC384"/>
      <c r="ED384"/>
      <c r="EE384"/>
      <c r="EF384"/>
      <c r="EG384"/>
      <c r="EH384"/>
      <c r="EI384"/>
      <c r="EJ384"/>
      <c r="EK384"/>
      <c r="EL384"/>
      <c r="EM384"/>
      <c r="EN384"/>
      <c r="EO384"/>
      <c r="EP384"/>
      <c r="EQ384"/>
      <c r="ER384"/>
      <c r="ES384"/>
      <c r="ET384"/>
      <c r="EU384"/>
      <c r="EV384"/>
      <c r="EW384"/>
      <c r="EX384"/>
      <c r="EY384"/>
      <c r="EZ384"/>
      <c r="FA384"/>
      <c r="FB384"/>
      <c r="FC384"/>
      <c r="FD384"/>
      <c r="FE384"/>
      <c r="FF384"/>
      <c r="FG384"/>
      <c r="FH384"/>
      <c r="FI384"/>
      <c r="FJ384"/>
      <c r="FK384"/>
      <c r="FL384"/>
      <c r="FM384"/>
      <c r="FN384"/>
      <c r="FO384"/>
      <c r="FP384"/>
      <c r="FQ384"/>
      <c r="FR384"/>
      <c r="FS384"/>
      <c r="FT384"/>
      <c r="FU384"/>
      <c r="FV384"/>
      <c r="FW384"/>
      <c r="FX384"/>
      <c r="FY384"/>
      <c r="FZ384"/>
      <c r="GA384"/>
      <c r="GB384"/>
      <c r="GC384"/>
      <c r="GD384"/>
      <c r="GE384"/>
      <c r="GF384"/>
      <c r="GG384"/>
      <c r="GH384"/>
      <c r="GI384"/>
      <c r="GJ384"/>
      <c r="GK384"/>
      <c r="GL384"/>
      <c r="GM384"/>
      <c r="GN384"/>
      <c r="GO384"/>
      <c r="GP384"/>
      <c r="GQ384"/>
      <c r="GR384"/>
      <c r="GS384"/>
      <c r="GT384"/>
      <c r="GU384"/>
      <c r="GV384"/>
      <c r="GW384"/>
      <c r="GX384"/>
      <c r="GY384"/>
      <c r="GZ384"/>
      <c r="HA384"/>
    </row>
    <row r="385" spans="1:209" ht="15" customHeight="1" x14ac:dyDescent="0.15">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c r="CW385"/>
      <c r="CX385"/>
      <c r="CY385"/>
      <c r="CZ385"/>
      <c r="DA385"/>
      <c r="DB385"/>
      <c r="DC385"/>
      <c r="DD385"/>
      <c r="DE385"/>
      <c r="DF385"/>
      <c r="DG385"/>
      <c r="DH385"/>
      <c r="DI385"/>
      <c r="DJ385"/>
      <c r="DK385"/>
      <c r="DL385"/>
      <c r="DM385"/>
      <c r="DN385"/>
      <c r="DO385"/>
      <c r="DP385"/>
      <c r="DQ385"/>
      <c r="DR385"/>
      <c r="DS385"/>
      <c r="DT385"/>
      <c r="DU385"/>
      <c r="DV385"/>
      <c r="DW385"/>
      <c r="DX385"/>
      <c r="DY385"/>
      <c r="DZ385"/>
      <c r="EA385"/>
      <c r="EB385"/>
      <c r="EC385"/>
      <c r="ED385"/>
      <c r="EE385"/>
      <c r="EF385"/>
      <c r="EG385"/>
      <c r="EH385"/>
      <c r="EI385"/>
      <c r="EJ385"/>
      <c r="EK385"/>
      <c r="EL385"/>
      <c r="EM385"/>
      <c r="EN385"/>
      <c r="EO385"/>
      <c r="EP385"/>
      <c r="EQ385"/>
      <c r="ER385"/>
      <c r="ES385"/>
      <c r="ET385"/>
      <c r="EU385"/>
      <c r="EV385"/>
      <c r="EW385"/>
      <c r="EX385"/>
      <c r="EY385"/>
      <c r="EZ385"/>
      <c r="FA385"/>
      <c r="FB385"/>
      <c r="FC385"/>
      <c r="FD385"/>
      <c r="FE385"/>
      <c r="FF385"/>
      <c r="FG385"/>
      <c r="FH385"/>
      <c r="FI385"/>
      <c r="FJ385"/>
      <c r="FK385"/>
      <c r="FL385"/>
      <c r="FM385"/>
      <c r="FN385"/>
      <c r="FO385"/>
      <c r="FP385"/>
      <c r="FQ385"/>
      <c r="FR385"/>
      <c r="FS385"/>
      <c r="FT385"/>
      <c r="FU385"/>
      <c r="FV385"/>
      <c r="FW385"/>
      <c r="FX385"/>
      <c r="FY385"/>
      <c r="FZ385"/>
      <c r="GA385"/>
      <c r="GB385"/>
      <c r="GC385"/>
      <c r="GD385"/>
      <c r="GE385"/>
      <c r="GF385"/>
      <c r="GG385"/>
      <c r="GH385"/>
      <c r="GI385"/>
      <c r="GJ385"/>
      <c r="GK385"/>
      <c r="GL385"/>
      <c r="GM385"/>
      <c r="GN385"/>
      <c r="GO385"/>
      <c r="GP385"/>
      <c r="GQ385"/>
      <c r="GR385"/>
      <c r="GS385"/>
      <c r="GT385"/>
      <c r="GU385"/>
      <c r="GV385"/>
      <c r="GW385"/>
      <c r="GX385"/>
      <c r="GY385"/>
      <c r="GZ385"/>
      <c r="HA385"/>
    </row>
    <row r="386" spans="1:209" ht="15" customHeight="1" x14ac:dyDescent="0.15">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c r="CW386"/>
      <c r="CX386"/>
      <c r="CY386"/>
      <c r="CZ386"/>
      <c r="DA386"/>
      <c r="DB386"/>
      <c r="DC386"/>
      <c r="DD386"/>
      <c r="DE386"/>
      <c r="DF386"/>
      <c r="DG386"/>
      <c r="DH386"/>
      <c r="DI386"/>
      <c r="DJ386"/>
      <c r="DK386"/>
      <c r="DL386"/>
      <c r="DM386"/>
      <c r="DN386"/>
      <c r="DO386"/>
      <c r="DP386"/>
      <c r="DQ386"/>
      <c r="DR386"/>
      <c r="DS386"/>
      <c r="DT386"/>
      <c r="DU386"/>
      <c r="DV386"/>
      <c r="DW386"/>
      <c r="DX386"/>
      <c r="DY386"/>
      <c r="DZ386"/>
      <c r="EA386"/>
      <c r="EB386"/>
      <c r="EC386"/>
      <c r="ED386"/>
      <c r="EE386"/>
      <c r="EF386"/>
      <c r="EG386"/>
      <c r="EH386"/>
      <c r="EI386"/>
      <c r="EJ386"/>
      <c r="EK386"/>
      <c r="EL386"/>
      <c r="EM386"/>
      <c r="EN386"/>
      <c r="EO386"/>
      <c r="EP386"/>
      <c r="EQ386"/>
      <c r="ER386"/>
      <c r="ES386"/>
      <c r="ET386"/>
      <c r="EU386"/>
      <c r="EV386"/>
      <c r="EW386"/>
      <c r="EX386"/>
      <c r="EY386"/>
      <c r="EZ386"/>
      <c r="FA386"/>
      <c r="FB386"/>
      <c r="FC386"/>
      <c r="FD386"/>
      <c r="FE386"/>
      <c r="FF386"/>
      <c r="FG386"/>
      <c r="FH386"/>
      <c r="FI386"/>
      <c r="FJ386"/>
      <c r="FK386"/>
      <c r="FL386"/>
      <c r="FM386"/>
      <c r="FN386"/>
      <c r="FO386"/>
      <c r="FP386"/>
      <c r="FQ386"/>
      <c r="FR386"/>
      <c r="FS386"/>
      <c r="FT386"/>
      <c r="FU386"/>
      <c r="FV386"/>
      <c r="FW386"/>
      <c r="FX386"/>
      <c r="FY386"/>
      <c r="FZ386"/>
      <c r="GA386"/>
      <c r="GB386"/>
      <c r="GC386"/>
      <c r="GD386"/>
      <c r="GE386"/>
      <c r="GF386"/>
      <c r="GG386"/>
      <c r="GH386"/>
      <c r="GI386"/>
      <c r="GJ386"/>
      <c r="GK386"/>
      <c r="GL386"/>
      <c r="GM386"/>
      <c r="GN386"/>
      <c r="GO386"/>
      <c r="GP386"/>
      <c r="GQ386"/>
      <c r="GR386"/>
      <c r="GS386"/>
      <c r="GT386"/>
      <c r="GU386"/>
      <c r="GV386"/>
      <c r="GW386"/>
      <c r="GX386"/>
      <c r="GY386"/>
      <c r="GZ386"/>
      <c r="HA386"/>
    </row>
    <row r="387" spans="1:209" ht="15" customHeight="1" x14ac:dyDescent="0.15">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c r="CW387"/>
      <c r="CX387"/>
      <c r="CY387"/>
      <c r="CZ387"/>
      <c r="DA387"/>
      <c r="DB387"/>
      <c r="DC387"/>
      <c r="DD387"/>
      <c r="DE387"/>
      <c r="DF387"/>
      <c r="DG387"/>
      <c r="DH387"/>
      <c r="DI387"/>
      <c r="DJ387"/>
      <c r="DK387"/>
      <c r="DL387"/>
      <c r="DM387"/>
      <c r="DN387"/>
      <c r="DO387"/>
      <c r="DP387"/>
      <c r="DQ387"/>
      <c r="DR387"/>
      <c r="DS387"/>
      <c r="DT387"/>
      <c r="DU387"/>
      <c r="DV387"/>
      <c r="DW387"/>
      <c r="DX387"/>
      <c r="DY387"/>
      <c r="DZ387"/>
      <c r="EA387"/>
      <c r="EB387"/>
      <c r="EC387"/>
      <c r="ED387"/>
      <c r="EE387"/>
      <c r="EF387"/>
      <c r="EG387"/>
      <c r="EH387"/>
      <c r="EI387"/>
      <c r="EJ387"/>
      <c r="EK387"/>
      <c r="EL387"/>
      <c r="EM387"/>
      <c r="EN387"/>
      <c r="EO387"/>
      <c r="EP387"/>
      <c r="EQ387"/>
      <c r="ER387"/>
      <c r="ES387"/>
      <c r="ET387"/>
      <c r="EU387"/>
      <c r="EV387"/>
      <c r="EW387"/>
      <c r="EX387"/>
      <c r="EY387"/>
      <c r="EZ387"/>
      <c r="FA387"/>
      <c r="FB387"/>
      <c r="FC387"/>
      <c r="FD387"/>
      <c r="FE387"/>
      <c r="FF387"/>
      <c r="FG387"/>
      <c r="FH387"/>
      <c r="FI387"/>
      <c r="FJ387"/>
      <c r="FK387"/>
      <c r="FL387"/>
      <c r="FM387"/>
      <c r="FN387"/>
      <c r="FO387"/>
      <c r="FP387"/>
      <c r="FQ387"/>
      <c r="FR387"/>
      <c r="FS387"/>
      <c r="FT387"/>
      <c r="FU387"/>
      <c r="FV387"/>
      <c r="FW387"/>
      <c r="FX387"/>
      <c r="FY387"/>
      <c r="FZ387"/>
      <c r="GA387"/>
      <c r="GB387"/>
      <c r="GC387"/>
      <c r="GD387"/>
      <c r="GE387"/>
      <c r="GF387"/>
      <c r="GG387"/>
      <c r="GH387"/>
      <c r="GI387"/>
      <c r="GJ387"/>
      <c r="GK387"/>
      <c r="GL387"/>
      <c r="GM387"/>
      <c r="GN387"/>
      <c r="GO387"/>
      <c r="GP387"/>
      <c r="GQ387"/>
      <c r="GR387"/>
      <c r="GS387"/>
      <c r="GT387"/>
      <c r="GU387"/>
      <c r="GV387"/>
      <c r="GW387"/>
      <c r="GX387"/>
      <c r="GY387"/>
      <c r="GZ387"/>
      <c r="HA387"/>
    </row>
    <row r="388" spans="1:209" ht="15" customHeight="1" x14ac:dyDescent="0.15">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c r="CW388"/>
      <c r="CX388"/>
      <c r="CY388"/>
      <c r="CZ388"/>
      <c r="DA388"/>
      <c r="DB388"/>
      <c r="DC388"/>
      <c r="DD388"/>
      <c r="DE388"/>
      <c r="DF388"/>
      <c r="DG388"/>
      <c r="DH388"/>
      <c r="DI388"/>
      <c r="DJ388"/>
      <c r="DK388"/>
      <c r="DL388"/>
      <c r="DM388"/>
      <c r="DN388"/>
      <c r="DO388"/>
      <c r="DP388"/>
      <c r="DQ388"/>
      <c r="DR388"/>
      <c r="DS388"/>
      <c r="DT388"/>
      <c r="DU388"/>
      <c r="DV388"/>
      <c r="DW388"/>
      <c r="DX388"/>
      <c r="DY388"/>
      <c r="DZ388"/>
      <c r="EA388"/>
      <c r="EB388"/>
      <c r="EC388"/>
      <c r="ED388"/>
      <c r="EE388"/>
      <c r="EF388"/>
      <c r="EG388"/>
      <c r="EH388"/>
      <c r="EI388"/>
      <c r="EJ388"/>
      <c r="EK388"/>
      <c r="EL388"/>
      <c r="EM388"/>
      <c r="EN388"/>
      <c r="EO388"/>
      <c r="EP388"/>
      <c r="EQ388"/>
      <c r="ER388"/>
      <c r="ES388"/>
      <c r="ET388"/>
      <c r="EU388"/>
      <c r="EV388"/>
      <c r="EW388"/>
      <c r="EX388"/>
      <c r="EY388"/>
      <c r="EZ388"/>
      <c r="FA388"/>
      <c r="FB388"/>
      <c r="FC388"/>
      <c r="FD388"/>
      <c r="FE388"/>
      <c r="FF388"/>
      <c r="FG388"/>
      <c r="FH388"/>
      <c r="FI388"/>
      <c r="FJ388"/>
      <c r="FK388"/>
      <c r="FL388"/>
      <c r="FM388"/>
      <c r="FN388"/>
      <c r="FO388"/>
      <c r="FP388"/>
      <c r="FQ388"/>
      <c r="FR388"/>
      <c r="FS388"/>
      <c r="FT388"/>
      <c r="FU388"/>
      <c r="FV388"/>
      <c r="FW388"/>
      <c r="FX388"/>
      <c r="FY388"/>
      <c r="FZ388"/>
      <c r="GA388"/>
      <c r="GB388"/>
      <c r="GC388"/>
      <c r="GD388"/>
      <c r="GE388"/>
      <c r="GF388"/>
      <c r="GG388"/>
      <c r="GH388"/>
      <c r="GI388"/>
      <c r="GJ388"/>
      <c r="GK388"/>
      <c r="GL388"/>
      <c r="GM388"/>
      <c r="GN388"/>
      <c r="GO388"/>
      <c r="GP388"/>
      <c r="GQ388"/>
      <c r="GR388"/>
      <c r="GS388"/>
      <c r="GT388"/>
      <c r="GU388"/>
      <c r="GV388"/>
      <c r="GW388"/>
      <c r="GX388"/>
      <c r="GY388"/>
      <c r="GZ388"/>
      <c r="HA388"/>
    </row>
    <row r="389" spans="1:209" ht="15" customHeight="1" x14ac:dyDescent="0.15">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c r="CW389"/>
      <c r="CX389"/>
      <c r="CY389"/>
      <c r="CZ389"/>
      <c r="DA389"/>
      <c r="DB389"/>
      <c r="DC389"/>
      <c r="DD389"/>
      <c r="DE389"/>
      <c r="DF389"/>
      <c r="DG389"/>
      <c r="DH389"/>
      <c r="DI389"/>
      <c r="DJ389"/>
      <c r="DK389"/>
      <c r="DL389"/>
      <c r="DM389"/>
      <c r="DN389"/>
      <c r="DO389"/>
      <c r="DP389"/>
      <c r="DQ389"/>
      <c r="DR389"/>
      <c r="DS389"/>
      <c r="DT389"/>
      <c r="DU389"/>
      <c r="DV389"/>
      <c r="DW389"/>
      <c r="DX389"/>
      <c r="DY389"/>
      <c r="DZ389"/>
      <c r="EA389"/>
      <c r="EB389"/>
      <c r="EC389"/>
      <c r="ED389"/>
      <c r="EE389"/>
      <c r="EF389"/>
      <c r="EG389"/>
      <c r="EH389"/>
      <c r="EI389"/>
      <c r="EJ389"/>
      <c r="EK389"/>
      <c r="EL389"/>
      <c r="EM389"/>
      <c r="EN389"/>
      <c r="EO389"/>
      <c r="EP389"/>
      <c r="EQ389"/>
      <c r="ER389"/>
      <c r="ES389"/>
      <c r="ET389"/>
      <c r="EU389"/>
      <c r="EV389"/>
      <c r="EW389"/>
      <c r="EX389"/>
      <c r="EY389"/>
      <c r="EZ389"/>
      <c r="FA389"/>
      <c r="FB389"/>
      <c r="FC389"/>
      <c r="FD389"/>
      <c r="FE389"/>
      <c r="FF389"/>
      <c r="FG389"/>
      <c r="FH389"/>
      <c r="FI389"/>
      <c r="FJ389"/>
      <c r="FK389"/>
      <c r="FL389"/>
      <c r="FM389"/>
      <c r="FN389"/>
      <c r="FO389"/>
      <c r="FP389"/>
      <c r="FQ389"/>
      <c r="FR389"/>
      <c r="FS389"/>
      <c r="FT389"/>
      <c r="FU389"/>
      <c r="FV389"/>
      <c r="FW389"/>
      <c r="FX389"/>
      <c r="FY389"/>
      <c r="FZ389"/>
      <c r="GA389"/>
      <c r="GB389"/>
      <c r="GC389"/>
      <c r="GD389"/>
      <c r="GE389"/>
      <c r="GF389"/>
      <c r="GG389"/>
      <c r="GH389"/>
      <c r="GI389"/>
      <c r="GJ389"/>
      <c r="GK389"/>
      <c r="GL389"/>
      <c r="GM389"/>
      <c r="GN389"/>
      <c r="GO389"/>
      <c r="GP389"/>
      <c r="GQ389"/>
      <c r="GR389"/>
      <c r="GS389"/>
      <c r="GT389"/>
      <c r="GU389"/>
      <c r="GV389"/>
      <c r="GW389"/>
      <c r="GX389"/>
      <c r="GY389"/>
      <c r="GZ389"/>
      <c r="HA389"/>
    </row>
    <row r="390" spans="1:209" ht="15" customHeight="1" x14ac:dyDescent="0.15">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c r="CW390"/>
      <c r="CX390"/>
      <c r="CY390"/>
      <c r="CZ390"/>
      <c r="DA390"/>
      <c r="DB390"/>
      <c r="DC390"/>
      <c r="DD390"/>
      <c r="DE390"/>
      <c r="DF390"/>
      <c r="DG390"/>
      <c r="DH390"/>
      <c r="DI390"/>
      <c r="DJ390"/>
      <c r="DK390"/>
      <c r="DL390"/>
      <c r="DM390"/>
      <c r="DN390"/>
      <c r="DO390"/>
      <c r="DP390"/>
      <c r="DQ390"/>
      <c r="DR390"/>
      <c r="DS390"/>
      <c r="DT390"/>
      <c r="DU390"/>
      <c r="DV390"/>
      <c r="DW390"/>
      <c r="DX390"/>
      <c r="DY390"/>
      <c r="DZ390"/>
      <c r="EA390"/>
      <c r="EB390"/>
      <c r="EC390"/>
      <c r="ED390"/>
      <c r="EE390"/>
      <c r="EF390"/>
      <c r="EG390"/>
      <c r="EH390"/>
      <c r="EI390"/>
      <c r="EJ390"/>
      <c r="EK390"/>
      <c r="EL390"/>
      <c r="EM390"/>
      <c r="EN390"/>
      <c r="EO390"/>
      <c r="EP390"/>
      <c r="EQ390"/>
      <c r="ER390"/>
      <c r="ES390"/>
      <c r="ET390"/>
      <c r="EU390"/>
      <c r="EV390"/>
      <c r="EW390"/>
      <c r="EX390"/>
      <c r="EY390"/>
      <c r="EZ390"/>
      <c r="FA390"/>
      <c r="FB390"/>
      <c r="FC390"/>
      <c r="FD390"/>
      <c r="FE390"/>
      <c r="FF390"/>
      <c r="FG390"/>
      <c r="FH390"/>
      <c r="FI390"/>
      <c r="FJ390"/>
      <c r="FK390"/>
      <c r="FL390"/>
      <c r="FM390"/>
      <c r="FN390"/>
      <c r="FO390"/>
      <c r="FP390"/>
      <c r="FQ390"/>
      <c r="FR390"/>
      <c r="FS390"/>
      <c r="FT390"/>
      <c r="FU390"/>
      <c r="FV390"/>
      <c r="FW390"/>
      <c r="FX390"/>
      <c r="FY390"/>
      <c r="FZ390"/>
      <c r="GA390"/>
      <c r="GB390"/>
      <c r="GC390"/>
      <c r="GD390"/>
      <c r="GE390"/>
      <c r="GF390"/>
      <c r="GG390"/>
      <c r="GH390"/>
      <c r="GI390"/>
      <c r="GJ390"/>
      <c r="GK390"/>
      <c r="GL390"/>
      <c r="GM390"/>
      <c r="GN390"/>
      <c r="GO390"/>
      <c r="GP390"/>
      <c r="GQ390"/>
      <c r="GR390"/>
      <c r="GS390"/>
      <c r="GT390"/>
      <c r="GU390"/>
      <c r="GV390"/>
      <c r="GW390"/>
      <c r="GX390"/>
      <c r="GY390"/>
      <c r="GZ390"/>
      <c r="HA390"/>
    </row>
    <row r="391" spans="1:209" ht="15" customHeight="1" x14ac:dyDescent="0.15">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c r="CW391"/>
      <c r="CX391"/>
      <c r="CY391"/>
      <c r="CZ391"/>
      <c r="DA391"/>
      <c r="DB391"/>
      <c r="DC391"/>
      <c r="DD391"/>
      <c r="DE391"/>
      <c r="DF391"/>
      <c r="DG391"/>
      <c r="DH391"/>
      <c r="DI391"/>
      <c r="DJ391"/>
      <c r="DK391"/>
      <c r="DL391"/>
      <c r="DM391"/>
      <c r="DN391"/>
      <c r="DO391"/>
      <c r="DP391"/>
      <c r="DQ391"/>
      <c r="DR391"/>
      <c r="DS391"/>
      <c r="DT391"/>
      <c r="DU391"/>
      <c r="DV391"/>
      <c r="DW391"/>
      <c r="DX391"/>
      <c r="DY391"/>
      <c r="DZ391"/>
      <c r="EA391"/>
      <c r="EB391"/>
      <c r="EC391"/>
      <c r="ED391"/>
      <c r="EE391"/>
      <c r="EF391"/>
      <c r="EG391"/>
      <c r="EH391"/>
      <c r="EI391"/>
      <c r="EJ391"/>
      <c r="EK391"/>
      <c r="EL391"/>
      <c r="EM391"/>
      <c r="EN391"/>
      <c r="EO391"/>
      <c r="EP391"/>
      <c r="EQ391"/>
      <c r="ER391"/>
      <c r="ES391"/>
      <c r="ET391"/>
      <c r="EU391"/>
      <c r="EV391"/>
      <c r="EW391"/>
      <c r="EX391"/>
      <c r="EY391"/>
      <c r="EZ391"/>
      <c r="FA391"/>
      <c r="FB391"/>
      <c r="FC391"/>
      <c r="FD391"/>
      <c r="FE391"/>
      <c r="FF391"/>
      <c r="FG391"/>
      <c r="FH391"/>
      <c r="FI391"/>
      <c r="FJ391"/>
      <c r="FK391"/>
      <c r="FL391"/>
      <c r="FM391"/>
      <c r="FN391"/>
      <c r="FO391"/>
      <c r="FP391"/>
      <c r="FQ391"/>
      <c r="FR391"/>
      <c r="FS391"/>
      <c r="FT391"/>
      <c r="FU391"/>
      <c r="FV391"/>
      <c r="FW391"/>
      <c r="FX391"/>
      <c r="FY391"/>
      <c r="FZ391"/>
      <c r="GA391"/>
      <c r="GB391"/>
      <c r="GC391"/>
      <c r="GD391"/>
      <c r="GE391"/>
      <c r="GF391"/>
      <c r="GG391"/>
      <c r="GH391"/>
      <c r="GI391"/>
      <c r="GJ391"/>
      <c r="GK391"/>
      <c r="GL391"/>
      <c r="GM391"/>
      <c r="GN391"/>
      <c r="GO391"/>
      <c r="GP391"/>
      <c r="GQ391"/>
      <c r="GR391"/>
      <c r="GS391"/>
      <c r="GT391"/>
      <c r="GU391"/>
      <c r="GV391"/>
      <c r="GW391"/>
      <c r="GX391"/>
      <c r="GY391"/>
      <c r="GZ391"/>
      <c r="HA391"/>
    </row>
    <row r="392" spans="1:209" ht="15" customHeight="1" x14ac:dyDescent="0.15">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c r="CW392"/>
      <c r="CX392"/>
      <c r="CY392"/>
      <c r="CZ392"/>
      <c r="DA392"/>
      <c r="DB392"/>
      <c r="DC392"/>
      <c r="DD392"/>
      <c r="DE392"/>
      <c r="DF392"/>
      <c r="DG392"/>
      <c r="DH392"/>
      <c r="DI392"/>
      <c r="DJ392"/>
      <c r="DK392"/>
      <c r="DL392"/>
      <c r="DM392"/>
      <c r="DN392"/>
      <c r="DO392"/>
      <c r="DP392"/>
      <c r="DQ392"/>
      <c r="DR392"/>
      <c r="DS392"/>
      <c r="DT392"/>
      <c r="DU392"/>
      <c r="DV392"/>
      <c r="DW392"/>
      <c r="DX392"/>
      <c r="DY392"/>
      <c r="DZ392"/>
      <c r="EA392"/>
      <c r="EB392"/>
      <c r="EC392"/>
      <c r="ED392"/>
      <c r="EE392"/>
      <c r="EF392"/>
      <c r="EG392"/>
      <c r="EH392"/>
      <c r="EI392"/>
      <c r="EJ392"/>
      <c r="EK392"/>
      <c r="EL392"/>
      <c r="EM392"/>
      <c r="EN392"/>
      <c r="EO392"/>
      <c r="EP392"/>
      <c r="EQ392"/>
      <c r="ER392"/>
      <c r="ES392"/>
      <c r="ET392"/>
      <c r="EU392"/>
      <c r="EV392"/>
      <c r="EW392"/>
      <c r="EX392"/>
      <c r="EY392"/>
      <c r="EZ392"/>
      <c r="FA392"/>
      <c r="FB392"/>
      <c r="FC392"/>
      <c r="FD392"/>
      <c r="FE392"/>
      <c r="FF392"/>
      <c r="FG392"/>
      <c r="FH392"/>
      <c r="FI392"/>
      <c r="FJ392"/>
      <c r="FK392"/>
      <c r="FL392"/>
      <c r="FM392"/>
      <c r="FN392"/>
      <c r="FO392"/>
      <c r="FP392"/>
      <c r="FQ392"/>
      <c r="FR392"/>
      <c r="FS392"/>
      <c r="FT392"/>
      <c r="FU392"/>
      <c r="FV392"/>
      <c r="FW392"/>
      <c r="FX392"/>
      <c r="FY392"/>
      <c r="FZ392"/>
      <c r="GA392"/>
      <c r="GB392"/>
      <c r="GC392"/>
      <c r="GD392"/>
      <c r="GE392"/>
      <c r="GF392"/>
      <c r="GG392"/>
      <c r="GH392"/>
      <c r="GI392"/>
      <c r="GJ392"/>
      <c r="GK392"/>
      <c r="GL392"/>
      <c r="GM392"/>
      <c r="GN392"/>
      <c r="GO392"/>
      <c r="GP392"/>
      <c r="GQ392"/>
      <c r="GR392"/>
      <c r="GS392"/>
      <c r="GT392"/>
      <c r="GU392"/>
      <c r="GV392"/>
      <c r="GW392"/>
      <c r="GX392"/>
      <c r="GY392"/>
      <c r="GZ392"/>
      <c r="HA392"/>
    </row>
    <row r="393" spans="1:209" ht="15" customHeight="1" x14ac:dyDescent="0.15">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c r="CW393"/>
      <c r="CX393"/>
      <c r="CY393"/>
      <c r="CZ393"/>
      <c r="DA393"/>
      <c r="DB393"/>
      <c r="DC393"/>
      <c r="DD393"/>
      <c r="DE393"/>
      <c r="DF393"/>
      <c r="DG393"/>
      <c r="DH393"/>
      <c r="DI393"/>
      <c r="DJ393"/>
      <c r="DK393"/>
      <c r="DL393"/>
      <c r="DM393"/>
      <c r="DN393"/>
      <c r="DO393"/>
      <c r="DP393"/>
      <c r="DQ393"/>
      <c r="DR393"/>
      <c r="DS393"/>
      <c r="DT393"/>
      <c r="DU393"/>
      <c r="DV393"/>
      <c r="DW393"/>
      <c r="DX393"/>
      <c r="DY393"/>
      <c r="DZ393"/>
      <c r="EA393"/>
      <c r="EB393"/>
      <c r="EC393"/>
      <c r="ED393"/>
      <c r="EE393"/>
      <c r="EF393"/>
      <c r="EG393"/>
      <c r="EH393"/>
      <c r="EI393"/>
      <c r="EJ393"/>
      <c r="EK393"/>
      <c r="EL393"/>
      <c r="EM393"/>
      <c r="EN393"/>
      <c r="EO393"/>
      <c r="EP393"/>
      <c r="EQ393"/>
      <c r="ER393"/>
      <c r="ES393"/>
      <c r="ET393"/>
      <c r="EU393"/>
      <c r="EV393"/>
      <c r="EW393"/>
      <c r="EX393"/>
      <c r="EY393"/>
      <c r="EZ393"/>
      <c r="FA393"/>
      <c r="FB393"/>
      <c r="FC393"/>
      <c r="FD393"/>
      <c r="FE393"/>
      <c r="FF393"/>
      <c r="FG393"/>
      <c r="FH393"/>
      <c r="FI393"/>
      <c r="FJ393"/>
      <c r="FK393"/>
      <c r="FL393"/>
      <c r="FM393"/>
      <c r="FN393"/>
      <c r="FO393"/>
      <c r="FP393"/>
      <c r="FQ393"/>
      <c r="FR393"/>
      <c r="FS393"/>
      <c r="FT393"/>
      <c r="FU393"/>
      <c r="FV393"/>
      <c r="FW393"/>
      <c r="FX393"/>
      <c r="FY393"/>
      <c r="FZ393"/>
      <c r="GA393"/>
      <c r="GB393"/>
      <c r="GC393"/>
      <c r="GD393"/>
      <c r="GE393"/>
      <c r="GF393"/>
      <c r="GG393"/>
      <c r="GH393"/>
      <c r="GI393"/>
      <c r="GJ393"/>
      <c r="GK393"/>
      <c r="GL393"/>
      <c r="GM393"/>
      <c r="GN393"/>
      <c r="GO393"/>
      <c r="GP393"/>
      <c r="GQ393"/>
      <c r="GR393"/>
      <c r="GS393"/>
      <c r="GT393"/>
      <c r="GU393"/>
      <c r="GV393"/>
      <c r="GW393"/>
      <c r="GX393"/>
      <c r="GY393"/>
      <c r="GZ393"/>
      <c r="HA393"/>
    </row>
    <row r="394" spans="1:209" ht="15" customHeight="1" x14ac:dyDescent="0.15">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c r="CW394"/>
      <c r="CX394"/>
      <c r="CY394"/>
      <c r="CZ394"/>
      <c r="DA394"/>
      <c r="DB394"/>
      <c r="DC394"/>
      <c r="DD394"/>
      <c r="DE394"/>
      <c r="DF394"/>
      <c r="DG394"/>
      <c r="DH394"/>
      <c r="DI394"/>
      <c r="DJ394"/>
      <c r="DK394"/>
      <c r="DL394"/>
      <c r="DM394"/>
      <c r="DN394"/>
      <c r="DO394"/>
      <c r="DP394"/>
      <c r="DQ394"/>
      <c r="DR394"/>
      <c r="DS394"/>
      <c r="DT394"/>
      <c r="DU394"/>
      <c r="DV394"/>
      <c r="DW394"/>
      <c r="DX394"/>
      <c r="DY394"/>
      <c r="DZ394"/>
      <c r="EA394"/>
      <c r="EB394"/>
      <c r="EC394"/>
      <c r="ED394"/>
      <c r="EE394"/>
      <c r="EF394"/>
      <c r="EG394"/>
      <c r="EH394"/>
      <c r="EI394"/>
      <c r="EJ394"/>
      <c r="EK394"/>
      <c r="EL394"/>
      <c r="EM394"/>
      <c r="EN394"/>
      <c r="EO394"/>
      <c r="EP394"/>
      <c r="EQ394"/>
      <c r="ER394"/>
      <c r="ES394"/>
      <c r="ET394"/>
      <c r="EU394"/>
      <c r="EV394"/>
      <c r="EW394"/>
      <c r="EX394"/>
      <c r="EY394"/>
      <c r="EZ394"/>
      <c r="FA394"/>
      <c r="FB394"/>
      <c r="FC394"/>
      <c r="FD394"/>
      <c r="FE394"/>
      <c r="FF394"/>
      <c r="FG394"/>
      <c r="FH394"/>
      <c r="FI394"/>
      <c r="FJ394"/>
      <c r="FK394"/>
      <c r="FL394"/>
      <c r="FM394"/>
      <c r="FN394"/>
      <c r="FO394"/>
      <c r="FP394"/>
      <c r="FQ394"/>
      <c r="FR394"/>
      <c r="FS394"/>
      <c r="FT394"/>
      <c r="FU394"/>
      <c r="FV394"/>
      <c r="FW394"/>
      <c r="FX394"/>
      <c r="FY394"/>
      <c r="FZ394"/>
      <c r="GA394"/>
      <c r="GB394"/>
      <c r="GC394"/>
      <c r="GD394"/>
      <c r="GE394"/>
      <c r="GF394"/>
      <c r="GG394"/>
      <c r="GH394"/>
      <c r="GI394"/>
      <c r="GJ394"/>
      <c r="GK394"/>
      <c r="GL394"/>
      <c r="GM394"/>
      <c r="GN394"/>
      <c r="GO394"/>
      <c r="GP394"/>
      <c r="GQ394"/>
      <c r="GR394"/>
      <c r="GS394"/>
      <c r="GT394"/>
      <c r="GU394"/>
      <c r="GV394"/>
      <c r="GW394"/>
      <c r="GX394"/>
      <c r="GY394"/>
      <c r="GZ394"/>
      <c r="HA394"/>
    </row>
    <row r="395" spans="1:209" ht="15" customHeight="1" x14ac:dyDescent="0.15">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c r="CW395"/>
      <c r="CX395"/>
      <c r="CY395"/>
      <c r="CZ395"/>
      <c r="DA395"/>
      <c r="DB395"/>
      <c r="DC395"/>
      <c r="DD395"/>
      <c r="DE395"/>
      <c r="DF395"/>
      <c r="DG395"/>
      <c r="DH395"/>
      <c r="DI395"/>
      <c r="DJ395"/>
      <c r="DK395"/>
      <c r="DL395"/>
      <c r="DM395"/>
      <c r="DN395"/>
      <c r="DO395"/>
      <c r="DP395"/>
      <c r="DQ395"/>
      <c r="DR395"/>
      <c r="DS395"/>
      <c r="DT395"/>
      <c r="DU395"/>
      <c r="DV395"/>
      <c r="DW395"/>
      <c r="DX395"/>
      <c r="DY395"/>
      <c r="DZ395"/>
      <c r="EA395"/>
      <c r="EB395"/>
      <c r="EC395"/>
      <c r="ED395"/>
      <c r="EE395"/>
      <c r="EF395"/>
      <c r="EG395"/>
      <c r="EH395"/>
      <c r="EI395"/>
      <c r="EJ395"/>
      <c r="EK395"/>
      <c r="EL395"/>
      <c r="EM395"/>
      <c r="EN395"/>
      <c r="EO395"/>
      <c r="EP395"/>
      <c r="EQ395"/>
      <c r="ER395"/>
      <c r="ES395"/>
      <c r="ET395"/>
      <c r="EU395"/>
      <c r="EV395"/>
      <c r="EW395"/>
      <c r="EX395"/>
      <c r="EY395"/>
      <c r="EZ395"/>
      <c r="FA395"/>
      <c r="FB395"/>
      <c r="FC395"/>
      <c r="FD395"/>
      <c r="FE395"/>
      <c r="FF395"/>
      <c r="FG395"/>
      <c r="FH395"/>
      <c r="FI395"/>
      <c r="FJ395"/>
      <c r="FK395"/>
      <c r="FL395"/>
      <c r="FM395"/>
      <c r="FN395"/>
      <c r="FO395"/>
      <c r="FP395"/>
      <c r="FQ395"/>
      <c r="FR395"/>
      <c r="FS395"/>
      <c r="FT395"/>
      <c r="FU395"/>
      <c r="FV395"/>
      <c r="FW395"/>
      <c r="FX395"/>
      <c r="FY395"/>
      <c r="FZ395"/>
      <c r="GA395"/>
      <c r="GB395"/>
      <c r="GC395"/>
      <c r="GD395"/>
      <c r="GE395"/>
      <c r="GF395"/>
      <c r="GG395"/>
      <c r="GH395"/>
      <c r="GI395"/>
      <c r="GJ395"/>
      <c r="GK395"/>
      <c r="GL395"/>
      <c r="GM395"/>
      <c r="GN395"/>
      <c r="GO395"/>
      <c r="GP395"/>
      <c r="GQ395"/>
      <c r="GR395"/>
      <c r="GS395"/>
      <c r="GT395"/>
      <c r="GU395"/>
      <c r="GV395"/>
      <c r="GW395"/>
      <c r="GX395"/>
      <c r="GY395"/>
      <c r="GZ395"/>
      <c r="HA395"/>
    </row>
    <row r="396" spans="1:209" ht="15" customHeight="1" x14ac:dyDescent="0.15">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c r="CW396"/>
      <c r="CX396"/>
      <c r="CY396"/>
      <c r="CZ396"/>
      <c r="DA396"/>
      <c r="DB396"/>
      <c r="DC396"/>
      <c r="DD396"/>
      <c r="DE396"/>
      <c r="DF396"/>
      <c r="DG396"/>
      <c r="DH396"/>
      <c r="DI396"/>
      <c r="DJ396"/>
      <c r="DK396"/>
      <c r="DL396"/>
      <c r="DM396"/>
      <c r="DN396"/>
      <c r="DO396"/>
      <c r="DP396"/>
      <c r="DQ396"/>
      <c r="DR396"/>
      <c r="DS396"/>
      <c r="DT396"/>
      <c r="DU396"/>
      <c r="DV396"/>
      <c r="DW396"/>
      <c r="DX396"/>
      <c r="DY396"/>
      <c r="DZ396"/>
      <c r="EA396"/>
      <c r="EB396"/>
      <c r="EC396"/>
      <c r="ED396"/>
      <c r="EE396"/>
      <c r="EF396"/>
      <c r="EG396"/>
      <c r="EH396"/>
      <c r="EI396"/>
      <c r="EJ396"/>
      <c r="EK396"/>
      <c r="EL396"/>
      <c r="EM396"/>
      <c r="EN396"/>
      <c r="EO396"/>
      <c r="EP396"/>
      <c r="EQ396"/>
      <c r="ER396"/>
      <c r="ES396"/>
      <c r="ET396"/>
      <c r="EU396"/>
      <c r="EV396"/>
      <c r="EW396"/>
      <c r="EX396"/>
      <c r="EY396"/>
      <c r="EZ396"/>
      <c r="FA396"/>
      <c r="FB396"/>
      <c r="FC396"/>
      <c r="FD396"/>
      <c r="FE396"/>
      <c r="FF396"/>
      <c r="FG396"/>
      <c r="FH396"/>
      <c r="FI396"/>
      <c r="FJ396"/>
      <c r="FK396"/>
      <c r="FL396"/>
      <c r="FM396"/>
      <c r="FN396"/>
      <c r="FO396"/>
      <c r="FP396"/>
      <c r="FQ396"/>
      <c r="FR396"/>
      <c r="FS396"/>
      <c r="FT396"/>
      <c r="FU396"/>
      <c r="FV396"/>
      <c r="FW396"/>
      <c r="FX396"/>
      <c r="FY396"/>
      <c r="FZ396"/>
      <c r="GA396"/>
      <c r="GB396"/>
      <c r="GC396"/>
      <c r="GD396"/>
      <c r="GE396"/>
      <c r="GF396"/>
      <c r="GG396"/>
      <c r="GH396"/>
      <c r="GI396"/>
      <c r="GJ396"/>
      <c r="GK396"/>
      <c r="GL396"/>
      <c r="GM396"/>
      <c r="GN396"/>
      <c r="GO396"/>
      <c r="GP396"/>
      <c r="GQ396"/>
      <c r="GR396"/>
      <c r="GS396"/>
      <c r="GT396"/>
      <c r="GU396"/>
      <c r="GV396"/>
      <c r="GW396"/>
      <c r="GX396"/>
      <c r="GY396"/>
      <c r="GZ396"/>
      <c r="HA396"/>
    </row>
    <row r="397" spans="1:209" ht="15" customHeight="1" x14ac:dyDescent="0.15">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c r="CW397"/>
      <c r="CX397"/>
      <c r="CY397"/>
      <c r="CZ397"/>
      <c r="DA397"/>
      <c r="DB397"/>
      <c r="DC397"/>
      <c r="DD397"/>
      <c r="DE397"/>
      <c r="DF397"/>
      <c r="DG397"/>
      <c r="DH397"/>
      <c r="DI397"/>
      <c r="DJ397"/>
      <c r="DK397"/>
      <c r="DL397"/>
      <c r="DM397"/>
      <c r="DN397"/>
      <c r="DO397"/>
      <c r="DP397"/>
      <c r="DQ397"/>
      <c r="DR397"/>
      <c r="DS397"/>
      <c r="DT397"/>
      <c r="DU397"/>
      <c r="DV397"/>
      <c r="DW397"/>
      <c r="DX397"/>
      <c r="DY397"/>
      <c r="DZ397"/>
      <c r="EA397"/>
      <c r="EB397"/>
      <c r="EC397"/>
      <c r="ED397"/>
      <c r="EE397"/>
      <c r="EF397"/>
      <c r="EG397"/>
      <c r="EH397"/>
      <c r="EI397"/>
      <c r="EJ397"/>
      <c r="EK397"/>
      <c r="EL397"/>
      <c r="EM397"/>
      <c r="EN397"/>
      <c r="EO397"/>
      <c r="EP397"/>
      <c r="EQ397"/>
      <c r="ER397"/>
      <c r="ES397"/>
      <c r="ET397"/>
      <c r="EU397"/>
      <c r="EV397"/>
      <c r="EW397"/>
      <c r="EX397"/>
      <c r="EY397"/>
      <c r="EZ397"/>
      <c r="FA397"/>
      <c r="FB397"/>
      <c r="FC397"/>
      <c r="FD397"/>
      <c r="FE397"/>
      <c r="FF397"/>
      <c r="FG397"/>
      <c r="FH397"/>
      <c r="FI397"/>
      <c r="FJ397"/>
      <c r="FK397"/>
      <c r="FL397"/>
      <c r="FM397"/>
      <c r="FN397"/>
      <c r="FO397"/>
      <c r="FP397"/>
      <c r="FQ397"/>
      <c r="FR397"/>
      <c r="FS397"/>
      <c r="FT397"/>
      <c r="FU397"/>
      <c r="FV397"/>
      <c r="FW397"/>
      <c r="FX397"/>
      <c r="FY397"/>
      <c r="FZ397"/>
      <c r="GA397"/>
      <c r="GB397"/>
      <c r="GC397"/>
      <c r="GD397"/>
      <c r="GE397"/>
      <c r="GF397"/>
      <c r="GG397"/>
      <c r="GH397"/>
      <c r="GI397"/>
      <c r="GJ397"/>
      <c r="GK397"/>
      <c r="GL397"/>
      <c r="GM397"/>
      <c r="GN397"/>
      <c r="GO397"/>
      <c r="GP397"/>
      <c r="GQ397"/>
      <c r="GR397"/>
      <c r="GS397"/>
      <c r="GT397"/>
      <c r="GU397"/>
      <c r="GV397"/>
      <c r="GW397"/>
      <c r="GX397"/>
      <c r="GY397"/>
      <c r="GZ397"/>
      <c r="HA397"/>
    </row>
    <row r="398" spans="1:209" ht="15" customHeight="1" x14ac:dyDescent="0.15">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c r="CW398"/>
      <c r="CX398"/>
      <c r="CY398"/>
      <c r="CZ398"/>
      <c r="DA398"/>
      <c r="DB398"/>
      <c r="DC398"/>
      <c r="DD398"/>
      <c r="DE398"/>
      <c r="DF398"/>
      <c r="DG398"/>
      <c r="DH398"/>
      <c r="DI398"/>
      <c r="DJ398"/>
      <c r="DK398"/>
      <c r="DL398"/>
      <c r="DM398"/>
      <c r="DN398"/>
      <c r="DO398"/>
      <c r="DP398"/>
      <c r="DQ398"/>
      <c r="DR398"/>
      <c r="DS398"/>
      <c r="DT398"/>
      <c r="DU398"/>
      <c r="DV398"/>
      <c r="DW398"/>
      <c r="DX398"/>
      <c r="DY398"/>
      <c r="DZ398"/>
      <c r="EA398"/>
      <c r="EB398"/>
      <c r="EC398"/>
      <c r="ED398"/>
      <c r="EE398"/>
      <c r="EF398"/>
      <c r="EG398"/>
      <c r="EH398"/>
      <c r="EI398"/>
      <c r="EJ398"/>
      <c r="EK398"/>
      <c r="EL398"/>
      <c r="EM398"/>
      <c r="EN398"/>
      <c r="EO398"/>
      <c r="EP398"/>
      <c r="EQ398"/>
      <c r="ER398"/>
      <c r="ES398"/>
      <c r="ET398"/>
      <c r="EU398"/>
      <c r="EV398"/>
      <c r="EW398"/>
      <c r="EX398"/>
      <c r="EY398"/>
      <c r="EZ398"/>
      <c r="FA398"/>
      <c r="FB398"/>
      <c r="FC398"/>
      <c r="FD398"/>
      <c r="FE398"/>
      <c r="FF398"/>
      <c r="FG398"/>
      <c r="FH398"/>
      <c r="FI398"/>
      <c r="FJ398"/>
      <c r="FK398"/>
      <c r="FL398"/>
      <c r="FM398"/>
      <c r="FN398"/>
      <c r="FO398"/>
      <c r="FP398"/>
      <c r="FQ398"/>
      <c r="FR398"/>
      <c r="FS398"/>
      <c r="FT398"/>
      <c r="FU398"/>
      <c r="FV398"/>
      <c r="FW398"/>
      <c r="FX398"/>
      <c r="FY398"/>
      <c r="FZ398"/>
      <c r="GA398"/>
      <c r="GB398"/>
      <c r="GC398"/>
      <c r="GD398"/>
      <c r="GE398"/>
      <c r="GF398"/>
      <c r="GG398"/>
      <c r="GH398"/>
      <c r="GI398"/>
      <c r="GJ398"/>
      <c r="GK398"/>
      <c r="GL398"/>
      <c r="GM398"/>
      <c r="GN398"/>
      <c r="GO398"/>
      <c r="GP398"/>
      <c r="GQ398"/>
      <c r="GR398"/>
      <c r="GS398"/>
      <c r="GT398"/>
      <c r="GU398"/>
      <c r="GV398"/>
      <c r="GW398"/>
      <c r="GX398"/>
      <c r="GY398"/>
      <c r="GZ398"/>
      <c r="HA398"/>
    </row>
    <row r="399" spans="1:209" ht="15" customHeight="1" x14ac:dyDescent="0.15">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c r="CW399"/>
      <c r="CX399"/>
      <c r="CY399"/>
      <c r="CZ399"/>
      <c r="DA399"/>
      <c r="DB399"/>
      <c r="DC399"/>
      <c r="DD399"/>
      <c r="DE399"/>
      <c r="DF399"/>
      <c r="DG399"/>
      <c r="DH399"/>
      <c r="DI399"/>
      <c r="DJ399"/>
      <c r="DK399"/>
      <c r="DL399"/>
      <c r="DM399"/>
      <c r="DN399"/>
      <c r="DO399"/>
      <c r="DP399"/>
      <c r="DQ399"/>
      <c r="DR399"/>
      <c r="DS399"/>
      <c r="DT399"/>
      <c r="DU399"/>
      <c r="DV399"/>
      <c r="DW399"/>
      <c r="DX399"/>
      <c r="DY399"/>
      <c r="DZ399"/>
      <c r="EA399"/>
      <c r="EB399"/>
      <c r="EC399"/>
      <c r="ED399"/>
      <c r="EE399"/>
      <c r="EF399"/>
      <c r="EG399"/>
      <c r="EH399"/>
      <c r="EI399"/>
      <c r="EJ399"/>
      <c r="EK399"/>
      <c r="EL399"/>
      <c r="EM399"/>
      <c r="EN399"/>
      <c r="EO399"/>
      <c r="EP399"/>
      <c r="EQ399"/>
      <c r="ER399"/>
      <c r="ES399"/>
      <c r="ET399"/>
      <c r="EU399"/>
      <c r="EV399"/>
      <c r="EW399"/>
      <c r="EX399"/>
      <c r="EY399"/>
      <c r="EZ399"/>
      <c r="FA399"/>
      <c r="FB399"/>
      <c r="FC399"/>
      <c r="FD399"/>
      <c r="FE399"/>
      <c r="FF399"/>
      <c r="FG399"/>
      <c r="FH399"/>
      <c r="FI399"/>
      <c r="FJ399"/>
      <c r="FK399"/>
      <c r="FL399"/>
      <c r="FM399"/>
      <c r="FN399"/>
      <c r="FO399"/>
      <c r="FP399"/>
      <c r="FQ399"/>
      <c r="FR399"/>
      <c r="FS399"/>
      <c r="FT399"/>
      <c r="FU399"/>
      <c r="FV399"/>
      <c r="FW399"/>
      <c r="FX399"/>
      <c r="FY399"/>
      <c r="FZ399"/>
      <c r="GA399"/>
      <c r="GB399"/>
      <c r="GC399"/>
      <c r="GD399"/>
      <c r="GE399"/>
      <c r="GF399"/>
      <c r="GG399"/>
      <c r="GH399"/>
      <c r="GI399"/>
      <c r="GJ399"/>
      <c r="GK399"/>
      <c r="GL399"/>
      <c r="GM399"/>
      <c r="GN399"/>
      <c r="GO399"/>
      <c r="GP399"/>
      <c r="GQ399"/>
      <c r="GR399"/>
      <c r="GS399"/>
      <c r="GT399"/>
      <c r="GU399"/>
      <c r="GV399"/>
      <c r="GW399"/>
      <c r="GX399"/>
      <c r="GY399"/>
      <c r="GZ399"/>
      <c r="HA399"/>
    </row>
    <row r="400" spans="1:209" ht="15" customHeight="1" x14ac:dyDescent="0.15">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c r="CW400"/>
      <c r="CX400"/>
      <c r="CY400"/>
      <c r="CZ400"/>
      <c r="DA400"/>
      <c r="DB400"/>
      <c r="DC400"/>
      <c r="DD400"/>
      <c r="DE400"/>
      <c r="DF400"/>
      <c r="DG400"/>
      <c r="DH400"/>
      <c r="DI400"/>
      <c r="DJ400"/>
      <c r="DK400"/>
      <c r="DL400"/>
      <c r="DM400"/>
      <c r="DN400"/>
      <c r="DO400"/>
      <c r="DP400"/>
      <c r="DQ400"/>
      <c r="DR400"/>
      <c r="DS400"/>
      <c r="DT400"/>
      <c r="DU400"/>
      <c r="DV400"/>
      <c r="DW400"/>
      <c r="DX400"/>
      <c r="DY400"/>
      <c r="DZ400"/>
      <c r="EA400"/>
      <c r="EB400"/>
      <c r="EC400"/>
      <c r="ED400"/>
      <c r="EE400"/>
      <c r="EF400"/>
      <c r="EG400"/>
      <c r="EH400"/>
      <c r="EI400"/>
      <c r="EJ400"/>
      <c r="EK400"/>
      <c r="EL400"/>
      <c r="EM400"/>
      <c r="EN400"/>
      <c r="EO400"/>
      <c r="EP400"/>
      <c r="EQ400"/>
      <c r="ER400"/>
      <c r="ES400"/>
      <c r="ET400"/>
      <c r="EU400"/>
      <c r="EV400"/>
      <c r="EW400"/>
      <c r="EX400"/>
      <c r="EY400"/>
      <c r="EZ400"/>
      <c r="FA400"/>
      <c r="FB400"/>
      <c r="FC400"/>
      <c r="FD400"/>
      <c r="FE400"/>
      <c r="FF400"/>
      <c r="FG400"/>
      <c r="FH400"/>
      <c r="FI400"/>
      <c r="FJ400"/>
      <c r="FK400"/>
      <c r="FL400"/>
      <c r="FM400"/>
      <c r="FN400"/>
      <c r="FO400"/>
      <c r="FP400"/>
      <c r="FQ400"/>
      <c r="FR400"/>
      <c r="FS400"/>
      <c r="FT400"/>
      <c r="FU400"/>
      <c r="FV400"/>
      <c r="FW400"/>
      <c r="FX400"/>
      <c r="FY400"/>
      <c r="FZ400"/>
      <c r="GA400"/>
      <c r="GB400"/>
      <c r="GC400"/>
      <c r="GD400"/>
      <c r="GE400"/>
      <c r="GF400"/>
      <c r="GG400"/>
      <c r="GH400"/>
      <c r="GI400"/>
      <c r="GJ400"/>
      <c r="GK400"/>
      <c r="GL400"/>
      <c r="GM400"/>
      <c r="GN400"/>
      <c r="GO400"/>
      <c r="GP400"/>
      <c r="GQ400"/>
      <c r="GR400"/>
      <c r="GS400"/>
      <c r="GT400"/>
      <c r="GU400"/>
      <c r="GV400"/>
      <c r="GW400"/>
      <c r="GX400"/>
      <c r="GY400"/>
      <c r="GZ400"/>
      <c r="HA400"/>
    </row>
    <row r="401" spans="1:209" ht="15" customHeight="1" x14ac:dyDescent="0.15">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c r="CW401"/>
      <c r="CX401"/>
      <c r="CY401"/>
      <c r="CZ401"/>
      <c r="DA401"/>
      <c r="DB401"/>
      <c r="DC401"/>
      <c r="DD401"/>
      <c r="DE401"/>
      <c r="DF401"/>
      <c r="DG401"/>
      <c r="DH401"/>
      <c r="DI401"/>
      <c r="DJ401"/>
      <c r="DK401"/>
      <c r="DL401"/>
      <c r="DM401"/>
      <c r="DN401"/>
      <c r="DO401"/>
      <c r="DP401"/>
      <c r="DQ401"/>
      <c r="DR401"/>
      <c r="DS401"/>
      <c r="DT401"/>
      <c r="DU401"/>
      <c r="DV401"/>
      <c r="DW401"/>
      <c r="DX401"/>
      <c r="DY401"/>
      <c r="DZ401"/>
      <c r="EA401"/>
      <c r="EB401"/>
      <c r="EC401"/>
      <c r="ED401"/>
      <c r="EE401"/>
      <c r="EF401"/>
      <c r="EG401"/>
      <c r="EH401"/>
      <c r="EI401"/>
      <c r="EJ401"/>
      <c r="EK401"/>
      <c r="EL401"/>
      <c r="EM401"/>
      <c r="EN401"/>
      <c r="EO401"/>
      <c r="EP401"/>
      <c r="EQ401"/>
      <c r="ER401"/>
      <c r="ES401"/>
      <c r="ET401"/>
      <c r="EU401"/>
      <c r="EV401"/>
      <c r="EW401"/>
      <c r="EX401"/>
      <c r="EY401"/>
      <c r="EZ401"/>
      <c r="FA401"/>
      <c r="FB401"/>
      <c r="FC401"/>
      <c r="FD401"/>
      <c r="FE401"/>
      <c r="FF401"/>
      <c r="FG401"/>
      <c r="FH401"/>
      <c r="FI401"/>
      <c r="FJ401"/>
      <c r="FK401"/>
      <c r="FL401"/>
      <c r="FM401"/>
      <c r="FN401"/>
      <c r="FO401"/>
      <c r="FP401"/>
      <c r="FQ401"/>
      <c r="FR401"/>
      <c r="FS401"/>
      <c r="FT401"/>
      <c r="FU401"/>
      <c r="FV401"/>
      <c r="FW401"/>
      <c r="FX401"/>
      <c r="FY401"/>
      <c r="FZ401"/>
      <c r="GA401"/>
      <c r="GB401"/>
      <c r="GC401"/>
      <c r="GD401"/>
      <c r="GE401"/>
      <c r="GF401"/>
      <c r="GG401"/>
      <c r="GH401"/>
      <c r="GI401"/>
      <c r="GJ401"/>
      <c r="GK401"/>
      <c r="GL401"/>
      <c r="GM401"/>
      <c r="GN401"/>
      <c r="GO401"/>
      <c r="GP401"/>
      <c r="GQ401"/>
      <c r="GR401"/>
      <c r="GS401"/>
      <c r="GT401"/>
      <c r="GU401"/>
      <c r="GV401"/>
      <c r="GW401"/>
      <c r="GX401"/>
      <c r="GY401"/>
      <c r="GZ401"/>
      <c r="HA401"/>
    </row>
    <row r="402" spans="1:209" ht="15" customHeight="1" x14ac:dyDescent="0.15">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c r="CW402"/>
      <c r="CX402"/>
      <c r="CY402"/>
      <c r="CZ402"/>
      <c r="DA402"/>
      <c r="DB402"/>
      <c r="DC402"/>
      <c r="DD402"/>
      <c r="DE402"/>
      <c r="DF402"/>
      <c r="DG402"/>
      <c r="DH402"/>
      <c r="DI402"/>
      <c r="DJ402"/>
      <c r="DK402"/>
      <c r="DL402"/>
      <c r="DM402"/>
      <c r="DN402"/>
      <c r="DO402"/>
      <c r="DP402"/>
      <c r="DQ402"/>
      <c r="DR402"/>
      <c r="DS402"/>
      <c r="DT402"/>
      <c r="DU402"/>
      <c r="DV402"/>
      <c r="DW402"/>
      <c r="DX402"/>
      <c r="DY402"/>
      <c r="DZ402"/>
      <c r="EA402"/>
      <c r="EB402"/>
      <c r="EC402"/>
      <c r="ED402"/>
      <c r="EE402"/>
      <c r="EF402"/>
      <c r="EG402"/>
      <c r="EH402"/>
      <c r="EI402"/>
      <c r="EJ402"/>
      <c r="EK402"/>
      <c r="EL402"/>
      <c r="EM402"/>
      <c r="EN402"/>
      <c r="EO402"/>
      <c r="EP402"/>
      <c r="EQ402"/>
      <c r="ER402"/>
      <c r="ES402"/>
      <c r="ET402"/>
      <c r="EU402"/>
      <c r="EV402"/>
      <c r="EW402"/>
      <c r="EX402"/>
      <c r="EY402"/>
      <c r="EZ402"/>
      <c r="FA402"/>
      <c r="FB402"/>
      <c r="FC402"/>
      <c r="FD402"/>
      <c r="FE402"/>
      <c r="FF402"/>
      <c r="FG402"/>
      <c r="FH402"/>
      <c r="FI402"/>
      <c r="FJ402"/>
      <c r="FK402"/>
      <c r="FL402"/>
      <c r="FM402"/>
      <c r="FN402"/>
      <c r="FO402"/>
      <c r="FP402"/>
      <c r="FQ402"/>
      <c r="FR402"/>
      <c r="FS402"/>
      <c r="FT402"/>
      <c r="FU402"/>
      <c r="FV402"/>
      <c r="FW402"/>
      <c r="FX402"/>
      <c r="FY402"/>
      <c r="FZ402"/>
      <c r="GA402"/>
      <c r="GB402"/>
      <c r="GC402"/>
      <c r="GD402"/>
      <c r="GE402"/>
      <c r="GF402"/>
      <c r="GG402"/>
      <c r="GH402"/>
      <c r="GI402"/>
      <c r="GJ402"/>
      <c r="GK402"/>
      <c r="GL402"/>
      <c r="GM402"/>
      <c r="GN402"/>
      <c r="GO402"/>
      <c r="GP402"/>
      <c r="GQ402"/>
      <c r="GR402"/>
      <c r="GS402"/>
      <c r="GT402"/>
      <c r="GU402"/>
      <c r="GV402"/>
      <c r="GW402"/>
      <c r="GX402"/>
      <c r="GY402"/>
      <c r="GZ402"/>
      <c r="HA402"/>
    </row>
    <row r="403" spans="1:209" ht="15" customHeight="1" x14ac:dyDescent="0.15">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c r="CW403"/>
      <c r="CX403"/>
      <c r="CY403"/>
      <c r="CZ403"/>
      <c r="DA403"/>
      <c r="DB403"/>
      <c r="DC403"/>
      <c r="DD403"/>
      <c r="DE403"/>
      <c r="DF403"/>
      <c r="DG403"/>
      <c r="DH403"/>
      <c r="DI403"/>
      <c r="DJ403"/>
      <c r="DK403"/>
      <c r="DL403"/>
      <c r="DM403"/>
      <c r="DN403"/>
      <c r="DO403"/>
      <c r="DP403"/>
      <c r="DQ403"/>
      <c r="DR403"/>
      <c r="DS403"/>
      <c r="DT403"/>
      <c r="DU403"/>
      <c r="DV403"/>
      <c r="DW403"/>
      <c r="DX403"/>
      <c r="DY403"/>
      <c r="DZ403"/>
      <c r="EA403"/>
      <c r="EB403"/>
      <c r="EC403"/>
      <c r="ED403"/>
      <c r="EE403"/>
      <c r="EF403"/>
      <c r="EG403"/>
      <c r="EH403"/>
      <c r="EI403"/>
      <c r="EJ403"/>
      <c r="EK403"/>
      <c r="EL403"/>
      <c r="EM403"/>
      <c r="EN403"/>
      <c r="EO403"/>
      <c r="EP403"/>
      <c r="EQ403"/>
      <c r="ER403"/>
      <c r="ES403"/>
      <c r="ET403"/>
      <c r="EU403"/>
      <c r="EV403"/>
      <c r="EW403"/>
      <c r="EX403"/>
      <c r="EY403"/>
      <c r="EZ403"/>
      <c r="FA403"/>
      <c r="FB403"/>
      <c r="FC403"/>
      <c r="FD403"/>
      <c r="FE403"/>
      <c r="FF403"/>
      <c r="FG403"/>
      <c r="FH403"/>
      <c r="FI403"/>
      <c r="FJ403"/>
      <c r="FK403"/>
      <c r="FL403"/>
      <c r="FM403"/>
      <c r="FN403"/>
      <c r="FO403"/>
      <c r="FP403"/>
      <c r="FQ403"/>
      <c r="FR403"/>
      <c r="FS403"/>
      <c r="FT403"/>
      <c r="FU403"/>
      <c r="FV403"/>
      <c r="FW403"/>
      <c r="FX403"/>
      <c r="FY403"/>
      <c r="FZ403"/>
      <c r="GA403"/>
      <c r="GB403"/>
      <c r="GC403"/>
      <c r="GD403"/>
      <c r="GE403"/>
      <c r="GF403"/>
      <c r="GG403"/>
      <c r="GH403"/>
      <c r="GI403"/>
      <c r="GJ403"/>
      <c r="GK403"/>
      <c r="GL403"/>
      <c r="GM403"/>
      <c r="GN403"/>
      <c r="GO403"/>
      <c r="GP403"/>
      <c r="GQ403"/>
      <c r="GR403"/>
      <c r="GS403"/>
      <c r="GT403"/>
      <c r="GU403"/>
      <c r="GV403"/>
      <c r="GW403"/>
      <c r="GX403"/>
      <c r="GY403"/>
      <c r="GZ403"/>
      <c r="HA403"/>
    </row>
    <row r="404" spans="1:209" ht="15" customHeight="1" x14ac:dyDescent="0.15">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M404"/>
      <c r="CN404"/>
      <c r="CO404"/>
      <c r="CP404"/>
      <c r="CQ404"/>
      <c r="CR404"/>
      <c r="CS404"/>
      <c r="CT404"/>
      <c r="CU404"/>
      <c r="CV404"/>
      <c r="CW404"/>
      <c r="CX404"/>
      <c r="CY404"/>
      <c r="CZ404"/>
      <c r="DA404"/>
      <c r="DB404"/>
      <c r="DC404"/>
      <c r="DD404"/>
      <c r="DE404"/>
      <c r="DF404"/>
      <c r="DG404"/>
      <c r="DH404"/>
      <c r="DI404"/>
      <c r="DJ404"/>
      <c r="DK404"/>
      <c r="DL404"/>
      <c r="DM404"/>
      <c r="DN404"/>
      <c r="DO404"/>
      <c r="DP404"/>
      <c r="DQ404"/>
      <c r="DR404"/>
      <c r="DS404"/>
      <c r="DT404"/>
      <c r="DU404"/>
      <c r="DV404"/>
      <c r="DW404"/>
      <c r="DX404"/>
      <c r="DY404"/>
      <c r="DZ404"/>
      <c r="EA404"/>
      <c r="EB404"/>
      <c r="EC404"/>
      <c r="ED404"/>
      <c r="EE404"/>
      <c r="EF404"/>
      <c r="EG404"/>
      <c r="EH404"/>
      <c r="EI404"/>
      <c r="EJ404"/>
      <c r="EK404"/>
      <c r="EL404"/>
      <c r="EM404"/>
      <c r="EN404"/>
      <c r="EO404"/>
      <c r="EP404"/>
      <c r="EQ404"/>
      <c r="ER404"/>
      <c r="ES404"/>
      <c r="ET404"/>
      <c r="EU404"/>
      <c r="EV404"/>
      <c r="EW404"/>
      <c r="EX404"/>
      <c r="EY404"/>
      <c r="EZ404"/>
      <c r="FA404"/>
      <c r="FB404"/>
      <c r="FC404"/>
      <c r="FD404"/>
      <c r="FE404"/>
      <c r="FF404"/>
      <c r="FG404"/>
      <c r="FH404"/>
      <c r="FI404"/>
      <c r="FJ404"/>
      <c r="FK404"/>
      <c r="FL404"/>
      <c r="FM404"/>
      <c r="FN404"/>
      <c r="FO404"/>
      <c r="FP404"/>
      <c r="FQ404"/>
      <c r="FR404"/>
      <c r="FS404"/>
      <c r="FT404"/>
      <c r="FU404"/>
      <c r="FV404"/>
      <c r="FW404"/>
      <c r="FX404"/>
      <c r="FY404"/>
      <c r="FZ404"/>
      <c r="GA404"/>
      <c r="GB404"/>
      <c r="GC404"/>
      <c r="GD404"/>
      <c r="GE404"/>
      <c r="GF404"/>
      <c r="GG404"/>
      <c r="GH404"/>
      <c r="GI404"/>
      <c r="GJ404"/>
      <c r="GK404"/>
      <c r="GL404"/>
      <c r="GM404"/>
      <c r="GN404"/>
      <c r="GO404"/>
      <c r="GP404"/>
      <c r="GQ404"/>
      <c r="GR404"/>
      <c r="GS404"/>
      <c r="GT404"/>
      <c r="GU404"/>
      <c r="GV404"/>
      <c r="GW404"/>
      <c r="GX404"/>
      <c r="GY404"/>
      <c r="GZ404"/>
      <c r="HA404"/>
    </row>
    <row r="405" spans="1:209" ht="15" customHeight="1" x14ac:dyDescent="0.15">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M405"/>
      <c r="CN405"/>
      <c r="CO405"/>
      <c r="CP405"/>
      <c r="CQ405"/>
      <c r="CR405"/>
      <c r="CS405"/>
      <c r="CT405"/>
      <c r="CU405"/>
      <c r="CV405"/>
      <c r="CW405"/>
      <c r="CX405"/>
      <c r="CY405"/>
      <c r="CZ405"/>
      <c r="DA405"/>
      <c r="DB405"/>
      <c r="DC405"/>
      <c r="DD405"/>
      <c r="DE405"/>
      <c r="DF405"/>
      <c r="DG405"/>
      <c r="DH405"/>
      <c r="DI405"/>
      <c r="DJ405"/>
      <c r="DK405"/>
      <c r="DL405"/>
      <c r="DM405"/>
      <c r="DN405"/>
      <c r="DO405"/>
      <c r="DP405"/>
      <c r="DQ405"/>
      <c r="DR405"/>
      <c r="DS405"/>
      <c r="DT405"/>
      <c r="DU405"/>
      <c r="DV405"/>
      <c r="DW405"/>
      <c r="DX405"/>
      <c r="DY405"/>
      <c r="DZ405"/>
      <c r="EA405"/>
      <c r="EB405"/>
      <c r="EC405"/>
      <c r="ED405"/>
      <c r="EE405"/>
      <c r="EF405"/>
      <c r="EG405"/>
      <c r="EH405"/>
      <c r="EI405"/>
      <c r="EJ405"/>
      <c r="EK405"/>
      <c r="EL405"/>
      <c r="EM405"/>
      <c r="EN405"/>
      <c r="EO405"/>
      <c r="EP405"/>
      <c r="EQ405"/>
      <c r="ER405"/>
      <c r="ES405"/>
      <c r="ET405"/>
      <c r="EU405"/>
      <c r="EV405"/>
      <c r="EW405"/>
      <c r="EX405"/>
      <c r="EY405"/>
      <c r="EZ405"/>
      <c r="FA405"/>
      <c r="FB405"/>
      <c r="FC405"/>
      <c r="FD405"/>
      <c r="FE405"/>
      <c r="FF405"/>
      <c r="FG405"/>
      <c r="FH405"/>
      <c r="FI405"/>
      <c r="FJ405"/>
      <c r="FK405"/>
      <c r="FL405"/>
      <c r="FM405"/>
      <c r="FN405"/>
      <c r="FO405"/>
      <c r="FP405"/>
      <c r="FQ405"/>
      <c r="FR405"/>
      <c r="FS405"/>
      <c r="FT405"/>
      <c r="FU405"/>
      <c r="FV405"/>
      <c r="FW405"/>
      <c r="FX405"/>
      <c r="FY405"/>
      <c r="FZ405"/>
      <c r="GA405"/>
      <c r="GB405"/>
      <c r="GC405"/>
      <c r="GD405"/>
      <c r="GE405"/>
      <c r="GF405"/>
      <c r="GG405"/>
      <c r="GH405"/>
      <c r="GI405"/>
      <c r="GJ405"/>
      <c r="GK405"/>
      <c r="GL405"/>
      <c r="GM405"/>
      <c r="GN405"/>
      <c r="GO405"/>
      <c r="GP405"/>
      <c r="GQ405"/>
      <c r="GR405"/>
      <c r="GS405"/>
      <c r="GT405"/>
      <c r="GU405"/>
      <c r="GV405"/>
      <c r="GW405"/>
      <c r="GX405"/>
      <c r="GY405"/>
      <c r="GZ405"/>
      <c r="HA405"/>
    </row>
    <row r="406" spans="1:209" ht="15" customHeight="1" x14ac:dyDescent="0.15">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M406"/>
      <c r="CN406"/>
      <c r="CO406"/>
      <c r="CP406"/>
      <c r="CQ406"/>
      <c r="CR406"/>
      <c r="CS406"/>
      <c r="CT406"/>
      <c r="CU406"/>
      <c r="CV406"/>
      <c r="CW406"/>
      <c r="CX406"/>
      <c r="CY406"/>
      <c r="CZ406"/>
      <c r="DA406"/>
      <c r="DB406"/>
      <c r="DC406"/>
      <c r="DD406"/>
      <c r="DE406"/>
      <c r="DF406"/>
      <c r="DG406"/>
      <c r="DH406"/>
      <c r="DI406"/>
      <c r="DJ406"/>
      <c r="DK406"/>
      <c r="DL406"/>
      <c r="DM406"/>
      <c r="DN406"/>
      <c r="DO406"/>
      <c r="DP406"/>
      <c r="DQ406"/>
      <c r="DR406"/>
      <c r="DS406"/>
      <c r="DT406"/>
      <c r="DU406"/>
      <c r="DV406"/>
      <c r="DW406"/>
      <c r="DX406"/>
      <c r="DY406"/>
      <c r="DZ406"/>
      <c r="EA406"/>
      <c r="EB406"/>
      <c r="EC406"/>
      <c r="ED406"/>
      <c r="EE406"/>
      <c r="EF406"/>
      <c r="EG406"/>
      <c r="EH406"/>
      <c r="EI406"/>
      <c r="EJ406"/>
      <c r="EK406"/>
      <c r="EL406"/>
      <c r="EM406"/>
      <c r="EN406"/>
      <c r="EO406"/>
      <c r="EP406"/>
      <c r="EQ406"/>
      <c r="ER406"/>
      <c r="ES406"/>
      <c r="ET406"/>
      <c r="EU406"/>
      <c r="EV406"/>
      <c r="EW406"/>
      <c r="EX406"/>
      <c r="EY406"/>
      <c r="EZ406"/>
      <c r="FA406"/>
      <c r="FB406"/>
      <c r="FC406"/>
      <c r="FD406"/>
      <c r="FE406"/>
      <c r="FF406"/>
      <c r="FG406"/>
      <c r="FH406"/>
      <c r="FI406"/>
      <c r="FJ406"/>
      <c r="FK406"/>
      <c r="FL406"/>
      <c r="FM406"/>
      <c r="FN406"/>
      <c r="FO406"/>
      <c r="FP406"/>
      <c r="FQ406"/>
      <c r="FR406"/>
      <c r="FS406"/>
      <c r="FT406"/>
      <c r="FU406"/>
      <c r="FV406"/>
      <c r="FW406"/>
      <c r="FX406"/>
      <c r="FY406"/>
      <c r="FZ406"/>
      <c r="GA406"/>
      <c r="GB406"/>
      <c r="GC406"/>
      <c r="GD406"/>
      <c r="GE406"/>
      <c r="GF406"/>
      <c r="GG406"/>
      <c r="GH406"/>
      <c r="GI406"/>
      <c r="GJ406"/>
      <c r="GK406"/>
      <c r="GL406"/>
      <c r="GM406"/>
      <c r="GN406"/>
      <c r="GO406"/>
      <c r="GP406"/>
      <c r="GQ406"/>
      <c r="GR406"/>
      <c r="GS406"/>
      <c r="GT406"/>
      <c r="GU406"/>
      <c r="GV406"/>
      <c r="GW406"/>
      <c r="GX406"/>
      <c r="GY406"/>
      <c r="GZ406"/>
      <c r="HA406"/>
    </row>
    <row r="407" spans="1:209" ht="15" customHeight="1" x14ac:dyDescent="0.15">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M407"/>
      <c r="CN407"/>
      <c r="CO407"/>
      <c r="CP407"/>
      <c r="CQ407"/>
      <c r="CR407"/>
      <c r="CS407"/>
      <c r="CT407"/>
      <c r="CU407"/>
      <c r="CV407"/>
      <c r="CW407"/>
      <c r="CX407"/>
      <c r="CY407"/>
      <c r="CZ407"/>
      <c r="DA407"/>
      <c r="DB407"/>
      <c r="DC407"/>
      <c r="DD407"/>
      <c r="DE407"/>
      <c r="DF407"/>
      <c r="DG407"/>
      <c r="DH407"/>
      <c r="DI407"/>
      <c r="DJ407"/>
      <c r="DK407"/>
      <c r="DL407"/>
      <c r="DM407"/>
      <c r="DN407"/>
      <c r="DO407"/>
      <c r="DP407"/>
      <c r="DQ407"/>
      <c r="DR407"/>
      <c r="DS407"/>
      <c r="DT407"/>
      <c r="DU407"/>
      <c r="DV407"/>
      <c r="DW407"/>
      <c r="DX407"/>
      <c r="DY407"/>
      <c r="DZ407"/>
      <c r="EA407"/>
      <c r="EB407"/>
      <c r="EC407"/>
      <c r="ED407"/>
      <c r="EE407"/>
      <c r="EF407"/>
      <c r="EG407"/>
      <c r="EH407"/>
      <c r="EI407"/>
      <c r="EJ407"/>
      <c r="EK407"/>
      <c r="EL407"/>
      <c r="EM407"/>
      <c r="EN407"/>
      <c r="EO407"/>
      <c r="EP407"/>
      <c r="EQ407"/>
      <c r="ER407"/>
      <c r="ES407"/>
      <c r="ET407"/>
      <c r="EU407"/>
      <c r="EV407"/>
      <c r="EW407"/>
      <c r="EX407"/>
      <c r="EY407"/>
      <c r="EZ407"/>
      <c r="FA407"/>
      <c r="FB407"/>
      <c r="FC407"/>
      <c r="FD407"/>
      <c r="FE407"/>
      <c r="FF407"/>
      <c r="FG407"/>
      <c r="FH407"/>
      <c r="FI407"/>
      <c r="FJ407"/>
      <c r="FK407"/>
      <c r="FL407"/>
      <c r="FM407"/>
      <c r="FN407"/>
      <c r="FO407"/>
      <c r="FP407"/>
      <c r="FQ407"/>
      <c r="FR407"/>
      <c r="FS407"/>
      <c r="FT407"/>
      <c r="FU407"/>
      <c r="FV407"/>
      <c r="FW407"/>
      <c r="FX407"/>
      <c r="FY407"/>
      <c r="FZ407"/>
      <c r="GA407"/>
      <c r="GB407"/>
      <c r="GC407"/>
      <c r="GD407"/>
      <c r="GE407"/>
      <c r="GF407"/>
      <c r="GG407"/>
      <c r="GH407"/>
      <c r="GI407"/>
      <c r="GJ407"/>
      <c r="GK407"/>
      <c r="GL407"/>
      <c r="GM407"/>
      <c r="GN407"/>
      <c r="GO407"/>
      <c r="GP407"/>
      <c r="GQ407"/>
      <c r="GR407"/>
      <c r="GS407"/>
      <c r="GT407"/>
      <c r="GU407"/>
      <c r="GV407"/>
      <c r="GW407"/>
      <c r="GX407"/>
      <c r="GY407"/>
      <c r="GZ407"/>
      <c r="HA407"/>
    </row>
    <row r="408" spans="1:209" ht="15" customHeight="1" x14ac:dyDescent="0.15">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M408"/>
      <c r="CN408"/>
      <c r="CO408"/>
      <c r="CP408"/>
      <c r="CQ408"/>
      <c r="CR408"/>
      <c r="CS408"/>
      <c r="CT408"/>
      <c r="CU408"/>
      <c r="CV408"/>
      <c r="CW408"/>
      <c r="CX408"/>
      <c r="CY408"/>
      <c r="CZ408"/>
      <c r="DA408"/>
      <c r="DB408"/>
      <c r="DC408"/>
      <c r="DD408"/>
      <c r="DE408"/>
      <c r="DF408"/>
      <c r="DG408"/>
      <c r="DH408"/>
      <c r="DI408"/>
      <c r="DJ408"/>
      <c r="DK408"/>
      <c r="DL408"/>
      <c r="DM408"/>
      <c r="DN408"/>
      <c r="DO408"/>
      <c r="DP408"/>
      <c r="DQ408"/>
      <c r="DR408"/>
      <c r="DS408"/>
      <c r="DT408"/>
      <c r="DU408"/>
      <c r="DV408"/>
      <c r="DW408"/>
      <c r="DX408"/>
      <c r="DY408"/>
      <c r="DZ408"/>
      <c r="EA408"/>
      <c r="EB408"/>
      <c r="EC408"/>
      <c r="ED408"/>
      <c r="EE408"/>
      <c r="EF408"/>
      <c r="EG408"/>
      <c r="EH408"/>
      <c r="EI408"/>
      <c r="EJ408"/>
      <c r="EK408"/>
      <c r="EL408"/>
      <c r="EM408"/>
      <c r="EN408"/>
      <c r="EO408"/>
      <c r="EP408"/>
      <c r="EQ408"/>
      <c r="ER408"/>
      <c r="ES408"/>
      <c r="ET408"/>
      <c r="EU408"/>
      <c r="EV408"/>
      <c r="EW408"/>
      <c r="EX408"/>
      <c r="EY408"/>
      <c r="EZ408"/>
      <c r="FA408"/>
      <c r="FB408"/>
      <c r="FC408"/>
      <c r="FD408"/>
      <c r="FE408"/>
      <c r="FF408"/>
      <c r="FG408"/>
      <c r="FH408"/>
      <c r="FI408"/>
      <c r="FJ408"/>
      <c r="FK408"/>
      <c r="FL408"/>
      <c r="FM408"/>
      <c r="FN408"/>
      <c r="FO408"/>
      <c r="FP408"/>
      <c r="FQ408"/>
      <c r="FR408"/>
      <c r="FS408"/>
      <c r="FT408"/>
      <c r="FU408"/>
      <c r="FV408"/>
      <c r="FW408"/>
      <c r="FX408"/>
      <c r="FY408"/>
      <c r="FZ408"/>
      <c r="GA408"/>
      <c r="GB408"/>
      <c r="GC408"/>
      <c r="GD408"/>
      <c r="GE408"/>
      <c r="GF408"/>
      <c r="GG408"/>
      <c r="GH408"/>
      <c r="GI408"/>
      <c r="GJ408"/>
      <c r="GK408"/>
      <c r="GL408"/>
      <c r="GM408"/>
      <c r="GN408"/>
      <c r="GO408"/>
      <c r="GP408"/>
      <c r="GQ408"/>
      <c r="GR408"/>
      <c r="GS408"/>
      <c r="GT408"/>
      <c r="GU408"/>
      <c r="GV408"/>
      <c r="GW408"/>
      <c r="GX408"/>
      <c r="GY408"/>
      <c r="GZ408"/>
      <c r="HA408"/>
    </row>
    <row r="409" spans="1:209" ht="15" customHeight="1" x14ac:dyDescent="0.15">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M409"/>
      <c r="CN409"/>
      <c r="CO409"/>
      <c r="CP409"/>
      <c r="CQ409"/>
      <c r="CR409"/>
      <c r="CS409"/>
      <c r="CT409"/>
      <c r="CU409"/>
      <c r="CV409"/>
      <c r="CW409"/>
      <c r="CX409"/>
      <c r="CY409"/>
      <c r="CZ409"/>
      <c r="DA409"/>
      <c r="DB409"/>
      <c r="DC409"/>
      <c r="DD409"/>
      <c r="DE409"/>
      <c r="DF409"/>
      <c r="DG409"/>
      <c r="DH409"/>
      <c r="DI409"/>
      <c r="DJ409"/>
      <c r="DK409"/>
      <c r="DL409"/>
      <c r="DM409"/>
      <c r="DN409"/>
      <c r="DO409"/>
      <c r="DP409"/>
      <c r="DQ409"/>
      <c r="DR409"/>
      <c r="DS409"/>
      <c r="DT409"/>
      <c r="DU409"/>
      <c r="DV409"/>
      <c r="DW409"/>
      <c r="DX409"/>
      <c r="DY409"/>
      <c r="DZ409"/>
      <c r="EA409"/>
      <c r="EB409"/>
      <c r="EC409"/>
      <c r="ED409"/>
      <c r="EE409"/>
      <c r="EF409"/>
      <c r="EG409"/>
      <c r="EH409"/>
      <c r="EI409"/>
      <c r="EJ409"/>
      <c r="EK409"/>
      <c r="EL409"/>
      <c r="EM409"/>
      <c r="EN409"/>
      <c r="EO409"/>
      <c r="EP409"/>
      <c r="EQ409"/>
      <c r="ER409"/>
      <c r="ES409"/>
      <c r="ET409"/>
      <c r="EU409"/>
      <c r="EV409"/>
      <c r="EW409"/>
      <c r="EX409"/>
      <c r="EY409"/>
      <c r="EZ409"/>
      <c r="FA409"/>
      <c r="FB409"/>
      <c r="FC409"/>
      <c r="FD409"/>
      <c r="FE409"/>
      <c r="FF409"/>
      <c r="FG409"/>
      <c r="FH409"/>
      <c r="FI409"/>
      <c r="FJ409"/>
      <c r="FK409"/>
      <c r="FL409"/>
      <c r="FM409"/>
      <c r="FN409"/>
      <c r="FO409"/>
      <c r="FP409"/>
      <c r="FQ409"/>
      <c r="FR409"/>
      <c r="FS409"/>
      <c r="FT409"/>
      <c r="FU409"/>
      <c r="FV409"/>
      <c r="FW409"/>
      <c r="FX409"/>
      <c r="FY409"/>
      <c r="FZ409"/>
      <c r="GA409"/>
      <c r="GB409"/>
      <c r="GC409"/>
      <c r="GD409"/>
      <c r="GE409"/>
      <c r="GF409"/>
      <c r="GG409"/>
      <c r="GH409"/>
      <c r="GI409"/>
      <c r="GJ409"/>
      <c r="GK409"/>
      <c r="GL409"/>
      <c r="GM409"/>
      <c r="GN409"/>
      <c r="GO409"/>
      <c r="GP409"/>
      <c r="GQ409"/>
      <c r="GR409"/>
      <c r="GS409"/>
      <c r="GT409"/>
      <c r="GU409"/>
      <c r="GV409"/>
      <c r="GW409"/>
      <c r="GX409"/>
      <c r="GY409"/>
      <c r="GZ409"/>
      <c r="HA409"/>
    </row>
    <row r="410" spans="1:209" ht="15" customHeight="1" x14ac:dyDescent="0.15">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M410"/>
      <c r="CN410"/>
      <c r="CO410"/>
      <c r="CP410"/>
      <c r="CQ410"/>
      <c r="CR410"/>
      <c r="CS410"/>
      <c r="CT410"/>
      <c r="CU410"/>
      <c r="CV410"/>
      <c r="CW410"/>
      <c r="CX410"/>
      <c r="CY410"/>
      <c r="CZ410"/>
      <c r="DA410"/>
      <c r="DB410"/>
      <c r="DC410"/>
      <c r="DD410"/>
      <c r="DE410"/>
      <c r="DF410"/>
      <c r="DG410"/>
      <c r="DH410"/>
      <c r="DI410"/>
      <c r="DJ410"/>
      <c r="DK410"/>
      <c r="DL410"/>
      <c r="DM410"/>
      <c r="DN410"/>
      <c r="DO410"/>
      <c r="DP410"/>
      <c r="DQ410"/>
      <c r="DR410"/>
      <c r="DS410"/>
      <c r="DT410"/>
      <c r="DU410"/>
      <c r="DV410"/>
      <c r="DW410"/>
      <c r="DX410"/>
      <c r="DY410"/>
      <c r="DZ410"/>
      <c r="EA410"/>
      <c r="EB410"/>
      <c r="EC410"/>
      <c r="ED410"/>
      <c r="EE410"/>
      <c r="EF410"/>
      <c r="EG410"/>
      <c r="EH410"/>
      <c r="EI410"/>
      <c r="EJ410"/>
      <c r="EK410"/>
      <c r="EL410"/>
      <c r="EM410"/>
      <c r="EN410"/>
      <c r="EO410"/>
      <c r="EP410"/>
      <c r="EQ410"/>
      <c r="ER410"/>
      <c r="ES410"/>
      <c r="ET410"/>
      <c r="EU410"/>
      <c r="EV410"/>
      <c r="EW410"/>
      <c r="EX410"/>
      <c r="EY410"/>
      <c r="EZ410"/>
      <c r="FA410"/>
      <c r="FB410"/>
      <c r="FC410"/>
      <c r="FD410"/>
      <c r="FE410"/>
      <c r="FF410"/>
      <c r="FG410"/>
      <c r="FH410"/>
      <c r="FI410"/>
      <c r="FJ410"/>
      <c r="FK410"/>
      <c r="FL410"/>
      <c r="FM410"/>
      <c r="FN410"/>
      <c r="FO410"/>
      <c r="FP410"/>
      <c r="FQ410"/>
      <c r="FR410"/>
      <c r="FS410"/>
      <c r="FT410"/>
      <c r="FU410"/>
      <c r="FV410"/>
      <c r="FW410"/>
      <c r="FX410"/>
      <c r="FY410"/>
      <c r="FZ410"/>
      <c r="GA410"/>
      <c r="GB410"/>
      <c r="GC410"/>
      <c r="GD410"/>
      <c r="GE410"/>
      <c r="GF410"/>
      <c r="GG410"/>
      <c r="GH410"/>
      <c r="GI410"/>
      <c r="GJ410"/>
      <c r="GK410"/>
      <c r="GL410"/>
      <c r="GM410"/>
      <c r="GN410"/>
      <c r="GO410"/>
      <c r="GP410"/>
      <c r="GQ410"/>
      <c r="GR410"/>
      <c r="GS410"/>
      <c r="GT410"/>
      <c r="GU410"/>
      <c r="GV410"/>
      <c r="GW410"/>
      <c r="GX410"/>
      <c r="GY410"/>
      <c r="GZ410"/>
      <c r="HA410"/>
    </row>
    <row r="411" spans="1:209" ht="15" customHeight="1" x14ac:dyDescent="0.15">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c r="CQ411"/>
      <c r="CR411"/>
      <c r="CS411"/>
      <c r="CT411"/>
      <c r="CU411"/>
      <c r="CV411"/>
      <c r="CW411"/>
      <c r="CX411"/>
      <c r="CY411"/>
      <c r="CZ411"/>
      <c r="DA411"/>
      <c r="DB411"/>
      <c r="DC411"/>
      <c r="DD411"/>
      <c r="DE411"/>
      <c r="DF411"/>
      <c r="DG411"/>
      <c r="DH411"/>
      <c r="DI411"/>
      <c r="DJ411"/>
      <c r="DK411"/>
      <c r="DL411"/>
      <c r="DM411"/>
      <c r="DN411"/>
      <c r="DO411"/>
      <c r="DP411"/>
      <c r="DQ411"/>
      <c r="DR411"/>
      <c r="DS411"/>
      <c r="DT411"/>
      <c r="DU411"/>
      <c r="DV411"/>
      <c r="DW411"/>
      <c r="DX411"/>
      <c r="DY411"/>
      <c r="DZ411"/>
      <c r="EA411"/>
      <c r="EB411"/>
      <c r="EC411"/>
      <c r="ED411"/>
      <c r="EE411"/>
      <c r="EF411"/>
      <c r="EG411"/>
      <c r="EH411"/>
      <c r="EI411"/>
      <c r="EJ411"/>
      <c r="EK411"/>
      <c r="EL411"/>
      <c r="EM411"/>
      <c r="EN411"/>
      <c r="EO411"/>
      <c r="EP411"/>
      <c r="EQ411"/>
      <c r="ER411"/>
      <c r="ES411"/>
      <c r="ET411"/>
      <c r="EU411"/>
      <c r="EV411"/>
      <c r="EW411"/>
      <c r="EX411"/>
      <c r="EY411"/>
      <c r="EZ411"/>
      <c r="FA411"/>
      <c r="FB411"/>
      <c r="FC411"/>
      <c r="FD411"/>
      <c r="FE411"/>
      <c r="FF411"/>
      <c r="FG411"/>
      <c r="FH411"/>
      <c r="FI411"/>
      <c r="FJ411"/>
      <c r="FK411"/>
      <c r="FL411"/>
      <c r="FM411"/>
      <c r="FN411"/>
      <c r="FO411"/>
      <c r="FP411"/>
      <c r="FQ411"/>
      <c r="FR411"/>
      <c r="FS411"/>
      <c r="FT411"/>
      <c r="FU411"/>
      <c r="FV411"/>
      <c r="FW411"/>
      <c r="FX411"/>
      <c r="FY411"/>
      <c r="FZ411"/>
      <c r="GA411"/>
      <c r="GB411"/>
      <c r="GC411"/>
      <c r="GD411"/>
      <c r="GE411"/>
      <c r="GF411"/>
      <c r="GG411"/>
      <c r="GH411"/>
      <c r="GI411"/>
      <c r="GJ411"/>
      <c r="GK411"/>
      <c r="GL411"/>
      <c r="GM411"/>
      <c r="GN411"/>
      <c r="GO411"/>
      <c r="GP411"/>
      <c r="GQ411"/>
      <c r="GR411"/>
      <c r="GS411"/>
      <c r="GT411"/>
      <c r="GU411"/>
      <c r="GV411"/>
      <c r="GW411"/>
      <c r="GX411"/>
      <c r="GY411"/>
      <c r="GZ411"/>
      <c r="HA411"/>
    </row>
    <row r="412" spans="1:209" ht="15" customHeight="1" x14ac:dyDescent="0.15">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c r="CQ412"/>
      <c r="CR412"/>
      <c r="CS412"/>
      <c r="CT412"/>
      <c r="CU412"/>
      <c r="CV412"/>
      <c r="CW412"/>
      <c r="CX412"/>
      <c r="CY412"/>
      <c r="CZ412"/>
      <c r="DA412"/>
      <c r="DB412"/>
      <c r="DC412"/>
      <c r="DD412"/>
      <c r="DE412"/>
      <c r="DF412"/>
      <c r="DG412"/>
      <c r="DH412"/>
      <c r="DI412"/>
      <c r="DJ412"/>
      <c r="DK412"/>
      <c r="DL412"/>
      <c r="DM412"/>
      <c r="DN412"/>
      <c r="DO412"/>
      <c r="DP412"/>
      <c r="DQ412"/>
      <c r="DR412"/>
      <c r="DS412"/>
      <c r="DT412"/>
      <c r="DU412"/>
      <c r="DV412"/>
      <c r="DW412"/>
      <c r="DX412"/>
      <c r="DY412"/>
      <c r="DZ412"/>
      <c r="EA412"/>
      <c r="EB412"/>
      <c r="EC412"/>
      <c r="ED412"/>
      <c r="EE412"/>
      <c r="EF412"/>
      <c r="EG412"/>
      <c r="EH412"/>
      <c r="EI412"/>
      <c r="EJ412"/>
      <c r="EK412"/>
      <c r="EL412"/>
      <c r="EM412"/>
      <c r="EN412"/>
      <c r="EO412"/>
      <c r="EP412"/>
      <c r="EQ412"/>
      <c r="ER412"/>
      <c r="ES412"/>
      <c r="ET412"/>
      <c r="EU412"/>
      <c r="EV412"/>
      <c r="EW412"/>
      <c r="EX412"/>
      <c r="EY412"/>
      <c r="EZ412"/>
      <c r="FA412"/>
      <c r="FB412"/>
      <c r="FC412"/>
      <c r="FD412"/>
      <c r="FE412"/>
      <c r="FF412"/>
      <c r="FG412"/>
      <c r="FH412"/>
      <c r="FI412"/>
      <c r="FJ412"/>
      <c r="FK412"/>
      <c r="FL412"/>
      <c r="FM412"/>
      <c r="FN412"/>
      <c r="FO412"/>
      <c r="FP412"/>
      <c r="FQ412"/>
      <c r="FR412"/>
      <c r="FS412"/>
      <c r="FT412"/>
      <c r="FU412"/>
      <c r="FV412"/>
      <c r="FW412"/>
      <c r="FX412"/>
      <c r="FY412"/>
      <c r="FZ412"/>
      <c r="GA412"/>
      <c r="GB412"/>
      <c r="GC412"/>
      <c r="GD412"/>
      <c r="GE412"/>
      <c r="GF412"/>
      <c r="GG412"/>
      <c r="GH412"/>
      <c r="GI412"/>
      <c r="GJ412"/>
      <c r="GK412"/>
      <c r="GL412"/>
      <c r="GM412"/>
      <c r="GN412"/>
      <c r="GO412"/>
      <c r="GP412"/>
      <c r="GQ412"/>
      <c r="GR412"/>
      <c r="GS412"/>
      <c r="GT412"/>
      <c r="GU412"/>
      <c r="GV412"/>
      <c r="GW412"/>
      <c r="GX412"/>
      <c r="GY412"/>
      <c r="GZ412"/>
      <c r="HA412"/>
    </row>
    <row r="413" spans="1:209" ht="15" customHeight="1" x14ac:dyDescent="0.15">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M413"/>
      <c r="CN413"/>
      <c r="CO413"/>
      <c r="CP413"/>
      <c r="CQ413"/>
      <c r="CR413"/>
      <c r="CS413"/>
      <c r="CT413"/>
      <c r="CU413"/>
      <c r="CV413"/>
      <c r="CW413"/>
      <c r="CX413"/>
      <c r="CY413"/>
      <c r="CZ413"/>
      <c r="DA413"/>
      <c r="DB413"/>
      <c r="DC413"/>
      <c r="DD413"/>
      <c r="DE413"/>
      <c r="DF413"/>
      <c r="DG413"/>
      <c r="DH413"/>
      <c r="DI413"/>
      <c r="DJ413"/>
      <c r="DK413"/>
      <c r="DL413"/>
      <c r="DM413"/>
      <c r="DN413"/>
      <c r="DO413"/>
      <c r="DP413"/>
      <c r="DQ413"/>
      <c r="DR413"/>
      <c r="DS413"/>
      <c r="DT413"/>
      <c r="DU413"/>
      <c r="DV413"/>
      <c r="DW413"/>
      <c r="DX413"/>
      <c r="DY413"/>
      <c r="DZ413"/>
      <c r="EA413"/>
      <c r="EB413"/>
      <c r="EC413"/>
      <c r="ED413"/>
      <c r="EE413"/>
      <c r="EF413"/>
      <c r="EG413"/>
      <c r="EH413"/>
      <c r="EI413"/>
      <c r="EJ413"/>
      <c r="EK413"/>
      <c r="EL413"/>
      <c r="EM413"/>
      <c r="EN413"/>
      <c r="EO413"/>
      <c r="EP413"/>
      <c r="EQ413"/>
      <c r="ER413"/>
      <c r="ES413"/>
      <c r="ET413"/>
      <c r="EU413"/>
      <c r="EV413"/>
      <c r="EW413"/>
      <c r="EX413"/>
      <c r="EY413"/>
      <c r="EZ413"/>
      <c r="FA413"/>
      <c r="FB413"/>
      <c r="FC413"/>
      <c r="FD413"/>
      <c r="FE413"/>
      <c r="FF413"/>
      <c r="FG413"/>
      <c r="FH413"/>
      <c r="FI413"/>
      <c r="FJ413"/>
      <c r="FK413"/>
      <c r="FL413"/>
      <c r="FM413"/>
      <c r="FN413"/>
      <c r="FO413"/>
      <c r="FP413"/>
      <c r="FQ413"/>
      <c r="FR413"/>
      <c r="FS413"/>
      <c r="FT413"/>
      <c r="FU413"/>
      <c r="FV413"/>
      <c r="FW413"/>
      <c r="FX413"/>
      <c r="FY413"/>
      <c r="FZ413"/>
      <c r="GA413"/>
      <c r="GB413"/>
      <c r="GC413"/>
      <c r="GD413"/>
      <c r="GE413"/>
      <c r="GF413"/>
      <c r="GG413"/>
      <c r="GH413"/>
      <c r="GI413"/>
      <c r="GJ413"/>
      <c r="GK413"/>
      <c r="GL413"/>
      <c r="GM413"/>
      <c r="GN413"/>
      <c r="GO413"/>
      <c r="GP413"/>
      <c r="GQ413"/>
      <c r="GR413"/>
      <c r="GS413"/>
      <c r="GT413"/>
      <c r="GU413"/>
      <c r="GV413"/>
      <c r="GW413"/>
      <c r="GX413"/>
      <c r="GY413"/>
      <c r="GZ413"/>
      <c r="HA413"/>
    </row>
    <row r="414" spans="1:209" ht="15" customHeight="1" x14ac:dyDescent="0.15">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M414"/>
      <c r="CN414"/>
      <c r="CO414"/>
      <c r="CP414"/>
      <c r="CQ414"/>
      <c r="CR414"/>
      <c r="CS414"/>
      <c r="CT414"/>
      <c r="CU414"/>
      <c r="CV414"/>
      <c r="CW414"/>
      <c r="CX414"/>
      <c r="CY414"/>
      <c r="CZ414"/>
      <c r="DA414"/>
      <c r="DB414"/>
      <c r="DC414"/>
      <c r="DD414"/>
      <c r="DE414"/>
      <c r="DF414"/>
      <c r="DG414"/>
      <c r="DH414"/>
      <c r="DI414"/>
      <c r="DJ414"/>
      <c r="DK414"/>
      <c r="DL414"/>
      <c r="DM414"/>
      <c r="DN414"/>
      <c r="DO414"/>
      <c r="DP414"/>
      <c r="DQ414"/>
      <c r="DR414"/>
      <c r="DS414"/>
      <c r="DT414"/>
      <c r="DU414"/>
      <c r="DV414"/>
      <c r="DW414"/>
      <c r="DX414"/>
      <c r="DY414"/>
      <c r="DZ414"/>
      <c r="EA414"/>
      <c r="EB414"/>
      <c r="EC414"/>
      <c r="ED414"/>
      <c r="EE414"/>
      <c r="EF414"/>
      <c r="EG414"/>
      <c r="EH414"/>
      <c r="EI414"/>
      <c r="EJ414"/>
      <c r="EK414"/>
      <c r="EL414"/>
      <c r="EM414"/>
      <c r="EN414"/>
      <c r="EO414"/>
      <c r="EP414"/>
      <c r="EQ414"/>
      <c r="ER414"/>
      <c r="ES414"/>
      <c r="ET414"/>
      <c r="EU414"/>
      <c r="EV414"/>
      <c r="EW414"/>
      <c r="EX414"/>
      <c r="EY414"/>
      <c r="EZ414"/>
      <c r="FA414"/>
      <c r="FB414"/>
      <c r="FC414"/>
      <c r="FD414"/>
      <c r="FE414"/>
      <c r="FF414"/>
      <c r="FG414"/>
      <c r="FH414"/>
      <c r="FI414"/>
      <c r="FJ414"/>
      <c r="FK414"/>
      <c r="FL414"/>
      <c r="FM414"/>
      <c r="FN414"/>
      <c r="FO414"/>
      <c r="FP414"/>
      <c r="FQ414"/>
      <c r="FR414"/>
      <c r="FS414"/>
      <c r="FT414"/>
      <c r="FU414"/>
      <c r="FV414"/>
      <c r="FW414"/>
      <c r="FX414"/>
      <c r="FY414"/>
      <c r="FZ414"/>
      <c r="GA414"/>
      <c r="GB414"/>
      <c r="GC414"/>
      <c r="GD414"/>
      <c r="GE414"/>
      <c r="GF414"/>
      <c r="GG414"/>
      <c r="GH414"/>
      <c r="GI414"/>
      <c r="GJ414"/>
      <c r="GK414"/>
      <c r="GL414"/>
      <c r="GM414"/>
      <c r="GN414"/>
      <c r="GO414"/>
      <c r="GP414"/>
      <c r="GQ414"/>
      <c r="GR414"/>
      <c r="GS414"/>
      <c r="GT414"/>
      <c r="GU414"/>
      <c r="GV414"/>
      <c r="GW414"/>
      <c r="GX414"/>
      <c r="GY414"/>
      <c r="GZ414"/>
      <c r="HA414"/>
    </row>
    <row r="415" spans="1:209" ht="15" customHeight="1" x14ac:dyDescent="0.15">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M415"/>
      <c r="CN415"/>
      <c r="CO415"/>
      <c r="CP415"/>
      <c r="CQ415"/>
      <c r="CR415"/>
      <c r="CS415"/>
      <c r="CT415"/>
      <c r="CU415"/>
      <c r="CV415"/>
      <c r="CW415"/>
      <c r="CX415"/>
      <c r="CY415"/>
      <c r="CZ415"/>
      <c r="DA415"/>
      <c r="DB415"/>
      <c r="DC415"/>
      <c r="DD415"/>
      <c r="DE415"/>
      <c r="DF415"/>
      <c r="DG415"/>
      <c r="DH415"/>
      <c r="DI415"/>
      <c r="DJ415"/>
      <c r="DK415"/>
      <c r="DL415"/>
      <c r="DM415"/>
      <c r="DN415"/>
      <c r="DO415"/>
      <c r="DP415"/>
      <c r="DQ415"/>
      <c r="DR415"/>
      <c r="DS415"/>
      <c r="DT415"/>
      <c r="DU415"/>
      <c r="DV415"/>
      <c r="DW415"/>
      <c r="DX415"/>
      <c r="DY415"/>
      <c r="DZ415"/>
      <c r="EA415"/>
      <c r="EB415"/>
      <c r="EC415"/>
      <c r="ED415"/>
      <c r="EE415"/>
      <c r="EF415"/>
      <c r="EG415"/>
      <c r="EH415"/>
      <c r="EI415"/>
      <c r="EJ415"/>
      <c r="EK415"/>
      <c r="EL415"/>
      <c r="EM415"/>
      <c r="EN415"/>
      <c r="EO415"/>
      <c r="EP415"/>
      <c r="EQ415"/>
      <c r="ER415"/>
      <c r="ES415"/>
      <c r="ET415"/>
      <c r="EU415"/>
      <c r="EV415"/>
      <c r="EW415"/>
      <c r="EX415"/>
      <c r="EY415"/>
      <c r="EZ415"/>
      <c r="FA415"/>
      <c r="FB415"/>
      <c r="FC415"/>
      <c r="FD415"/>
      <c r="FE415"/>
      <c r="FF415"/>
      <c r="FG415"/>
      <c r="FH415"/>
      <c r="FI415"/>
      <c r="FJ415"/>
      <c r="FK415"/>
      <c r="FL415"/>
      <c r="FM415"/>
      <c r="FN415"/>
      <c r="FO415"/>
      <c r="FP415"/>
      <c r="FQ415"/>
      <c r="FR415"/>
      <c r="FS415"/>
      <c r="FT415"/>
      <c r="FU415"/>
      <c r="FV415"/>
      <c r="FW415"/>
      <c r="FX415"/>
      <c r="FY415"/>
      <c r="FZ415"/>
      <c r="GA415"/>
      <c r="GB415"/>
      <c r="GC415"/>
      <c r="GD415"/>
      <c r="GE415"/>
      <c r="GF415"/>
      <c r="GG415"/>
      <c r="GH415"/>
      <c r="GI415"/>
      <c r="GJ415"/>
      <c r="GK415"/>
      <c r="GL415"/>
      <c r="GM415"/>
      <c r="GN415"/>
      <c r="GO415"/>
      <c r="GP415"/>
      <c r="GQ415"/>
      <c r="GR415"/>
      <c r="GS415"/>
      <c r="GT415"/>
      <c r="GU415"/>
      <c r="GV415"/>
      <c r="GW415"/>
      <c r="GX415"/>
      <c r="GY415"/>
      <c r="GZ415"/>
      <c r="HA415"/>
    </row>
    <row r="416" spans="1:209" ht="15" customHeight="1" x14ac:dyDescent="0.15">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M416"/>
      <c r="CN416"/>
      <c r="CO416"/>
      <c r="CP416"/>
      <c r="CQ416"/>
      <c r="CR416"/>
      <c r="CS416"/>
      <c r="CT416"/>
      <c r="CU416"/>
      <c r="CV416"/>
      <c r="CW416"/>
      <c r="CX416"/>
      <c r="CY416"/>
      <c r="CZ416"/>
      <c r="DA416"/>
      <c r="DB416"/>
      <c r="DC416"/>
      <c r="DD416"/>
      <c r="DE416"/>
      <c r="DF416"/>
      <c r="DG416"/>
      <c r="DH416"/>
      <c r="DI416"/>
      <c r="DJ416"/>
      <c r="DK416"/>
      <c r="DL416"/>
      <c r="DM416"/>
      <c r="DN416"/>
      <c r="DO416"/>
      <c r="DP416"/>
      <c r="DQ416"/>
      <c r="DR416"/>
      <c r="DS416"/>
      <c r="DT416"/>
      <c r="DU416"/>
      <c r="DV416"/>
      <c r="DW416"/>
      <c r="DX416"/>
      <c r="DY416"/>
      <c r="DZ416"/>
      <c r="EA416"/>
      <c r="EB416"/>
      <c r="EC416"/>
      <c r="ED416"/>
      <c r="EE416"/>
      <c r="EF416"/>
      <c r="EG416"/>
      <c r="EH416"/>
      <c r="EI416"/>
      <c r="EJ416"/>
      <c r="EK416"/>
      <c r="EL416"/>
      <c r="EM416"/>
      <c r="EN416"/>
      <c r="EO416"/>
      <c r="EP416"/>
      <c r="EQ416"/>
      <c r="ER416"/>
      <c r="ES416"/>
      <c r="ET416"/>
      <c r="EU416"/>
      <c r="EV416"/>
      <c r="EW416"/>
      <c r="EX416"/>
      <c r="EY416"/>
      <c r="EZ416"/>
      <c r="FA416"/>
      <c r="FB416"/>
      <c r="FC416"/>
      <c r="FD416"/>
      <c r="FE416"/>
      <c r="FF416"/>
      <c r="FG416"/>
      <c r="FH416"/>
      <c r="FI416"/>
      <c r="FJ416"/>
      <c r="FK416"/>
      <c r="FL416"/>
      <c r="FM416"/>
      <c r="FN416"/>
      <c r="FO416"/>
      <c r="FP416"/>
      <c r="FQ416"/>
      <c r="FR416"/>
      <c r="FS416"/>
      <c r="FT416"/>
      <c r="FU416"/>
      <c r="FV416"/>
      <c r="FW416"/>
      <c r="FX416"/>
      <c r="FY416"/>
      <c r="FZ416"/>
      <c r="GA416"/>
      <c r="GB416"/>
      <c r="GC416"/>
      <c r="GD416"/>
      <c r="GE416"/>
      <c r="GF416"/>
      <c r="GG416"/>
      <c r="GH416"/>
      <c r="GI416"/>
      <c r="GJ416"/>
      <c r="GK416"/>
      <c r="GL416"/>
      <c r="GM416"/>
      <c r="GN416"/>
      <c r="GO416"/>
      <c r="GP416"/>
      <c r="GQ416"/>
      <c r="GR416"/>
      <c r="GS416"/>
      <c r="GT416"/>
      <c r="GU416"/>
      <c r="GV416"/>
      <c r="GW416"/>
      <c r="GX416"/>
      <c r="GY416"/>
      <c r="GZ416"/>
      <c r="HA416"/>
    </row>
    <row r="417" spans="1:209" ht="15" customHeight="1" x14ac:dyDescent="0.15">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M417"/>
      <c r="CN417"/>
      <c r="CO417"/>
      <c r="CP417"/>
      <c r="CQ417"/>
      <c r="CR417"/>
      <c r="CS417"/>
      <c r="CT417"/>
      <c r="CU417"/>
      <c r="CV417"/>
      <c r="CW417"/>
      <c r="CX417"/>
      <c r="CY417"/>
      <c r="CZ417"/>
      <c r="DA417"/>
      <c r="DB417"/>
      <c r="DC417"/>
      <c r="DD417"/>
      <c r="DE417"/>
      <c r="DF417"/>
      <c r="DG417"/>
      <c r="DH417"/>
      <c r="DI417"/>
      <c r="DJ417"/>
      <c r="DK417"/>
      <c r="DL417"/>
      <c r="DM417"/>
      <c r="DN417"/>
      <c r="DO417"/>
      <c r="DP417"/>
      <c r="DQ417"/>
      <c r="DR417"/>
      <c r="DS417"/>
      <c r="DT417"/>
      <c r="DU417"/>
      <c r="DV417"/>
      <c r="DW417"/>
      <c r="DX417"/>
      <c r="DY417"/>
      <c r="DZ417"/>
      <c r="EA417"/>
      <c r="EB417"/>
      <c r="EC417"/>
      <c r="ED417"/>
      <c r="EE417"/>
      <c r="EF417"/>
      <c r="EG417"/>
      <c r="EH417"/>
      <c r="EI417"/>
      <c r="EJ417"/>
      <c r="EK417"/>
      <c r="EL417"/>
      <c r="EM417"/>
      <c r="EN417"/>
      <c r="EO417"/>
      <c r="EP417"/>
      <c r="EQ417"/>
      <c r="ER417"/>
      <c r="ES417"/>
      <c r="ET417"/>
      <c r="EU417"/>
      <c r="EV417"/>
      <c r="EW417"/>
      <c r="EX417"/>
      <c r="EY417"/>
      <c r="EZ417"/>
      <c r="FA417"/>
      <c r="FB417"/>
      <c r="FC417"/>
      <c r="FD417"/>
      <c r="FE417"/>
      <c r="FF417"/>
      <c r="FG417"/>
      <c r="FH417"/>
      <c r="FI417"/>
      <c r="FJ417"/>
      <c r="FK417"/>
      <c r="FL417"/>
      <c r="FM417"/>
      <c r="FN417"/>
      <c r="FO417"/>
      <c r="FP417"/>
      <c r="FQ417"/>
      <c r="FR417"/>
      <c r="FS417"/>
      <c r="FT417"/>
      <c r="FU417"/>
      <c r="FV417"/>
      <c r="FW417"/>
      <c r="FX417"/>
      <c r="FY417"/>
      <c r="FZ417"/>
      <c r="GA417"/>
      <c r="GB417"/>
      <c r="GC417"/>
      <c r="GD417"/>
      <c r="GE417"/>
      <c r="GF417"/>
      <c r="GG417"/>
      <c r="GH417"/>
      <c r="GI417"/>
      <c r="GJ417"/>
      <c r="GK417"/>
      <c r="GL417"/>
      <c r="GM417"/>
      <c r="GN417"/>
      <c r="GO417"/>
      <c r="GP417"/>
      <c r="GQ417"/>
      <c r="GR417"/>
      <c r="GS417"/>
      <c r="GT417"/>
      <c r="GU417"/>
      <c r="GV417"/>
      <c r="GW417"/>
      <c r="GX417"/>
      <c r="GY417"/>
      <c r="GZ417"/>
      <c r="HA417"/>
    </row>
    <row r="418" spans="1:209" ht="15" customHeight="1" x14ac:dyDescent="0.15">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M418"/>
      <c r="CN418"/>
      <c r="CO418"/>
      <c r="CP418"/>
      <c r="CQ418"/>
      <c r="CR418"/>
      <c r="CS418"/>
      <c r="CT418"/>
      <c r="CU418"/>
      <c r="CV418"/>
      <c r="CW418"/>
      <c r="CX418"/>
      <c r="CY418"/>
      <c r="CZ418"/>
      <c r="DA418"/>
      <c r="DB418"/>
      <c r="DC418"/>
      <c r="DD418"/>
      <c r="DE418"/>
      <c r="DF418"/>
      <c r="DG418"/>
      <c r="DH418"/>
      <c r="DI418"/>
      <c r="DJ418"/>
      <c r="DK418"/>
      <c r="DL418"/>
      <c r="DM418"/>
      <c r="DN418"/>
      <c r="DO418"/>
      <c r="DP418"/>
      <c r="DQ418"/>
      <c r="DR418"/>
      <c r="DS418"/>
      <c r="DT418"/>
      <c r="DU418"/>
      <c r="DV418"/>
      <c r="DW418"/>
      <c r="DX418"/>
      <c r="DY418"/>
      <c r="DZ418"/>
      <c r="EA418"/>
      <c r="EB418"/>
      <c r="EC418"/>
      <c r="ED418"/>
      <c r="EE418"/>
      <c r="EF418"/>
      <c r="EG418"/>
      <c r="EH418"/>
      <c r="EI418"/>
      <c r="EJ418"/>
      <c r="EK418"/>
      <c r="EL418"/>
      <c r="EM418"/>
      <c r="EN418"/>
      <c r="EO418"/>
      <c r="EP418"/>
      <c r="EQ418"/>
      <c r="ER418"/>
      <c r="ES418"/>
      <c r="ET418"/>
      <c r="EU418"/>
      <c r="EV418"/>
      <c r="EW418"/>
      <c r="EX418"/>
      <c r="EY418"/>
      <c r="EZ418"/>
      <c r="FA418"/>
      <c r="FB418"/>
      <c r="FC418"/>
      <c r="FD418"/>
      <c r="FE418"/>
      <c r="FF418"/>
      <c r="FG418"/>
      <c r="FH418"/>
      <c r="FI418"/>
      <c r="FJ418"/>
      <c r="FK418"/>
      <c r="FL418"/>
      <c r="FM418"/>
      <c r="FN418"/>
      <c r="FO418"/>
      <c r="FP418"/>
      <c r="FQ418"/>
      <c r="FR418"/>
      <c r="FS418"/>
      <c r="FT418"/>
      <c r="FU418"/>
      <c r="FV418"/>
      <c r="FW418"/>
      <c r="FX418"/>
      <c r="FY418"/>
      <c r="FZ418"/>
      <c r="GA418"/>
      <c r="GB418"/>
      <c r="GC418"/>
      <c r="GD418"/>
      <c r="GE418"/>
      <c r="GF418"/>
      <c r="GG418"/>
      <c r="GH418"/>
      <c r="GI418"/>
      <c r="GJ418"/>
      <c r="GK418"/>
      <c r="GL418"/>
      <c r="GM418"/>
      <c r="GN418"/>
      <c r="GO418"/>
      <c r="GP418"/>
      <c r="GQ418"/>
      <c r="GR418"/>
      <c r="GS418"/>
      <c r="GT418"/>
      <c r="GU418"/>
      <c r="GV418"/>
      <c r="GW418"/>
      <c r="GX418"/>
      <c r="GY418"/>
      <c r="GZ418"/>
      <c r="HA418"/>
    </row>
    <row r="419" spans="1:209" ht="15" customHeight="1" x14ac:dyDescent="0.15">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M419"/>
      <c r="CN419"/>
      <c r="CO419"/>
      <c r="CP419"/>
      <c r="CQ419"/>
      <c r="CR419"/>
      <c r="CS419"/>
      <c r="CT419"/>
      <c r="CU419"/>
      <c r="CV419"/>
      <c r="CW419"/>
      <c r="CX419"/>
      <c r="CY419"/>
      <c r="CZ419"/>
      <c r="DA419"/>
      <c r="DB419"/>
      <c r="DC419"/>
      <c r="DD419"/>
      <c r="DE419"/>
      <c r="DF419"/>
      <c r="DG419"/>
      <c r="DH419"/>
      <c r="DI419"/>
      <c r="DJ419"/>
      <c r="DK419"/>
      <c r="DL419"/>
      <c r="DM419"/>
      <c r="DN419"/>
      <c r="DO419"/>
      <c r="DP419"/>
      <c r="DQ419"/>
      <c r="DR419"/>
      <c r="DS419"/>
      <c r="DT419"/>
      <c r="DU419"/>
      <c r="DV419"/>
      <c r="DW419"/>
      <c r="DX419"/>
      <c r="DY419"/>
      <c r="DZ419"/>
      <c r="EA419"/>
      <c r="EB419"/>
      <c r="EC419"/>
      <c r="ED419"/>
      <c r="EE419"/>
      <c r="EF419"/>
      <c r="EG419"/>
      <c r="EH419"/>
      <c r="EI419"/>
      <c r="EJ419"/>
      <c r="EK419"/>
      <c r="EL419"/>
      <c r="EM419"/>
      <c r="EN419"/>
      <c r="EO419"/>
      <c r="EP419"/>
      <c r="EQ419"/>
      <c r="ER419"/>
      <c r="ES419"/>
      <c r="ET419"/>
      <c r="EU419"/>
      <c r="EV419"/>
      <c r="EW419"/>
      <c r="EX419"/>
      <c r="EY419"/>
      <c r="EZ419"/>
      <c r="FA419"/>
      <c r="FB419"/>
      <c r="FC419"/>
      <c r="FD419"/>
      <c r="FE419"/>
      <c r="FF419"/>
      <c r="FG419"/>
      <c r="FH419"/>
      <c r="FI419"/>
      <c r="FJ419"/>
      <c r="FK419"/>
      <c r="FL419"/>
      <c r="FM419"/>
      <c r="FN419"/>
      <c r="FO419"/>
      <c r="FP419"/>
      <c r="FQ419"/>
      <c r="FR419"/>
      <c r="FS419"/>
      <c r="FT419"/>
      <c r="FU419"/>
      <c r="FV419"/>
      <c r="FW419"/>
      <c r="FX419"/>
      <c r="FY419"/>
      <c r="FZ419"/>
      <c r="GA419"/>
      <c r="GB419"/>
      <c r="GC419"/>
      <c r="GD419"/>
      <c r="GE419"/>
      <c r="GF419"/>
      <c r="GG419"/>
      <c r="GH419"/>
      <c r="GI419"/>
      <c r="GJ419"/>
      <c r="GK419"/>
      <c r="GL419"/>
      <c r="GM419"/>
      <c r="GN419"/>
      <c r="GO419"/>
      <c r="GP419"/>
      <c r="GQ419"/>
      <c r="GR419"/>
      <c r="GS419"/>
      <c r="GT419"/>
      <c r="GU419"/>
      <c r="GV419"/>
      <c r="GW419"/>
      <c r="GX419"/>
      <c r="GY419"/>
      <c r="GZ419"/>
      <c r="HA419"/>
    </row>
    <row r="420" spans="1:209" ht="15" customHeight="1" x14ac:dyDescent="0.15">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M420"/>
      <c r="CN420"/>
      <c r="CO420"/>
      <c r="CP420"/>
      <c r="CQ420"/>
      <c r="CR420"/>
      <c r="CS420"/>
      <c r="CT420"/>
      <c r="CU420"/>
      <c r="CV420"/>
      <c r="CW420"/>
      <c r="CX420"/>
      <c r="CY420"/>
      <c r="CZ420"/>
      <c r="DA420"/>
      <c r="DB420"/>
      <c r="DC420"/>
      <c r="DD420"/>
      <c r="DE420"/>
      <c r="DF420"/>
      <c r="DG420"/>
      <c r="DH420"/>
      <c r="DI420"/>
      <c r="DJ420"/>
      <c r="DK420"/>
      <c r="DL420"/>
      <c r="DM420"/>
      <c r="DN420"/>
      <c r="DO420"/>
      <c r="DP420"/>
      <c r="DQ420"/>
      <c r="DR420"/>
      <c r="DS420"/>
      <c r="DT420"/>
      <c r="DU420"/>
      <c r="DV420"/>
      <c r="DW420"/>
      <c r="DX420"/>
      <c r="DY420"/>
      <c r="DZ420"/>
      <c r="EA420"/>
      <c r="EB420"/>
      <c r="EC420"/>
      <c r="ED420"/>
      <c r="EE420"/>
      <c r="EF420"/>
      <c r="EG420"/>
      <c r="EH420"/>
      <c r="EI420"/>
      <c r="EJ420"/>
      <c r="EK420"/>
      <c r="EL420"/>
      <c r="EM420"/>
      <c r="EN420"/>
      <c r="EO420"/>
      <c r="EP420"/>
      <c r="EQ420"/>
      <c r="ER420"/>
      <c r="ES420"/>
      <c r="ET420"/>
      <c r="EU420"/>
      <c r="EV420"/>
      <c r="EW420"/>
      <c r="EX420"/>
      <c r="EY420"/>
      <c r="EZ420"/>
      <c r="FA420"/>
      <c r="FB420"/>
      <c r="FC420"/>
      <c r="FD420"/>
      <c r="FE420"/>
      <c r="FF420"/>
      <c r="FG420"/>
      <c r="FH420"/>
      <c r="FI420"/>
      <c r="FJ420"/>
      <c r="FK420"/>
      <c r="FL420"/>
      <c r="FM420"/>
      <c r="FN420"/>
      <c r="FO420"/>
      <c r="FP420"/>
      <c r="FQ420"/>
      <c r="FR420"/>
      <c r="FS420"/>
      <c r="FT420"/>
      <c r="FU420"/>
      <c r="FV420"/>
      <c r="FW420"/>
      <c r="FX420"/>
      <c r="FY420"/>
      <c r="FZ420"/>
      <c r="GA420"/>
      <c r="GB420"/>
      <c r="GC420"/>
      <c r="GD420"/>
      <c r="GE420"/>
      <c r="GF420"/>
      <c r="GG420"/>
      <c r="GH420"/>
      <c r="GI420"/>
      <c r="GJ420"/>
      <c r="GK420"/>
      <c r="GL420"/>
      <c r="GM420"/>
      <c r="GN420"/>
      <c r="GO420"/>
      <c r="GP420"/>
      <c r="GQ420"/>
      <c r="GR420"/>
      <c r="GS420"/>
      <c r="GT420"/>
      <c r="GU420"/>
      <c r="GV420"/>
      <c r="GW420"/>
      <c r="GX420"/>
      <c r="GY420"/>
      <c r="GZ420"/>
      <c r="HA420"/>
    </row>
    <row r="421" spans="1:209" ht="15" customHeight="1" x14ac:dyDescent="0.15">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c r="CW421"/>
      <c r="CX421"/>
      <c r="CY421"/>
      <c r="CZ421"/>
      <c r="DA421"/>
      <c r="DB421"/>
      <c r="DC421"/>
      <c r="DD421"/>
      <c r="DE421"/>
      <c r="DF421"/>
      <c r="DG421"/>
      <c r="DH421"/>
      <c r="DI421"/>
      <c r="DJ421"/>
      <c r="DK421"/>
      <c r="DL421"/>
      <c r="DM421"/>
      <c r="DN421"/>
      <c r="DO421"/>
      <c r="DP421"/>
      <c r="DQ421"/>
      <c r="DR421"/>
      <c r="DS421"/>
      <c r="DT421"/>
      <c r="DU421"/>
      <c r="DV421"/>
      <c r="DW421"/>
      <c r="DX421"/>
      <c r="DY421"/>
      <c r="DZ421"/>
      <c r="EA421"/>
      <c r="EB421"/>
      <c r="EC421"/>
      <c r="ED421"/>
      <c r="EE421"/>
      <c r="EF421"/>
      <c r="EG421"/>
      <c r="EH421"/>
      <c r="EI421"/>
      <c r="EJ421"/>
      <c r="EK421"/>
      <c r="EL421"/>
      <c r="EM421"/>
      <c r="EN421"/>
      <c r="EO421"/>
      <c r="EP421"/>
      <c r="EQ421"/>
      <c r="ER421"/>
      <c r="ES421"/>
      <c r="ET421"/>
      <c r="EU421"/>
      <c r="EV421"/>
      <c r="EW421"/>
      <c r="EX421"/>
      <c r="EY421"/>
      <c r="EZ421"/>
      <c r="FA421"/>
      <c r="FB421"/>
      <c r="FC421"/>
      <c r="FD421"/>
      <c r="FE421"/>
      <c r="FF421"/>
      <c r="FG421"/>
      <c r="FH421"/>
      <c r="FI421"/>
      <c r="FJ421"/>
      <c r="FK421"/>
      <c r="FL421"/>
      <c r="FM421"/>
      <c r="FN421"/>
      <c r="FO421"/>
      <c r="FP421"/>
      <c r="FQ421"/>
      <c r="FR421"/>
      <c r="FS421"/>
      <c r="FT421"/>
      <c r="FU421"/>
      <c r="FV421"/>
      <c r="FW421"/>
      <c r="FX421"/>
      <c r="FY421"/>
      <c r="FZ421"/>
      <c r="GA421"/>
      <c r="GB421"/>
      <c r="GC421"/>
      <c r="GD421"/>
      <c r="GE421"/>
      <c r="GF421"/>
      <c r="GG421"/>
      <c r="GH421"/>
      <c r="GI421"/>
      <c r="GJ421"/>
      <c r="GK421"/>
      <c r="GL421"/>
      <c r="GM421"/>
      <c r="GN421"/>
      <c r="GO421"/>
      <c r="GP421"/>
      <c r="GQ421"/>
      <c r="GR421"/>
      <c r="GS421"/>
      <c r="GT421"/>
      <c r="GU421"/>
      <c r="GV421"/>
      <c r="GW421"/>
      <c r="GX421"/>
      <c r="GY421"/>
      <c r="GZ421"/>
      <c r="HA421"/>
    </row>
    <row r="422" spans="1:209" ht="15" customHeight="1" x14ac:dyDescent="0.15">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M422"/>
      <c r="CN422"/>
      <c r="CO422"/>
      <c r="CP422"/>
      <c r="CQ422"/>
      <c r="CR422"/>
      <c r="CS422"/>
      <c r="CT422"/>
      <c r="CU422"/>
      <c r="CV422"/>
      <c r="CW422"/>
      <c r="CX422"/>
      <c r="CY422"/>
      <c r="CZ422"/>
      <c r="DA422"/>
      <c r="DB422"/>
      <c r="DC422"/>
      <c r="DD422"/>
      <c r="DE422"/>
      <c r="DF422"/>
      <c r="DG422"/>
      <c r="DH422"/>
      <c r="DI422"/>
      <c r="DJ422"/>
      <c r="DK422"/>
      <c r="DL422"/>
      <c r="DM422"/>
      <c r="DN422"/>
      <c r="DO422"/>
      <c r="DP422"/>
      <c r="DQ422"/>
      <c r="DR422"/>
      <c r="DS422"/>
      <c r="DT422"/>
      <c r="DU422"/>
      <c r="DV422"/>
      <c r="DW422"/>
      <c r="DX422"/>
      <c r="DY422"/>
      <c r="DZ422"/>
      <c r="EA422"/>
      <c r="EB422"/>
      <c r="EC422"/>
      <c r="ED422"/>
      <c r="EE422"/>
      <c r="EF422"/>
      <c r="EG422"/>
      <c r="EH422"/>
      <c r="EI422"/>
      <c r="EJ422"/>
      <c r="EK422"/>
      <c r="EL422"/>
      <c r="EM422"/>
      <c r="EN422"/>
      <c r="EO422"/>
      <c r="EP422"/>
      <c r="EQ422"/>
      <c r="ER422"/>
      <c r="ES422"/>
      <c r="ET422"/>
      <c r="EU422"/>
      <c r="EV422"/>
      <c r="EW422"/>
      <c r="EX422"/>
      <c r="EY422"/>
      <c r="EZ422"/>
      <c r="FA422"/>
      <c r="FB422"/>
      <c r="FC422"/>
      <c r="FD422"/>
      <c r="FE422"/>
      <c r="FF422"/>
      <c r="FG422"/>
      <c r="FH422"/>
      <c r="FI422"/>
      <c r="FJ422"/>
      <c r="FK422"/>
      <c r="FL422"/>
      <c r="FM422"/>
      <c r="FN422"/>
      <c r="FO422"/>
      <c r="FP422"/>
      <c r="FQ422"/>
      <c r="FR422"/>
      <c r="FS422"/>
      <c r="FT422"/>
      <c r="FU422"/>
      <c r="FV422"/>
      <c r="FW422"/>
      <c r="FX422"/>
      <c r="FY422"/>
      <c r="FZ422"/>
      <c r="GA422"/>
      <c r="GB422"/>
      <c r="GC422"/>
      <c r="GD422"/>
      <c r="GE422"/>
      <c r="GF422"/>
      <c r="GG422"/>
      <c r="GH422"/>
      <c r="GI422"/>
      <c r="GJ422"/>
      <c r="GK422"/>
      <c r="GL422"/>
      <c r="GM422"/>
      <c r="GN422"/>
      <c r="GO422"/>
      <c r="GP422"/>
      <c r="GQ422"/>
      <c r="GR422"/>
      <c r="GS422"/>
      <c r="GT422"/>
      <c r="GU422"/>
      <c r="GV422"/>
      <c r="GW422"/>
      <c r="GX422"/>
      <c r="GY422"/>
      <c r="GZ422"/>
      <c r="HA422"/>
    </row>
    <row r="423" spans="1:209" ht="15" customHeight="1" x14ac:dyDescent="0.15">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M423"/>
      <c r="CN423"/>
      <c r="CO423"/>
      <c r="CP423"/>
      <c r="CQ423"/>
      <c r="CR423"/>
      <c r="CS423"/>
      <c r="CT423"/>
      <c r="CU423"/>
      <c r="CV423"/>
      <c r="CW423"/>
      <c r="CX423"/>
      <c r="CY423"/>
      <c r="CZ423"/>
      <c r="DA423"/>
      <c r="DB423"/>
      <c r="DC423"/>
      <c r="DD423"/>
      <c r="DE423"/>
      <c r="DF423"/>
      <c r="DG423"/>
      <c r="DH423"/>
      <c r="DI423"/>
      <c r="DJ423"/>
      <c r="DK423"/>
      <c r="DL423"/>
      <c r="DM423"/>
      <c r="DN423"/>
      <c r="DO423"/>
      <c r="DP423"/>
      <c r="DQ423"/>
      <c r="DR423"/>
      <c r="DS423"/>
      <c r="DT423"/>
      <c r="DU423"/>
      <c r="DV423"/>
      <c r="DW423"/>
      <c r="DX423"/>
      <c r="DY423"/>
      <c r="DZ423"/>
      <c r="EA423"/>
      <c r="EB423"/>
      <c r="EC423"/>
      <c r="ED423"/>
      <c r="EE423"/>
      <c r="EF423"/>
      <c r="EG423"/>
      <c r="EH423"/>
      <c r="EI423"/>
      <c r="EJ423"/>
      <c r="EK423"/>
      <c r="EL423"/>
      <c r="EM423"/>
      <c r="EN423"/>
      <c r="EO423"/>
      <c r="EP423"/>
      <c r="EQ423"/>
      <c r="ER423"/>
      <c r="ES423"/>
      <c r="ET423"/>
      <c r="EU423"/>
      <c r="EV423"/>
      <c r="EW423"/>
      <c r="EX423"/>
      <c r="EY423"/>
      <c r="EZ423"/>
      <c r="FA423"/>
      <c r="FB423"/>
      <c r="FC423"/>
      <c r="FD423"/>
      <c r="FE423"/>
      <c r="FF423"/>
      <c r="FG423"/>
      <c r="FH423"/>
      <c r="FI423"/>
      <c r="FJ423"/>
      <c r="FK423"/>
      <c r="FL423"/>
      <c r="FM423"/>
      <c r="FN423"/>
      <c r="FO423"/>
      <c r="FP423"/>
      <c r="FQ423"/>
      <c r="FR423"/>
      <c r="FS423"/>
      <c r="FT423"/>
      <c r="FU423"/>
      <c r="FV423"/>
      <c r="FW423"/>
      <c r="FX423"/>
      <c r="FY423"/>
      <c r="FZ423"/>
      <c r="GA423"/>
      <c r="GB423"/>
      <c r="GC423"/>
      <c r="GD423"/>
      <c r="GE423"/>
      <c r="GF423"/>
      <c r="GG423"/>
      <c r="GH423"/>
      <c r="GI423"/>
      <c r="GJ423"/>
      <c r="GK423"/>
      <c r="GL423"/>
      <c r="GM423"/>
      <c r="GN423"/>
      <c r="GO423"/>
      <c r="GP423"/>
      <c r="GQ423"/>
      <c r="GR423"/>
      <c r="GS423"/>
      <c r="GT423"/>
      <c r="GU423"/>
      <c r="GV423"/>
      <c r="GW423"/>
      <c r="GX423"/>
      <c r="GY423"/>
      <c r="GZ423"/>
      <c r="HA423"/>
    </row>
    <row r="424" spans="1:209" ht="15" customHeight="1" x14ac:dyDescent="0.15">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M424"/>
      <c r="CN424"/>
      <c r="CO424"/>
      <c r="CP424"/>
      <c r="CQ424"/>
      <c r="CR424"/>
      <c r="CS424"/>
      <c r="CT424"/>
      <c r="CU424"/>
      <c r="CV424"/>
      <c r="CW424"/>
      <c r="CX424"/>
      <c r="CY424"/>
      <c r="CZ424"/>
      <c r="DA424"/>
      <c r="DB424"/>
      <c r="DC424"/>
      <c r="DD424"/>
      <c r="DE424"/>
      <c r="DF424"/>
      <c r="DG424"/>
      <c r="DH424"/>
      <c r="DI424"/>
      <c r="DJ424"/>
      <c r="DK424"/>
      <c r="DL424"/>
      <c r="DM424"/>
      <c r="DN424"/>
      <c r="DO424"/>
      <c r="DP424"/>
      <c r="DQ424"/>
      <c r="DR424"/>
      <c r="DS424"/>
      <c r="DT424"/>
      <c r="DU424"/>
      <c r="DV424"/>
      <c r="DW424"/>
      <c r="DX424"/>
      <c r="DY424"/>
      <c r="DZ424"/>
      <c r="EA424"/>
      <c r="EB424"/>
      <c r="EC424"/>
      <c r="ED424"/>
      <c r="EE424"/>
      <c r="EF424"/>
      <c r="EG424"/>
      <c r="EH424"/>
      <c r="EI424"/>
      <c r="EJ424"/>
      <c r="EK424"/>
      <c r="EL424"/>
      <c r="EM424"/>
      <c r="EN424"/>
      <c r="EO424"/>
      <c r="EP424"/>
      <c r="EQ424"/>
      <c r="ER424"/>
      <c r="ES424"/>
      <c r="ET424"/>
      <c r="EU424"/>
      <c r="EV424"/>
      <c r="EW424"/>
      <c r="EX424"/>
      <c r="EY424"/>
      <c r="EZ424"/>
      <c r="FA424"/>
      <c r="FB424"/>
      <c r="FC424"/>
      <c r="FD424"/>
      <c r="FE424"/>
      <c r="FF424"/>
      <c r="FG424"/>
      <c r="FH424"/>
      <c r="FI424"/>
      <c r="FJ424"/>
      <c r="FK424"/>
      <c r="FL424"/>
      <c r="FM424"/>
      <c r="FN424"/>
      <c r="FO424"/>
      <c r="FP424"/>
      <c r="FQ424"/>
      <c r="FR424"/>
      <c r="FS424"/>
      <c r="FT424"/>
      <c r="FU424"/>
      <c r="FV424"/>
      <c r="FW424"/>
      <c r="FX424"/>
      <c r="FY424"/>
      <c r="FZ424"/>
      <c r="GA424"/>
      <c r="GB424"/>
      <c r="GC424"/>
      <c r="GD424"/>
      <c r="GE424"/>
      <c r="GF424"/>
      <c r="GG424"/>
      <c r="GH424"/>
      <c r="GI424"/>
      <c r="GJ424"/>
      <c r="GK424"/>
      <c r="GL424"/>
      <c r="GM424"/>
      <c r="GN424"/>
      <c r="GO424"/>
      <c r="GP424"/>
      <c r="GQ424"/>
      <c r="GR424"/>
      <c r="GS424"/>
      <c r="GT424"/>
      <c r="GU424"/>
      <c r="GV424"/>
      <c r="GW424"/>
      <c r="GX424"/>
      <c r="GY424"/>
      <c r="GZ424"/>
      <c r="HA424"/>
    </row>
    <row r="425" spans="1:209" ht="15" customHeight="1" x14ac:dyDescent="0.15">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M425"/>
      <c r="CN425"/>
      <c r="CO425"/>
      <c r="CP425"/>
      <c r="CQ425"/>
      <c r="CR425"/>
      <c r="CS425"/>
      <c r="CT425"/>
      <c r="CU425"/>
      <c r="CV425"/>
      <c r="CW425"/>
      <c r="CX425"/>
      <c r="CY425"/>
      <c r="CZ425"/>
      <c r="DA425"/>
      <c r="DB425"/>
      <c r="DC425"/>
      <c r="DD425"/>
      <c r="DE425"/>
      <c r="DF425"/>
      <c r="DG425"/>
      <c r="DH425"/>
      <c r="DI425"/>
      <c r="DJ425"/>
      <c r="DK425"/>
      <c r="DL425"/>
      <c r="DM425"/>
      <c r="DN425"/>
      <c r="DO425"/>
      <c r="DP425"/>
      <c r="DQ425"/>
      <c r="DR425"/>
      <c r="DS425"/>
      <c r="DT425"/>
      <c r="DU425"/>
      <c r="DV425"/>
      <c r="DW425"/>
      <c r="DX425"/>
      <c r="DY425"/>
      <c r="DZ425"/>
      <c r="EA425"/>
      <c r="EB425"/>
      <c r="EC425"/>
      <c r="ED425"/>
      <c r="EE425"/>
      <c r="EF425"/>
      <c r="EG425"/>
      <c r="EH425"/>
      <c r="EI425"/>
      <c r="EJ425"/>
      <c r="EK425"/>
      <c r="EL425"/>
      <c r="EM425"/>
      <c r="EN425"/>
      <c r="EO425"/>
      <c r="EP425"/>
      <c r="EQ425"/>
      <c r="ER425"/>
      <c r="ES425"/>
      <c r="ET425"/>
      <c r="EU425"/>
      <c r="EV425"/>
      <c r="EW425"/>
      <c r="EX425"/>
      <c r="EY425"/>
      <c r="EZ425"/>
      <c r="FA425"/>
      <c r="FB425"/>
      <c r="FC425"/>
      <c r="FD425"/>
      <c r="FE425"/>
      <c r="FF425"/>
      <c r="FG425"/>
      <c r="FH425"/>
      <c r="FI425"/>
      <c r="FJ425"/>
      <c r="FK425"/>
      <c r="FL425"/>
      <c r="FM425"/>
      <c r="FN425"/>
      <c r="FO425"/>
      <c r="FP425"/>
      <c r="FQ425"/>
      <c r="FR425"/>
      <c r="FS425"/>
      <c r="FT425"/>
      <c r="FU425"/>
      <c r="FV425"/>
      <c r="FW425"/>
      <c r="FX425"/>
      <c r="FY425"/>
      <c r="FZ425"/>
      <c r="GA425"/>
      <c r="GB425"/>
      <c r="GC425"/>
      <c r="GD425"/>
      <c r="GE425"/>
      <c r="GF425"/>
      <c r="GG425"/>
      <c r="GH425"/>
      <c r="GI425"/>
      <c r="GJ425"/>
      <c r="GK425"/>
      <c r="GL425"/>
      <c r="GM425"/>
      <c r="GN425"/>
      <c r="GO425"/>
      <c r="GP425"/>
      <c r="GQ425"/>
      <c r="GR425"/>
      <c r="GS425"/>
      <c r="GT425"/>
      <c r="GU425"/>
      <c r="GV425"/>
      <c r="GW425"/>
      <c r="GX425"/>
      <c r="GY425"/>
      <c r="GZ425"/>
      <c r="HA425"/>
    </row>
    <row r="426" spans="1:209" ht="15" customHeight="1" x14ac:dyDescent="0.15">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M426"/>
      <c r="CN426"/>
      <c r="CO426"/>
      <c r="CP426"/>
      <c r="CQ426"/>
      <c r="CR426"/>
      <c r="CS426"/>
      <c r="CT426"/>
      <c r="CU426"/>
      <c r="CV426"/>
      <c r="CW426"/>
      <c r="CX426"/>
      <c r="CY426"/>
      <c r="CZ426"/>
      <c r="DA426"/>
      <c r="DB426"/>
      <c r="DC426"/>
      <c r="DD426"/>
      <c r="DE426"/>
      <c r="DF426"/>
      <c r="DG426"/>
      <c r="DH426"/>
      <c r="DI426"/>
      <c r="DJ426"/>
      <c r="DK426"/>
      <c r="DL426"/>
      <c r="DM426"/>
      <c r="DN426"/>
      <c r="DO426"/>
      <c r="DP426"/>
      <c r="DQ426"/>
      <c r="DR426"/>
      <c r="DS426"/>
      <c r="DT426"/>
      <c r="DU426"/>
      <c r="DV426"/>
      <c r="DW426"/>
      <c r="DX426"/>
      <c r="DY426"/>
      <c r="DZ426"/>
      <c r="EA426"/>
      <c r="EB426"/>
      <c r="EC426"/>
      <c r="ED426"/>
      <c r="EE426"/>
      <c r="EF426"/>
      <c r="EG426"/>
      <c r="EH426"/>
      <c r="EI426"/>
      <c r="EJ426"/>
      <c r="EK426"/>
      <c r="EL426"/>
      <c r="EM426"/>
      <c r="EN426"/>
      <c r="EO426"/>
      <c r="EP426"/>
      <c r="EQ426"/>
      <c r="ER426"/>
      <c r="ES426"/>
      <c r="ET426"/>
      <c r="EU426"/>
      <c r="EV426"/>
      <c r="EW426"/>
      <c r="EX426"/>
      <c r="EY426"/>
      <c r="EZ426"/>
      <c r="FA426"/>
      <c r="FB426"/>
      <c r="FC426"/>
      <c r="FD426"/>
      <c r="FE426"/>
      <c r="FF426"/>
      <c r="FG426"/>
      <c r="FH426"/>
      <c r="FI426"/>
      <c r="FJ426"/>
      <c r="FK426"/>
      <c r="FL426"/>
      <c r="FM426"/>
      <c r="FN426"/>
      <c r="FO426"/>
      <c r="FP426"/>
      <c r="FQ426"/>
      <c r="FR426"/>
      <c r="FS426"/>
      <c r="FT426"/>
      <c r="FU426"/>
      <c r="FV426"/>
      <c r="FW426"/>
      <c r="FX426"/>
      <c r="FY426"/>
      <c r="FZ426"/>
      <c r="GA426"/>
      <c r="GB426"/>
      <c r="GC426"/>
      <c r="GD426"/>
      <c r="GE426"/>
      <c r="GF426"/>
      <c r="GG426"/>
      <c r="GH426"/>
      <c r="GI426"/>
      <c r="GJ426"/>
      <c r="GK426"/>
      <c r="GL426"/>
      <c r="GM426"/>
      <c r="GN426"/>
      <c r="GO426"/>
      <c r="GP426"/>
      <c r="GQ426"/>
      <c r="GR426"/>
      <c r="GS426"/>
      <c r="GT426"/>
      <c r="GU426"/>
      <c r="GV426"/>
      <c r="GW426"/>
      <c r="GX426"/>
      <c r="GY426"/>
      <c r="GZ426"/>
      <c r="HA426"/>
    </row>
    <row r="427" spans="1:209" ht="15" customHeight="1" x14ac:dyDescent="0.15">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M427"/>
      <c r="CN427"/>
      <c r="CO427"/>
      <c r="CP427"/>
      <c r="CQ427"/>
      <c r="CR427"/>
      <c r="CS427"/>
      <c r="CT427"/>
      <c r="CU427"/>
      <c r="CV427"/>
      <c r="CW427"/>
      <c r="CX427"/>
      <c r="CY427"/>
      <c r="CZ427"/>
      <c r="DA427"/>
      <c r="DB427"/>
      <c r="DC427"/>
      <c r="DD427"/>
      <c r="DE427"/>
      <c r="DF427"/>
      <c r="DG427"/>
      <c r="DH427"/>
      <c r="DI427"/>
      <c r="DJ427"/>
      <c r="DK427"/>
      <c r="DL427"/>
      <c r="DM427"/>
      <c r="DN427"/>
      <c r="DO427"/>
      <c r="DP427"/>
      <c r="DQ427"/>
      <c r="DR427"/>
      <c r="DS427"/>
      <c r="DT427"/>
      <c r="DU427"/>
      <c r="DV427"/>
      <c r="DW427"/>
      <c r="DX427"/>
      <c r="DY427"/>
      <c r="DZ427"/>
      <c r="EA427"/>
      <c r="EB427"/>
      <c r="EC427"/>
      <c r="ED427"/>
      <c r="EE427"/>
      <c r="EF427"/>
      <c r="EG427"/>
      <c r="EH427"/>
      <c r="EI427"/>
      <c r="EJ427"/>
      <c r="EK427"/>
      <c r="EL427"/>
      <c r="EM427"/>
      <c r="EN427"/>
      <c r="EO427"/>
      <c r="EP427"/>
      <c r="EQ427"/>
      <c r="ER427"/>
      <c r="ES427"/>
      <c r="ET427"/>
      <c r="EU427"/>
      <c r="EV427"/>
      <c r="EW427"/>
      <c r="EX427"/>
      <c r="EY427"/>
      <c r="EZ427"/>
      <c r="FA427"/>
      <c r="FB427"/>
      <c r="FC427"/>
      <c r="FD427"/>
      <c r="FE427"/>
      <c r="FF427"/>
      <c r="FG427"/>
      <c r="FH427"/>
      <c r="FI427"/>
      <c r="FJ427"/>
      <c r="FK427"/>
      <c r="FL427"/>
      <c r="FM427"/>
      <c r="FN427"/>
      <c r="FO427"/>
      <c r="FP427"/>
      <c r="FQ427"/>
      <c r="FR427"/>
      <c r="FS427"/>
      <c r="FT427"/>
      <c r="FU427"/>
      <c r="FV427"/>
      <c r="FW427"/>
      <c r="FX427"/>
      <c r="FY427"/>
      <c r="FZ427"/>
      <c r="GA427"/>
      <c r="GB427"/>
      <c r="GC427"/>
      <c r="GD427"/>
      <c r="GE427"/>
      <c r="GF427"/>
      <c r="GG427"/>
      <c r="GH427"/>
      <c r="GI427"/>
      <c r="GJ427"/>
      <c r="GK427"/>
      <c r="GL427"/>
      <c r="GM427"/>
      <c r="GN427"/>
      <c r="GO427"/>
      <c r="GP427"/>
      <c r="GQ427"/>
      <c r="GR427"/>
      <c r="GS427"/>
      <c r="GT427"/>
      <c r="GU427"/>
      <c r="GV427"/>
      <c r="GW427"/>
      <c r="GX427"/>
      <c r="GY427"/>
      <c r="GZ427"/>
      <c r="HA427"/>
    </row>
    <row r="428" spans="1:209" ht="15" customHeight="1" x14ac:dyDescent="0.15">
      <c r="A428"/>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M428"/>
      <c r="CN428"/>
      <c r="CO428"/>
      <c r="CP428"/>
      <c r="CQ428"/>
      <c r="CR428"/>
      <c r="CS428"/>
      <c r="CT428"/>
      <c r="CU428"/>
      <c r="CV428"/>
      <c r="CW428"/>
      <c r="CX428"/>
      <c r="CY428"/>
      <c r="CZ428"/>
      <c r="DA428"/>
      <c r="DB428"/>
      <c r="DC428"/>
      <c r="DD428"/>
      <c r="DE428"/>
      <c r="DF428"/>
      <c r="DG428"/>
      <c r="DH428"/>
      <c r="DI428"/>
      <c r="DJ428"/>
      <c r="DK428"/>
      <c r="DL428"/>
      <c r="DM428"/>
      <c r="DN428"/>
      <c r="DO428"/>
      <c r="DP428"/>
      <c r="DQ428"/>
      <c r="DR428"/>
      <c r="DS428"/>
      <c r="DT428"/>
      <c r="DU428"/>
      <c r="DV428"/>
      <c r="DW428"/>
      <c r="DX428"/>
      <c r="DY428"/>
      <c r="DZ428"/>
      <c r="EA428"/>
      <c r="EB428"/>
      <c r="EC428"/>
      <c r="ED428"/>
      <c r="EE428"/>
      <c r="EF428"/>
      <c r="EG428"/>
      <c r="EH428"/>
      <c r="EI428"/>
      <c r="EJ428"/>
      <c r="EK428"/>
      <c r="EL428"/>
      <c r="EM428"/>
      <c r="EN428"/>
      <c r="EO428"/>
      <c r="EP428"/>
      <c r="EQ428"/>
      <c r="ER428"/>
      <c r="ES428"/>
      <c r="ET428"/>
      <c r="EU428"/>
      <c r="EV428"/>
      <c r="EW428"/>
      <c r="EX428"/>
      <c r="EY428"/>
      <c r="EZ428"/>
      <c r="FA428"/>
      <c r="FB428"/>
      <c r="FC428"/>
      <c r="FD428"/>
      <c r="FE428"/>
      <c r="FF428"/>
      <c r="FG428"/>
      <c r="FH428"/>
      <c r="FI428"/>
      <c r="FJ428"/>
      <c r="FK428"/>
      <c r="FL428"/>
      <c r="FM428"/>
      <c r="FN428"/>
      <c r="FO428"/>
      <c r="FP428"/>
      <c r="FQ428"/>
      <c r="FR428"/>
      <c r="FS428"/>
      <c r="FT428"/>
      <c r="FU428"/>
      <c r="FV428"/>
      <c r="FW428"/>
      <c r="FX428"/>
      <c r="FY428"/>
      <c r="FZ428"/>
      <c r="GA428"/>
      <c r="GB428"/>
      <c r="GC428"/>
      <c r="GD428"/>
      <c r="GE428"/>
      <c r="GF428"/>
      <c r="GG428"/>
      <c r="GH428"/>
      <c r="GI428"/>
      <c r="GJ428"/>
      <c r="GK428"/>
      <c r="GL428"/>
      <c r="GM428"/>
      <c r="GN428"/>
      <c r="GO428"/>
      <c r="GP428"/>
      <c r="GQ428"/>
      <c r="GR428"/>
      <c r="GS428"/>
      <c r="GT428"/>
      <c r="GU428"/>
      <c r="GV428"/>
      <c r="GW428"/>
      <c r="GX428"/>
      <c r="GY428"/>
      <c r="GZ428"/>
      <c r="HA428"/>
    </row>
    <row r="429" spans="1:209" ht="15" customHeight="1" x14ac:dyDescent="0.15">
      <c r="A429"/>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M429"/>
      <c r="CN429"/>
      <c r="CO429"/>
      <c r="CP429"/>
      <c r="CQ429"/>
      <c r="CR429"/>
      <c r="CS429"/>
      <c r="CT429"/>
      <c r="CU429"/>
      <c r="CV429"/>
      <c r="CW429"/>
      <c r="CX429"/>
      <c r="CY429"/>
      <c r="CZ429"/>
      <c r="DA429"/>
      <c r="DB429"/>
      <c r="DC429"/>
      <c r="DD429"/>
      <c r="DE429"/>
      <c r="DF429"/>
      <c r="DG429"/>
      <c r="DH429"/>
      <c r="DI429"/>
      <c r="DJ429"/>
      <c r="DK429"/>
      <c r="DL429"/>
      <c r="DM429"/>
      <c r="DN429"/>
      <c r="DO429"/>
      <c r="DP429"/>
      <c r="DQ429"/>
      <c r="DR429"/>
      <c r="DS429"/>
      <c r="DT429"/>
      <c r="DU429"/>
      <c r="DV429"/>
      <c r="DW429"/>
      <c r="DX429"/>
      <c r="DY429"/>
      <c r="DZ429"/>
      <c r="EA429"/>
      <c r="EB429"/>
      <c r="EC429"/>
      <c r="ED429"/>
      <c r="EE429"/>
      <c r="EF429"/>
      <c r="EG429"/>
      <c r="EH429"/>
      <c r="EI429"/>
      <c r="EJ429"/>
      <c r="EK429"/>
      <c r="EL429"/>
      <c r="EM429"/>
      <c r="EN429"/>
      <c r="EO429"/>
      <c r="EP429"/>
      <c r="EQ429"/>
      <c r="ER429"/>
      <c r="ES429"/>
      <c r="ET429"/>
      <c r="EU429"/>
      <c r="EV429"/>
      <c r="EW429"/>
      <c r="EX429"/>
      <c r="EY429"/>
      <c r="EZ429"/>
      <c r="FA429"/>
      <c r="FB429"/>
      <c r="FC429"/>
      <c r="FD429"/>
      <c r="FE429"/>
      <c r="FF429"/>
      <c r="FG429"/>
      <c r="FH429"/>
      <c r="FI429"/>
      <c r="FJ429"/>
      <c r="FK429"/>
      <c r="FL429"/>
      <c r="FM429"/>
      <c r="FN429"/>
      <c r="FO429"/>
      <c r="FP429"/>
      <c r="FQ429"/>
      <c r="FR429"/>
      <c r="FS429"/>
      <c r="FT429"/>
      <c r="FU429"/>
      <c r="FV429"/>
      <c r="FW429"/>
      <c r="FX429"/>
      <c r="FY429"/>
      <c r="FZ429"/>
      <c r="GA429"/>
      <c r="GB429"/>
      <c r="GC429"/>
      <c r="GD429"/>
      <c r="GE429"/>
      <c r="GF429"/>
      <c r="GG429"/>
      <c r="GH429"/>
      <c r="GI429"/>
      <c r="GJ429"/>
      <c r="GK429"/>
      <c r="GL429"/>
      <c r="GM429"/>
      <c r="GN429"/>
      <c r="GO429"/>
      <c r="GP429"/>
      <c r="GQ429"/>
      <c r="GR429"/>
      <c r="GS429"/>
      <c r="GT429"/>
      <c r="GU429"/>
      <c r="GV429"/>
      <c r="GW429"/>
      <c r="GX429"/>
      <c r="GY429"/>
      <c r="GZ429"/>
      <c r="HA429"/>
    </row>
    <row r="430" spans="1:209" ht="15" customHeight="1" x14ac:dyDescent="0.15">
      <c r="A430"/>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M430"/>
      <c r="CN430"/>
      <c r="CO430"/>
      <c r="CP430"/>
      <c r="CQ430"/>
      <c r="CR430"/>
      <c r="CS430"/>
      <c r="CT430"/>
      <c r="CU430"/>
      <c r="CV430"/>
      <c r="CW430"/>
      <c r="CX430"/>
      <c r="CY430"/>
      <c r="CZ430"/>
      <c r="DA430"/>
      <c r="DB430"/>
      <c r="DC430"/>
      <c r="DD430"/>
      <c r="DE430"/>
      <c r="DF430"/>
      <c r="DG430"/>
      <c r="DH430"/>
      <c r="DI430"/>
      <c r="DJ430"/>
      <c r="DK430"/>
      <c r="DL430"/>
      <c r="DM430"/>
      <c r="DN430"/>
      <c r="DO430"/>
      <c r="DP430"/>
      <c r="DQ430"/>
      <c r="DR430"/>
      <c r="DS430"/>
      <c r="DT430"/>
      <c r="DU430"/>
      <c r="DV430"/>
      <c r="DW430"/>
      <c r="DX430"/>
      <c r="DY430"/>
      <c r="DZ430"/>
      <c r="EA430"/>
      <c r="EB430"/>
      <c r="EC430"/>
      <c r="ED430"/>
      <c r="EE430"/>
      <c r="EF430"/>
      <c r="EG430"/>
      <c r="EH430"/>
      <c r="EI430"/>
      <c r="EJ430"/>
      <c r="EK430"/>
      <c r="EL430"/>
      <c r="EM430"/>
      <c r="EN430"/>
      <c r="EO430"/>
      <c r="EP430"/>
      <c r="EQ430"/>
      <c r="ER430"/>
      <c r="ES430"/>
      <c r="ET430"/>
      <c r="EU430"/>
      <c r="EV430"/>
      <c r="EW430"/>
      <c r="EX430"/>
      <c r="EY430"/>
      <c r="EZ430"/>
      <c r="FA430"/>
      <c r="FB430"/>
      <c r="FC430"/>
      <c r="FD430"/>
      <c r="FE430"/>
      <c r="FF430"/>
      <c r="FG430"/>
      <c r="FH430"/>
      <c r="FI430"/>
      <c r="FJ430"/>
      <c r="FK430"/>
      <c r="FL430"/>
      <c r="FM430"/>
      <c r="FN430"/>
      <c r="FO430"/>
      <c r="FP430"/>
      <c r="FQ430"/>
      <c r="FR430"/>
      <c r="FS430"/>
      <c r="FT430"/>
      <c r="FU430"/>
      <c r="FV430"/>
      <c r="FW430"/>
      <c r="FX430"/>
      <c r="FY430"/>
      <c r="FZ430"/>
      <c r="GA430"/>
      <c r="GB430"/>
      <c r="GC430"/>
      <c r="GD430"/>
      <c r="GE430"/>
      <c r="GF430"/>
      <c r="GG430"/>
      <c r="GH430"/>
      <c r="GI430"/>
      <c r="GJ430"/>
      <c r="GK430"/>
      <c r="GL430"/>
      <c r="GM430"/>
      <c r="GN430"/>
      <c r="GO430"/>
      <c r="GP430"/>
      <c r="GQ430"/>
      <c r="GR430"/>
      <c r="GS430"/>
      <c r="GT430"/>
      <c r="GU430"/>
      <c r="GV430"/>
      <c r="GW430"/>
      <c r="GX430"/>
      <c r="GY430"/>
      <c r="GZ430"/>
      <c r="HA430"/>
    </row>
    <row r="431" spans="1:209" ht="15" customHeight="1" x14ac:dyDescent="0.15">
      <c r="A431"/>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M431"/>
      <c r="CN431"/>
      <c r="CO431"/>
      <c r="CP431"/>
      <c r="CQ431"/>
      <c r="CR431"/>
      <c r="CS431"/>
      <c r="CT431"/>
      <c r="CU431"/>
      <c r="CV431"/>
      <c r="CW431"/>
      <c r="CX431"/>
      <c r="CY431"/>
      <c r="CZ431"/>
      <c r="DA431"/>
      <c r="DB431"/>
      <c r="DC431"/>
      <c r="DD431"/>
      <c r="DE431"/>
      <c r="DF431"/>
      <c r="DG431"/>
      <c r="DH431"/>
      <c r="DI431"/>
      <c r="DJ431"/>
      <c r="DK431"/>
      <c r="DL431"/>
      <c r="DM431"/>
      <c r="DN431"/>
      <c r="DO431"/>
      <c r="DP431"/>
      <c r="DQ431"/>
      <c r="DR431"/>
      <c r="DS431"/>
      <c r="DT431"/>
      <c r="DU431"/>
      <c r="DV431"/>
      <c r="DW431"/>
      <c r="DX431"/>
      <c r="DY431"/>
      <c r="DZ431"/>
      <c r="EA431"/>
      <c r="EB431"/>
      <c r="EC431"/>
      <c r="ED431"/>
      <c r="EE431"/>
      <c r="EF431"/>
      <c r="EG431"/>
      <c r="EH431"/>
      <c r="EI431"/>
      <c r="EJ431"/>
      <c r="EK431"/>
      <c r="EL431"/>
      <c r="EM431"/>
      <c r="EN431"/>
      <c r="EO431"/>
      <c r="EP431"/>
      <c r="EQ431"/>
      <c r="ER431"/>
      <c r="ES431"/>
      <c r="ET431"/>
      <c r="EU431"/>
      <c r="EV431"/>
      <c r="EW431"/>
      <c r="EX431"/>
      <c r="EY431"/>
      <c r="EZ431"/>
      <c r="FA431"/>
      <c r="FB431"/>
      <c r="FC431"/>
      <c r="FD431"/>
      <c r="FE431"/>
      <c r="FF431"/>
      <c r="FG431"/>
      <c r="FH431"/>
      <c r="FI431"/>
      <c r="FJ431"/>
      <c r="FK431"/>
      <c r="FL431"/>
      <c r="FM431"/>
      <c r="FN431"/>
      <c r="FO431"/>
      <c r="FP431"/>
      <c r="FQ431"/>
      <c r="FR431"/>
      <c r="FS431"/>
      <c r="FT431"/>
      <c r="FU431"/>
      <c r="FV431"/>
      <c r="FW431"/>
      <c r="FX431"/>
      <c r="FY431"/>
      <c r="FZ431"/>
      <c r="GA431"/>
      <c r="GB431"/>
      <c r="GC431"/>
      <c r="GD431"/>
      <c r="GE431"/>
      <c r="GF431"/>
      <c r="GG431"/>
      <c r="GH431"/>
      <c r="GI431"/>
      <c r="GJ431"/>
      <c r="GK431"/>
      <c r="GL431"/>
      <c r="GM431"/>
      <c r="GN431"/>
      <c r="GO431"/>
      <c r="GP431"/>
      <c r="GQ431"/>
      <c r="GR431"/>
      <c r="GS431"/>
      <c r="GT431"/>
      <c r="GU431"/>
      <c r="GV431"/>
      <c r="GW431"/>
      <c r="GX431"/>
      <c r="GY431"/>
      <c r="GZ431"/>
      <c r="HA431"/>
    </row>
    <row r="432" spans="1:209" ht="15" customHeight="1" x14ac:dyDescent="0.15">
      <c r="A432"/>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M432"/>
      <c r="CN432"/>
      <c r="CO432"/>
      <c r="CP432"/>
      <c r="CQ432"/>
      <c r="CR432"/>
      <c r="CS432"/>
      <c r="CT432"/>
      <c r="CU432"/>
      <c r="CV432"/>
      <c r="CW432"/>
      <c r="CX432"/>
      <c r="CY432"/>
      <c r="CZ432"/>
      <c r="DA432"/>
      <c r="DB432"/>
      <c r="DC432"/>
      <c r="DD432"/>
      <c r="DE432"/>
      <c r="DF432"/>
      <c r="DG432"/>
      <c r="DH432"/>
      <c r="DI432"/>
      <c r="DJ432"/>
      <c r="DK432"/>
      <c r="DL432"/>
      <c r="DM432"/>
      <c r="DN432"/>
      <c r="DO432"/>
      <c r="DP432"/>
      <c r="DQ432"/>
      <c r="DR432"/>
      <c r="DS432"/>
      <c r="DT432"/>
      <c r="DU432"/>
      <c r="DV432"/>
      <c r="DW432"/>
      <c r="DX432"/>
      <c r="DY432"/>
      <c r="DZ432"/>
      <c r="EA432"/>
      <c r="EB432"/>
      <c r="EC432"/>
      <c r="ED432"/>
      <c r="EE432"/>
      <c r="EF432"/>
      <c r="EG432"/>
      <c r="EH432"/>
      <c r="EI432"/>
      <c r="EJ432"/>
      <c r="EK432"/>
      <c r="EL432"/>
      <c r="EM432"/>
      <c r="EN432"/>
      <c r="EO432"/>
      <c r="EP432"/>
      <c r="EQ432"/>
      <c r="ER432"/>
      <c r="ES432"/>
      <c r="ET432"/>
      <c r="EU432"/>
      <c r="EV432"/>
      <c r="EW432"/>
      <c r="EX432"/>
      <c r="EY432"/>
      <c r="EZ432"/>
      <c r="FA432"/>
      <c r="FB432"/>
      <c r="FC432"/>
      <c r="FD432"/>
      <c r="FE432"/>
      <c r="FF432"/>
      <c r="FG432"/>
      <c r="FH432"/>
      <c r="FI432"/>
      <c r="FJ432"/>
      <c r="FK432"/>
      <c r="FL432"/>
      <c r="FM432"/>
      <c r="FN432"/>
      <c r="FO432"/>
      <c r="FP432"/>
      <c r="FQ432"/>
      <c r="FR432"/>
      <c r="FS432"/>
      <c r="FT432"/>
      <c r="FU432"/>
      <c r="FV432"/>
      <c r="FW432"/>
      <c r="FX432"/>
      <c r="FY432"/>
      <c r="FZ432"/>
      <c r="GA432"/>
      <c r="GB432"/>
      <c r="GC432"/>
      <c r="GD432"/>
      <c r="GE432"/>
      <c r="GF432"/>
      <c r="GG432"/>
      <c r="GH432"/>
      <c r="GI432"/>
      <c r="GJ432"/>
      <c r="GK432"/>
      <c r="GL432"/>
      <c r="GM432"/>
      <c r="GN432"/>
      <c r="GO432"/>
      <c r="GP432"/>
      <c r="GQ432"/>
      <c r="GR432"/>
      <c r="GS432"/>
      <c r="GT432"/>
      <c r="GU432"/>
      <c r="GV432"/>
      <c r="GW432"/>
      <c r="GX432"/>
      <c r="GY432"/>
      <c r="GZ432"/>
      <c r="HA432"/>
    </row>
    <row r="433" spans="1:209" ht="15" customHeight="1" x14ac:dyDescent="0.15">
      <c r="A433"/>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M433"/>
      <c r="CN433"/>
      <c r="CO433"/>
      <c r="CP433"/>
      <c r="CQ433"/>
      <c r="CR433"/>
      <c r="CS433"/>
      <c r="CT433"/>
      <c r="CU433"/>
      <c r="CV433"/>
      <c r="CW433"/>
      <c r="CX433"/>
      <c r="CY433"/>
      <c r="CZ433"/>
      <c r="DA433"/>
      <c r="DB433"/>
      <c r="DC433"/>
      <c r="DD433"/>
      <c r="DE433"/>
      <c r="DF433"/>
      <c r="DG433"/>
      <c r="DH433"/>
      <c r="DI433"/>
      <c r="DJ433"/>
      <c r="DK433"/>
      <c r="DL433"/>
      <c r="DM433"/>
      <c r="DN433"/>
      <c r="DO433"/>
      <c r="DP433"/>
      <c r="DQ433"/>
      <c r="DR433"/>
      <c r="DS433"/>
      <c r="DT433"/>
      <c r="DU433"/>
      <c r="DV433"/>
      <c r="DW433"/>
      <c r="DX433"/>
      <c r="DY433"/>
      <c r="DZ433"/>
      <c r="EA433"/>
      <c r="EB433"/>
      <c r="EC433"/>
      <c r="ED433"/>
      <c r="EE433"/>
      <c r="EF433"/>
      <c r="EG433"/>
      <c r="EH433"/>
      <c r="EI433"/>
      <c r="EJ433"/>
      <c r="EK433"/>
      <c r="EL433"/>
      <c r="EM433"/>
      <c r="EN433"/>
      <c r="EO433"/>
      <c r="EP433"/>
      <c r="EQ433"/>
      <c r="ER433"/>
      <c r="ES433"/>
      <c r="ET433"/>
      <c r="EU433"/>
      <c r="EV433"/>
      <c r="EW433"/>
      <c r="EX433"/>
      <c r="EY433"/>
      <c r="EZ433"/>
      <c r="FA433"/>
      <c r="FB433"/>
      <c r="FC433"/>
      <c r="FD433"/>
      <c r="FE433"/>
      <c r="FF433"/>
      <c r="FG433"/>
      <c r="FH433"/>
      <c r="FI433"/>
      <c r="FJ433"/>
      <c r="FK433"/>
      <c r="FL433"/>
      <c r="FM433"/>
      <c r="FN433"/>
      <c r="FO433"/>
      <c r="FP433"/>
      <c r="FQ433"/>
      <c r="FR433"/>
      <c r="FS433"/>
      <c r="FT433"/>
      <c r="FU433"/>
      <c r="FV433"/>
      <c r="FW433"/>
      <c r="FX433"/>
      <c r="FY433"/>
      <c r="FZ433"/>
      <c r="GA433"/>
      <c r="GB433"/>
      <c r="GC433"/>
      <c r="GD433"/>
      <c r="GE433"/>
      <c r="GF433"/>
      <c r="GG433"/>
      <c r="GH433"/>
      <c r="GI433"/>
      <c r="GJ433"/>
      <c r="GK433"/>
      <c r="GL433"/>
      <c r="GM433"/>
      <c r="GN433"/>
      <c r="GO433"/>
      <c r="GP433"/>
      <c r="GQ433"/>
      <c r="GR433"/>
      <c r="GS433"/>
      <c r="GT433"/>
      <c r="GU433"/>
      <c r="GV433"/>
      <c r="GW433"/>
      <c r="GX433"/>
      <c r="GY433"/>
      <c r="GZ433"/>
      <c r="HA433"/>
    </row>
    <row r="434" spans="1:209" ht="15" customHeight="1" x14ac:dyDescent="0.15">
      <c r="A434"/>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M434"/>
      <c r="CN434"/>
      <c r="CO434"/>
      <c r="CP434"/>
      <c r="CQ434"/>
      <c r="CR434"/>
      <c r="CS434"/>
      <c r="CT434"/>
      <c r="CU434"/>
      <c r="CV434"/>
      <c r="CW434"/>
      <c r="CX434"/>
      <c r="CY434"/>
      <c r="CZ434"/>
      <c r="DA434"/>
      <c r="DB434"/>
      <c r="DC434"/>
      <c r="DD434"/>
      <c r="DE434"/>
      <c r="DF434"/>
      <c r="DG434"/>
      <c r="DH434"/>
      <c r="DI434"/>
      <c r="DJ434"/>
      <c r="DK434"/>
      <c r="DL434"/>
      <c r="DM434"/>
      <c r="DN434"/>
      <c r="DO434"/>
      <c r="DP434"/>
      <c r="DQ434"/>
      <c r="DR434"/>
      <c r="DS434"/>
      <c r="DT434"/>
      <c r="DU434"/>
      <c r="DV434"/>
      <c r="DW434"/>
      <c r="DX434"/>
      <c r="DY434"/>
      <c r="DZ434"/>
      <c r="EA434"/>
      <c r="EB434"/>
      <c r="EC434"/>
      <c r="ED434"/>
      <c r="EE434"/>
      <c r="EF434"/>
      <c r="EG434"/>
      <c r="EH434"/>
      <c r="EI434"/>
      <c r="EJ434"/>
      <c r="EK434"/>
      <c r="EL434"/>
      <c r="EM434"/>
      <c r="EN434"/>
      <c r="EO434"/>
      <c r="EP434"/>
      <c r="EQ434"/>
      <c r="ER434"/>
      <c r="ES434"/>
      <c r="ET434"/>
      <c r="EU434"/>
      <c r="EV434"/>
      <c r="EW434"/>
      <c r="EX434"/>
      <c r="EY434"/>
      <c r="EZ434"/>
      <c r="FA434"/>
      <c r="FB434"/>
      <c r="FC434"/>
      <c r="FD434"/>
      <c r="FE434"/>
      <c r="FF434"/>
      <c r="FG434"/>
      <c r="FH434"/>
      <c r="FI434"/>
      <c r="FJ434"/>
      <c r="FK434"/>
      <c r="FL434"/>
      <c r="FM434"/>
      <c r="FN434"/>
      <c r="FO434"/>
      <c r="FP434"/>
      <c r="FQ434"/>
      <c r="FR434"/>
      <c r="FS434"/>
      <c r="FT434"/>
      <c r="FU434"/>
      <c r="FV434"/>
      <c r="FW434"/>
      <c r="FX434"/>
      <c r="FY434"/>
      <c r="FZ434"/>
      <c r="GA434"/>
      <c r="GB434"/>
      <c r="GC434"/>
      <c r="GD434"/>
      <c r="GE434"/>
      <c r="GF434"/>
      <c r="GG434"/>
      <c r="GH434"/>
      <c r="GI434"/>
      <c r="GJ434"/>
      <c r="GK434"/>
      <c r="GL434"/>
      <c r="GM434"/>
      <c r="GN434"/>
      <c r="GO434"/>
      <c r="GP434"/>
      <c r="GQ434"/>
      <c r="GR434"/>
      <c r="GS434"/>
      <c r="GT434"/>
      <c r="GU434"/>
      <c r="GV434"/>
      <c r="GW434"/>
      <c r="GX434"/>
      <c r="GY434"/>
      <c r="GZ434"/>
      <c r="HA434"/>
    </row>
    <row r="435" spans="1:209" ht="15" customHeight="1" x14ac:dyDescent="0.15">
      <c r="A43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M435"/>
      <c r="CN435"/>
      <c r="CO435"/>
      <c r="CP435"/>
      <c r="CQ435"/>
      <c r="CR435"/>
      <c r="CS435"/>
      <c r="CT435"/>
      <c r="CU435"/>
      <c r="CV435"/>
      <c r="CW435"/>
      <c r="CX435"/>
      <c r="CY435"/>
      <c r="CZ435"/>
      <c r="DA435"/>
      <c r="DB435"/>
      <c r="DC435"/>
      <c r="DD435"/>
      <c r="DE435"/>
      <c r="DF435"/>
      <c r="DG435"/>
      <c r="DH435"/>
      <c r="DI435"/>
      <c r="DJ435"/>
      <c r="DK435"/>
      <c r="DL435"/>
      <c r="DM435"/>
      <c r="DN435"/>
      <c r="DO435"/>
      <c r="DP435"/>
      <c r="DQ435"/>
      <c r="DR435"/>
      <c r="DS435"/>
      <c r="DT435"/>
      <c r="DU435"/>
      <c r="DV435"/>
      <c r="DW435"/>
      <c r="DX435"/>
      <c r="DY435"/>
      <c r="DZ435"/>
      <c r="EA435"/>
      <c r="EB435"/>
      <c r="EC435"/>
      <c r="ED435"/>
      <c r="EE435"/>
      <c r="EF435"/>
      <c r="EG435"/>
      <c r="EH435"/>
      <c r="EI435"/>
      <c r="EJ435"/>
      <c r="EK435"/>
      <c r="EL435"/>
      <c r="EM435"/>
      <c r="EN435"/>
      <c r="EO435"/>
      <c r="EP435"/>
      <c r="EQ435"/>
      <c r="ER435"/>
      <c r="ES435"/>
      <c r="ET435"/>
      <c r="EU435"/>
      <c r="EV435"/>
      <c r="EW435"/>
      <c r="EX435"/>
      <c r="EY435"/>
      <c r="EZ435"/>
      <c r="FA435"/>
      <c r="FB435"/>
      <c r="FC435"/>
      <c r="FD435"/>
      <c r="FE435"/>
      <c r="FF435"/>
      <c r="FG435"/>
      <c r="FH435"/>
      <c r="FI435"/>
      <c r="FJ435"/>
      <c r="FK435"/>
      <c r="FL435"/>
      <c r="FM435"/>
      <c r="FN435"/>
      <c r="FO435"/>
      <c r="FP435"/>
      <c r="FQ435"/>
      <c r="FR435"/>
      <c r="FS435"/>
      <c r="FT435"/>
      <c r="FU435"/>
      <c r="FV435"/>
      <c r="FW435"/>
      <c r="FX435"/>
      <c r="FY435"/>
      <c r="FZ435"/>
      <c r="GA435"/>
      <c r="GB435"/>
      <c r="GC435"/>
      <c r="GD435"/>
      <c r="GE435"/>
      <c r="GF435"/>
      <c r="GG435"/>
      <c r="GH435"/>
      <c r="GI435"/>
      <c r="GJ435"/>
      <c r="GK435"/>
      <c r="GL435"/>
      <c r="GM435"/>
      <c r="GN435"/>
      <c r="GO435"/>
      <c r="GP435"/>
      <c r="GQ435"/>
      <c r="GR435"/>
      <c r="GS435"/>
      <c r="GT435"/>
      <c r="GU435"/>
      <c r="GV435"/>
      <c r="GW435"/>
      <c r="GX435"/>
      <c r="GY435"/>
      <c r="GZ435"/>
      <c r="HA435"/>
    </row>
    <row r="436" spans="1:209" ht="15" customHeight="1" x14ac:dyDescent="0.15">
      <c r="A436"/>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M436"/>
      <c r="CN436"/>
      <c r="CO436"/>
      <c r="CP436"/>
      <c r="CQ436"/>
      <c r="CR436"/>
      <c r="CS436"/>
      <c r="CT436"/>
      <c r="CU436"/>
      <c r="CV436"/>
      <c r="CW436"/>
      <c r="CX436"/>
      <c r="CY436"/>
      <c r="CZ436"/>
      <c r="DA436"/>
      <c r="DB436"/>
      <c r="DC436"/>
      <c r="DD436"/>
      <c r="DE436"/>
      <c r="DF436"/>
      <c r="DG436"/>
      <c r="DH436"/>
      <c r="DI436"/>
      <c r="DJ436"/>
      <c r="DK436"/>
      <c r="DL436"/>
      <c r="DM436"/>
      <c r="DN436"/>
      <c r="DO436"/>
      <c r="DP436"/>
      <c r="DQ436"/>
      <c r="DR436"/>
      <c r="DS436"/>
      <c r="DT436"/>
      <c r="DU436"/>
      <c r="DV436"/>
      <c r="DW436"/>
      <c r="DX436"/>
      <c r="DY436"/>
      <c r="DZ436"/>
      <c r="EA436"/>
      <c r="EB436"/>
      <c r="EC436"/>
      <c r="ED436"/>
      <c r="EE436"/>
      <c r="EF436"/>
      <c r="EG436"/>
      <c r="EH436"/>
      <c r="EI436"/>
      <c r="EJ436"/>
      <c r="EK436"/>
      <c r="EL436"/>
      <c r="EM436"/>
      <c r="EN436"/>
      <c r="EO436"/>
      <c r="EP436"/>
      <c r="EQ436"/>
      <c r="ER436"/>
      <c r="ES436"/>
      <c r="ET436"/>
      <c r="EU436"/>
      <c r="EV436"/>
      <c r="EW436"/>
      <c r="EX436"/>
      <c r="EY436"/>
      <c r="EZ436"/>
      <c r="FA436"/>
      <c r="FB436"/>
      <c r="FC436"/>
      <c r="FD436"/>
      <c r="FE436"/>
      <c r="FF436"/>
      <c r="FG436"/>
      <c r="FH436"/>
      <c r="FI436"/>
      <c r="FJ436"/>
      <c r="FK436"/>
      <c r="FL436"/>
      <c r="FM436"/>
      <c r="FN436"/>
      <c r="FO436"/>
      <c r="FP436"/>
      <c r="FQ436"/>
      <c r="FR436"/>
      <c r="FS436"/>
      <c r="FT436"/>
      <c r="FU436"/>
      <c r="FV436"/>
      <c r="FW436"/>
      <c r="FX436"/>
      <c r="FY436"/>
      <c r="FZ436"/>
      <c r="GA436"/>
      <c r="GB436"/>
      <c r="GC436"/>
      <c r="GD436"/>
      <c r="GE436"/>
      <c r="GF436"/>
      <c r="GG436"/>
      <c r="GH436"/>
      <c r="GI436"/>
      <c r="GJ436"/>
      <c r="GK436"/>
      <c r="GL436"/>
      <c r="GM436"/>
      <c r="GN436"/>
      <c r="GO436"/>
      <c r="GP436"/>
      <c r="GQ436"/>
      <c r="GR436"/>
      <c r="GS436"/>
      <c r="GT436"/>
      <c r="GU436"/>
      <c r="GV436"/>
      <c r="GW436"/>
      <c r="GX436"/>
      <c r="GY436"/>
      <c r="GZ436"/>
      <c r="HA436"/>
    </row>
    <row r="437" spans="1:209" ht="15" customHeight="1" x14ac:dyDescent="0.15">
      <c r="A437"/>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M437"/>
      <c r="CN437"/>
      <c r="CO437"/>
      <c r="CP437"/>
      <c r="CQ437"/>
      <c r="CR437"/>
      <c r="CS437"/>
      <c r="CT437"/>
      <c r="CU437"/>
      <c r="CV437"/>
      <c r="CW437"/>
      <c r="CX437"/>
      <c r="CY437"/>
      <c r="CZ437"/>
      <c r="DA437"/>
      <c r="DB437"/>
      <c r="DC437"/>
      <c r="DD437"/>
      <c r="DE437"/>
      <c r="DF437"/>
      <c r="DG437"/>
      <c r="DH437"/>
      <c r="DI437"/>
      <c r="DJ437"/>
      <c r="DK437"/>
      <c r="DL437"/>
      <c r="DM437"/>
      <c r="DN437"/>
      <c r="DO437"/>
      <c r="DP437"/>
      <c r="DQ437"/>
      <c r="DR437"/>
      <c r="DS437"/>
      <c r="DT437"/>
      <c r="DU437"/>
      <c r="DV437"/>
      <c r="DW437"/>
      <c r="DX437"/>
      <c r="DY437"/>
      <c r="DZ437"/>
      <c r="EA437"/>
      <c r="EB437"/>
      <c r="EC437"/>
      <c r="ED437"/>
      <c r="EE437"/>
      <c r="EF437"/>
      <c r="EG437"/>
      <c r="EH437"/>
      <c r="EI437"/>
      <c r="EJ437"/>
      <c r="EK437"/>
      <c r="EL437"/>
      <c r="EM437"/>
      <c r="EN437"/>
      <c r="EO437"/>
      <c r="EP437"/>
      <c r="EQ437"/>
      <c r="ER437"/>
      <c r="ES437"/>
      <c r="ET437"/>
      <c r="EU437"/>
      <c r="EV437"/>
      <c r="EW437"/>
      <c r="EX437"/>
      <c r="EY437"/>
      <c r="EZ437"/>
      <c r="FA437"/>
      <c r="FB437"/>
      <c r="FC437"/>
      <c r="FD437"/>
      <c r="FE437"/>
      <c r="FF437"/>
      <c r="FG437"/>
      <c r="FH437"/>
      <c r="FI437"/>
      <c r="FJ437"/>
      <c r="FK437"/>
      <c r="FL437"/>
      <c r="FM437"/>
      <c r="FN437"/>
      <c r="FO437"/>
      <c r="FP437"/>
      <c r="FQ437"/>
      <c r="FR437"/>
      <c r="FS437"/>
      <c r="FT437"/>
      <c r="FU437"/>
      <c r="FV437"/>
      <c r="FW437"/>
      <c r="FX437"/>
      <c r="FY437"/>
      <c r="FZ437"/>
      <c r="GA437"/>
      <c r="GB437"/>
      <c r="GC437"/>
      <c r="GD437"/>
      <c r="GE437"/>
      <c r="GF437"/>
      <c r="GG437"/>
      <c r="GH437"/>
      <c r="GI437"/>
      <c r="GJ437"/>
      <c r="GK437"/>
      <c r="GL437"/>
      <c r="GM437"/>
      <c r="GN437"/>
      <c r="GO437"/>
      <c r="GP437"/>
      <c r="GQ437"/>
      <c r="GR437"/>
      <c r="GS437"/>
      <c r="GT437"/>
      <c r="GU437"/>
      <c r="GV437"/>
      <c r="GW437"/>
      <c r="GX437"/>
      <c r="GY437"/>
      <c r="GZ437"/>
      <c r="HA437"/>
    </row>
    <row r="438" spans="1:209" ht="15" customHeight="1" x14ac:dyDescent="0.15">
      <c r="A438"/>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M438"/>
      <c r="CN438"/>
      <c r="CO438"/>
      <c r="CP438"/>
      <c r="CQ438"/>
      <c r="CR438"/>
      <c r="CS438"/>
      <c r="CT438"/>
      <c r="CU438"/>
      <c r="CV438"/>
      <c r="CW438"/>
      <c r="CX438"/>
      <c r="CY438"/>
      <c r="CZ438"/>
      <c r="DA438"/>
      <c r="DB438"/>
      <c r="DC438"/>
      <c r="DD438"/>
      <c r="DE438"/>
      <c r="DF438"/>
      <c r="DG438"/>
      <c r="DH438"/>
      <c r="DI438"/>
      <c r="DJ438"/>
      <c r="DK438"/>
      <c r="DL438"/>
      <c r="DM438"/>
      <c r="DN438"/>
      <c r="DO438"/>
      <c r="DP438"/>
      <c r="DQ438"/>
      <c r="DR438"/>
      <c r="DS438"/>
      <c r="DT438"/>
      <c r="DU438"/>
      <c r="DV438"/>
      <c r="DW438"/>
      <c r="DX438"/>
      <c r="DY438"/>
      <c r="DZ438"/>
      <c r="EA438"/>
      <c r="EB438"/>
      <c r="EC438"/>
      <c r="ED438"/>
      <c r="EE438"/>
      <c r="EF438"/>
      <c r="EG438"/>
      <c r="EH438"/>
      <c r="EI438"/>
      <c r="EJ438"/>
      <c r="EK438"/>
      <c r="EL438"/>
      <c r="EM438"/>
      <c r="EN438"/>
      <c r="EO438"/>
      <c r="EP438"/>
      <c r="EQ438"/>
      <c r="ER438"/>
      <c r="ES438"/>
      <c r="ET438"/>
      <c r="EU438"/>
      <c r="EV438"/>
      <c r="EW438"/>
      <c r="EX438"/>
      <c r="EY438"/>
      <c r="EZ438"/>
      <c r="FA438"/>
      <c r="FB438"/>
      <c r="FC438"/>
      <c r="FD438"/>
      <c r="FE438"/>
      <c r="FF438"/>
      <c r="FG438"/>
      <c r="FH438"/>
      <c r="FI438"/>
      <c r="FJ438"/>
      <c r="FK438"/>
      <c r="FL438"/>
      <c r="FM438"/>
      <c r="FN438"/>
      <c r="FO438"/>
      <c r="FP438"/>
      <c r="FQ438"/>
      <c r="FR438"/>
      <c r="FS438"/>
      <c r="FT438"/>
      <c r="FU438"/>
      <c r="FV438"/>
      <c r="FW438"/>
      <c r="FX438"/>
      <c r="FY438"/>
      <c r="FZ438"/>
      <c r="GA438"/>
      <c r="GB438"/>
      <c r="GC438"/>
      <c r="GD438"/>
      <c r="GE438"/>
      <c r="GF438"/>
      <c r="GG438"/>
      <c r="GH438"/>
      <c r="GI438"/>
      <c r="GJ438"/>
      <c r="GK438"/>
      <c r="GL438"/>
      <c r="GM438"/>
      <c r="GN438"/>
      <c r="GO438"/>
      <c r="GP438"/>
      <c r="GQ438"/>
      <c r="GR438"/>
      <c r="GS438"/>
      <c r="GT438"/>
      <c r="GU438"/>
      <c r="GV438"/>
      <c r="GW438"/>
      <c r="GX438"/>
      <c r="GY438"/>
      <c r="GZ438"/>
      <c r="HA438"/>
    </row>
    <row r="439" spans="1:209" ht="15" customHeight="1" x14ac:dyDescent="0.15">
      <c r="A439"/>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M439"/>
      <c r="CN439"/>
      <c r="CO439"/>
      <c r="CP439"/>
      <c r="CQ439"/>
      <c r="CR439"/>
      <c r="CS439"/>
      <c r="CT439"/>
      <c r="CU439"/>
      <c r="CV439"/>
      <c r="CW439"/>
      <c r="CX439"/>
      <c r="CY439"/>
      <c r="CZ439"/>
      <c r="DA439"/>
      <c r="DB439"/>
      <c r="DC439"/>
      <c r="DD439"/>
      <c r="DE439"/>
      <c r="DF439"/>
      <c r="DG439"/>
      <c r="DH439"/>
      <c r="DI439"/>
      <c r="DJ439"/>
      <c r="DK439"/>
      <c r="DL439"/>
      <c r="DM439"/>
      <c r="DN439"/>
      <c r="DO439"/>
      <c r="DP439"/>
      <c r="DQ439"/>
      <c r="DR439"/>
      <c r="DS439"/>
      <c r="DT439"/>
      <c r="DU439"/>
      <c r="DV439"/>
      <c r="DW439"/>
      <c r="DX439"/>
      <c r="DY439"/>
      <c r="DZ439"/>
      <c r="EA439"/>
      <c r="EB439"/>
      <c r="EC439"/>
      <c r="ED439"/>
      <c r="EE439"/>
      <c r="EF439"/>
      <c r="EG439"/>
      <c r="EH439"/>
      <c r="EI439"/>
      <c r="EJ439"/>
      <c r="EK439"/>
      <c r="EL439"/>
      <c r="EM439"/>
      <c r="EN439"/>
      <c r="EO439"/>
      <c r="EP439"/>
      <c r="EQ439"/>
      <c r="ER439"/>
      <c r="ES439"/>
      <c r="ET439"/>
      <c r="EU439"/>
      <c r="EV439"/>
      <c r="EW439"/>
      <c r="EX439"/>
      <c r="EY439"/>
      <c r="EZ439"/>
      <c r="FA439"/>
      <c r="FB439"/>
      <c r="FC439"/>
      <c r="FD439"/>
      <c r="FE439"/>
      <c r="FF439"/>
      <c r="FG439"/>
      <c r="FH439"/>
      <c r="FI439"/>
      <c r="FJ439"/>
      <c r="FK439"/>
      <c r="FL439"/>
      <c r="FM439"/>
      <c r="FN439"/>
      <c r="FO439"/>
      <c r="FP439"/>
      <c r="FQ439"/>
      <c r="FR439"/>
      <c r="FS439"/>
      <c r="FT439"/>
      <c r="FU439"/>
      <c r="FV439"/>
      <c r="FW439"/>
      <c r="FX439"/>
      <c r="FY439"/>
      <c r="FZ439"/>
      <c r="GA439"/>
      <c r="GB439"/>
      <c r="GC439"/>
      <c r="GD439"/>
      <c r="GE439"/>
      <c r="GF439"/>
      <c r="GG439"/>
      <c r="GH439"/>
      <c r="GI439"/>
      <c r="GJ439"/>
      <c r="GK439"/>
      <c r="GL439"/>
      <c r="GM439"/>
      <c r="GN439"/>
      <c r="GO439"/>
      <c r="GP439"/>
      <c r="GQ439"/>
      <c r="GR439"/>
      <c r="GS439"/>
      <c r="GT439"/>
      <c r="GU439"/>
      <c r="GV439"/>
      <c r="GW439"/>
      <c r="GX439"/>
      <c r="GY439"/>
      <c r="GZ439"/>
      <c r="HA439"/>
    </row>
    <row r="440" spans="1:209" ht="15" customHeight="1" x14ac:dyDescent="0.15">
      <c r="A440"/>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M440"/>
      <c r="CN440"/>
      <c r="CO440"/>
      <c r="CP440"/>
      <c r="CQ440"/>
      <c r="CR440"/>
      <c r="CS440"/>
      <c r="CT440"/>
      <c r="CU440"/>
      <c r="CV440"/>
      <c r="CW440"/>
      <c r="CX440"/>
      <c r="CY440"/>
      <c r="CZ440"/>
      <c r="DA440"/>
      <c r="DB440"/>
      <c r="DC440"/>
      <c r="DD440"/>
      <c r="DE440"/>
      <c r="DF440"/>
      <c r="DG440"/>
      <c r="DH440"/>
      <c r="DI440"/>
      <c r="DJ440"/>
      <c r="DK440"/>
      <c r="DL440"/>
      <c r="DM440"/>
      <c r="DN440"/>
      <c r="DO440"/>
      <c r="DP440"/>
      <c r="DQ440"/>
      <c r="DR440"/>
      <c r="DS440"/>
      <c r="DT440"/>
      <c r="DU440"/>
      <c r="DV440"/>
      <c r="DW440"/>
      <c r="DX440"/>
      <c r="DY440"/>
      <c r="DZ440"/>
      <c r="EA440"/>
      <c r="EB440"/>
      <c r="EC440"/>
      <c r="ED440"/>
      <c r="EE440"/>
      <c r="EF440"/>
      <c r="EG440"/>
      <c r="EH440"/>
      <c r="EI440"/>
      <c r="EJ440"/>
      <c r="EK440"/>
      <c r="EL440"/>
      <c r="EM440"/>
      <c r="EN440"/>
      <c r="EO440"/>
      <c r="EP440"/>
      <c r="EQ440"/>
      <c r="ER440"/>
      <c r="ES440"/>
      <c r="ET440"/>
      <c r="EU440"/>
      <c r="EV440"/>
      <c r="EW440"/>
      <c r="EX440"/>
      <c r="EY440"/>
      <c r="EZ440"/>
      <c r="FA440"/>
      <c r="FB440"/>
      <c r="FC440"/>
      <c r="FD440"/>
      <c r="FE440"/>
      <c r="FF440"/>
      <c r="FG440"/>
      <c r="FH440"/>
      <c r="FI440"/>
      <c r="FJ440"/>
      <c r="FK440"/>
      <c r="FL440"/>
      <c r="FM440"/>
      <c r="FN440"/>
      <c r="FO440"/>
      <c r="FP440"/>
      <c r="FQ440"/>
      <c r="FR440"/>
      <c r="FS440"/>
      <c r="FT440"/>
      <c r="FU440"/>
      <c r="FV440"/>
      <c r="FW440"/>
      <c r="FX440"/>
      <c r="FY440"/>
      <c r="FZ440"/>
      <c r="GA440"/>
      <c r="GB440"/>
      <c r="GC440"/>
      <c r="GD440"/>
      <c r="GE440"/>
      <c r="GF440"/>
      <c r="GG440"/>
      <c r="GH440"/>
      <c r="GI440"/>
      <c r="GJ440"/>
      <c r="GK440"/>
      <c r="GL440"/>
      <c r="GM440"/>
      <c r="GN440"/>
      <c r="GO440"/>
      <c r="GP440"/>
      <c r="GQ440"/>
      <c r="GR440"/>
      <c r="GS440"/>
      <c r="GT440"/>
      <c r="GU440"/>
      <c r="GV440"/>
      <c r="GW440"/>
      <c r="GX440"/>
      <c r="GY440"/>
      <c r="GZ440"/>
      <c r="HA440"/>
    </row>
    <row r="441" spans="1:209" ht="15" customHeight="1" x14ac:dyDescent="0.15">
      <c r="A441"/>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M441"/>
      <c r="CN441"/>
      <c r="CO441"/>
      <c r="CP441"/>
      <c r="CQ441"/>
      <c r="CR441"/>
      <c r="CS441"/>
      <c r="CT441"/>
      <c r="CU441"/>
      <c r="CV441"/>
      <c r="CW441"/>
      <c r="CX441"/>
      <c r="CY441"/>
      <c r="CZ441"/>
      <c r="DA441"/>
      <c r="DB441"/>
      <c r="DC441"/>
      <c r="DD441"/>
      <c r="DE441"/>
      <c r="DF441"/>
      <c r="DG441"/>
      <c r="DH441"/>
      <c r="DI441"/>
      <c r="DJ441"/>
      <c r="DK441"/>
      <c r="DL441"/>
      <c r="DM441"/>
      <c r="DN441"/>
      <c r="DO441"/>
      <c r="DP441"/>
      <c r="DQ441"/>
      <c r="DR441"/>
      <c r="DS441"/>
      <c r="DT441"/>
      <c r="DU441"/>
      <c r="DV441"/>
      <c r="DW441"/>
      <c r="DX441"/>
      <c r="DY441"/>
      <c r="DZ441"/>
      <c r="EA441"/>
      <c r="EB441"/>
      <c r="EC441"/>
      <c r="ED441"/>
      <c r="EE441"/>
      <c r="EF441"/>
      <c r="EG441"/>
      <c r="EH441"/>
      <c r="EI441"/>
      <c r="EJ441"/>
      <c r="EK441"/>
      <c r="EL441"/>
      <c r="EM441"/>
      <c r="EN441"/>
      <c r="EO441"/>
      <c r="EP441"/>
      <c r="EQ441"/>
      <c r="ER441"/>
      <c r="ES441"/>
      <c r="ET441"/>
      <c r="EU441"/>
      <c r="EV441"/>
      <c r="EW441"/>
      <c r="EX441"/>
      <c r="EY441"/>
      <c r="EZ441"/>
      <c r="FA441"/>
      <c r="FB441"/>
      <c r="FC441"/>
      <c r="FD441"/>
      <c r="FE441"/>
      <c r="FF441"/>
      <c r="FG441"/>
      <c r="FH441"/>
      <c r="FI441"/>
      <c r="FJ441"/>
      <c r="FK441"/>
      <c r="FL441"/>
      <c r="FM441"/>
      <c r="FN441"/>
      <c r="FO441"/>
      <c r="FP441"/>
      <c r="FQ441"/>
      <c r="FR441"/>
      <c r="FS441"/>
      <c r="FT441"/>
      <c r="FU441"/>
      <c r="FV441"/>
      <c r="FW441"/>
      <c r="FX441"/>
      <c r="FY441"/>
      <c r="FZ441"/>
      <c r="GA441"/>
      <c r="GB441"/>
      <c r="GC441"/>
      <c r="GD441"/>
      <c r="GE441"/>
      <c r="GF441"/>
      <c r="GG441"/>
      <c r="GH441"/>
      <c r="GI441"/>
      <c r="GJ441"/>
      <c r="GK441"/>
      <c r="GL441"/>
      <c r="GM441"/>
      <c r="GN441"/>
      <c r="GO441"/>
      <c r="GP441"/>
      <c r="GQ441"/>
      <c r="GR441"/>
      <c r="GS441"/>
      <c r="GT441"/>
      <c r="GU441"/>
      <c r="GV441"/>
      <c r="GW441"/>
      <c r="GX441"/>
      <c r="GY441"/>
      <c r="GZ441"/>
      <c r="HA441"/>
    </row>
    <row r="442" spans="1:209" ht="15" customHeight="1" x14ac:dyDescent="0.15">
      <c r="A442"/>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M442"/>
      <c r="CN442"/>
      <c r="CO442"/>
      <c r="CP442"/>
      <c r="CQ442"/>
      <c r="CR442"/>
      <c r="CS442"/>
      <c r="CT442"/>
      <c r="CU442"/>
      <c r="CV442"/>
      <c r="CW442"/>
      <c r="CX442"/>
      <c r="CY442"/>
      <c r="CZ442"/>
      <c r="DA442"/>
      <c r="DB442"/>
      <c r="DC442"/>
      <c r="DD442"/>
      <c r="DE442"/>
      <c r="DF442"/>
      <c r="DG442"/>
      <c r="DH442"/>
      <c r="DI442"/>
      <c r="DJ442"/>
      <c r="DK442"/>
      <c r="DL442"/>
      <c r="DM442"/>
      <c r="DN442"/>
      <c r="DO442"/>
      <c r="DP442"/>
      <c r="DQ442"/>
      <c r="DR442"/>
      <c r="DS442"/>
      <c r="DT442"/>
      <c r="DU442"/>
      <c r="DV442"/>
      <c r="DW442"/>
      <c r="DX442"/>
      <c r="DY442"/>
      <c r="DZ442"/>
      <c r="EA442"/>
      <c r="EB442"/>
      <c r="EC442"/>
      <c r="ED442"/>
      <c r="EE442"/>
      <c r="EF442"/>
      <c r="EG442"/>
      <c r="EH442"/>
      <c r="EI442"/>
      <c r="EJ442"/>
      <c r="EK442"/>
      <c r="EL442"/>
      <c r="EM442"/>
      <c r="EN442"/>
      <c r="EO442"/>
      <c r="EP442"/>
      <c r="EQ442"/>
      <c r="ER442"/>
      <c r="ES442"/>
      <c r="ET442"/>
      <c r="EU442"/>
      <c r="EV442"/>
      <c r="EW442"/>
      <c r="EX442"/>
      <c r="EY442"/>
      <c r="EZ442"/>
      <c r="FA442"/>
      <c r="FB442"/>
      <c r="FC442"/>
      <c r="FD442"/>
      <c r="FE442"/>
      <c r="FF442"/>
      <c r="FG442"/>
      <c r="FH442"/>
      <c r="FI442"/>
      <c r="FJ442"/>
      <c r="FK442"/>
      <c r="FL442"/>
      <c r="FM442"/>
      <c r="FN442"/>
      <c r="FO442"/>
      <c r="FP442"/>
      <c r="FQ442"/>
      <c r="FR442"/>
      <c r="FS442"/>
      <c r="FT442"/>
      <c r="FU442"/>
      <c r="FV442"/>
      <c r="FW442"/>
      <c r="FX442"/>
      <c r="FY442"/>
      <c r="FZ442"/>
      <c r="GA442"/>
      <c r="GB442"/>
      <c r="GC442"/>
      <c r="GD442"/>
      <c r="GE442"/>
      <c r="GF442"/>
      <c r="GG442"/>
      <c r="GH442"/>
      <c r="GI442"/>
      <c r="GJ442"/>
      <c r="GK442"/>
      <c r="GL442"/>
      <c r="GM442"/>
      <c r="GN442"/>
      <c r="GO442"/>
      <c r="GP442"/>
      <c r="GQ442"/>
      <c r="GR442"/>
      <c r="GS442"/>
      <c r="GT442"/>
      <c r="GU442"/>
      <c r="GV442"/>
      <c r="GW442"/>
      <c r="GX442"/>
      <c r="GY442"/>
      <c r="GZ442"/>
      <c r="HA442"/>
    </row>
    <row r="443" spans="1:209" ht="15" customHeight="1" x14ac:dyDescent="0.15">
      <c r="A443"/>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M443"/>
      <c r="CN443"/>
      <c r="CO443"/>
      <c r="CP443"/>
      <c r="CQ443"/>
      <c r="CR443"/>
      <c r="CS443"/>
      <c r="CT443"/>
      <c r="CU443"/>
      <c r="CV443"/>
      <c r="CW443"/>
      <c r="CX443"/>
      <c r="CY443"/>
      <c r="CZ443"/>
      <c r="DA443"/>
      <c r="DB443"/>
      <c r="DC443"/>
      <c r="DD443"/>
      <c r="DE443"/>
      <c r="DF443"/>
      <c r="DG443"/>
      <c r="DH443"/>
      <c r="DI443"/>
      <c r="DJ443"/>
      <c r="DK443"/>
      <c r="DL443"/>
      <c r="DM443"/>
      <c r="DN443"/>
      <c r="DO443"/>
      <c r="DP443"/>
      <c r="DQ443"/>
      <c r="DR443"/>
      <c r="DS443"/>
      <c r="DT443"/>
      <c r="DU443"/>
      <c r="DV443"/>
      <c r="DW443"/>
      <c r="DX443"/>
      <c r="DY443"/>
      <c r="DZ443"/>
      <c r="EA443"/>
      <c r="EB443"/>
      <c r="EC443"/>
      <c r="ED443"/>
      <c r="EE443"/>
      <c r="EF443"/>
      <c r="EG443"/>
      <c r="EH443"/>
      <c r="EI443"/>
      <c r="EJ443"/>
      <c r="EK443"/>
      <c r="EL443"/>
      <c r="EM443"/>
      <c r="EN443"/>
      <c r="EO443"/>
      <c r="EP443"/>
      <c r="EQ443"/>
      <c r="ER443"/>
      <c r="ES443"/>
      <c r="ET443"/>
      <c r="EU443"/>
      <c r="EV443"/>
      <c r="EW443"/>
      <c r="EX443"/>
      <c r="EY443"/>
      <c r="EZ443"/>
      <c r="FA443"/>
      <c r="FB443"/>
      <c r="FC443"/>
      <c r="FD443"/>
      <c r="FE443"/>
      <c r="FF443"/>
      <c r="FG443"/>
      <c r="FH443"/>
      <c r="FI443"/>
      <c r="FJ443"/>
      <c r="FK443"/>
      <c r="FL443"/>
      <c r="FM443"/>
      <c r="FN443"/>
      <c r="FO443"/>
      <c r="FP443"/>
      <c r="FQ443"/>
      <c r="FR443"/>
      <c r="FS443"/>
      <c r="FT443"/>
      <c r="FU443"/>
      <c r="FV443"/>
      <c r="FW443"/>
      <c r="FX443"/>
      <c r="FY443"/>
      <c r="FZ443"/>
      <c r="GA443"/>
      <c r="GB443"/>
      <c r="GC443"/>
      <c r="GD443"/>
      <c r="GE443"/>
      <c r="GF443"/>
      <c r="GG443"/>
      <c r="GH443"/>
      <c r="GI443"/>
      <c r="GJ443"/>
      <c r="GK443"/>
      <c r="GL443"/>
      <c r="GM443"/>
      <c r="GN443"/>
      <c r="GO443"/>
      <c r="GP443"/>
      <c r="GQ443"/>
      <c r="GR443"/>
      <c r="GS443"/>
      <c r="GT443"/>
      <c r="GU443"/>
      <c r="GV443"/>
      <c r="GW443"/>
      <c r="GX443"/>
      <c r="GY443"/>
      <c r="GZ443"/>
      <c r="HA443"/>
    </row>
    <row r="444" spans="1:209" ht="15" customHeight="1" x14ac:dyDescent="0.15">
      <c r="A444"/>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M444"/>
      <c r="CN444"/>
      <c r="CO444"/>
      <c r="CP444"/>
      <c r="CQ444"/>
      <c r="CR444"/>
      <c r="CS444"/>
      <c r="CT444"/>
      <c r="CU444"/>
      <c r="CV444"/>
      <c r="CW444"/>
      <c r="CX444"/>
      <c r="CY444"/>
      <c r="CZ444"/>
      <c r="DA444"/>
      <c r="DB444"/>
      <c r="DC444"/>
      <c r="DD444"/>
      <c r="DE444"/>
      <c r="DF444"/>
      <c r="DG444"/>
      <c r="DH444"/>
      <c r="DI444"/>
      <c r="DJ444"/>
      <c r="DK444"/>
      <c r="DL444"/>
      <c r="DM444"/>
      <c r="DN444"/>
      <c r="DO444"/>
      <c r="DP444"/>
      <c r="DQ444"/>
      <c r="DR444"/>
      <c r="DS444"/>
      <c r="DT444"/>
      <c r="DU444"/>
      <c r="DV444"/>
      <c r="DW444"/>
      <c r="DX444"/>
      <c r="DY444"/>
      <c r="DZ444"/>
      <c r="EA444"/>
      <c r="EB444"/>
      <c r="EC444"/>
      <c r="ED444"/>
      <c r="EE444"/>
      <c r="EF444"/>
      <c r="EG444"/>
      <c r="EH444"/>
      <c r="EI444"/>
      <c r="EJ444"/>
      <c r="EK444"/>
      <c r="EL444"/>
      <c r="EM444"/>
      <c r="EN444"/>
      <c r="EO444"/>
      <c r="EP444"/>
      <c r="EQ444"/>
      <c r="ER444"/>
      <c r="ES444"/>
      <c r="ET444"/>
      <c r="EU444"/>
      <c r="EV444"/>
      <c r="EW444"/>
      <c r="EX444"/>
      <c r="EY444"/>
      <c r="EZ444"/>
      <c r="FA444"/>
      <c r="FB444"/>
      <c r="FC444"/>
      <c r="FD444"/>
      <c r="FE444"/>
      <c r="FF444"/>
      <c r="FG444"/>
      <c r="FH444"/>
      <c r="FI444"/>
      <c r="FJ444"/>
      <c r="FK444"/>
      <c r="FL444"/>
      <c r="FM444"/>
      <c r="FN444"/>
      <c r="FO444"/>
      <c r="FP444"/>
      <c r="FQ444"/>
      <c r="FR444"/>
      <c r="FS444"/>
      <c r="FT444"/>
      <c r="FU444"/>
      <c r="FV444"/>
      <c r="FW444"/>
      <c r="FX444"/>
      <c r="FY444"/>
      <c r="FZ444"/>
      <c r="GA444"/>
      <c r="GB444"/>
      <c r="GC444"/>
      <c r="GD444"/>
      <c r="GE444"/>
      <c r="GF444"/>
      <c r="GG444"/>
      <c r="GH444"/>
      <c r="GI444"/>
      <c r="GJ444"/>
      <c r="GK444"/>
      <c r="GL444"/>
      <c r="GM444"/>
      <c r="GN444"/>
      <c r="GO444"/>
      <c r="GP444"/>
      <c r="GQ444"/>
      <c r="GR444"/>
      <c r="GS444"/>
      <c r="GT444"/>
      <c r="GU444"/>
      <c r="GV444"/>
      <c r="GW444"/>
      <c r="GX444"/>
      <c r="GY444"/>
      <c r="GZ444"/>
      <c r="HA444"/>
    </row>
    <row r="445" spans="1:209" ht="15" customHeight="1" x14ac:dyDescent="0.15">
      <c r="A44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M445"/>
      <c r="CN445"/>
      <c r="CO445"/>
      <c r="CP445"/>
      <c r="CQ445"/>
      <c r="CR445"/>
      <c r="CS445"/>
      <c r="CT445"/>
      <c r="CU445"/>
      <c r="CV445"/>
      <c r="CW445"/>
      <c r="CX445"/>
      <c r="CY445"/>
      <c r="CZ445"/>
      <c r="DA445"/>
      <c r="DB445"/>
      <c r="DC445"/>
      <c r="DD445"/>
      <c r="DE445"/>
      <c r="DF445"/>
      <c r="DG445"/>
      <c r="DH445"/>
      <c r="DI445"/>
      <c r="DJ445"/>
      <c r="DK445"/>
      <c r="DL445"/>
      <c r="DM445"/>
      <c r="DN445"/>
      <c r="DO445"/>
      <c r="DP445"/>
      <c r="DQ445"/>
      <c r="DR445"/>
      <c r="DS445"/>
      <c r="DT445"/>
      <c r="DU445"/>
      <c r="DV445"/>
      <c r="DW445"/>
      <c r="DX445"/>
      <c r="DY445"/>
      <c r="DZ445"/>
      <c r="EA445"/>
      <c r="EB445"/>
      <c r="EC445"/>
      <c r="ED445"/>
      <c r="EE445"/>
      <c r="EF445"/>
      <c r="EG445"/>
      <c r="EH445"/>
      <c r="EI445"/>
      <c r="EJ445"/>
      <c r="EK445"/>
      <c r="EL445"/>
      <c r="EM445"/>
      <c r="EN445"/>
      <c r="EO445"/>
      <c r="EP445"/>
      <c r="EQ445"/>
      <c r="ER445"/>
      <c r="ES445"/>
      <c r="ET445"/>
      <c r="EU445"/>
      <c r="EV445"/>
      <c r="EW445"/>
      <c r="EX445"/>
      <c r="EY445"/>
      <c r="EZ445"/>
      <c r="FA445"/>
      <c r="FB445"/>
      <c r="FC445"/>
      <c r="FD445"/>
      <c r="FE445"/>
      <c r="FF445"/>
      <c r="FG445"/>
      <c r="FH445"/>
      <c r="FI445"/>
      <c r="FJ445"/>
      <c r="FK445"/>
      <c r="FL445"/>
      <c r="FM445"/>
      <c r="FN445"/>
      <c r="FO445"/>
      <c r="FP445"/>
      <c r="FQ445"/>
      <c r="FR445"/>
      <c r="FS445"/>
      <c r="FT445"/>
      <c r="FU445"/>
      <c r="FV445"/>
      <c r="FW445"/>
      <c r="FX445"/>
      <c r="FY445"/>
      <c r="FZ445"/>
      <c r="GA445"/>
      <c r="GB445"/>
      <c r="GC445"/>
      <c r="GD445"/>
      <c r="GE445"/>
      <c r="GF445"/>
      <c r="GG445"/>
      <c r="GH445"/>
      <c r="GI445"/>
      <c r="GJ445"/>
      <c r="GK445"/>
      <c r="GL445"/>
      <c r="GM445"/>
      <c r="GN445"/>
      <c r="GO445"/>
      <c r="GP445"/>
      <c r="GQ445"/>
      <c r="GR445"/>
      <c r="GS445"/>
      <c r="GT445"/>
      <c r="GU445"/>
      <c r="GV445"/>
      <c r="GW445"/>
      <c r="GX445"/>
      <c r="GY445"/>
      <c r="GZ445"/>
      <c r="HA445"/>
    </row>
    <row r="446" spans="1:209" ht="15" customHeight="1" x14ac:dyDescent="0.15">
      <c r="A446"/>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M446"/>
      <c r="CN446"/>
      <c r="CO446"/>
      <c r="CP446"/>
      <c r="CQ446"/>
      <c r="CR446"/>
      <c r="CS446"/>
      <c r="CT446"/>
      <c r="CU446"/>
      <c r="CV446"/>
      <c r="CW446"/>
      <c r="CX446"/>
      <c r="CY446"/>
      <c r="CZ446"/>
      <c r="DA446"/>
      <c r="DB446"/>
      <c r="DC446"/>
      <c r="DD446"/>
      <c r="DE446"/>
      <c r="DF446"/>
      <c r="DG446"/>
      <c r="DH446"/>
      <c r="DI446"/>
      <c r="DJ446"/>
      <c r="DK446"/>
      <c r="DL446"/>
      <c r="DM446"/>
      <c r="DN446"/>
      <c r="DO446"/>
      <c r="DP446"/>
      <c r="DQ446"/>
      <c r="DR446"/>
      <c r="DS446"/>
      <c r="DT446"/>
      <c r="DU446"/>
      <c r="DV446"/>
      <c r="DW446"/>
      <c r="DX446"/>
      <c r="DY446"/>
      <c r="DZ446"/>
      <c r="EA446"/>
      <c r="EB446"/>
      <c r="EC446"/>
      <c r="ED446"/>
      <c r="EE446"/>
      <c r="EF446"/>
      <c r="EG446"/>
      <c r="EH446"/>
      <c r="EI446"/>
      <c r="EJ446"/>
      <c r="EK446"/>
      <c r="EL446"/>
      <c r="EM446"/>
      <c r="EN446"/>
      <c r="EO446"/>
      <c r="EP446"/>
      <c r="EQ446"/>
      <c r="ER446"/>
      <c r="ES446"/>
      <c r="ET446"/>
      <c r="EU446"/>
      <c r="EV446"/>
      <c r="EW446"/>
      <c r="EX446"/>
      <c r="EY446"/>
      <c r="EZ446"/>
      <c r="FA446"/>
      <c r="FB446"/>
      <c r="FC446"/>
      <c r="FD446"/>
      <c r="FE446"/>
      <c r="FF446"/>
      <c r="FG446"/>
      <c r="FH446"/>
      <c r="FI446"/>
      <c r="FJ446"/>
      <c r="FK446"/>
      <c r="FL446"/>
      <c r="FM446"/>
      <c r="FN446"/>
      <c r="FO446"/>
      <c r="FP446"/>
      <c r="FQ446"/>
      <c r="FR446"/>
      <c r="FS446"/>
      <c r="FT446"/>
      <c r="FU446"/>
      <c r="FV446"/>
      <c r="FW446"/>
      <c r="FX446"/>
      <c r="FY446"/>
      <c r="FZ446"/>
      <c r="GA446"/>
      <c r="GB446"/>
      <c r="GC446"/>
      <c r="GD446"/>
      <c r="GE446"/>
      <c r="GF446"/>
      <c r="GG446"/>
      <c r="GH446"/>
      <c r="GI446"/>
      <c r="GJ446"/>
      <c r="GK446"/>
      <c r="GL446"/>
      <c r="GM446"/>
      <c r="GN446"/>
      <c r="GO446"/>
      <c r="GP446"/>
      <c r="GQ446"/>
      <c r="GR446"/>
      <c r="GS446"/>
      <c r="GT446"/>
      <c r="GU446"/>
      <c r="GV446"/>
      <c r="GW446"/>
      <c r="GX446"/>
      <c r="GY446"/>
      <c r="GZ446"/>
      <c r="HA446"/>
    </row>
    <row r="447" spans="1:209" ht="15" customHeight="1" x14ac:dyDescent="0.15">
      <c r="A447"/>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M447"/>
      <c r="CN447"/>
      <c r="CO447"/>
      <c r="CP447"/>
      <c r="CQ447"/>
      <c r="CR447"/>
      <c r="CS447"/>
      <c r="CT447"/>
      <c r="CU447"/>
      <c r="CV447"/>
      <c r="CW447"/>
      <c r="CX447"/>
      <c r="CY447"/>
      <c r="CZ447"/>
      <c r="DA447"/>
      <c r="DB447"/>
      <c r="DC447"/>
      <c r="DD447"/>
      <c r="DE447"/>
      <c r="DF447"/>
      <c r="DG447"/>
      <c r="DH447"/>
      <c r="DI447"/>
      <c r="DJ447"/>
      <c r="DK447"/>
      <c r="DL447"/>
      <c r="DM447"/>
      <c r="DN447"/>
      <c r="DO447"/>
      <c r="DP447"/>
      <c r="DQ447"/>
      <c r="DR447"/>
      <c r="DS447"/>
      <c r="DT447"/>
      <c r="DU447"/>
      <c r="DV447"/>
      <c r="DW447"/>
      <c r="DX447"/>
      <c r="DY447"/>
      <c r="DZ447"/>
      <c r="EA447"/>
      <c r="EB447"/>
      <c r="EC447"/>
      <c r="ED447"/>
      <c r="EE447"/>
      <c r="EF447"/>
      <c r="EG447"/>
      <c r="EH447"/>
      <c r="EI447"/>
      <c r="EJ447"/>
      <c r="EK447"/>
      <c r="EL447"/>
      <c r="EM447"/>
      <c r="EN447"/>
      <c r="EO447"/>
      <c r="EP447"/>
      <c r="EQ447"/>
      <c r="ER447"/>
      <c r="ES447"/>
      <c r="ET447"/>
      <c r="EU447"/>
      <c r="EV447"/>
      <c r="EW447"/>
      <c r="EX447"/>
      <c r="EY447"/>
      <c r="EZ447"/>
      <c r="FA447"/>
      <c r="FB447"/>
      <c r="FC447"/>
      <c r="FD447"/>
      <c r="FE447"/>
      <c r="FF447"/>
      <c r="FG447"/>
      <c r="FH447"/>
      <c r="FI447"/>
      <c r="FJ447"/>
      <c r="FK447"/>
      <c r="FL447"/>
      <c r="FM447"/>
      <c r="FN447"/>
      <c r="FO447"/>
      <c r="FP447"/>
      <c r="FQ447"/>
      <c r="FR447"/>
      <c r="FS447"/>
      <c r="FT447"/>
      <c r="FU447"/>
      <c r="FV447"/>
      <c r="FW447"/>
      <c r="FX447"/>
      <c r="FY447"/>
      <c r="FZ447"/>
      <c r="GA447"/>
      <c r="GB447"/>
      <c r="GC447"/>
      <c r="GD447"/>
      <c r="GE447"/>
      <c r="GF447"/>
      <c r="GG447"/>
      <c r="GH447"/>
      <c r="GI447"/>
      <c r="GJ447"/>
      <c r="GK447"/>
      <c r="GL447"/>
      <c r="GM447"/>
      <c r="GN447"/>
      <c r="GO447"/>
      <c r="GP447"/>
      <c r="GQ447"/>
      <c r="GR447"/>
      <c r="GS447"/>
      <c r="GT447"/>
      <c r="GU447"/>
      <c r="GV447"/>
      <c r="GW447"/>
      <c r="GX447"/>
      <c r="GY447"/>
      <c r="GZ447"/>
      <c r="HA447"/>
    </row>
    <row r="448" spans="1:209" ht="15" customHeight="1" x14ac:dyDescent="0.15">
      <c r="A448"/>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M448"/>
      <c r="CN448"/>
      <c r="CO448"/>
      <c r="CP448"/>
      <c r="CQ448"/>
      <c r="CR448"/>
      <c r="CS448"/>
      <c r="CT448"/>
      <c r="CU448"/>
      <c r="CV448"/>
      <c r="CW448"/>
      <c r="CX448"/>
      <c r="CY448"/>
      <c r="CZ448"/>
      <c r="DA448"/>
      <c r="DB448"/>
      <c r="DC448"/>
      <c r="DD448"/>
      <c r="DE448"/>
      <c r="DF448"/>
      <c r="DG448"/>
      <c r="DH448"/>
      <c r="DI448"/>
      <c r="DJ448"/>
      <c r="DK448"/>
      <c r="DL448"/>
      <c r="DM448"/>
      <c r="DN448"/>
      <c r="DO448"/>
      <c r="DP448"/>
      <c r="DQ448"/>
      <c r="DR448"/>
      <c r="DS448"/>
      <c r="DT448"/>
      <c r="DU448"/>
      <c r="DV448"/>
      <c r="DW448"/>
      <c r="DX448"/>
      <c r="DY448"/>
      <c r="DZ448"/>
      <c r="EA448"/>
      <c r="EB448"/>
      <c r="EC448"/>
      <c r="ED448"/>
      <c r="EE448"/>
      <c r="EF448"/>
      <c r="EG448"/>
      <c r="EH448"/>
      <c r="EI448"/>
      <c r="EJ448"/>
      <c r="EK448"/>
      <c r="EL448"/>
      <c r="EM448"/>
      <c r="EN448"/>
      <c r="EO448"/>
      <c r="EP448"/>
      <c r="EQ448"/>
      <c r="ER448"/>
      <c r="ES448"/>
      <c r="ET448"/>
      <c r="EU448"/>
      <c r="EV448"/>
      <c r="EW448"/>
      <c r="EX448"/>
      <c r="EY448"/>
      <c r="EZ448"/>
      <c r="FA448"/>
      <c r="FB448"/>
      <c r="FC448"/>
      <c r="FD448"/>
      <c r="FE448"/>
      <c r="FF448"/>
      <c r="FG448"/>
      <c r="FH448"/>
      <c r="FI448"/>
      <c r="FJ448"/>
      <c r="FK448"/>
      <c r="FL448"/>
      <c r="FM448"/>
      <c r="FN448"/>
      <c r="FO448"/>
      <c r="FP448"/>
      <c r="FQ448"/>
      <c r="FR448"/>
      <c r="FS448"/>
      <c r="FT448"/>
      <c r="FU448"/>
      <c r="FV448"/>
      <c r="FW448"/>
      <c r="FX448"/>
      <c r="FY448"/>
      <c r="FZ448"/>
      <c r="GA448"/>
      <c r="GB448"/>
      <c r="GC448"/>
      <c r="GD448"/>
      <c r="GE448"/>
      <c r="GF448"/>
      <c r="GG448"/>
      <c r="GH448"/>
      <c r="GI448"/>
      <c r="GJ448"/>
      <c r="GK448"/>
      <c r="GL448"/>
      <c r="GM448"/>
      <c r="GN448"/>
      <c r="GO448"/>
      <c r="GP448"/>
      <c r="GQ448"/>
      <c r="GR448"/>
      <c r="GS448"/>
      <c r="GT448"/>
      <c r="GU448"/>
      <c r="GV448"/>
      <c r="GW448"/>
      <c r="GX448"/>
      <c r="GY448"/>
      <c r="GZ448"/>
      <c r="HA448"/>
    </row>
    <row r="449" spans="1:209" ht="15" customHeight="1" x14ac:dyDescent="0.15">
      <c r="A449"/>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M449"/>
      <c r="CN449"/>
      <c r="CO449"/>
      <c r="CP449"/>
      <c r="CQ449"/>
      <c r="CR449"/>
      <c r="CS449"/>
      <c r="CT449"/>
      <c r="CU449"/>
      <c r="CV449"/>
      <c r="CW449"/>
      <c r="CX449"/>
      <c r="CY449"/>
      <c r="CZ449"/>
      <c r="DA449"/>
      <c r="DB449"/>
      <c r="DC449"/>
      <c r="DD449"/>
      <c r="DE449"/>
      <c r="DF449"/>
      <c r="DG449"/>
      <c r="DH449"/>
      <c r="DI449"/>
      <c r="DJ449"/>
      <c r="DK449"/>
      <c r="DL449"/>
      <c r="DM449"/>
      <c r="DN449"/>
      <c r="DO449"/>
      <c r="DP449"/>
      <c r="DQ449"/>
      <c r="DR449"/>
      <c r="DS449"/>
      <c r="DT449"/>
      <c r="DU449"/>
      <c r="DV449"/>
      <c r="DW449"/>
      <c r="DX449"/>
      <c r="DY449"/>
      <c r="DZ449"/>
      <c r="EA449"/>
      <c r="EB449"/>
      <c r="EC449"/>
      <c r="ED449"/>
      <c r="EE449"/>
      <c r="EF449"/>
      <c r="EG449"/>
      <c r="EH449"/>
      <c r="EI449"/>
      <c r="EJ449"/>
      <c r="EK449"/>
      <c r="EL449"/>
      <c r="EM449"/>
      <c r="EN449"/>
      <c r="EO449"/>
      <c r="EP449"/>
      <c r="EQ449"/>
      <c r="ER449"/>
      <c r="ES449"/>
      <c r="ET449"/>
      <c r="EU449"/>
      <c r="EV449"/>
      <c r="EW449"/>
      <c r="EX449"/>
      <c r="EY449"/>
      <c r="EZ449"/>
      <c r="FA449"/>
      <c r="FB449"/>
      <c r="FC449"/>
      <c r="FD449"/>
      <c r="FE449"/>
      <c r="FF449"/>
      <c r="FG449"/>
      <c r="FH449"/>
      <c r="FI449"/>
      <c r="FJ449"/>
      <c r="FK449"/>
      <c r="FL449"/>
      <c r="FM449"/>
      <c r="FN449"/>
      <c r="FO449"/>
      <c r="FP449"/>
      <c r="FQ449"/>
      <c r="FR449"/>
      <c r="FS449"/>
      <c r="FT449"/>
      <c r="FU449"/>
      <c r="FV449"/>
      <c r="FW449"/>
      <c r="FX449"/>
      <c r="FY449"/>
      <c r="FZ449"/>
      <c r="GA449"/>
      <c r="GB449"/>
      <c r="GC449"/>
      <c r="GD449"/>
      <c r="GE449"/>
      <c r="GF449"/>
      <c r="GG449"/>
      <c r="GH449"/>
      <c r="GI449"/>
      <c r="GJ449"/>
      <c r="GK449"/>
      <c r="GL449"/>
      <c r="GM449"/>
      <c r="GN449"/>
      <c r="GO449"/>
      <c r="GP449"/>
      <c r="GQ449"/>
      <c r="GR449"/>
      <c r="GS449"/>
      <c r="GT449"/>
      <c r="GU449"/>
      <c r="GV449"/>
      <c r="GW449"/>
      <c r="GX449"/>
      <c r="GY449"/>
      <c r="GZ449"/>
      <c r="HA449"/>
    </row>
    <row r="450" spans="1:209" ht="15" customHeight="1" x14ac:dyDescent="0.15">
      <c r="A450"/>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M450"/>
      <c r="CN450"/>
      <c r="CO450"/>
      <c r="CP450"/>
      <c r="CQ450"/>
      <c r="CR450"/>
      <c r="CS450"/>
      <c r="CT450"/>
      <c r="CU450"/>
      <c r="CV450"/>
      <c r="CW450"/>
      <c r="CX450"/>
      <c r="CY450"/>
      <c r="CZ450"/>
      <c r="DA450"/>
      <c r="DB450"/>
      <c r="DC450"/>
      <c r="DD450"/>
      <c r="DE450"/>
      <c r="DF450"/>
      <c r="DG450"/>
      <c r="DH450"/>
      <c r="DI450"/>
      <c r="DJ450"/>
      <c r="DK450"/>
      <c r="DL450"/>
      <c r="DM450"/>
      <c r="DN450"/>
      <c r="DO450"/>
      <c r="DP450"/>
      <c r="DQ450"/>
      <c r="DR450"/>
      <c r="DS450"/>
      <c r="DT450"/>
      <c r="DU450"/>
      <c r="DV450"/>
      <c r="DW450"/>
      <c r="DX450"/>
      <c r="DY450"/>
      <c r="DZ450"/>
      <c r="EA450"/>
      <c r="EB450"/>
      <c r="EC450"/>
      <c r="ED450"/>
      <c r="EE450"/>
      <c r="EF450"/>
      <c r="EG450"/>
      <c r="EH450"/>
      <c r="EI450"/>
      <c r="EJ450"/>
      <c r="EK450"/>
      <c r="EL450"/>
      <c r="EM450"/>
      <c r="EN450"/>
      <c r="EO450"/>
      <c r="EP450"/>
      <c r="EQ450"/>
      <c r="ER450"/>
      <c r="ES450"/>
      <c r="ET450"/>
      <c r="EU450"/>
      <c r="EV450"/>
      <c r="EW450"/>
      <c r="EX450"/>
      <c r="EY450"/>
      <c r="EZ450"/>
      <c r="FA450"/>
      <c r="FB450"/>
      <c r="FC450"/>
      <c r="FD450"/>
      <c r="FE450"/>
      <c r="FF450"/>
      <c r="FG450"/>
      <c r="FH450"/>
      <c r="FI450"/>
      <c r="FJ450"/>
      <c r="FK450"/>
      <c r="FL450"/>
      <c r="FM450"/>
      <c r="FN450"/>
      <c r="FO450"/>
      <c r="FP450"/>
      <c r="FQ450"/>
      <c r="FR450"/>
      <c r="FS450"/>
      <c r="FT450"/>
      <c r="FU450"/>
      <c r="FV450"/>
      <c r="FW450"/>
      <c r="FX450"/>
      <c r="FY450"/>
      <c r="FZ450"/>
      <c r="GA450"/>
      <c r="GB450"/>
      <c r="GC450"/>
      <c r="GD450"/>
      <c r="GE450"/>
      <c r="GF450"/>
      <c r="GG450"/>
      <c r="GH450"/>
      <c r="GI450"/>
      <c r="GJ450"/>
      <c r="GK450"/>
      <c r="GL450"/>
      <c r="GM450"/>
      <c r="GN450"/>
      <c r="GO450"/>
      <c r="GP450"/>
      <c r="GQ450"/>
      <c r="GR450"/>
      <c r="GS450"/>
      <c r="GT450"/>
      <c r="GU450"/>
      <c r="GV450"/>
      <c r="GW450"/>
      <c r="GX450"/>
      <c r="GY450"/>
      <c r="GZ450"/>
      <c r="HA450"/>
    </row>
    <row r="451" spans="1:209" ht="15" customHeight="1" x14ac:dyDescent="0.15">
      <c r="A451"/>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M451"/>
      <c r="CN451"/>
      <c r="CO451"/>
      <c r="CP451"/>
      <c r="CQ451"/>
      <c r="CR451"/>
      <c r="CS451"/>
      <c r="CT451"/>
      <c r="CU451"/>
      <c r="CV451"/>
      <c r="CW451"/>
      <c r="CX451"/>
      <c r="CY451"/>
      <c r="CZ451"/>
      <c r="DA451"/>
      <c r="DB451"/>
      <c r="DC451"/>
      <c r="DD451"/>
      <c r="DE451"/>
      <c r="DF451"/>
      <c r="DG451"/>
      <c r="DH451"/>
      <c r="DI451"/>
      <c r="DJ451"/>
      <c r="DK451"/>
      <c r="DL451"/>
      <c r="DM451"/>
      <c r="DN451"/>
      <c r="DO451"/>
      <c r="DP451"/>
      <c r="DQ451"/>
      <c r="DR451"/>
      <c r="DS451"/>
      <c r="DT451"/>
      <c r="DU451"/>
      <c r="DV451"/>
      <c r="DW451"/>
      <c r="DX451"/>
      <c r="DY451"/>
      <c r="DZ451"/>
      <c r="EA451"/>
      <c r="EB451"/>
      <c r="EC451"/>
      <c r="ED451"/>
      <c r="EE451"/>
      <c r="EF451"/>
      <c r="EG451"/>
      <c r="EH451"/>
      <c r="EI451"/>
      <c r="EJ451"/>
      <c r="EK451"/>
      <c r="EL451"/>
      <c r="EM451"/>
      <c r="EN451"/>
      <c r="EO451"/>
      <c r="EP451"/>
      <c r="EQ451"/>
      <c r="ER451"/>
      <c r="ES451"/>
      <c r="ET451"/>
      <c r="EU451"/>
      <c r="EV451"/>
      <c r="EW451"/>
      <c r="EX451"/>
      <c r="EY451"/>
      <c r="EZ451"/>
      <c r="FA451"/>
      <c r="FB451"/>
      <c r="FC451"/>
      <c r="FD451"/>
      <c r="FE451"/>
      <c r="FF451"/>
      <c r="FG451"/>
      <c r="FH451"/>
      <c r="FI451"/>
      <c r="FJ451"/>
      <c r="FK451"/>
      <c r="FL451"/>
      <c r="FM451"/>
      <c r="FN451"/>
      <c r="FO451"/>
      <c r="FP451"/>
      <c r="FQ451"/>
      <c r="FR451"/>
      <c r="FS451"/>
      <c r="FT451"/>
      <c r="FU451"/>
      <c r="FV451"/>
      <c r="FW451"/>
      <c r="FX451"/>
      <c r="FY451"/>
      <c r="FZ451"/>
      <c r="GA451"/>
      <c r="GB451"/>
      <c r="GC451"/>
      <c r="GD451"/>
      <c r="GE451"/>
      <c r="GF451"/>
      <c r="GG451"/>
      <c r="GH451"/>
      <c r="GI451"/>
      <c r="GJ451"/>
      <c r="GK451"/>
      <c r="GL451"/>
      <c r="GM451"/>
      <c r="GN451"/>
      <c r="GO451"/>
      <c r="GP451"/>
      <c r="GQ451"/>
      <c r="GR451"/>
      <c r="GS451"/>
      <c r="GT451"/>
      <c r="GU451"/>
      <c r="GV451"/>
      <c r="GW451"/>
      <c r="GX451"/>
      <c r="GY451"/>
      <c r="GZ451"/>
      <c r="HA451"/>
    </row>
    <row r="452" spans="1:209" ht="15" customHeight="1" x14ac:dyDescent="0.15">
      <c r="A452"/>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M452"/>
      <c r="CN452"/>
      <c r="CO452"/>
      <c r="CP452"/>
      <c r="CQ452"/>
      <c r="CR452"/>
      <c r="CS452"/>
      <c r="CT452"/>
      <c r="CU452"/>
      <c r="CV452"/>
      <c r="CW452"/>
      <c r="CX452"/>
      <c r="CY452"/>
      <c r="CZ452"/>
      <c r="DA452"/>
      <c r="DB452"/>
      <c r="DC452"/>
      <c r="DD452"/>
      <c r="DE452"/>
      <c r="DF452"/>
      <c r="DG452"/>
      <c r="DH452"/>
      <c r="DI452"/>
      <c r="DJ452"/>
      <c r="DK452"/>
      <c r="DL452"/>
      <c r="DM452"/>
      <c r="DN452"/>
      <c r="DO452"/>
      <c r="DP452"/>
      <c r="DQ452"/>
      <c r="DR452"/>
      <c r="DS452"/>
      <c r="DT452"/>
      <c r="DU452"/>
      <c r="DV452"/>
      <c r="DW452"/>
      <c r="DX452"/>
      <c r="DY452"/>
      <c r="DZ452"/>
      <c r="EA452"/>
      <c r="EB452"/>
      <c r="EC452"/>
      <c r="ED452"/>
      <c r="EE452"/>
      <c r="EF452"/>
      <c r="EG452"/>
      <c r="EH452"/>
      <c r="EI452"/>
      <c r="EJ452"/>
      <c r="EK452"/>
      <c r="EL452"/>
      <c r="EM452"/>
      <c r="EN452"/>
      <c r="EO452"/>
      <c r="EP452"/>
      <c r="EQ452"/>
      <c r="ER452"/>
      <c r="ES452"/>
      <c r="ET452"/>
      <c r="EU452"/>
      <c r="EV452"/>
      <c r="EW452"/>
      <c r="EX452"/>
      <c r="EY452"/>
      <c r="EZ452"/>
      <c r="FA452"/>
      <c r="FB452"/>
      <c r="FC452"/>
      <c r="FD452"/>
      <c r="FE452"/>
      <c r="FF452"/>
      <c r="FG452"/>
      <c r="FH452"/>
      <c r="FI452"/>
      <c r="FJ452"/>
      <c r="FK452"/>
      <c r="FL452"/>
      <c r="FM452"/>
      <c r="FN452"/>
      <c r="FO452"/>
      <c r="FP452"/>
      <c r="FQ452"/>
      <c r="FR452"/>
      <c r="FS452"/>
      <c r="FT452"/>
      <c r="FU452"/>
      <c r="FV452"/>
      <c r="FW452"/>
      <c r="FX452"/>
      <c r="FY452"/>
      <c r="FZ452"/>
      <c r="GA452"/>
      <c r="GB452"/>
      <c r="GC452"/>
      <c r="GD452"/>
      <c r="GE452"/>
      <c r="GF452"/>
      <c r="GG452"/>
      <c r="GH452"/>
      <c r="GI452"/>
      <c r="GJ452"/>
      <c r="GK452"/>
      <c r="GL452"/>
      <c r="GM452"/>
      <c r="GN452"/>
      <c r="GO452"/>
      <c r="GP452"/>
      <c r="GQ452"/>
      <c r="GR452"/>
      <c r="GS452"/>
      <c r="GT452"/>
      <c r="GU452"/>
      <c r="GV452"/>
      <c r="GW452"/>
      <c r="GX452"/>
      <c r="GY452"/>
      <c r="GZ452"/>
      <c r="HA452"/>
    </row>
    <row r="453" spans="1:209" ht="15" customHeight="1" x14ac:dyDescent="0.15">
      <c r="A453"/>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M453"/>
      <c r="CN453"/>
      <c r="CO453"/>
      <c r="CP453"/>
      <c r="CQ453"/>
      <c r="CR453"/>
      <c r="CS453"/>
      <c r="CT453"/>
      <c r="CU453"/>
      <c r="CV453"/>
      <c r="CW453"/>
      <c r="CX453"/>
      <c r="CY453"/>
      <c r="CZ453"/>
      <c r="DA453"/>
      <c r="DB453"/>
      <c r="DC453"/>
      <c r="DD453"/>
      <c r="DE453"/>
      <c r="DF453"/>
      <c r="DG453"/>
      <c r="DH453"/>
      <c r="DI453"/>
      <c r="DJ453"/>
      <c r="DK453"/>
      <c r="DL453"/>
      <c r="DM453"/>
      <c r="DN453"/>
      <c r="DO453"/>
      <c r="DP453"/>
      <c r="DQ453"/>
      <c r="DR453"/>
      <c r="DS453"/>
      <c r="DT453"/>
      <c r="DU453"/>
      <c r="DV453"/>
      <c r="DW453"/>
      <c r="DX453"/>
      <c r="DY453"/>
      <c r="DZ453"/>
      <c r="EA453"/>
      <c r="EB453"/>
      <c r="EC453"/>
      <c r="ED453"/>
      <c r="EE453"/>
      <c r="EF453"/>
      <c r="EG453"/>
      <c r="EH453"/>
      <c r="EI453"/>
      <c r="EJ453"/>
      <c r="EK453"/>
      <c r="EL453"/>
      <c r="EM453"/>
      <c r="EN453"/>
      <c r="EO453"/>
      <c r="EP453"/>
      <c r="EQ453"/>
      <c r="ER453"/>
      <c r="ES453"/>
      <c r="ET453"/>
      <c r="EU453"/>
      <c r="EV453"/>
      <c r="EW453"/>
      <c r="EX453"/>
      <c r="EY453"/>
      <c r="EZ453"/>
      <c r="FA453"/>
      <c r="FB453"/>
      <c r="FC453"/>
      <c r="FD453"/>
      <c r="FE453"/>
      <c r="FF453"/>
      <c r="FG453"/>
      <c r="FH453"/>
      <c r="FI453"/>
      <c r="FJ453"/>
      <c r="FK453"/>
      <c r="FL453"/>
      <c r="FM453"/>
      <c r="FN453"/>
      <c r="FO453"/>
      <c r="FP453"/>
      <c r="FQ453"/>
      <c r="FR453"/>
      <c r="FS453"/>
      <c r="FT453"/>
      <c r="FU453"/>
      <c r="FV453"/>
      <c r="FW453"/>
      <c r="FX453"/>
      <c r="FY453"/>
      <c r="FZ453"/>
      <c r="GA453"/>
      <c r="GB453"/>
      <c r="GC453"/>
      <c r="GD453"/>
      <c r="GE453"/>
      <c r="GF453"/>
      <c r="GG453"/>
      <c r="GH453"/>
      <c r="GI453"/>
      <c r="GJ453"/>
      <c r="GK453"/>
      <c r="GL453"/>
      <c r="GM453"/>
      <c r="GN453"/>
      <c r="GO453"/>
      <c r="GP453"/>
      <c r="GQ453"/>
      <c r="GR453"/>
      <c r="GS453"/>
      <c r="GT453"/>
      <c r="GU453"/>
      <c r="GV453"/>
      <c r="GW453"/>
      <c r="GX453"/>
      <c r="GY453"/>
      <c r="GZ453"/>
      <c r="HA453"/>
    </row>
    <row r="454" spans="1:209" ht="15" customHeight="1" x14ac:dyDescent="0.15">
      <c r="A454"/>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M454"/>
      <c r="CN454"/>
      <c r="CO454"/>
      <c r="CP454"/>
      <c r="CQ454"/>
      <c r="CR454"/>
      <c r="CS454"/>
      <c r="CT454"/>
      <c r="CU454"/>
      <c r="CV454"/>
      <c r="CW454"/>
      <c r="CX454"/>
      <c r="CY454"/>
      <c r="CZ454"/>
      <c r="DA454"/>
      <c r="DB454"/>
      <c r="DC454"/>
      <c r="DD454"/>
      <c r="DE454"/>
      <c r="DF454"/>
      <c r="DG454"/>
      <c r="DH454"/>
      <c r="DI454"/>
      <c r="DJ454"/>
      <c r="DK454"/>
      <c r="DL454"/>
      <c r="DM454"/>
      <c r="DN454"/>
      <c r="DO454"/>
      <c r="DP454"/>
      <c r="DQ454"/>
      <c r="DR454"/>
      <c r="DS454"/>
      <c r="DT454"/>
      <c r="DU454"/>
      <c r="DV454"/>
      <c r="DW454"/>
      <c r="DX454"/>
      <c r="DY454"/>
      <c r="DZ454"/>
      <c r="EA454"/>
      <c r="EB454"/>
      <c r="EC454"/>
      <c r="ED454"/>
      <c r="EE454"/>
      <c r="EF454"/>
      <c r="EG454"/>
      <c r="EH454"/>
      <c r="EI454"/>
      <c r="EJ454"/>
      <c r="EK454"/>
      <c r="EL454"/>
      <c r="EM454"/>
      <c r="EN454"/>
      <c r="EO454"/>
      <c r="EP454"/>
      <c r="EQ454"/>
      <c r="ER454"/>
      <c r="ES454"/>
      <c r="ET454"/>
      <c r="EU454"/>
      <c r="EV454"/>
      <c r="EW454"/>
      <c r="EX454"/>
      <c r="EY454"/>
      <c r="EZ454"/>
      <c r="FA454"/>
      <c r="FB454"/>
      <c r="FC454"/>
      <c r="FD454"/>
      <c r="FE454"/>
      <c r="FF454"/>
      <c r="FG454"/>
      <c r="FH454"/>
      <c r="FI454"/>
      <c r="FJ454"/>
      <c r="FK454"/>
      <c r="FL454"/>
      <c r="FM454"/>
      <c r="FN454"/>
      <c r="FO454"/>
      <c r="FP454"/>
      <c r="FQ454"/>
      <c r="FR454"/>
      <c r="FS454"/>
      <c r="FT454"/>
      <c r="FU454"/>
      <c r="FV454"/>
      <c r="FW454"/>
      <c r="FX454"/>
      <c r="FY454"/>
      <c r="FZ454"/>
      <c r="GA454"/>
      <c r="GB454"/>
      <c r="GC454"/>
      <c r="GD454"/>
      <c r="GE454"/>
      <c r="GF454"/>
      <c r="GG454"/>
      <c r="GH454"/>
      <c r="GI454"/>
      <c r="GJ454"/>
      <c r="GK454"/>
      <c r="GL454"/>
      <c r="GM454"/>
      <c r="GN454"/>
      <c r="GO454"/>
      <c r="GP454"/>
      <c r="GQ454"/>
      <c r="GR454"/>
      <c r="GS454"/>
      <c r="GT454"/>
      <c r="GU454"/>
      <c r="GV454"/>
      <c r="GW454"/>
      <c r="GX454"/>
      <c r="GY454"/>
      <c r="GZ454"/>
      <c r="HA454"/>
    </row>
    <row r="455" spans="1:209" ht="15" customHeight="1" x14ac:dyDescent="0.15">
      <c r="A45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c r="CW455"/>
      <c r="CX455"/>
      <c r="CY455"/>
      <c r="CZ455"/>
      <c r="DA455"/>
      <c r="DB455"/>
      <c r="DC455"/>
      <c r="DD455"/>
      <c r="DE455"/>
      <c r="DF455"/>
      <c r="DG455"/>
      <c r="DH455"/>
      <c r="DI455"/>
      <c r="DJ455"/>
      <c r="DK455"/>
      <c r="DL455"/>
      <c r="DM455"/>
      <c r="DN455"/>
      <c r="DO455"/>
      <c r="DP455"/>
      <c r="DQ455"/>
      <c r="DR455"/>
      <c r="DS455"/>
      <c r="DT455"/>
      <c r="DU455"/>
      <c r="DV455"/>
      <c r="DW455"/>
      <c r="DX455"/>
      <c r="DY455"/>
      <c r="DZ455"/>
      <c r="EA455"/>
      <c r="EB455"/>
      <c r="EC455"/>
      <c r="ED455"/>
      <c r="EE455"/>
      <c r="EF455"/>
      <c r="EG455"/>
      <c r="EH455"/>
      <c r="EI455"/>
      <c r="EJ455"/>
      <c r="EK455"/>
      <c r="EL455"/>
      <c r="EM455"/>
      <c r="EN455"/>
      <c r="EO455"/>
      <c r="EP455"/>
      <c r="EQ455"/>
      <c r="ER455"/>
      <c r="ES455"/>
      <c r="ET455"/>
      <c r="EU455"/>
      <c r="EV455"/>
      <c r="EW455"/>
      <c r="EX455"/>
      <c r="EY455"/>
      <c r="EZ455"/>
      <c r="FA455"/>
      <c r="FB455"/>
      <c r="FC455"/>
      <c r="FD455"/>
      <c r="FE455"/>
      <c r="FF455"/>
      <c r="FG455"/>
      <c r="FH455"/>
      <c r="FI455"/>
      <c r="FJ455"/>
      <c r="FK455"/>
      <c r="FL455"/>
      <c r="FM455"/>
      <c r="FN455"/>
      <c r="FO455"/>
      <c r="FP455"/>
      <c r="FQ455"/>
      <c r="FR455"/>
      <c r="FS455"/>
      <c r="FT455"/>
      <c r="FU455"/>
      <c r="FV455"/>
      <c r="FW455"/>
      <c r="FX455"/>
      <c r="FY455"/>
      <c r="FZ455"/>
      <c r="GA455"/>
      <c r="GB455"/>
      <c r="GC455"/>
      <c r="GD455"/>
      <c r="GE455"/>
      <c r="GF455"/>
      <c r="GG455"/>
      <c r="GH455"/>
      <c r="GI455"/>
      <c r="GJ455"/>
      <c r="GK455"/>
      <c r="GL455"/>
      <c r="GM455"/>
      <c r="GN455"/>
      <c r="GO455"/>
      <c r="GP455"/>
      <c r="GQ455"/>
      <c r="GR455"/>
      <c r="GS455"/>
      <c r="GT455"/>
      <c r="GU455"/>
      <c r="GV455"/>
      <c r="GW455"/>
      <c r="GX455"/>
      <c r="GY455"/>
      <c r="GZ455"/>
      <c r="HA455"/>
    </row>
    <row r="456" spans="1:209" ht="15" customHeight="1" x14ac:dyDescent="0.15">
      <c r="A456"/>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M456"/>
      <c r="CN456"/>
      <c r="CO456"/>
      <c r="CP456"/>
      <c r="CQ456"/>
      <c r="CR456"/>
      <c r="CS456"/>
      <c r="CT456"/>
      <c r="CU456"/>
      <c r="CV456"/>
      <c r="CW456"/>
      <c r="CX456"/>
      <c r="CY456"/>
      <c r="CZ456"/>
      <c r="DA456"/>
      <c r="DB456"/>
      <c r="DC456"/>
      <c r="DD456"/>
      <c r="DE456"/>
      <c r="DF456"/>
      <c r="DG456"/>
      <c r="DH456"/>
      <c r="DI456"/>
      <c r="DJ456"/>
      <c r="DK456"/>
      <c r="DL456"/>
      <c r="DM456"/>
      <c r="DN456"/>
      <c r="DO456"/>
      <c r="DP456"/>
      <c r="DQ456"/>
      <c r="DR456"/>
      <c r="DS456"/>
      <c r="DT456"/>
      <c r="DU456"/>
      <c r="DV456"/>
      <c r="DW456"/>
      <c r="DX456"/>
      <c r="DY456"/>
      <c r="DZ456"/>
      <c r="EA456"/>
      <c r="EB456"/>
      <c r="EC456"/>
      <c r="ED456"/>
      <c r="EE456"/>
      <c r="EF456"/>
      <c r="EG456"/>
      <c r="EH456"/>
      <c r="EI456"/>
      <c r="EJ456"/>
      <c r="EK456"/>
      <c r="EL456"/>
      <c r="EM456"/>
      <c r="EN456"/>
      <c r="EO456"/>
      <c r="EP456"/>
      <c r="EQ456"/>
      <c r="ER456"/>
      <c r="ES456"/>
      <c r="ET456"/>
      <c r="EU456"/>
      <c r="EV456"/>
      <c r="EW456"/>
      <c r="EX456"/>
      <c r="EY456"/>
      <c r="EZ456"/>
      <c r="FA456"/>
      <c r="FB456"/>
      <c r="FC456"/>
      <c r="FD456"/>
      <c r="FE456"/>
      <c r="FF456"/>
      <c r="FG456"/>
      <c r="FH456"/>
      <c r="FI456"/>
      <c r="FJ456"/>
      <c r="FK456"/>
      <c r="FL456"/>
      <c r="FM456"/>
      <c r="FN456"/>
      <c r="FO456"/>
      <c r="FP456"/>
      <c r="FQ456"/>
      <c r="FR456"/>
      <c r="FS456"/>
      <c r="FT456"/>
      <c r="FU456"/>
      <c r="FV456"/>
      <c r="FW456"/>
      <c r="FX456"/>
      <c r="FY456"/>
      <c r="FZ456"/>
      <c r="GA456"/>
      <c r="GB456"/>
      <c r="GC456"/>
      <c r="GD456"/>
      <c r="GE456"/>
      <c r="GF456"/>
      <c r="GG456"/>
      <c r="GH456"/>
      <c r="GI456"/>
      <c r="GJ456"/>
      <c r="GK456"/>
      <c r="GL456"/>
      <c r="GM456"/>
      <c r="GN456"/>
      <c r="GO456"/>
      <c r="GP456"/>
      <c r="GQ456"/>
      <c r="GR456"/>
      <c r="GS456"/>
      <c r="GT456"/>
      <c r="GU456"/>
      <c r="GV456"/>
      <c r="GW456"/>
      <c r="GX456"/>
      <c r="GY456"/>
      <c r="GZ456"/>
      <c r="HA456"/>
    </row>
    <row r="457" spans="1:209" ht="15" customHeight="1" x14ac:dyDescent="0.15">
      <c r="A457"/>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M457"/>
      <c r="CN457"/>
      <c r="CO457"/>
      <c r="CP457"/>
      <c r="CQ457"/>
      <c r="CR457"/>
      <c r="CS457"/>
      <c r="CT457"/>
      <c r="CU457"/>
      <c r="CV457"/>
      <c r="CW457"/>
      <c r="CX457"/>
      <c r="CY457"/>
      <c r="CZ457"/>
      <c r="DA457"/>
      <c r="DB457"/>
      <c r="DC457"/>
      <c r="DD457"/>
      <c r="DE457"/>
      <c r="DF457"/>
      <c r="DG457"/>
      <c r="DH457"/>
      <c r="DI457"/>
      <c r="DJ457"/>
      <c r="DK457"/>
      <c r="DL457"/>
      <c r="DM457"/>
      <c r="DN457"/>
      <c r="DO457"/>
      <c r="DP457"/>
      <c r="DQ457"/>
      <c r="DR457"/>
      <c r="DS457"/>
      <c r="DT457"/>
      <c r="DU457"/>
      <c r="DV457"/>
      <c r="DW457"/>
      <c r="DX457"/>
      <c r="DY457"/>
      <c r="DZ457"/>
      <c r="EA457"/>
      <c r="EB457"/>
      <c r="EC457"/>
      <c r="ED457"/>
      <c r="EE457"/>
      <c r="EF457"/>
      <c r="EG457"/>
      <c r="EH457"/>
      <c r="EI457"/>
      <c r="EJ457"/>
      <c r="EK457"/>
      <c r="EL457"/>
      <c r="EM457"/>
      <c r="EN457"/>
      <c r="EO457"/>
      <c r="EP457"/>
      <c r="EQ457"/>
      <c r="ER457"/>
      <c r="ES457"/>
      <c r="ET457"/>
      <c r="EU457"/>
      <c r="EV457"/>
      <c r="EW457"/>
      <c r="EX457"/>
      <c r="EY457"/>
      <c r="EZ457"/>
      <c r="FA457"/>
      <c r="FB457"/>
      <c r="FC457"/>
      <c r="FD457"/>
      <c r="FE457"/>
      <c r="FF457"/>
      <c r="FG457"/>
      <c r="FH457"/>
      <c r="FI457"/>
      <c r="FJ457"/>
      <c r="FK457"/>
      <c r="FL457"/>
      <c r="FM457"/>
      <c r="FN457"/>
      <c r="FO457"/>
      <c r="FP457"/>
      <c r="FQ457"/>
      <c r="FR457"/>
      <c r="FS457"/>
      <c r="FT457"/>
      <c r="FU457"/>
      <c r="FV457"/>
      <c r="FW457"/>
      <c r="FX457"/>
      <c r="FY457"/>
      <c r="FZ457"/>
      <c r="GA457"/>
      <c r="GB457"/>
      <c r="GC457"/>
      <c r="GD457"/>
      <c r="GE457"/>
      <c r="GF457"/>
      <c r="GG457"/>
      <c r="GH457"/>
      <c r="GI457"/>
      <c r="GJ457"/>
      <c r="GK457"/>
      <c r="GL457"/>
      <c r="GM457"/>
      <c r="GN457"/>
      <c r="GO457"/>
      <c r="GP457"/>
      <c r="GQ457"/>
      <c r="GR457"/>
      <c r="GS457"/>
      <c r="GT457"/>
      <c r="GU457"/>
      <c r="GV457"/>
      <c r="GW457"/>
      <c r="GX457"/>
      <c r="GY457"/>
      <c r="GZ457"/>
      <c r="HA457"/>
    </row>
    <row r="458" spans="1:209" ht="15" customHeight="1" x14ac:dyDescent="0.15">
      <c r="A458"/>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M458"/>
      <c r="CN458"/>
      <c r="CO458"/>
      <c r="CP458"/>
      <c r="CQ458"/>
      <c r="CR458"/>
      <c r="CS458"/>
      <c r="CT458"/>
      <c r="CU458"/>
      <c r="CV458"/>
      <c r="CW458"/>
      <c r="CX458"/>
      <c r="CY458"/>
      <c r="CZ458"/>
      <c r="DA458"/>
      <c r="DB458"/>
      <c r="DC458"/>
      <c r="DD458"/>
      <c r="DE458"/>
      <c r="DF458"/>
      <c r="DG458"/>
      <c r="DH458"/>
      <c r="DI458"/>
      <c r="DJ458"/>
      <c r="DK458"/>
      <c r="DL458"/>
      <c r="DM458"/>
      <c r="DN458"/>
      <c r="DO458"/>
      <c r="DP458"/>
      <c r="DQ458"/>
      <c r="DR458"/>
      <c r="DS458"/>
      <c r="DT458"/>
      <c r="DU458"/>
      <c r="DV458"/>
      <c r="DW458"/>
      <c r="DX458"/>
      <c r="DY458"/>
      <c r="DZ458"/>
      <c r="EA458"/>
      <c r="EB458"/>
      <c r="EC458"/>
      <c r="ED458"/>
      <c r="EE458"/>
      <c r="EF458"/>
      <c r="EG458"/>
      <c r="EH458"/>
      <c r="EI458"/>
      <c r="EJ458"/>
      <c r="EK458"/>
      <c r="EL458"/>
      <c r="EM458"/>
      <c r="EN458"/>
      <c r="EO458"/>
      <c r="EP458"/>
      <c r="EQ458"/>
      <c r="ER458"/>
      <c r="ES458"/>
      <c r="ET458"/>
      <c r="EU458"/>
      <c r="EV458"/>
      <c r="EW458"/>
      <c r="EX458"/>
      <c r="EY458"/>
      <c r="EZ458"/>
      <c r="FA458"/>
      <c r="FB458"/>
      <c r="FC458"/>
      <c r="FD458"/>
      <c r="FE458"/>
      <c r="FF458"/>
      <c r="FG458"/>
      <c r="FH458"/>
      <c r="FI458"/>
      <c r="FJ458"/>
      <c r="FK458"/>
      <c r="FL458"/>
      <c r="FM458"/>
      <c r="FN458"/>
      <c r="FO458"/>
      <c r="FP458"/>
      <c r="FQ458"/>
      <c r="FR458"/>
      <c r="FS458"/>
      <c r="FT458"/>
      <c r="FU458"/>
      <c r="FV458"/>
      <c r="FW458"/>
      <c r="FX458"/>
      <c r="FY458"/>
      <c r="FZ458"/>
      <c r="GA458"/>
      <c r="GB458"/>
      <c r="GC458"/>
      <c r="GD458"/>
      <c r="GE458"/>
      <c r="GF458"/>
      <c r="GG458"/>
      <c r="GH458"/>
      <c r="GI458"/>
      <c r="GJ458"/>
      <c r="GK458"/>
      <c r="GL458"/>
      <c r="GM458"/>
      <c r="GN458"/>
      <c r="GO458"/>
      <c r="GP458"/>
      <c r="GQ458"/>
      <c r="GR458"/>
      <c r="GS458"/>
      <c r="GT458"/>
      <c r="GU458"/>
      <c r="GV458"/>
      <c r="GW458"/>
      <c r="GX458"/>
      <c r="GY458"/>
      <c r="GZ458"/>
      <c r="HA458"/>
    </row>
    <row r="459" spans="1:209" ht="15" customHeight="1" x14ac:dyDescent="0.15">
      <c r="A459"/>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M459"/>
      <c r="CN459"/>
      <c r="CO459"/>
      <c r="CP459"/>
      <c r="CQ459"/>
      <c r="CR459"/>
      <c r="CS459"/>
      <c r="CT459"/>
      <c r="CU459"/>
      <c r="CV459"/>
      <c r="CW459"/>
      <c r="CX459"/>
      <c r="CY459"/>
      <c r="CZ459"/>
      <c r="DA459"/>
      <c r="DB459"/>
      <c r="DC459"/>
      <c r="DD459"/>
      <c r="DE459"/>
      <c r="DF459"/>
      <c r="DG459"/>
      <c r="DH459"/>
      <c r="DI459"/>
      <c r="DJ459"/>
      <c r="DK459"/>
      <c r="DL459"/>
      <c r="DM459"/>
      <c r="DN459"/>
      <c r="DO459"/>
      <c r="DP459"/>
      <c r="DQ459"/>
      <c r="DR459"/>
      <c r="DS459"/>
      <c r="DT459"/>
      <c r="DU459"/>
      <c r="DV459"/>
      <c r="DW459"/>
      <c r="DX459"/>
      <c r="DY459"/>
      <c r="DZ459"/>
      <c r="EA459"/>
      <c r="EB459"/>
      <c r="EC459"/>
      <c r="ED459"/>
      <c r="EE459"/>
      <c r="EF459"/>
      <c r="EG459"/>
      <c r="EH459"/>
      <c r="EI459"/>
      <c r="EJ459"/>
      <c r="EK459"/>
      <c r="EL459"/>
      <c r="EM459"/>
      <c r="EN459"/>
      <c r="EO459"/>
      <c r="EP459"/>
      <c r="EQ459"/>
      <c r="ER459"/>
      <c r="ES459"/>
      <c r="ET459"/>
      <c r="EU459"/>
      <c r="EV459"/>
      <c r="EW459"/>
      <c r="EX459"/>
      <c r="EY459"/>
      <c r="EZ459"/>
      <c r="FA459"/>
      <c r="FB459"/>
      <c r="FC459"/>
      <c r="FD459"/>
      <c r="FE459"/>
      <c r="FF459"/>
      <c r="FG459"/>
      <c r="FH459"/>
      <c r="FI459"/>
      <c r="FJ459"/>
      <c r="FK459"/>
      <c r="FL459"/>
      <c r="FM459"/>
      <c r="FN459"/>
      <c r="FO459"/>
      <c r="FP459"/>
      <c r="FQ459"/>
      <c r="FR459"/>
      <c r="FS459"/>
      <c r="FT459"/>
      <c r="FU459"/>
      <c r="FV459"/>
      <c r="FW459"/>
      <c r="FX459"/>
      <c r="FY459"/>
      <c r="FZ459"/>
      <c r="GA459"/>
      <c r="GB459"/>
      <c r="GC459"/>
      <c r="GD459"/>
      <c r="GE459"/>
      <c r="GF459"/>
      <c r="GG459"/>
      <c r="GH459"/>
      <c r="GI459"/>
      <c r="GJ459"/>
      <c r="GK459"/>
      <c r="GL459"/>
      <c r="GM459"/>
      <c r="GN459"/>
      <c r="GO459"/>
      <c r="GP459"/>
      <c r="GQ459"/>
      <c r="GR459"/>
      <c r="GS459"/>
      <c r="GT459"/>
      <c r="GU459"/>
      <c r="GV459"/>
      <c r="GW459"/>
      <c r="GX459"/>
      <c r="GY459"/>
      <c r="GZ459"/>
      <c r="HA459"/>
    </row>
    <row r="460" spans="1:209" ht="15" customHeight="1" x14ac:dyDescent="0.15">
      <c r="A460"/>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M460"/>
      <c r="CN460"/>
      <c r="CO460"/>
      <c r="CP460"/>
      <c r="CQ460"/>
      <c r="CR460"/>
      <c r="CS460"/>
      <c r="CT460"/>
      <c r="CU460"/>
      <c r="CV460"/>
      <c r="CW460"/>
      <c r="CX460"/>
      <c r="CY460"/>
      <c r="CZ460"/>
      <c r="DA460"/>
      <c r="DB460"/>
      <c r="DC460"/>
      <c r="DD460"/>
      <c r="DE460"/>
      <c r="DF460"/>
      <c r="DG460"/>
      <c r="DH460"/>
      <c r="DI460"/>
      <c r="DJ460"/>
      <c r="DK460"/>
      <c r="DL460"/>
      <c r="DM460"/>
      <c r="DN460"/>
      <c r="DO460"/>
      <c r="DP460"/>
      <c r="DQ460"/>
      <c r="DR460"/>
      <c r="DS460"/>
      <c r="DT460"/>
      <c r="DU460"/>
      <c r="DV460"/>
      <c r="DW460"/>
      <c r="DX460"/>
      <c r="DY460"/>
      <c r="DZ460"/>
      <c r="EA460"/>
      <c r="EB460"/>
      <c r="EC460"/>
      <c r="ED460"/>
      <c r="EE460"/>
      <c r="EF460"/>
      <c r="EG460"/>
      <c r="EH460"/>
      <c r="EI460"/>
      <c r="EJ460"/>
      <c r="EK460"/>
      <c r="EL460"/>
      <c r="EM460"/>
      <c r="EN460"/>
      <c r="EO460"/>
      <c r="EP460"/>
      <c r="EQ460"/>
      <c r="ER460"/>
      <c r="ES460"/>
      <c r="ET460"/>
      <c r="EU460"/>
      <c r="EV460"/>
      <c r="EW460"/>
      <c r="EX460"/>
      <c r="EY460"/>
      <c r="EZ460"/>
      <c r="FA460"/>
      <c r="FB460"/>
      <c r="FC460"/>
      <c r="FD460"/>
      <c r="FE460"/>
      <c r="FF460"/>
      <c r="FG460"/>
      <c r="FH460"/>
      <c r="FI460"/>
      <c r="FJ460"/>
      <c r="FK460"/>
      <c r="FL460"/>
      <c r="FM460"/>
      <c r="FN460"/>
      <c r="FO460"/>
      <c r="FP460"/>
      <c r="FQ460"/>
      <c r="FR460"/>
      <c r="FS460"/>
      <c r="FT460"/>
      <c r="FU460"/>
      <c r="FV460"/>
      <c r="FW460"/>
      <c r="FX460"/>
      <c r="FY460"/>
      <c r="FZ460"/>
      <c r="GA460"/>
      <c r="GB460"/>
      <c r="GC460"/>
      <c r="GD460"/>
      <c r="GE460"/>
      <c r="GF460"/>
      <c r="GG460"/>
      <c r="GH460"/>
      <c r="GI460"/>
      <c r="GJ460"/>
      <c r="GK460"/>
      <c r="GL460"/>
      <c r="GM460"/>
      <c r="GN460"/>
      <c r="GO460"/>
      <c r="GP460"/>
      <c r="GQ460"/>
      <c r="GR460"/>
      <c r="GS460"/>
      <c r="GT460"/>
      <c r="GU460"/>
      <c r="GV460"/>
      <c r="GW460"/>
      <c r="GX460"/>
      <c r="GY460"/>
      <c r="GZ460"/>
      <c r="HA460"/>
    </row>
    <row r="461" spans="1:209" ht="15" customHeight="1" x14ac:dyDescent="0.15">
      <c r="A461"/>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M461"/>
      <c r="CN461"/>
      <c r="CO461"/>
      <c r="CP461"/>
      <c r="CQ461"/>
      <c r="CR461"/>
      <c r="CS461"/>
      <c r="CT461"/>
      <c r="CU461"/>
      <c r="CV461"/>
      <c r="CW461"/>
      <c r="CX461"/>
      <c r="CY461"/>
      <c r="CZ461"/>
      <c r="DA461"/>
      <c r="DB461"/>
      <c r="DC461"/>
      <c r="DD461"/>
      <c r="DE461"/>
      <c r="DF461"/>
      <c r="DG461"/>
      <c r="DH461"/>
      <c r="DI461"/>
      <c r="DJ461"/>
      <c r="DK461"/>
      <c r="DL461"/>
      <c r="DM461"/>
      <c r="DN461"/>
      <c r="DO461"/>
      <c r="DP461"/>
      <c r="DQ461"/>
      <c r="DR461"/>
      <c r="DS461"/>
      <c r="DT461"/>
      <c r="DU461"/>
      <c r="DV461"/>
      <c r="DW461"/>
      <c r="DX461"/>
      <c r="DY461"/>
      <c r="DZ461"/>
      <c r="EA461"/>
      <c r="EB461"/>
      <c r="EC461"/>
      <c r="ED461"/>
      <c r="EE461"/>
      <c r="EF461"/>
      <c r="EG461"/>
      <c r="EH461"/>
      <c r="EI461"/>
      <c r="EJ461"/>
      <c r="EK461"/>
      <c r="EL461"/>
      <c r="EM461"/>
      <c r="EN461"/>
      <c r="EO461"/>
      <c r="EP461"/>
      <c r="EQ461"/>
      <c r="ER461"/>
      <c r="ES461"/>
      <c r="ET461"/>
      <c r="EU461"/>
      <c r="EV461"/>
      <c r="EW461"/>
      <c r="EX461"/>
      <c r="EY461"/>
      <c r="EZ461"/>
      <c r="FA461"/>
      <c r="FB461"/>
      <c r="FC461"/>
      <c r="FD461"/>
      <c r="FE461"/>
      <c r="FF461"/>
      <c r="FG461"/>
      <c r="FH461"/>
      <c r="FI461"/>
      <c r="FJ461"/>
      <c r="FK461"/>
      <c r="FL461"/>
      <c r="FM461"/>
      <c r="FN461"/>
      <c r="FO461"/>
      <c r="FP461"/>
      <c r="FQ461"/>
      <c r="FR461"/>
      <c r="FS461"/>
      <c r="FT461"/>
      <c r="FU461"/>
      <c r="FV461"/>
      <c r="FW461"/>
      <c r="FX461"/>
      <c r="FY461"/>
      <c r="FZ461"/>
      <c r="GA461"/>
      <c r="GB461"/>
      <c r="GC461"/>
      <c r="GD461"/>
      <c r="GE461"/>
      <c r="GF461"/>
      <c r="GG461"/>
      <c r="GH461"/>
      <c r="GI461"/>
      <c r="GJ461"/>
      <c r="GK461"/>
      <c r="GL461"/>
      <c r="GM461"/>
      <c r="GN461"/>
      <c r="GO461"/>
      <c r="GP461"/>
      <c r="GQ461"/>
      <c r="GR461"/>
      <c r="GS461"/>
      <c r="GT461"/>
      <c r="GU461"/>
      <c r="GV461"/>
      <c r="GW461"/>
      <c r="GX461"/>
      <c r="GY461"/>
      <c r="GZ461"/>
      <c r="HA461"/>
    </row>
    <row r="462" spans="1:209" ht="15" customHeight="1" x14ac:dyDescent="0.15">
      <c r="A462"/>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M462"/>
      <c r="CN462"/>
      <c r="CO462"/>
      <c r="CP462"/>
      <c r="CQ462"/>
      <c r="CR462"/>
      <c r="CS462"/>
      <c r="CT462"/>
      <c r="CU462"/>
      <c r="CV462"/>
      <c r="CW462"/>
      <c r="CX462"/>
      <c r="CY462"/>
      <c r="CZ462"/>
      <c r="DA462"/>
      <c r="DB462"/>
      <c r="DC462"/>
      <c r="DD462"/>
      <c r="DE462"/>
      <c r="DF462"/>
      <c r="DG462"/>
      <c r="DH462"/>
      <c r="DI462"/>
      <c r="DJ462"/>
      <c r="DK462"/>
      <c r="DL462"/>
      <c r="DM462"/>
      <c r="DN462"/>
      <c r="DO462"/>
      <c r="DP462"/>
      <c r="DQ462"/>
      <c r="DR462"/>
      <c r="DS462"/>
      <c r="DT462"/>
      <c r="DU462"/>
      <c r="DV462"/>
      <c r="DW462"/>
      <c r="DX462"/>
      <c r="DY462"/>
      <c r="DZ462"/>
      <c r="EA462"/>
      <c r="EB462"/>
      <c r="EC462"/>
      <c r="ED462"/>
      <c r="EE462"/>
      <c r="EF462"/>
      <c r="EG462"/>
      <c r="EH462"/>
      <c r="EI462"/>
      <c r="EJ462"/>
      <c r="EK462"/>
      <c r="EL462"/>
      <c r="EM462"/>
      <c r="EN462"/>
      <c r="EO462"/>
      <c r="EP462"/>
      <c r="EQ462"/>
      <c r="ER462"/>
      <c r="ES462"/>
      <c r="ET462"/>
      <c r="EU462"/>
      <c r="EV462"/>
      <c r="EW462"/>
      <c r="EX462"/>
      <c r="EY462"/>
      <c r="EZ462"/>
      <c r="FA462"/>
      <c r="FB462"/>
      <c r="FC462"/>
      <c r="FD462"/>
      <c r="FE462"/>
      <c r="FF462"/>
      <c r="FG462"/>
      <c r="FH462"/>
      <c r="FI462"/>
      <c r="FJ462"/>
      <c r="FK462"/>
      <c r="FL462"/>
      <c r="FM462"/>
      <c r="FN462"/>
      <c r="FO462"/>
      <c r="FP462"/>
      <c r="FQ462"/>
      <c r="FR462"/>
      <c r="FS462"/>
      <c r="FT462"/>
      <c r="FU462"/>
      <c r="FV462"/>
      <c r="FW462"/>
      <c r="FX462"/>
      <c r="FY462"/>
      <c r="FZ462"/>
      <c r="GA462"/>
      <c r="GB462"/>
      <c r="GC462"/>
      <c r="GD462"/>
      <c r="GE462"/>
      <c r="GF462"/>
      <c r="GG462"/>
      <c r="GH462"/>
      <c r="GI462"/>
      <c r="GJ462"/>
      <c r="GK462"/>
      <c r="GL462"/>
      <c r="GM462"/>
      <c r="GN462"/>
      <c r="GO462"/>
      <c r="GP462"/>
      <c r="GQ462"/>
      <c r="GR462"/>
      <c r="GS462"/>
      <c r="GT462"/>
      <c r="GU462"/>
      <c r="GV462"/>
      <c r="GW462"/>
      <c r="GX462"/>
      <c r="GY462"/>
      <c r="GZ462"/>
      <c r="HA462"/>
    </row>
    <row r="463" spans="1:209" ht="15" customHeight="1" x14ac:dyDescent="0.15">
      <c r="A463"/>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M463"/>
      <c r="CN463"/>
      <c r="CO463"/>
      <c r="CP463"/>
      <c r="CQ463"/>
      <c r="CR463"/>
      <c r="CS463"/>
      <c r="CT463"/>
      <c r="CU463"/>
      <c r="CV463"/>
      <c r="CW463"/>
      <c r="CX463"/>
      <c r="CY463"/>
      <c r="CZ463"/>
      <c r="DA463"/>
      <c r="DB463"/>
      <c r="DC463"/>
      <c r="DD463"/>
      <c r="DE463"/>
      <c r="DF463"/>
      <c r="DG463"/>
      <c r="DH463"/>
      <c r="DI463"/>
      <c r="DJ463"/>
      <c r="DK463"/>
      <c r="DL463"/>
      <c r="DM463"/>
      <c r="DN463"/>
      <c r="DO463"/>
      <c r="DP463"/>
      <c r="DQ463"/>
      <c r="DR463"/>
      <c r="DS463"/>
      <c r="DT463"/>
      <c r="DU463"/>
      <c r="DV463"/>
      <c r="DW463"/>
      <c r="DX463"/>
      <c r="DY463"/>
      <c r="DZ463"/>
      <c r="EA463"/>
      <c r="EB463"/>
      <c r="EC463"/>
      <c r="ED463"/>
      <c r="EE463"/>
      <c r="EF463"/>
      <c r="EG463"/>
      <c r="EH463"/>
      <c r="EI463"/>
      <c r="EJ463"/>
      <c r="EK463"/>
      <c r="EL463"/>
      <c r="EM463"/>
      <c r="EN463"/>
      <c r="EO463"/>
      <c r="EP463"/>
      <c r="EQ463"/>
      <c r="ER463"/>
      <c r="ES463"/>
      <c r="ET463"/>
      <c r="EU463"/>
      <c r="EV463"/>
      <c r="EW463"/>
      <c r="EX463"/>
      <c r="EY463"/>
      <c r="EZ463"/>
      <c r="FA463"/>
      <c r="FB463"/>
      <c r="FC463"/>
      <c r="FD463"/>
      <c r="FE463"/>
      <c r="FF463"/>
      <c r="FG463"/>
      <c r="FH463"/>
      <c r="FI463"/>
      <c r="FJ463"/>
      <c r="FK463"/>
      <c r="FL463"/>
      <c r="FM463"/>
      <c r="FN463"/>
      <c r="FO463"/>
      <c r="FP463"/>
      <c r="FQ463"/>
      <c r="FR463"/>
      <c r="FS463"/>
      <c r="FT463"/>
      <c r="FU463"/>
      <c r="FV463"/>
      <c r="FW463"/>
      <c r="FX463"/>
      <c r="FY463"/>
      <c r="FZ463"/>
      <c r="GA463"/>
      <c r="GB463"/>
      <c r="GC463"/>
      <c r="GD463"/>
      <c r="GE463"/>
      <c r="GF463"/>
      <c r="GG463"/>
      <c r="GH463"/>
      <c r="GI463"/>
      <c r="GJ463"/>
      <c r="GK463"/>
      <c r="GL463"/>
      <c r="GM463"/>
      <c r="GN463"/>
      <c r="GO463"/>
      <c r="GP463"/>
      <c r="GQ463"/>
      <c r="GR463"/>
      <c r="GS463"/>
      <c r="GT463"/>
      <c r="GU463"/>
      <c r="GV463"/>
      <c r="GW463"/>
      <c r="GX463"/>
      <c r="GY463"/>
      <c r="GZ463"/>
      <c r="HA463"/>
    </row>
    <row r="464" spans="1:209" ht="15" customHeight="1" x14ac:dyDescent="0.15">
      <c r="A464"/>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M464"/>
      <c r="CN464"/>
      <c r="CO464"/>
      <c r="CP464"/>
      <c r="CQ464"/>
      <c r="CR464"/>
      <c r="CS464"/>
      <c r="CT464"/>
      <c r="CU464"/>
      <c r="CV464"/>
      <c r="CW464"/>
      <c r="CX464"/>
      <c r="CY464"/>
      <c r="CZ464"/>
      <c r="DA464"/>
      <c r="DB464"/>
      <c r="DC464"/>
      <c r="DD464"/>
      <c r="DE464"/>
      <c r="DF464"/>
      <c r="DG464"/>
      <c r="DH464"/>
      <c r="DI464"/>
      <c r="DJ464"/>
      <c r="DK464"/>
      <c r="DL464"/>
      <c r="DM464"/>
      <c r="DN464"/>
      <c r="DO464"/>
      <c r="DP464"/>
      <c r="DQ464"/>
      <c r="DR464"/>
      <c r="DS464"/>
      <c r="DT464"/>
      <c r="DU464"/>
      <c r="DV464"/>
      <c r="DW464"/>
      <c r="DX464"/>
      <c r="DY464"/>
      <c r="DZ464"/>
      <c r="EA464"/>
      <c r="EB464"/>
      <c r="EC464"/>
      <c r="ED464"/>
      <c r="EE464"/>
      <c r="EF464"/>
      <c r="EG464"/>
      <c r="EH464"/>
      <c r="EI464"/>
      <c r="EJ464"/>
      <c r="EK464"/>
      <c r="EL464"/>
      <c r="EM464"/>
      <c r="EN464"/>
      <c r="EO464"/>
      <c r="EP464"/>
      <c r="EQ464"/>
      <c r="ER464"/>
      <c r="ES464"/>
      <c r="ET464"/>
      <c r="EU464"/>
      <c r="EV464"/>
      <c r="EW464"/>
      <c r="EX464"/>
      <c r="EY464"/>
      <c r="EZ464"/>
      <c r="FA464"/>
      <c r="FB464"/>
      <c r="FC464"/>
      <c r="FD464"/>
      <c r="FE464"/>
      <c r="FF464"/>
      <c r="FG464"/>
      <c r="FH464"/>
      <c r="FI464"/>
      <c r="FJ464"/>
      <c r="FK464"/>
      <c r="FL464"/>
      <c r="FM464"/>
      <c r="FN464"/>
      <c r="FO464"/>
      <c r="FP464"/>
      <c r="FQ464"/>
      <c r="FR464"/>
      <c r="FS464"/>
      <c r="FT464"/>
      <c r="FU464"/>
      <c r="FV464"/>
      <c r="FW464"/>
      <c r="FX464"/>
      <c r="FY464"/>
      <c r="FZ464"/>
      <c r="GA464"/>
      <c r="GB464"/>
      <c r="GC464"/>
      <c r="GD464"/>
      <c r="GE464"/>
      <c r="GF464"/>
      <c r="GG464"/>
      <c r="GH464"/>
      <c r="GI464"/>
      <c r="GJ464"/>
      <c r="GK464"/>
      <c r="GL464"/>
      <c r="GM464"/>
      <c r="GN464"/>
      <c r="GO464"/>
      <c r="GP464"/>
      <c r="GQ464"/>
      <c r="GR464"/>
      <c r="GS464"/>
      <c r="GT464"/>
      <c r="GU464"/>
      <c r="GV464"/>
      <c r="GW464"/>
      <c r="GX464"/>
      <c r="GY464"/>
      <c r="GZ464"/>
      <c r="HA464"/>
    </row>
    <row r="465" spans="1:209" ht="15" customHeight="1" x14ac:dyDescent="0.15">
      <c r="A46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M465"/>
      <c r="CN465"/>
      <c r="CO465"/>
      <c r="CP465"/>
      <c r="CQ465"/>
      <c r="CR465"/>
      <c r="CS465"/>
      <c r="CT465"/>
      <c r="CU465"/>
      <c r="CV465"/>
      <c r="CW465"/>
      <c r="CX465"/>
      <c r="CY465"/>
      <c r="CZ465"/>
      <c r="DA465"/>
      <c r="DB465"/>
      <c r="DC465"/>
      <c r="DD465"/>
      <c r="DE465"/>
      <c r="DF465"/>
      <c r="DG465"/>
      <c r="DH465"/>
      <c r="DI465"/>
      <c r="DJ465"/>
      <c r="DK465"/>
      <c r="DL465"/>
      <c r="DM465"/>
      <c r="DN465"/>
      <c r="DO465"/>
      <c r="DP465"/>
      <c r="DQ465"/>
      <c r="DR465"/>
      <c r="DS465"/>
      <c r="DT465"/>
      <c r="DU465"/>
      <c r="DV465"/>
      <c r="DW465"/>
      <c r="DX465"/>
      <c r="DY465"/>
      <c r="DZ465"/>
      <c r="EA465"/>
      <c r="EB465"/>
      <c r="EC465"/>
      <c r="ED465"/>
      <c r="EE465"/>
      <c r="EF465"/>
      <c r="EG465"/>
      <c r="EH465"/>
      <c r="EI465"/>
      <c r="EJ465"/>
      <c r="EK465"/>
      <c r="EL465"/>
      <c r="EM465"/>
      <c r="EN465"/>
      <c r="EO465"/>
      <c r="EP465"/>
      <c r="EQ465"/>
      <c r="ER465"/>
      <c r="ES465"/>
      <c r="ET465"/>
      <c r="EU465"/>
      <c r="EV465"/>
      <c r="EW465"/>
      <c r="EX465"/>
      <c r="EY465"/>
      <c r="EZ465"/>
      <c r="FA465"/>
      <c r="FB465"/>
      <c r="FC465"/>
      <c r="FD465"/>
      <c r="FE465"/>
      <c r="FF465"/>
      <c r="FG465"/>
      <c r="FH465"/>
      <c r="FI465"/>
      <c r="FJ465"/>
      <c r="FK465"/>
      <c r="FL465"/>
      <c r="FM465"/>
      <c r="FN465"/>
      <c r="FO465"/>
      <c r="FP465"/>
      <c r="FQ465"/>
      <c r="FR465"/>
      <c r="FS465"/>
      <c r="FT465"/>
      <c r="FU465"/>
      <c r="FV465"/>
      <c r="FW465"/>
      <c r="FX465"/>
      <c r="FY465"/>
      <c r="FZ465"/>
      <c r="GA465"/>
      <c r="GB465"/>
      <c r="GC465"/>
      <c r="GD465"/>
      <c r="GE465"/>
      <c r="GF465"/>
      <c r="GG465"/>
      <c r="GH465"/>
      <c r="GI465"/>
      <c r="GJ465"/>
      <c r="GK465"/>
      <c r="GL465"/>
      <c r="GM465"/>
      <c r="GN465"/>
      <c r="GO465"/>
      <c r="GP465"/>
      <c r="GQ465"/>
      <c r="GR465"/>
      <c r="GS465"/>
      <c r="GT465"/>
      <c r="GU465"/>
      <c r="GV465"/>
      <c r="GW465"/>
      <c r="GX465"/>
      <c r="GY465"/>
      <c r="GZ465"/>
      <c r="HA465"/>
    </row>
    <row r="466" spans="1:209" ht="15" customHeight="1" x14ac:dyDescent="0.15">
      <c r="A466"/>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M466"/>
      <c r="CN466"/>
      <c r="CO466"/>
      <c r="CP466"/>
      <c r="CQ466"/>
      <c r="CR466"/>
      <c r="CS466"/>
      <c r="CT466"/>
      <c r="CU466"/>
      <c r="CV466"/>
      <c r="CW466"/>
      <c r="CX466"/>
      <c r="CY466"/>
      <c r="CZ466"/>
      <c r="DA466"/>
      <c r="DB466"/>
      <c r="DC466"/>
      <c r="DD466"/>
      <c r="DE466"/>
      <c r="DF466"/>
      <c r="DG466"/>
      <c r="DH466"/>
      <c r="DI466"/>
      <c r="DJ466"/>
      <c r="DK466"/>
      <c r="DL466"/>
      <c r="DM466"/>
      <c r="DN466"/>
      <c r="DO466"/>
      <c r="DP466"/>
      <c r="DQ466"/>
      <c r="DR466"/>
      <c r="DS466"/>
      <c r="DT466"/>
      <c r="DU466"/>
      <c r="DV466"/>
      <c r="DW466"/>
      <c r="DX466"/>
      <c r="DY466"/>
      <c r="DZ466"/>
      <c r="EA466"/>
      <c r="EB466"/>
      <c r="EC466"/>
      <c r="ED466"/>
      <c r="EE466"/>
      <c r="EF466"/>
      <c r="EG466"/>
      <c r="EH466"/>
      <c r="EI466"/>
      <c r="EJ466"/>
      <c r="EK466"/>
      <c r="EL466"/>
      <c r="EM466"/>
      <c r="EN466"/>
      <c r="EO466"/>
      <c r="EP466"/>
      <c r="EQ466"/>
      <c r="ER466"/>
      <c r="ES466"/>
      <c r="ET466"/>
      <c r="EU466"/>
      <c r="EV466"/>
      <c r="EW466"/>
      <c r="EX466"/>
      <c r="EY466"/>
      <c r="EZ466"/>
      <c r="FA466"/>
      <c r="FB466"/>
      <c r="FC466"/>
      <c r="FD466"/>
      <c r="FE466"/>
      <c r="FF466"/>
      <c r="FG466"/>
      <c r="FH466"/>
      <c r="FI466"/>
      <c r="FJ466"/>
      <c r="FK466"/>
      <c r="FL466"/>
      <c r="FM466"/>
      <c r="FN466"/>
      <c r="FO466"/>
      <c r="FP466"/>
      <c r="FQ466"/>
      <c r="FR466"/>
      <c r="FS466"/>
      <c r="FT466"/>
      <c r="FU466"/>
      <c r="FV466"/>
      <c r="FW466"/>
      <c r="FX466"/>
      <c r="FY466"/>
      <c r="FZ466"/>
      <c r="GA466"/>
      <c r="GB466"/>
      <c r="GC466"/>
      <c r="GD466"/>
      <c r="GE466"/>
      <c r="GF466"/>
      <c r="GG466"/>
      <c r="GH466"/>
      <c r="GI466"/>
      <c r="GJ466"/>
      <c r="GK466"/>
      <c r="GL466"/>
      <c r="GM466"/>
      <c r="GN466"/>
      <c r="GO466"/>
      <c r="GP466"/>
      <c r="GQ466"/>
      <c r="GR466"/>
      <c r="GS466"/>
      <c r="GT466"/>
      <c r="GU466"/>
      <c r="GV466"/>
      <c r="GW466"/>
      <c r="GX466"/>
      <c r="GY466"/>
      <c r="GZ466"/>
      <c r="HA466"/>
    </row>
    <row r="467" spans="1:209" ht="15" customHeight="1" x14ac:dyDescent="0.15">
      <c r="A467"/>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M467"/>
      <c r="CN467"/>
      <c r="CO467"/>
      <c r="CP467"/>
      <c r="CQ467"/>
      <c r="CR467"/>
      <c r="CS467"/>
      <c r="CT467"/>
      <c r="CU467"/>
      <c r="CV467"/>
      <c r="CW467"/>
      <c r="CX467"/>
      <c r="CY467"/>
      <c r="CZ467"/>
      <c r="DA467"/>
      <c r="DB467"/>
      <c r="DC467"/>
      <c r="DD467"/>
      <c r="DE467"/>
      <c r="DF467"/>
      <c r="DG467"/>
      <c r="DH467"/>
      <c r="DI467"/>
      <c r="DJ467"/>
      <c r="DK467"/>
      <c r="DL467"/>
      <c r="DM467"/>
      <c r="DN467"/>
      <c r="DO467"/>
      <c r="DP467"/>
      <c r="DQ467"/>
      <c r="DR467"/>
      <c r="DS467"/>
      <c r="DT467"/>
      <c r="DU467"/>
      <c r="DV467"/>
      <c r="DW467"/>
      <c r="DX467"/>
      <c r="DY467"/>
      <c r="DZ467"/>
      <c r="EA467"/>
      <c r="EB467"/>
      <c r="EC467"/>
      <c r="ED467"/>
      <c r="EE467"/>
      <c r="EF467"/>
      <c r="EG467"/>
      <c r="EH467"/>
      <c r="EI467"/>
      <c r="EJ467"/>
      <c r="EK467"/>
      <c r="EL467"/>
      <c r="EM467"/>
      <c r="EN467"/>
      <c r="EO467"/>
      <c r="EP467"/>
      <c r="EQ467"/>
      <c r="ER467"/>
      <c r="ES467"/>
      <c r="ET467"/>
      <c r="EU467"/>
      <c r="EV467"/>
      <c r="EW467"/>
      <c r="EX467"/>
      <c r="EY467"/>
      <c r="EZ467"/>
      <c r="FA467"/>
      <c r="FB467"/>
      <c r="FC467"/>
      <c r="FD467"/>
      <c r="FE467"/>
      <c r="FF467"/>
      <c r="FG467"/>
      <c r="FH467"/>
      <c r="FI467"/>
      <c r="FJ467"/>
      <c r="FK467"/>
      <c r="FL467"/>
      <c r="FM467"/>
      <c r="FN467"/>
      <c r="FO467"/>
      <c r="FP467"/>
      <c r="FQ467"/>
      <c r="FR467"/>
      <c r="FS467"/>
      <c r="FT467"/>
      <c r="FU467"/>
      <c r="FV467"/>
      <c r="FW467"/>
      <c r="FX467"/>
      <c r="FY467"/>
      <c r="FZ467"/>
      <c r="GA467"/>
      <c r="GB467"/>
      <c r="GC467"/>
      <c r="GD467"/>
      <c r="GE467"/>
      <c r="GF467"/>
      <c r="GG467"/>
      <c r="GH467"/>
      <c r="GI467"/>
      <c r="GJ467"/>
      <c r="GK467"/>
      <c r="GL467"/>
      <c r="GM467"/>
      <c r="GN467"/>
      <c r="GO467"/>
      <c r="GP467"/>
      <c r="GQ467"/>
      <c r="GR467"/>
      <c r="GS467"/>
      <c r="GT467"/>
      <c r="GU467"/>
      <c r="GV467"/>
      <c r="GW467"/>
      <c r="GX467"/>
      <c r="GY467"/>
      <c r="GZ467"/>
      <c r="HA467"/>
    </row>
    <row r="468" spans="1:209" ht="15" customHeight="1" x14ac:dyDescent="0.15">
      <c r="A468"/>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M468"/>
      <c r="CN468"/>
      <c r="CO468"/>
      <c r="CP468"/>
      <c r="CQ468"/>
      <c r="CR468"/>
      <c r="CS468"/>
      <c r="CT468"/>
      <c r="CU468"/>
      <c r="CV468"/>
      <c r="CW468"/>
      <c r="CX468"/>
      <c r="CY468"/>
      <c r="CZ468"/>
      <c r="DA468"/>
      <c r="DB468"/>
      <c r="DC468"/>
      <c r="DD468"/>
      <c r="DE468"/>
      <c r="DF468"/>
      <c r="DG468"/>
      <c r="DH468"/>
      <c r="DI468"/>
      <c r="DJ468"/>
      <c r="DK468"/>
      <c r="DL468"/>
      <c r="DM468"/>
      <c r="DN468"/>
      <c r="DO468"/>
      <c r="DP468"/>
      <c r="DQ468"/>
      <c r="DR468"/>
      <c r="DS468"/>
      <c r="DT468"/>
      <c r="DU468"/>
      <c r="DV468"/>
      <c r="DW468"/>
      <c r="DX468"/>
      <c r="DY468"/>
      <c r="DZ468"/>
      <c r="EA468"/>
      <c r="EB468"/>
      <c r="EC468"/>
      <c r="ED468"/>
      <c r="EE468"/>
      <c r="EF468"/>
      <c r="EG468"/>
      <c r="EH468"/>
      <c r="EI468"/>
      <c r="EJ468"/>
      <c r="EK468"/>
      <c r="EL468"/>
      <c r="EM468"/>
      <c r="EN468"/>
      <c r="EO468"/>
      <c r="EP468"/>
      <c r="EQ468"/>
      <c r="ER468"/>
      <c r="ES468"/>
      <c r="ET468"/>
      <c r="EU468"/>
      <c r="EV468"/>
      <c r="EW468"/>
      <c r="EX468"/>
      <c r="EY468"/>
      <c r="EZ468"/>
      <c r="FA468"/>
      <c r="FB468"/>
      <c r="FC468"/>
      <c r="FD468"/>
      <c r="FE468"/>
      <c r="FF468"/>
      <c r="FG468"/>
      <c r="FH468"/>
      <c r="FI468"/>
      <c r="FJ468"/>
      <c r="FK468"/>
      <c r="FL468"/>
      <c r="FM468"/>
      <c r="FN468"/>
      <c r="FO468"/>
      <c r="FP468"/>
      <c r="FQ468"/>
      <c r="FR468"/>
      <c r="FS468"/>
      <c r="FT468"/>
      <c r="FU468"/>
      <c r="FV468"/>
      <c r="FW468"/>
      <c r="FX468"/>
      <c r="FY468"/>
      <c r="FZ468"/>
      <c r="GA468"/>
      <c r="GB468"/>
      <c r="GC468"/>
      <c r="GD468"/>
      <c r="GE468"/>
      <c r="GF468"/>
      <c r="GG468"/>
      <c r="GH468"/>
      <c r="GI468"/>
      <c r="GJ468"/>
      <c r="GK468"/>
      <c r="GL468"/>
      <c r="GM468"/>
      <c r="GN468"/>
      <c r="GO468"/>
      <c r="GP468"/>
      <c r="GQ468"/>
      <c r="GR468"/>
      <c r="GS468"/>
      <c r="GT468"/>
      <c r="GU468"/>
      <c r="GV468"/>
      <c r="GW468"/>
      <c r="GX468"/>
      <c r="GY468"/>
      <c r="GZ468"/>
      <c r="HA468"/>
    </row>
    <row r="469" spans="1:209" ht="15" customHeight="1" x14ac:dyDescent="0.15">
      <c r="A469"/>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M469"/>
      <c r="CN469"/>
      <c r="CO469"/>
      <c r="CP469"/>
      <c r="CQ469"/>
      <c r="CR469"/>
      <c r="CS469"/>
      <c r="CT469"/>
      <c r="CU469"/>
      <c r="CV469"/>
      <c r="CW469"/>
      <c r="CX469"/>
      <c r="CY469"/>
      <c r="CZ469"/>
      <c r="DA469"/>
      <c r="DB469"/>
      <c r="DC469"/>
      <c r="DD469"/>
      <c r="DE469"/>
      <c r="DF469"/>
      <c r="DG469"/>
      <c r="DH469"/>
      <c r="DI469"/>
      <c r="DJ469"/>
      <c r="DK469"/>
      <c r="DL469"/>
      <c r="DM469"/>
      <c r="DN469"/>
      <c r="DO469"/>
      <c r="DP469"/>
      <c r="DQ469"/>
      <c r="DR469"/>
      <c r="DS469"/>
      <c r="DT469"/>
      <c r="DU469"/>
      <c r="DV469"/>
      <c r="DW469"/>
      <c r="DX469"/>
      <c r="DY469"/>
      <c r="DZ469"/>
      <c r="EA469"/>
      <c r="EB469"/>
      <c r="EC469"/>
      <c r="ED469"/>
      <c r="EE469"/>
      <c r="EF469"/>
      <c r="EG469"/>
      <c r="EH469"/>
      <c r="EI469"/>
      <c r="EJ469"/>
      <c r="EK469"/>
      <c r="EL469"/>
      <c r="EM469"/>
      <c r="EN469"/>
      <c r="EO469"/>
      <c r="EP469"/>
      <c r="EQ469"/>
      <c r="ER469"/>
      <c r="ES469"/>
      <c r="ET469"/>
      <c r="EU469"/>
      <c r="EV469"/>
      <c r="EW469"/>
      <c r="EX469"/>
      <c r="EY469"/>
      <c r="EZ469"/>
      <c r="FA469"/>
      <c r="FB469"/>
      <c r="FC469"/>
      <c r="FD469"/>
      <c r="FE469"/>
      <c r="FF469"/>
      <c r="FG469"/>
      <c r="FH469"/>
      <c r="FI469"/>
      <c r="FJ469"/>
      <c r="FK469"/>
      <c r="FL469"/>
      <c r="FM469"/>
      <c r="FN469"/>
      <c r="FO469"/>
      <c r="FP469"/>
      <c r="FQ469"/>
      <c r="FR469"/>
      <c r="FS469"/>
      <c r="FT469"/>
      <c r="FU469"/>
      <c r="FV469"/>
      <c r="FW469"/>
      <c r="FX469"/>
      <c r="FY469"/>
      <c r="FZ469"/>
      <c r="GA469"/>
      <c r="GB469"/>
      <c r="GC469"/>
      <c r="GD469"/>
      <c r="GE469"/>
      <c r="GF469"/>
      <c r="GG469"/>
      <c r="GH469"/>
      <c r="GI469"/>
      <c r="GJ469"/>
      <c r="GK469"/>
      <c r="GL469"/>
      <c r="GM469"/>
      <c r="GN469"/>
      <c r="GO469"/>
      <c r="GP469"/>
      <c r="GQ469"/>
      <c r="GR469"/>
      <c r="GS469"/>
      <c r="GT469"/>
      <c r="GU469"/>
      <c r="GV469"/>
      <c r="GW469"/>
      <c r="GX469"/>
      <c r="GY469"/>
      <c r="GZ469"/>
      <c r="HA469"/>
    </row>
    <row r="470" spans="1:209" ht="15" customHeight="1" x14ac:dyDescent="0.15">
      <c r="A470"/>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M470"/>
      <c r="CN470"/>
      <c r="CO470"/>
      <c r="CP470"/>
      <c r="CQ470"/>
      <c r="CR470"/>
      <c r="CS470"/>
      <c r="CT470"/>
      <c r="CU470"/>
      <c r="CV470"/>
      <c r="CW470"/>
      <c r="CX470"/>
      <c r="CY470"/>
      <c r="CZ470"/>
      <c r="DA470"/>
      <c r="DB470"/>
      <c r="DC470"/>
      <c r="DD470"/>
      <c r="DE470"/>
      <c r="DF470"/>
      <c r="DG470"/>
      <c r="DH470"/>
      <c r="DI470"/>
      <c r="DJ470"/>
      <c r="DK470"/>
      <c r="DL470"/>
      <c r="DM470"/>
      <c r="DN470"/>
      <c r="DO470"/>
      <c r="DP470"/>
      <c r="DQ470"/>
      <c r="DR470"/>
      <c r="DS470"/>
      <c r="DT470"/>
      <c r="DU470"/>
      <c r="DV470"/>
      <c r="DW470"/>
      <c r="DX470"/>
      <c r="DY470"/>
      <c r="DZ470"/>
      <c r="EA470"/>
      <c r="EB470"/>
      <c r="EC470"/>
      <c r="ED470"/>
      <c r="EE470"/>
      <c r="EF470"/>
      <c r="EG470"/>
      <c r="EH470"/>
      <c r="EI470"/>
      <c r="EJ470"/>
      <c r="EK470"/>
      <c r="EL470"/>
      <c r="EM470"/>
      <c r="EN470"/>
      <c r="EO470"/>
      <c r="EP470"/>
      <c r="EQ470"/>
      <c r="ER470"/>
      <c r="ES470"/>
      <c r="ET470"/>
      <c r="EU470"/>
      <c r="EV470"/>
      <c r="EW470"/>
      <c r="EX470"/>
      <c r="EY470"/>
      <c r="EZ470"/>
      <c r="FA470"/>
      <c r="FB470"/>
      <c r="FC470"/>
      <c r="FD470"/>
      <c r="FE470"/>
      <c r="FF470"/>
      <c r="FG470"/>
      <c r="FH470"/>
      <c r="FI470"/>
      <c r="FJ470"/>
      <c r="FK470"/>
      <c r="FL470"/>
      <c r="FM470"/>
      <c r="FN470"/>
      <c r="FO470"/>
      <c r="FP470"/>
      <c r="FQ470"/>
      <c r="FR470"/>
      <c r="FS470"/>
      <c r="FT470"/>
      <c r="FU470"/>
      <c r="FV470"/>
      <c r="FW470"/>
      <c r="FX470"/>
      <c r="FY470"/>
      <c r="FZ470"/>
      <c r="GA470"/>
      <c r="GB470"/>
      <c r="GC470"/>
      <c r="GD470"/>
      <c r="GE470"/>
      <c r="GF470"/>
      <c r="GG470"/>
      <c r="GH470"/>
      <c r="GI470"/>
      <c r="GJ470"/>
      <c r="GK470"/>
      <c r="GL470"/>
      <c r="GM470"/>
      <c r="GN470"/>
      <c r="GO470"/>
      <c r="GP470"/>
      <c r="GQ470"/>
      <c r="GR470"/>
      <c r="GS470"/>
      <c r="GT470"/>
      <c r="GU470"/>
      <c r="GV470"/>
      <c r="GW470"/>
      <c r="GX470"/>
      <c r="GY470"/>
      <c r="GZ470"/>
      <c r="HA470"/>
    </row>
    <row r="471" spans="1:209" ht="15" customHeight="1" x14ac:dyDescent="0.15">
      <c r="A471"/>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M471"/>
      <c r="CN471"/>
      <c r="CO471"/>
      <c r="CP471"/>
      <c r="CQ471"/>
      <c r="CR471"/>
      <c r="CS471"/>
      <c r="CT471"/>
      <c r="CU471"/>
      <c r="CV471"/>
      <c r="CW471"/>
      <c r="CX471"/>
      <c r="CY471"/>
      <c r="CZ471"/>
      <c r="DA471"/>
      <c r="DB471"/>
      <c r="DC471"/>
      <c r="DD471"/>
      <c r="DE471"/>
      <c r="DF471"/>
      <c r="DG471"/>
      <c r="DH471"/>
      <c r="DI471"/>
      <c r="DJ471"/>
      <c r="DK471"/>
      <c r="DL471"/>
      <c r="DM471"/>
      <c r="DN471"/>
      <c r="DO471"/>
      <c r="DP471"/>
      <c r="DQ471"/>
      <c r="DR471"/>
      <c r="DS471"/>
      <c r="DT471"/>
      <c r="DU471"/>
      <c r="DV471"/>
      <c r="DW471"/>
      <c r="DX471"/>
      <c r="DY471"/>
      <c r="DZ471"/>
      <c r="EA471"/>
      <c r="EB471"/>
      <c r="EC471"/>
      <c r="ED471"/>
      <c r="EE471"/>
      <c r="EF471"/>
      <c r="EG471"/>
      <c r="EH471"/>
      <c r="EI471"/>
      <c r="EJ471"/>
      <c r="EK471"/>
      <c r="EL471"/>
      <c r="EM471"/>
      <c r="EN471"/>
      <c r="EO471"/>
      <c r="EP471"/>
      <c r="EQ471"/>
      <c r="ER471"/>
      <c r="ES471"/>
      <c r="ET471"/>
      <c r="EU471"/>
      <c r="EV471"/>
      <c r="EW471"/>
      <c r="EX471"/>
      <c r="EY471"/>
      <c r="EZ471"/>
      <c r="FA471"/>
      <c r="FB471"/>
      <c r="FC471"/>
      <c r="FD471"/>
      <c r="FE471"/>
      <c r="FF471"/>
      <c r="FG471"/>
      <c r="FH471"/>
      <c r="FI471"/>
      <c r="FJ471"/>
      <c r="FK471"/>
      <c r="FL471"/>
      <c r="FM471"/>
      <c r="FN471"/>
      <c r="FO471"/>
      <c r="FP471"/>
      <c r="FQ471"/>
      <c r="FR471"/>
      <c r="FS471"/>
      <c r="FT471"/>
      <c r="FU471"/>
      <c r="FV471"/>
      <c r="FW471"/>
      <c r="FX471"/>
      <c r="FY471"/>
      <c r="FZ471"/>
      <c r="GA471"/>
      <c r="GB471"/>
      <c r="GC471"/>
      <c r="GD471"/>
      <c r="GE471"/>
      <c r="GF471"/>
      <c r="GG471"/>
      <c r="GH471"/>
      <c r="GI471"/>
      <c r="GJ471"/>
      <c r="GK471"/>
      <c r="GL471"/>
      <c r="GM471"/>
      <c r="GN471"/>
      <c r="GO471"/>
      <c r="GP471"/>
      <c r="GQ471"/>
      <c r="GR471"/>
      <c r="GS471"/>
      <c r="GT471"/>
      <c r="GU471"/>
      <c r="GV471"/>
      <c r="GW471"/>
      <c r="GX471"/>
      <c r="GY471"/>
      <c r="GZ471"/>
      <c r="HA471"/>
    </row>
    <row r="472" spans="1:209" ht="15" customHeight="1" x14ac:dyDescent="0.15">
      <c r="A472"/>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M472"/>
      <c r="CN472"/>
      <c r="CO472"/>
      <c r="CP472"/>
      <c r="CQ472"/>
      <c r="CR472"/>
      <c r="CS472"/>
      <c r="CT472"/>
      <c r="CU472"/>
      <c r="CV472"/>
      <c r="CW472"/>
      <c r="CX472"/>
      <c r="CY472"/>
      <c r="CZ472"/>
      <c r="DA472"/>
      <c r="DB472"/>
      <c r="DC472"/>
      <c r="DD472"/>
      <c r="DE472"/>
      <c r="DF472"/>
      <c r="DG472"/>
      <c r="DH472"/>
      <c r="DI472"/>
      <c r="DJ472"/>
      <c r="DK472"/>
      <c r="DL472"/>
      <c r="DM472"/>
      <c r="DN472"/>
      <c r="DO472"/>
      <c r="DP472"/>
      <c r="DQ472"/>
      <c r="DR472"/>
      <c r="DS472"/>
      <c r="DT472"/>
      <c r="DU472"/>
      <c r="DV472"/>
      <c r="DW472"/>
      <c r="DX472"/>
      <c r="DY472"/>
      <c r="DZ472"/>
      <c r="EA472"/>
      <c r="EB472"/>
      <c r="EC472"/>
      <c r="ED472"/>
      <c r="EE472"/>
      <c r="EF472"/>
      <c r="EG472"/>
      <c r="EH472"/>
      <c r="EI472"/>
      <c r="EJ472"/>
      <c r="EK472"/>
      <c r="EL472"/>
      <c r="EM472"/>
      <c r="EN472"/>
      <c r="EO472"/>
      <c r="EP472"/>
      <c r="EQ472"/>
      <c r="ER472"/>
      <c r="ES472"/>
      <c r="ET472"/>
      <c r="EU472"/>
      <c r="EV472"/>
      <c r="EW472"/>
      <c r="EX472"/>
      <c r="EY472"/>
      <c r="EZ472"/>
      <c r="FA472"/>
      <c r="FB472"/>
      <c r="FC472"/>
      <c r="FD472"/>
      <c r="FE472"/>
      <c r="FF472"/>
      <c r="FG472"/>
      <c r="FH472"/>
      <c r="FI472"/>
      <c r="FJ472"/>
      <c r="FK472"/>
      <c r="FL472"/>
      <c r="FM472"/>
      <c r="FN472"/>
      <c r="FO472"/>
      <c r="FP472"/>
      <c r="FQ472"/>
      <c r="FR472"/>
      <c r="FS472"/>
      <c r="FT472"/>
      <c r="FU472"/>
      <c r="FV472"/>
      <c r="FW472"/>
      <c r="FX472"/>
      <c r="FY472"/>
      <c r="FZ472"/>
      <c r="GA472"/>
      <c r="GB472"/>
      <c r="GC472"/>
      <c r="GD472"/>
      <c r="GE472"/>
      <c r="GF472"/>
      <c r="GG472"/>
      <c r="GH472"/>
      <c r="GI472"/>
      <c r="GJ472"/>
      <c r="GK472"/>
      <c r="GL472"/>
      <c r="GM472"/>
      <c r="GN472"/>
      <c r="GO472"/>
      <c r="GP472"/>
      <c r="GQ472"/>
      <c r="GR472"/>
      <c r="GS472"/>
      <c r="GT472"/>
      <c r="GU472"/>
      <c r="GV472"/>
      <c r="GW472"/>
      <c r="GX472"/>
      <c r="GY472"/>
      <c r="GZ472"/>
      <c r="HA472"/>
    </row>
    <row r="473" spans="1:209" ht="15" customHeight="1" x14ac:dyDescent="0.15">
      <c r="A473"/>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M473"/>
      <c r="CN473"/>
      <c r="CO473"/>
      <c r="CP473"/>
      <c r="CQ473"/>
      <c r="CR473"/>
      <c r="CS473"/>
      <c r="CT473"/>
      <c r="CU473"/>
      <c r="CV473"/>
      <c r="CW473"/>
      <c r="CX473"/>
      <c r="CY473"/>
      <c r="CZ473"/>
      <c r="DA473"/>
      <c r="DB473"/>
      <c r="DC473"/>
      <c r="DD473"/>
      <c r="DE473"/>
      <c r="DF473"/>
      <c r="DG473"/>
      <c r="DH473"/>
      <c r="DI473"/>
      <c r="DJ473"/>
      <c r="DK473"/>
      <c r="DL473"/>
      <c r="DM473"/>
      <c r="DN473"/>
      <c r="DO473"/>
      <c r="DP473"/>
      <c r="DQ473"/>
      <c r="DR473"/>
      <c r="DS473"/>
      <c r="DT473"/>
      <c r="DU473"/>
      <c r="DV473"/>
      <c r="DW473"/>
      <c r="DX473"/>
      <c r="DY473"/>
      <c r="DZ473"/>
      <c r="EA473"/>
      <c r="EB473"/>
      <c r="EC473"/>
      <c r="ED473"/>
      <c r="EE473"/>
      <c r="EF473"/>
      <c r="EG473"/>
      <c r="EH473"/>
      <c r="EI473"/>
      <c r="EJ473"/>
      <c r="EK473"/>
      <c r="EL473"/>
      <c r="EM473"/>
      <c r="EN473"/>
      <c r="EO473"/>
      <c r="EP473"/>
      <c r="EQ473"/>
      <c r="ER473"/>
      <c r="ES473"/>
      <c r="ET473"/>
      <c r="EU473"/>
      <c r="EV473"/>
      <c r="EW473"/>
      <c r="EX473"/>
      <c r="EY473"/>
      <c r="EZ473"/>
      <c r="FA473"/>
      <c r="FB473"/>
      <c r="FC473"/>
      <c r="FD473"/>
      <c r="FE473"/>
      <c r="FF473"/>
      <c r="FG473"/>
      <c r="FH473"/>
      <c r="FI473"/>
      <c r="FJ473"/>
      <c r="FK473"/>
      <c r="FL473"/>
      <c r="FM473"/>
      <c r="FN473"/>
      <c r="FO473"/>
      <c r="FP473"/>
      <c r="FQ473"/>
      <c r="FR473"/>
      <c r="FS473"/>
      <c r="FT473"/>
      <c r="FU473"/>
      <c r="FV473"/>
      <c r="FW473"/>
      <c r="FX473"/>
      <c r="FY473"/>
      <c r="FZ473"/>
      <c r="GA473"/>
      <c r="GB473"/>
      <c r="GC473"/>
      <c r="GD473"/>
      <c r="GE473"/>
      <c r="GF473"/>
      <c r="GG473"/>
      <c r="GH473"/>
      <c r="GI473"/>
      <c r="GJ473"/>
      <c r="GK473"/>
      <c r="GL473"/>
      <c r="GM473"/>
      <c r="GN473"/>
      <c r="GO473"/>
      <c r="GP473"/>
      <c r="GQ473"/>
      <c r="GR473"/>
      <c r="GS473"/>
      <c r="GT473"/>
      <c r="GU473"/>
      <c r="GV473"/>
      <c r="GW473"/>
      <c r="GX473"/>
      <c r="GY473"/>
      <c r="GZ473"/>
      <c r="HA473"/>
    </row>
    <row r="474" spans="1:209" ht="15" customHeight="1" x14ac:dyDescent="0.15">
      <c r="A474"/>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M474"/>
      <c r="CN474"/>
      <c r="CO474"/>
      <c r="CP474"/>
      <c r="CQ474"/>
      <c r="CR474"/>
      <c r="CS474"/>
      <c r="CT474"/>
      <c r="CU474"/>
      <c r="CV474"/>
      <c r="CW474"/>
      <c r="CX474"/>
      <c r="CY474"/>
      <c r="CZ474"/>
      <c r="DA474"/>
      <c r="DB474"/>
      <c r="DC474"/>
      <c r="DD474"/>
      <c r="DE474"/>
      <c r="DF474"/>
      <c r="DG474"/>
      <c r="DH474"/>
      <c r="DI474"/>
      <c r="DJ474"/>
      <c r="DK474"/>
      <c r="DL474"/>
      <c r="DM474"/>
      <c r="DN474"/>
      <c r="DO474"/>
      <c r="DP474"/>
      <c r="DQ474"/>
      <c r="DR474"/>
      <c r="DS474"/>
      <c r="DT474"/>
      <c r="DU474"/>
      <c r="DV474"/>
      <c r="DW474"/>
      <c r="DX474"/>
      <c r="DY474"/>
      <c r="DZ474"/>
      <c r="EA474"/>
      <c r="EB474"/>
      <c r="EC474"/>
      <c r="ED474"/>
      <c r="EE474"/>
      <c r="EF474"/>
      <c r="EG474"/>
      <c r="EH474"/>
      <c r="EI474"/>
      <c r="EJ474"/>
      <c r="EK474"/>
      <c r="EL474"/>
      <c r="EM474"/>
      <c r="EN474"/>
      <c r="EO474"/>
      <c r="EP474"/>
      <c r="EQ474"/>
      <c r="ER474"/>
      <c r="ES474"/>
      <c r="ET474"/>
      <c r="EU474"/>
      <c r="EV474"/>
      <c r="EW474"/>
      <c r="EX474"/>
      <c r="EY474"/>
      <c r="EZ474"/>
      <c r="FA474"/>
      <c r="FB474"/>
      <c r="FC474"/>
      <c r="FD474"/>
      <c r="FE474"/>
      <c r="FF474"/>
      <c r="FG474"/>
      <c r="FH474"/>
      <c r="FI474"/>
      <c r="FJ474"/>
      <c r="FK474"/>
      <c r="FL474"/>
      <c r="FM474"/>
      <c r="FN474"/>
      <c r="FO474"/>
      <c r="FP474"/>
      <c r="FQ474"/>
      <c r="FR474"/>
      <c r="FS474"/>
      <c r="FT474"/>
      <c r="FU474"/>
      <c r="FV474"/>
      <c r="FW474"/>
      <c r="FX474"/>
      <c r="FY474"/>
      <c r="FZ474"/>
      <c r="GA474"/>
      <c r="GB474"/>
      <c r="GC474"/>
      <c r="GD474"/>
      <c r="GE474"/>
      <c r="GF474"/>
      <c r="GG474"/>
      <c r="GH474"/>
      <c r="GI474"/>
      <c r="GJ474"/>
      <c r="GK474"/>
      <c r="GL474"/>
      <c r="GM474"/>
      <c r="GN474"/>
      <c r="GO474"/>
      <c r="GP474"/>
      <c r="GQ474"/>
      <c r="GR474"/>
      <c r="GS474"/>
      <c r="GT474"/>
      <c r="GU474"/>
      <c r="GV474"/>
      <c r="GW474"/>
      <c r="GX474"/>
      <c r="GY474"/>
      <c r="GZ474"/>
      <c r="HA474"/>
    </row>
    <row r="475" spans="1:209" ht="15" customHeight="1" x14ac:dyDescent="0.15">
      <c r="A47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M475"/>
      <c r="CN475"/>
      <c r="CO475"/>
      <c r="CP475"/>
      <c r="CQ475"/>
      <c r="CR475"/>
      <c r="CS475"/>
      <c r="CT475"/>
      <c r="CU475"/>
      <c r="CV475"/>
      <c r="CW475"/>
      <c r="CX475"/>
      <c r="CY475"/>
      <c r="CZ475"/>
      <c r="DA475"/>
      <c r="DB475"/>
      <c r="DC475"/>
      <c r="DD475"/>
      <c r="DE475"/>
      <c r="DF475"/>
      <c r="DG475"/>
      <c r="DH475"/>
      <c r="DI475"/>
      <c r="DJ475"/>
      <c r="DK475"/>
      <c r="DL475"/>
      <c r="DM475"/>
      <c r="DN475"/>
      <c r="DO475"/>
      <c r="DP475"/>
      <c r="DQ475"/>
      <c r="DR475"/>
      <c r="DS475"/>
      <c r="DT475"/>
      <c r="DU475"/>
      <c r="DV475"/>
      <c r="DW475"/>
      <c r="DX475"/>
      <c r="DY475"/>
      <c r="DZ475"/>
      <c r="EA475"/>
      <c r="EB475"/>
      <c r="EC475"/>
      <c r="ED475"/>
      <c r="EE475"/>
      <c r="EF475"/>
      <c r="EG475"/>
      <c r="EH475"/>
      <c r="EI475"/>
      <c r="EJ475"/>
      <c r="EK475"/>
      <c r="EL475"/>
      <c r="EM475"/>
      <c r="EN475"/>
      <c r="EO475"/>
      <c r="EP475"/>
      <c r="EQ475"/>
      <c r="ER475"/>
      <c r="ES475"/>
      <c r="ET475"/>
      <c r="EU475"/>
      <c r="EV475"/>
      <c r="EW475"/>
      <c r="EX475"/>
      <c r="EY475"/>
      <c r="EZ475"/>
      <c r="FA475"/>
      <c r="FB475"/>
      <c r="FC475"/>
      <c r="FD475"/>
      <c r="FE475"/>
      <c r="FF475"/>
      <c r="FG475"/>
      <c r="FH475"/>
      <c r="FI475"/>
      <c r="FJ475"/>
      <c r="FK475"/>
      <c r="FL475"/>
      <c r="FM475"/>
      <c r="FN475"/>
      <c r="FO475"/>
      <c r="FP475"/>
      <c r="FQ475"/>
      <c r="FR475"/>
      <c r="FS475"/>
      <c r="FT475"/>
      <c r="FU475"/>
      <c r="FV475"/>
      <c r="FW475"/>
      <c r="FX475"/>
      <c r="FY475"/>
      <c r="FZ475"/>
      <c r="GA475"/>
      <c r="GB475"/>
      <c r="GC475"/>
      <c r="GD475"/>
      <c r="GE475"/>
      <c r="GF475"/>
      <c r="GG475"/>
      <c r="GH475"/>
      <c r="GI475"/>
      <c r="GJ475"/>
      <c r="GK475"/>
      <c r="GL475"/>
      <c r="GM475"/>
      <c r="GN475"/>
      <c r="GO475"/>
      <c r="GP475"/>
      <c r="GQ475"/>
      <c r="GR475"/>
      <c r="GS475"/>
      <c r="GT475"/>
      <c r="GU475"/>
      <c r="GV475"/>
      <c r="GW475"/>
      <c r="GX475"/>
      <c r="GY475"/>
      <c r="GZ475"/>
      <c r="HA475"/>
    </row>
    <row r="476" spans="1:209" ht="15" customHeight="1" x14ac:dyDescent="0.15">
      <c r="A476"/>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c r="CW476"/>
      <c r="CX476"/>
      <c r="CY476"/>
      <c r="CZ476"/>
      <c r="DA476"/>
      <c r="DB476"/>
      <c r="DC476"/>
      <c r="DD476"/>
      <c r="DE476"/>
      <c r="DF476"/>
      <c r="DG476"/>
      <c r="DH476"/>
      <c r="DI476"/>
      <c r="DJ476"/>
      <c r="DK476"/>
      <c r="DL476"/>
      <c r="DM476"/>
      <c r="DN476"/>
      <c r="DO476"/>
      <c r="DP476"/>
      <c r="DQ476"/>
      <c r="DR476"/>
      <c r="DS476"/>
      <c r="DT476"/>
      <c r="DU476"/>
      <c r="DV476"/>
      <c r="DW476"/>
      <c r="DX476"/>
      <c r="DY476"/>
      <c r="DZ476"/>
      <c r="EA476"/>
      <c r="EB476"/>
      <c r="EC476"/>
      <c r="ED476"/>
      <c r="EE476"/>
      <c r="EF476"/>
      <c r="EG476"/>
      <c r="EH476"/>
      <c r="EI476"/>
      <c r="EJ476"/>
      <c r="EK476"/>
      <c r="EL476"/>
      <c r="EM476"/>
      <c r="EN476"/>
      <c r="EO476"/>
      <c r="EP476"/>
      <c r="EQ476"/>
      <c r="ER476"/>
      <c r="ES476"/>
      <c r="ET476"/>
      <c r="EU476"/>
      <c r="EV476"/>
      <c r="EW476"/>
      <c r="EX476"/>
      <c r="EY476"/>
      <c r="EZ476"/>
      <c r="FA476"/>
      <c r="FB476"/>
      <c r="FC476"/>
      <c r="FD476"/>
      <c r="FE476"/>
      <c r="FF476"/>
      <c r="FG476"/>
      <c r="FH476"/>
      <c r="FI476"/>
      <c r="FJ476"/>
      <c r="FK476"/>
      <c r="FL476"/>
      <c r="FM476"/>
      <c r="FN476"/>
      <c r="FO476"/>
      <c r="FP476"/>
      <c r="FQ476"/>
      <c r="FR476"/>
      <c r="FS476"/>
      <c r="FT476"/>
      <c r="FU476"/>
      <c r="FV476"/>
      <c r="FW476"/>
      <c r="FX476"/>
      <c r="FY476"/>
      <c r="FZ476"/>
      <c r="GA476"/>
      <c r="GB476"/>
      <c r="GC476"/>
      <c r="GD476"/>
      <c r="GE476"/>
      <c r="GF476"/>
      <c r="GG476"/>
      <c r="GH476"/>
      <c r="GI476"/>
      <c r="GJ476"/>
      <c r="GK476"/>
      <c r="GL476"/>
      <c r="GM476"/>
      <c r="GN476"/>
      <c r="GO476"/>
      <c r="GP476"/>
      <c r="GQ476"/>
      <c r="GR476"/>
      <c r="GS476"/>
      <c r="GT476"/>
      <c r="GU476"/>
      <c r="GV476"/>
      <c r="GW476"/>
      <c r="GX476"/>
      <c r="GY476"/>
      <c r="GZ476"/>
      <c r="HA476"/>
    </row>
    <row r="477" spans="1:209" ht="15" customHeight="1" x14ac:dyDescent="0.15">
      <c r="A477"/>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c r="CW477"/>
      <c r="CX477"/>
      <c r="CY477"/>
      <c r="CZ477"/>
      <c r="DA477"/>
      <c r="DB477"/>
      <c r="DC477"/>
      <c r="DD477"/>
      <c r="DE477"/>
      <c r="DF477"/>
      <c r="DG477"/>
      <c r="DH477"/>
      <c r="DI477"/>
      <c r="DJ477"/>
      <c r="DK477"/>
      <c r="DL477"/>
      <c r="DM477"/>
      <c r="DN477"/>
      <c r="DO477"/>
      <c r="DP477"/>
      <c r="DQ477"/>
      <c r="DR477"/>
      <c r="DS477"/>
      <c r="DT477"/>
      <c r="DU477"/>
      <c r="DV477"/>
      <c r="DW477"/>
      <c r="DX477"/>
      <c r="DY477"/>
      <c r="DZ477"/>
      <c r="EA477"/>
      <c r="EB477"/>
      <c r="EC477"/>
      <c r="ED477"/>
      <c r="EE477"/>
      <c r="EF477"/>
      <c r="EG477"/>
      <c r="EH477"/>
      <c r="EI477"/>
      <c r="EJ477"/>
      <c r="EK477"/>
      <c r="EL477"/>
      <c r="EM477"/>
      <c r="EN477"/>
      <c r="EO477"/>
      <c r="EP477"/>
      <c r="EQ477"/>
      <c r="ER477"/>
      <c r="ES477"/>
      <c r="ET477"/>
      <c r="EU477"/>
      <c r="EV477"/>
      <c r="EW477"/>
      <c r="EX477"/>
      <c r="EY477"/>
      <c r="EZ477"/>
      <c r="FA477"/>
      <c r="FB477"/>
      <c r="FC477"/>
      <c r="FD477"/>
      <c r="FE477"/>
      <c r="FF477"/>
      <c r="FG477"/>
      <c r="FH477"/>
      <c r="FI477"/>
      <c r="FJ477"/>
      <c r="FK477"/>
      <c r="FL477"/>
      <c r="FM477"/>
      <c r="FN477"/>
      <c r="FO477"/>
      <c r="FP477"/>
      <c r="FQ477"/>
      <c r="FR477"/>
      <c r="FS477"/>
      <c r="FT477"/>
      <c r="FU477"/>
      <c r="FV477"/>
      <c r="FW477"/>
      <c r="FX477"/>
      <c r="FY477"/>
      <c r="FZ477"/>
      <c r="GA477"/>
      <c r="GB477"/>
      <c r="GC477"/>
      <c r="GD477"/>
      <c r="GE477"/>
      <c r="GF477"/>
      <c r="GG477"/>
      <c r="GH477"/>
      <c r="GI477"/>
      <c r="GJ477"/>
      <c r="GK477"/>
      <c r="GL477"/>
      <c r="GM477"/>
      <c r="GN477"/>
      <c r="GO477"/>
      <c r="GP477"/>
      <c r="GQ477"/>
      <c r="GR477"/>
      <c r="GS477"/>
      <c r="GT477"/>
      <c r="GU477"/>
      <c r="GV477"/>
      <c r="GW477"/>
      <c r="GX477"/>
      <c r="GY477"/>
      <c r="GZ477"/>
      <c r="HA477"/>
    </row>
    <row r="478" spans="1:209" ht="15" customHeight="1" x14ac:dyDescent="0.15">
      <c r="A478"/>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c r="CW478"/>
      <c r="CX478"/>
      <c r="CY478"/>
      <c r="CZ478"/>
      <c r="DA478"/>
      <c r="DB478"/>
      <c r="DC478"/>
      <c r="DD478"/>
      <c r="DE478"/>
      <c r="DF478"/>
      <c r="DG478"/>
      <c r="DH478"/>
      <c r="DI478"/>
      <c r="DJ478"/>
      <c r="DK478"/>
      <c r="DL478"/>
      <c r="DM478"/>
      <c r="DN478"/>
      <c r="DO478"/>
      <c r="DP478"/>
      <c r="DQ478"/>
      <c r="DR478"/>
      <c r="DS478"/>
      <c r="DT478"/>
      <c r="DU478"/>
      <c r="DV478"/>
      <c r="DW478"/>
      <c r="DX478"/>
      <c r="DY478"/>
      <c r="DZ478"/>
      <c r="EA478"/>
      <c r="EB478"/>
      <c r="EC478"/>
      <c r="ED478"/>
      <c r="EE478"/>
      <c r="EF478"/>
      <c r="EG478"/>
      <c r="EH478"/>
      <c r="EI478"/>
      <c r="EJ478"/>
      <c r="EK478"/>
      <c r="EL478"/>
      <c r="EM478"/>
      <c r="EN478"/>
      <c r="EO478"/>
      <c r="EP478"/>
      <c r="EQ478"/>
      <c r="ER478"/>
      <c r="ES478"/>
      <c r="ET478"/>
      <c r="EU478"/>
      <c r="EV478"/>
      <c r="EW478"/>
      <c r="EX478"/>
      <c r="EY478"/>
      <c r="EZ478"/>
      <c r="FA478"/>
      <c r="FB478"/>
      <c r="FC478"/>
      <c r="FD478"/>
      <c r="FE478"/>
      <c r="FF478"/>
      <c r="FG478"/>
      <c r="FH478"/>
      <c r="FI478"/>
      <c r="FJ478"/>
      <c r="FK478"/>
      <c r="FL478"/>
      <c r="FM478"/>
      <c r="FN478"/>
      <c r="FO478"/>
      <c r="FP478"/>
      <c r="FQ478"/>
      <c r="FR478"/>
      <c r="FS478"/>
      <c r="FT478"/>
      <c r="FU478"/>
      <c r="FV478"/>
      <c r="FW478"/>
      <c r="FX478"/>
      <c r="FY478"/>
      <c r="FZ478"/>
      <c r="GA478"/>
      <c r="GB478"/>
      <c r="GC478"/>
      <c r="GD478"/>
      <c r="GE478"/>
      <c r="GF478"/>
      <c r="GG478"/>
      <c r="GH478"/>
      <c r="GI478"/>
      <c r="GJ478"/>
      <c r="GK478"/>
      <c r="GL478"/>
      <c r="GM478"/>
      <c r="GN478"/>
      <c r="GO478"/>
      <c r="GP478"/>
      <c r="GQ478"/>
      <c r="GR478"/>
      <c r="GS478"/>
      <c r="GT478"/>
      <c r="GU478"/>
      <c r="GV478"/>
      <c r="GW478"/>
      <c r="GX478"/>
      <c r="GY478"/>
      <c r="GZ478"/>
      <c r="HA478"/>
    </row>
    <row r="479" spans="1:209" ht="15" customHeight="1" x14ac:dyDescent="0.15">
      <c r="A479"/>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c r="CW479"/>
      <c r="CX479"/>
      <c r="CY479"/>
      <c r="CZ479"/>
      <c r="DA479"/>
      <c r="DB479"/>
      <c r="DC479"/>
      <c r="DD479"/>
      <c r="DE479"/>
      <c r="DF479"/>
      <c r="DG479"/>
      <c r="DH479"/>
      <c r="DI479"/>
      <c r="DJ479"/>
      <c r="DK479"/>
      <c r="DL479"/>
      <c r="DM479"/>
      <c r="DN479"/>
      <c r="DO479"/>
      <c r="DP479"/>
      <c r="DQ479"/>
      <c r="DR479"/>
      <c r="DS479"/>
      <c r="DT479"/>
      <c r="DU479"/>
      <c r="DV479"/>
      <c r="DW479"/>
      <c r="DX479"/>
      <c r="DY479"/>
      <c r="DZ479"/>
      <c r="EA479"/>
      <c r="EB479"/>
      <c r="EC479"/>
      <c r="ED479"/>
      <c r="EE479"/>
      <c r="EF479"/>
      <c r="EG479"/>
      <c r="EH479"/>
      <c r="EI479"/>
      <c r="EJ479"/>
      <c r="EK479"/>
      <c r="EL479"/>
      <c r="EM479"/>
      <c r="EN479"/>
      <c r="EO479"/>
      <c r="EP479"/>
      <c r="EQ479"/>
      <c r="ER479"/>
      <c r="ES479"/>
      <c r="ET479"/>
      <c r="EU479"/>
      <c r="EV479"/>
      <c r="EW479"/>
      <c r="EX479"/>
      <c r="EY479"/>
      <c r="EZ479"/>
      <c r="FA479"/>
      <c r="FB479"/>
      <c r="FC479"/>
      <c r="FD479"/>
      <c r="FE479"/>
      <c r="FF479"/>
      <c r="FG479"/>
      <c r="FH479"/>
      <c r="FI479"/>
      <c r="FJ479"/>
      <c r="FK479"/>
      <c r="FL479"/>
      <c r="FM479"/>
      <c r="FN479"/>
      <c r="FO479"/>
      <c r="FP479"/>
      <c r="FQ479"/>
      <c r="FR479"/>
      <c r="FS479"/>
      <c r="FT479"/>
      <c r="FU479"/>
      <c r="FV479"/>
      <c r="FW479"/>
      <c r="FX479"/>
      <c r="FY479"/>
      <c r="FZ479"/>
      <c r="GA479"/>
      <c r="GB479"/>
      <c r="GC479"/>
      <c r="GD479"/>
      <c r="GE479"/>
      <c r="GF479"/>
      <c r="GG479"/>
      <c r="GH479"/>
      <c r="GI479"/>
      <c r="GJ479"/>
      <c r="GK479"/>
      <c r="GL479"/>
      <c r="GM479"/>
      <c r="GN479"/>
      <c r="GO479"/>
      <c r="GP479"/>
      <c r="GQ479"/>
      <c r="GR479"/>
      <c r="GS479"/>
      <c r="GT479"/>
      <c r="GU479"/>
      <c r="GV479"/>
      <c r="GW479"/>
      <c r="GX479"/>
      <c r="GY479"/>
      <c r="GZ479"/>
      <c r="HA479"/>
    </row>
    <row r="480" spans="1:209" ht="15" customHeight="1" x14ac:dyDescent="0.15">
      <c r="A480"/>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c r="CW480"/>
      <c r="CX480"/>
      <c r="CY480"/>
      <c r="CZ480"/>
      <c r="DA480"/>
      <c r="DB480"/>
      <c r="DC480"/>
      <c r="DD480"/>
      <c r="DE480"/>
      <c r="DF480"/>
      <c r="DG480"/>
      <c r="DH480"/>
      <c r="DI480"/>
      <c r="DJ480"/>
      <c r="DK480"/>
      <c r="DL480"/>
      <c r="DM480"/>
      <c r="DN480"/>
      <c r="DO480"/>
      <c r="DP480"/>
      <c r="DQ480"/>
      <c r="DR480"/>
      <c r="DS480"/>
      <c r="DT480"/>
      <c r="DU480"/>
      <c r="DV480"/>
      <c r="DW480"/>
      <c r="DX480"/>
      <c r="DY480"/>
      <c r="DZ480"/>
      <c r="EA480"/>
      <c r="EB480"/>
      <c r="EC480"/>
      <c r="ED480"/>
      <c r="EE480"/>
      <c r="EF480"/>
      <c r="EG480"/>
      <c r="EH480"/>
      <c r="EI480"/>
      <c r="EJ480"/>
      <c r="EK480"/>
      <c r="EL480"/>
      <c r="EM480"/>
      <c r="EN480"/>
      <c r="EO480"/>
      <c r="EP480"/>
      <c r="EQ480"/>
      <c r="ER480"/>
      <c r="ES480"/>
      <c r="ET480"/>
      <c r="EU480"/>
      <c r="EV480"/>
      <c r="EW480"/>
      <c r="EX480"/>
      <c r="EY480"/>
      <c r="EZ480"/>
      <c r="FA480"/>
      <c r="FB480"/>
      <c r="FC480"/>
      <c r="FD480"/>
      <c r="FE480"/>
      <c r="FF480"/>
      <c r="FG480"/>
      <c r="FH480"/>
      <c r="FI480"/>
      <c r="FJ480"/>
      <c r="FK480"/>
      <c r="FL480"/>
      <c r="FM480"/>
      <c r="FN480"/>
      <c r="FO480"/>
      <c r="FP480"/>
      <c r="FQ480"/>
      <c r="FR480"/>
      <c r="FS480"/>
      <c r="FT480"/>
      <c r="FU480"/>
      <c r="FV480"/>
      <c r="FW480"/>
      <c r="FX480"/>
      <c r="FY480"/>
      <c r="FZ480"/>
      <c r="GA480"/>
      <c r="GB480"/>
      <c r="GC480"/>
      <c r="GD480"/>
      <c r="GE480"/>
      <c r="GF480"/>
      <c r="GG480"/>
      <c r="GH480"/>
      <c r="GI480"/>
      <c r="GJ480"/>
      <c r="GK480"/>
      <c r="GL480"/>
      <c r="GM480"/>
      <c r="GN480"/>
      <c r="GO480"/>
      <c r="GP480"/>
      <c r="GQ480"/>
      <c r="GR480"/>
      <c r="GS480"/>
      <c r="GT480"/>
      <c r="GU480"/>
      <c r="GV480"/>
      <c r="GW480"/>
      <c r="GX480"/>
      <c r="GY480"/>
      <c r="GZ480"/>
      <c r="HA480"/>
    </row>
    <row r="481" spans="1:209" ht="15" customHeight="1" x14ac:dyDescent="0.15">
      <c r="A481"/>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c r="CW481"/>
      <c r="CX481"/>
      <c r="CY481"/>
      <c r="CZ481"/>
      <c r="DA481"/>
      <c r="DB481"/>
      <c r="DC481"/>
      <c r="DD481"/>
      <c r="DE481"/>
      <c r="DF481"/>
      <c r="DG481"/>
      <c r="DH481"/>
      <c r="DI481"/>
      <c r="DJ481"/>
      <c r="DK481"/>
      <c r="DL481"/>
      <c r="DM481"/>
      <c r="DN481"/>
      <c r="DO481"/>
      <c r="DP481"/>
      <c r="DQ481"/>
      <c r="DR481"/>
      <c r="DS481"/>
      <c r="DT481"/>
      <c r="DU481"/>
      <c r="DV481"/>
      <c r="DW481"/>
      <c r="DX481"/>
      <c r="DY481"/>
      <c r="DZ481"/>
      <c r="EA481"/>
      <c r="EB481"/>
      <c r="EC481"/>
      <c r="ED481"/>
      <c r="EE481"/>
      <c r="EF481"/>
      <c r="EG481"/>
      <c r="EH481"/>
      <c r="EI481"/>
      <c r="EJ481"/>
      <c r="EK481"/>
      <c r="EL481"/>
      <c r="EM481"/>
      <c r="EN481"/>
      <c r="EO481"/>
      <c r="EP481"/>
      <c r="EQ481"/>
      <c r="ER481"/>
      <c r="ES481"/>
      <c r="ET481"/>
      <c r="EU481"/>
      <c r="EV481"/>
      <c r="EW481"/>
      <c r="EX481"/>
      <c r="EY481"/>
      <c r="EZ481"/>
      <c r="FA481"/>
      <c r="FB481"/>
      <c r="FC481"/>
      <c r="FD481"/>
      <c r="FE481"/>
      <c r="FF481"/>
      <c r="FG481"/>
      <c r="FH481"/>
      <c r="FI481"/>
      <c r="FJ481"/>
      <c r="FK481"/>
      <c r="FL481"/>
      <c r="FM481"/>
      <c r="FN481"/>
      <c r="FO481"/>
      <c r="FP481"/>
      <c r="FQ481"/>
      <c r="FR481"/>
      <c r="FS481"/>
      <c r="FT481"/>
      <c r="FU481"/>
      <c r="FV481"/>
      <c r="FW481"/>
      <c r="FX481"/>
      <c r="FY481"/>
      <c r="FZ481"/>
      <c r="GA481"/>
      <c r="GB481"/>
      <c r="GC481"/>
      <c r="GD481"/>
      <c r="GE481"/>
      <c r="GF481"/>
      <c r="GG481"/>
      <c r="GH481"/>
      <c r="GI481"/>
      <c r="GJ481"/>
      <c r="GK481"/>
      <c r="GL481"/>
      <c r="GM481"/>
      <c r="GN481"/>
      <c r="GO481"/>
      <c r="GP481"/>
      <c r="GQ481"/>
      <c r="GR481"/>
      <c r="GS481"/>
      <c r="GT481"/>
      <c r="GU481"/>
      <c r="GV481"/>
      <c r="GW481"/>
      <c r="GX481"/>
      <c r="GY481"/>
      <c r="GZ481"/>
      <c r="HA481"/>
    </row>
    <row r="482" spans="1:209" ht="15" customHeight="1" x14ac:dyDescent="0.15">
      <c r="A482"/>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c r="CW482"/>
      <c r="CX482"/>
      <c r="CY482"/>
      <c r="CZ482"/>
      <c r="DA482"/>
      <c r="DB482"/>
      <c r="DC482"/>
      <c r="DD482"/>
      <c r="DE482"/>
      <c r="DF482"/>
      <c r="DG482"/>
      <c r="DH482"/>
      <c r="DI482"/>
      <c r="DJ482"/>
      <c r="DK482"/>
      <c r="DL482"/>
      <c r="DM482"/>
      <c r="DN482"/>
      <c r="DO482"/>
      <c r="DP482"/>
      <c r="DQ482"/>
      <c r="DR482"/>
      <c r="DS482"/>
      <c r="DT482"/>
      <c r="DU482"/>
      <c r="DV482"/>
      <c r="DW482"/>
      <c r="DX482"/>
      <c r="DY482"/>
      <c r="DZ482"/>
      <c r="EA482"/>
      <c r="EB482"/>
      <c r="EC482"/>
      <c r="ED482"/>
      <c r="EE482"/>
      <c r="EF482"/>
      <c r="EG482"/>
      <c r="EH482"/>
      <c r="EI482"/>
      <c r="EJ482"/>
      <c r="EK482"/>
      <c r="EL482"/>
      <c r="EM482"/>
      <c r="EN482"/>
      <c r="EO482"/>
      <c r="EP482"/>
      <c r="EQ482"/>
      <c r="ER482"/>
      <c r="ES482"/>
      <c r="ET482"/>
      <c r="EU482"/>
      <c r="EV482"/>
      <c r="EW482"/>
      <c r="EX482"/>
      <c r="EY482"/>
      <c r="EZ482"/>
      <c r="FA482"/>
      <c r="FB482"/>
      <c r="FC482"/>
      <c r="FD482"/>
      <c r="FE482"/>
      <c r="FF482"/>
      <c r="FG482"/>
      <c r="FH482"/>
      <c r="FI482"/>
      <c r="FJ482"/>
      <c r="FK482"/>
      <c r="FL482"/>
      <c r="FM482"/>
      <c r="FN482"/>
      <c r="FO482"/>
      <c r="FP482"/>
      <c r="FQ482"/>
      <c r="FR482"/>
      <c r="FS482"/>
      <c r="FT482"/>
      <c r="FU482"/>
      <c r="FV482"/>
      <c r="FW482"/>
      <c r="FX482"/>
      <c r="FY482"/>
      <c r="FZ482"/>
      <c r="GA482"/>
      <c r="GB482"/>
      <c r="GC482"/>
      <c r="GD482"/>
      <c r="GE482"/>
      <c r="GF482"/>
      <c r="GG482"/>
      <c r="GH482"/>
      <c r="GI482"/>
      <c r="GJ482"/>
      <c r="GK482"/>
      <c r="GL482"/>
      <c r="GM482"/>
      <c r="GN482"/>
      <c r="GO482"/>
      <c r="GP482"/>
      <c r="GQ482"/>
      <c r="GR482"/>
      <c r="GS482"/>
      <c r="GT482"/>
      <c r="GU482"/>
      <c r="GV482"/>
      <c r="GW482"/>
      <c r="GX482"/>
      <c r="GY482"/>
      <c r="GZ482"/>
      <c r="HA482"/>
    </row>
    <row r="483" spans="1:209" ht="15" customHeight="1" x14ac:dyDescent="0.15">
      <c r="A483"/>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c r="CW483"/>
      <c r="CX483"/>
      <c r="CY483"/>
      <c r="CZ483"/>
      <c r="DA483"/>
      <c r="DB483"/>
      <c r="DC483"/>
      <c r="DD483"/>
      <c r="DE483"/>
      <c r="DF483"/>
      <c r="DG483"/>
      <c r="DH483"/>
      <c r="DI483"/>
      <c r="DJ483"/>
      <c r="DK483"/>
      <c r="DL483"/>
      <c r="DM483"/>
      <c r="DN483"/>
      <c r="DO483"/>
      <c r="DP483"/>
      <c r="DQ483"/>
      <c r="DR483"/>
      <c r="DS483"/>
      <c r="DT483"/>
      <c r="DU483"/>
      <c r="DV483"/>
      <c r="DW483"/>
      <c r="DX483"/>
      <c r="DY483"/>
      <c r="DZ483"/>
      <c r="EA483"/>
      <c r="EB483"/>
      <c r="EC483"/>
      <c r="ED483"/>
      <c r="EE483"/>
      <c r="EF483"/>
      <c r="EG483"/>
      <c r="EH483"/>
      <c r="EI483"/>
      <c r="EJ483"/>
      <c r="EK483"/>
      <c r="EL483"/>
      <c r="EM483"/>
      <c r="EN483"/>
      <c r="EO483"/>
      <c r="EP483"/>
      <c r="EQ483"/>
      <c r="ER483"/>
      <c r="ES483"/>
      <c r="ET483"/>
      <c r="EU483"/>
      <c r="EV483"/>
      <c r="EW483"/>
      <c r="EX483"/>
      <c r="EY483"/>
      <c r="EZ483"/>
      <c r="FA483"/>
      <c r="FB483"/>
      <c r="FC483"/>
      <c r="FD483"/>
      <c r="FE483"/>
      <c r="FF483"/>
      <c r="FG483"/>
      <c r="FH483"/>
      <c r="FI483"/>
      <c r="FJ483"/>
      <c r="FK483"/>
      <c r="FL483"/>
      <c r="FM483"/>
      <c r="FN483"/>
      <c r="FO483"/>
      <c r="FP483"/>
      <c r="FQ483"/>
      <c r="FR483"/>
      <c r="FS483"/>
      <c r="FT483"/>
      <c r="FU483"/>
      <c r="FV483"/>
      <c r="FW483"/>
      <c r="FX483"/>
      <c r="FY483"/>
      <c r="FZ483"/>
      <c r="GA483"/>
      <c r="GB483"/>
      <c r="GC483"/>
      <c r="GD483"/>
      <c r="GE483"/>
      <c r="GF483"/>
      <c r="GG483"/>
      <c r="GH483"/>
      <c r="GI483"/>
      <c r="GJ483"/>
      <c r="GK483"/>
      <c r="GL483"/>
      <c r="GM483"/>
      <c r="GN483"/>
      <c r="GO483"/>
      <c r="GP483"/>
      <c r="GQ483"/>
      <c r="GR483"/>
      <c r="GS483"/>
      <c r="GT483"/>
      <c r="GU483"/>
      <c r="GV483"/>
      <c r="GW483"/>
      <c r="GX483"/>
      <c r="GY483"/>
      <c r="GZ483"/>
      <c r="HA483"/>
    </row>
    <row r="484" spans="1:209" ht="15" customHeight="1" x14ac:dyDescent="0.15">
      <c r="A484"/>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c r="CW484"/>
      <c r="CX484"/>
      <c r="CY484"/>
      <c r="CZ484"/>
      <c r="DA484"/>
      <c r="DB484"/>
      <c r="DC484"/>
      <c r="DD484"/>
      <c r="DE484"/>
      <c r="DF484"/>
      <c r="DG484"/>
      <c r="DH484"/>
      <c r="DI484"/>
      <c r="DJ484"/>
      <c r="DK484"/>
      <c r="DL484"/>
      <c r="DM484"/>
      <c r="DN484"/>
      <c r="DO484"/>
      <c r="DP484"/>
      <c r="DQ484"/>
      <c r="DR484"/>
      <c r="DS484"/>
      <c r="DT484"/>
      <c r="DU484"/>
      <c r="DV484"/>
      <c r="DW484"/>
      <c r="DX484"/>
      <c r="DY484"/>
      <c r="DZ484"/>
      <c r="EA484"/>
      <c r="EB484"/>
      <c r="EC484"/>
      <c r="ED484"/>
      <c r="EE484"/>
      <c r="EF484"/>
      <c r="EG484"/>
      <c r="EH484"/>
      <c r="EI484"/>
      <c r="EJ484"/>
      <c r="EK484"/>
      <c r="EL484"/>
      <c r="EM484"/>
      <c r="EN484"/>
      <c r="EO484"/>
      <c r="EP484"/>
      <c r="EQ484"/>
      <c r="ER484"/>
      <c r="ES484"/>
      <c r="ET484"/>
      <c r="EU484"/>
      <c r="EV484"/>
      <c r="EW484"/>
      <c r="EX484"/>
      <c r="EY484"/>
      <c r="EZ484"/>
      <c r="FA484"/>
      <c r="FB484"/>
      <c r="FC484"/>
      <c r="FD484"/>
      <c r="FE484"/>
      <c r="FF484"/>
      <c r="FG484"/>
      <c r="FH484"/>
      <c r="FI484"/>
      <c r="FJ484"/>
      <c r="FK484"/>
      <c r="FL484"/>
      <c r="FM484"/>
      <c r="FN484"/>
      <c r="FO484"/>
      <c r="FP484"/>
      <c r="FQ484"/>
      <c r="FR484"/>
      <c r="FS484"/>
      <c r="FT484"/>
      <c r="FU484"/>
      <c r="FV484"/>
      <c r="FW484"/>
      <c r="FX484"/>
      <c r="FY484"/>
      <c r="FZ484"/>
      <c r="GA484"/>
      <c r="GB484"/>
      <c r="GC484"/>
      <c r="GD484"/>
      <c r="GE484"/>
      <c r="GF484"/>
      <c r="GG484"/>
      <c r="GH484"/>
      <c r="GI484"/>
      <c r="GJ484"/>
      <c r="GK484"/>
      <c r="GL484"/>
      <c r="GM484"/>
      <c r="GN484"/>
      <c r="GO484"/>
      <c r="GP484"/>
      <c r="GQ484"/>
      <c r="GR484"/>
      <c r="GS484"/>
      <c r="GT484"/>
      <c r="GU484"/>
      <c r="GV484"/>
      <c r="GW484"/>
      <c r="GX484"/>
      <c r="GY484"/>
      <c r="GZ484"/>
      <c r="HA484"/>
    </row>
    <row r="485" spans="1:209" ht="15" customHeight="1" x14ac:dyDescent="0.15">
      <c r="A48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M485"/>
      <c r="CN485"/>
      <c r="CO485"/>
      <c r="CP485"/>
      <c r="CQ485"/>
      <c r="CR485"/>
      <c r="CS485"/>
      <c r="CT485"/>
      <c r="CU485"/>
      <c r="CV485"/>
      <c r="CW485"/>
      <c r="CX485"/>
      <c r="CY485"/>
      <c r="CZ485"/>
      <c r="DA485"/>
      <c r="DB485"/>
      <c r="DC485"/>
      <c r="DD485"/>
      <c r="DE485"/>
      <c r="DF485"/>
      <c r="DG485"/>
      <c r="DH485"/>
      <c r="DI485"/>
      <c r="DJ485"/>
      <c r="DK485"/>
      <c r="DL485"/>
      <c r="DM485"/>
      <c r="DN485"/>
      <c r="DO485"/>
      <c r="DP485"/>
      <c r="DQ485"/>
      <c r="DR485"/>
      <c r="DS485"/>
      <c r="DT485"/>
      <c r="DU485"/>
      <c r="DV485"/>
      <c r="DW485"/>
      <c r="DX485"/>
      <c r="DY485"/>
      <c r="DZ485"/>
      <c r="EA485"/>
      <c r="EB485"/>
      <c r="EC485"/>
      <c r="ED485"/>
      <c r="EE485"/>
      <c r="EF485"/>
      <c r="EG485"/>
      <c r="EH485"/>
      <c r="EI485"/>
      <c r="EJ485"/>
      <c r="EK485"/>
      <c r="EL485"/>
      <c r="EM485"/>
      <c r="EN485"/>
      <c r="EO485"/>
      <c r="EP485"/>
      <c r="EQ485"/>
      <c r="ER485"/>
      <c r="ES485"/>
      <c r="ET485"/>
      <c r="EU485"/>
      <c r="EV485"/>
      <c r="EW485"/>
      <c r="EX485"/>
      <c r="EY485"/>
      <c r="EZ485"/>
      <c r="FA485"/>
      <c r="FB485"/>
      <c r="FC485"/>
      <c r="FD485"/>
      <c r="FE485"/>
      <c r="FF485"/>
      <c r="FG485"/>
      <c r="FH485"/>
      <c r="FI485"/>
      <c r="FJ485"/>
      <c r="FK485"/>
      <c r="FL485"/>
      <c r="FM485"/>
      <c r="FN485"/>
      <c r="FO485"/>
      <c r="FP485"/>
      <c r="FQ485"/>
      <c r="FR485"/>
      <c r="FS485"/>
      <c r="FT485"/>
      <c r="FU485"/>
      <c r="FV485"/>
      <c r="FW485"/>
      <c r="FX485"/>
      <c r="FY485"/>
      <c r="FZ485"/>
      <c r="GA485"/>
      <c r="GB485"/>
      <c r="GC485"/>
      <c r="GD485"/>
      <c r="GE485"/>
      <c r="GF485"/>
      <c r="GG485"/>
      <c r="GH485"/>
      <c r="GI485"/>
      <c r="GJ485"/>
      <c r="GK485"/>
      <c r="GL485"/>
      <c r="GM485"/>
      <c r="GN485"/>
      <c r="GO485"/>
      <c r="GP485"/>
      <c r="GQ485"/>
      <c r="GR485"/>
      <c r="GS485"/>
      <c r="GT485"/>
      <c r="GU485"/>
      <c r="GV485"/>
      <c r="GW485"/>
      <c r="GX485"/>
      <c r="GY485"/>
      <c r="GZ485"/>
      <c r="HA485"/>
    </row>
    <row r="486" spans="1:209" ht="15" customHeight="1" x14ac:dyDescent="0.15">
      <c r="A486"/>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M486"/>
      <c r="CN486"/>
      <c r="CO486"/>
      <c r="CP486"/>
      <c r="CQ486"/>
      <c r="CR486"/>
      <c r="CS486"/>
      <c r="CT486"/>
      <c r="CU486"/>
      <c r="CV486"/>
      <c r="CW486"/>
      <c r="CX486"/>
      <c r="CY486"/>
      <c r="CZ486"/>
      <c r="DA486"/>
      <c r="DB486"/>
      <c r="DC486"/>
      <c r="DD486"/>
      <c r="DE486"/>
      <c r="DF486"/>
      <c r="DG486"/>
      <c r="DH486"/>
      <c r="DI486"/>
      <c r="DJ486"/>
      <c r="DK486"/>
      <c r="DL486"/>
      <c r="DM486"/>
      <c r="DN486"/>
      <c r="DO486"/>
      <c r="DP486"/>
      <c r="DQ486"/>
      <c r="DR486"/>
      <c r="DS486"/>
      <c r="DT486"/>
      <c r="DU486"/>
      <c r="DV486"/>
      <c r="DW486"/>
      <c r="DX486"/>
      <c r="DY486"/>
      <c r="DZ486"/>
      <c r="EA486"/>
      <c r="EB486"/>
      <c r="EC486"/>
      <c r="ED486"/>
      <c r="EE486"/>
      <c r="EF486"/>
      <c r="EG486"/>
      <c r="EH486"/>
      <c r="EI486"/>
      <c r="EJ486"/>
      <c r="EK486"/>
      <c r="EL486"/>
      <c r="EM486"/>
      <c r="EN486"/>
      <c r="EO486"/>
      <c r="EP486"/>
      <c r="EQ486"/>
      <c r="ER486"/>
      <c r="ES486"/>
      <c r="ET486"/>
      <c r="EU486"/>
      <c r="EV486"/>
      <c r="EW486"/>
      <c r="EX486"/>
      <c r="EY486"/>
      <c r="EZ486"/>
      <c r="FA486"/>
      <c r="FB486"/>
      <c r="FC486"/>
      <c r="FD486"/>
      <c r="FE486"/>
      <c r="FF486"/>
      <c r="FG486"/>
      <c r="FH486"/>
      <c r="FI486"/>
      <c r="FJ486"/>
      <c r="FK486"/>
      <c r="FL486"/>
      <c r="FM486"/>
      <c r="FN486"/>
      <c r="FO486"/>
      <c r="FP486"/>
      <c r="FQ486"/>
      <c r="FR486"/>
      <c r="FS486"/>
      <c r="FT486"/>
      <c r="FU486"/>
      <c r="FV486"/>
      <c r="FW486"/>
      <c r="FX486"/>
      <c r="FY486"/>
      <c r="FZ486"/>
      <c r="GA486"/>
      <c r="GB486"/>
      <c r="GC486"/>
      <c r="GD486"/>
      <c r="GE486"/>
      <c r="GF486"/>
      <c r="GG486"/>
      <c r="GH486"/>
      <c r="GI486"/>
      <c r="GJ486"/>
      <c r="GK486"/>
      <c r="GL486"/>
      <c r="GM486"/>
      <c r="GN486"/>
      <c r="GO486"/>
      <c r="GP486"/>
      <c r="GQ486"/>
      <c r="GR486"/>
      <c r="GS486"/>
      <c r="GT486"/>
      <c r="GU486"/>
      <c r="GV486"/>
      <c r="GW486"/>
      <c r="GX486"/>
      <c r="GY486"/>
      <c r="GZ486"/>
      <c r="HA486"/>
    </row>
    <row r="487" spans="1:209" ht="15" customHeight="1" x14ac:dyDescent="0.15">
      <c r="A487"/>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M487"/>
      <c r="CN487"/>
      <c r="CO487"/>
      <c r="CP487"/>
      <c r="CQ487"/>
      <c r="CR487"/>
      <c r="CS487"/>
      <c r="CT487"/>
      <c r="CU487"/>
      <c r="CV487"/>
      <c r="CW487"/>
      <c r="CX487"/>
      <c r="CY487"/>
      <c r="CZ487"/>
      <c r="DA487"/>
      <c r="DB487"/>
      <c r="DC487"/>
      <c r="DD487"/>
      <c r="DE487"/>
      <c r="DF487"/>
      <c r="DG487"/>
      <c r="DH487"/>
      <c r="DI487"/>
      <c r="DJ487"/>
      <c r="DK487"/>
      <c r="DL487"/>
      <c r="DM487"/>
      <c r="DN487"/>
      <c r="DO487"/>
      <c r="DP487"/>
      <c r="DQ487"/>
      <c r="DR487"/>
      <c r="DS487"/>
      <c r="DT487"/>
      <c r="DU487"/>
      <c r="DV487"/>
      <c r="DW487"/>
      <c r="DX487"/>
      <c r="DY487"/>
      <c r="DZ487"/>
      <c r="EA487"/>
      <c r="EB487"/>
      <c r="EC487"/>
      <c r="ED487"/>
      <c r="EE487"/>
      <c r="EF487"/>
      <c r="EG487"/>
      <c r="EH487"/>
      <c r="EI487"/>
      <c r="EJ487"/>
      <c r="EK487"/>
      <c r="EL487"/>
      <c r="EM487"/>
      <c r="EN487"/>
      <c r="EO487"/>
      <c r="EP487"/>
      <c r="EQ487"/>
      <c r="ER487"/>
      <c r="ES487"/>
      <c r="ET487"/>
      <c r="EU487"/>
      <c r="EV487"/>
      <c r="EW487"/>
      <c r="EX487"/>
      <c r="EY487"/>
      <c r="EZ487"/>
      <c r="FA487"/>
      <c r="FB487"/>
      <c r="FC487"/>
      <c r="FD487"/>
      <c r="FE487"/>
      <c r="FF487"/>
      <c r="FG487"/>
      <c r="FH487"/>
      <c r="FI487"/>
      <c r="FJ487"/>
      <c r="FK487"/>
      <c r="FL487"/>
      <c r="FM487"/>
      <c r="FN487"/>
      <c r="FO487"/>
      <c r="FP487"/>
      <c r="FQ487"/>
      <c r="FR487"/>
      <c r="FS487"/>
      <c r="FT487"/>
      <c r="FU487"/>
      <c r="FV487"/>
      <c r="FW487"/>
      <c r="FX487"/>
      <c r="FY487"/>
      <c r="FZ487"/>
      <c r="GA487"/>
      <c r="GB487"/>
      <c r="GC487"/>
      <c r="GD487"/>
      <c r="GE487"/>
      <c r="GF487"/>
      <c r="GG487"/>
      <c r="GH487"/>
      <c r="GI487"/>
      <c r="GJ487"/>
      <c r="GK487"/>
      <c r="GL487"/>
      <c r="GM487"/>
      <c r="GN487"/>
      <c r="GO487"/>
      <c r="GP487"/>
      <c r="GQ487"/>
      <c r="GR487"/>
      <c r="GS487"/>
      <c r="GT487"/>
      <c r="GU487"/>
      <c r="GV487"/>
      <c r="GW487"/>
      <c r="GX487"/>
      <c r="GY487"/>
      <c r="GZ487"/>
      <c r="HA487"/>
    </row>
    <row r="488" spans="1:209" ht="15" customHeight="1" x14ac:dyDescent="0.15">
      <c r="A488"/>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M488"/>
      <c r="CN488"/>
      <c r="CO488"/>
      <c r="CP488"/>
      <c r="CQ488"/>
      <c r="CR488"/>
      <c r="CS488"/>
      <c r="CT488"/>
      <c r="CU488"/>
      <c r="CV488"/>
      <c r="CW488"/>
      <c r="CX488"/>
      <c r="CY488"/>
      <c r="CZ488"/>
      <c r="DA488"/>
      <c r="DB488"/>
      <c r="DC488"/>
      <c r="DD488"/>
      <c r="DE488"/>
      <c r="DF488"/>
      <c r="DG488"/>
      <c r="DH488"/>
      <c r="DI488"/>
      <c r="DJ488"/>
      <c r="DK488"/>
      <c r="DL488"/>
      <c r="DM488"/>
      <c r="DN488"/>
      <c r="DO488"/>
      <c r="DP488"/>
      <c r="DQ488"/>
      <c r="DR488"/>
      <c r="DS488"/>
      <c r="DT488"/>
      <c r="DU488"/>
      <c r="DV488"/>
      <c r="DW488"/>
      <c r="DX488"/>
      <c r="DY488"/>
      <c r="DZ488"/>
      <c r="EA488"/>
      <c r="EB488"/>
      <c r="EC488"/>
      <c r="ED488"/>
      <c r="EE488"/>
      <c r="EF488"/>
      <c r="EG488"/>
      <c r="EH488"/>
      <c r="EI488"/>
      <c r="EJ488"/>
      <c r="EK488"/>
      <c r="EL488"/>
      <c r="EM488"/>
      <c r="EN488"/>
      <c r="EO488"/>
      <c r="EP488"/>
      <c r="EQ488"/>
      <c r="ER488"/>
      <c r="ES488"/>
      <c r="ET488"/>
      <c r="EU488"/>
      <c r="EV488"/>
      <c r="EW488"/>
      <c r="EX488"/>
      <c r="EY488"/>
      <c r="EZ488"/>
      <c r="FA488"/>
      <c r="FB488"/>
      <c r="FC488"/>
      <c r="FD488"/>
      <c r="FE488"/>
      <c r="FF488"/>
      <c r="FG488"/>
      <c r="FH488"/>
      <c r="FI488"/>
      <c r="FJ488"/>
      <c r="FK488"/>
      <c r="FL488"/>
      <c r="FM488"/>
      <c r="FN488"/>
      <c r="FO488"/>
      <c r="FP488"/>
      <c r="FQ488"/>
      <c r="FR488"/>
      <c r="FS488"/>
      <c r="FT488"/>
      <c r="FU488"/>
      <c r="FV488"/>
      <c r="FW488"/>
      <c r="FX488"/>
      <c r="FY488"/>
      <c r="FZ488"/>
      <c r="GA488"/>
      <c r="GB488"/>
      <c r="GC488"/>
      <c r="GD488"/>
      <c r="GE488"/>
      <c r="GF488"/>
      <c r="GG488"/>
      <c r="GH488"/>
      <c r="GI488"/>
      <c r="GJ488"/>
      <c r="GK488"/>
      <c r="GL488"/>
      <c r="GM488"/>
      <c r="GN488"/>
      <c r="GO488"/>
      <c r="GP488"/>
      <c r="GQ488"/>
      <c r="GR488"/>
      <c r="GS488"/>
      <c r="GT488"/>
      <c r="GU488"/>
      <c r="GV488"/>
      <c r="GW488"/>
      <c r="GX488"/>
      <c r="GY488"/>
      <c r="GZ488"/>
      <c r="HA488"/>
    </row>
    <row r="489" spans="1:209" ht="15" customHeight="1" x14ac:dyDescent="0.15">
      <c r="A489"/>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M489"/>
      <c r="CN489"/>
      <c r="CO489"/>
      <c r="CP489"/>
      <c r="CQ489"/>
      <c r="CR489"/>
      <c r="CS489"/>
      <c r="CT489"/>
      <c r="CU489"/>
      <c r="CV489"/>
      <c r="CW489"/>
      <c r="CX489"/>
      <c r="CY489"/>
      <c r="CZ489"/>
      <c r="DA489"/>
      <c r="DB489"/>
      <c r="DC489"/>
      <c r="DD489"/>
      <c r="DE489"/>
      <c r="DF489"/>
      <c r="DG489"/>
      <c r="DH489"/>
      <c r="DI489"/>
      <c r="DJ489"/>
      <c r="DK489"/>
      <c r="DL489"/>
      <c r="DM489"/>
      <c r="DN489"/>
      <c r="DO489"/>
      <c r="DP489"/>
      <c r="DQ489"/>
      <c r="DR489"/>
      <c r="DS489"/>
      <c r="DT489"/>
      <c r="DU489"/>
      <c r="DV489"/>
      <c r="DW489"/>
      <c r="DX489"/>
      <c r="DY489"/>
      <c r="DZ489"/>
      <c r="EA489"/>
      <c r="EB489"/>
      <c r="EC489"/>
      <c r="ED489"/>
      <c r="EE489"/>
      <c r="EF489"/>
      <c r="EG489"/>
      <c r="EH489"/>
      <c r="EI489"/>
      <c r="EJ489"/>
      <c r="EK489"/>
      <c r="EL489"/>
      <c r="EM489"/>
      <c r="EN489"/>
      <c r="EO489"/>
      <c r="EP489"/>
      <c r="EQ489"/>
      <c r="ER489"/>
      <c r="ES489"/>
      <c r="ET489"/>
      <c r="EU489"/>
      <c r="EV489"/>
      <c r="EW489"/>
      <c r="EX489"/>
      <c r="EY489"/>
      <c r="EZ489"/>
      <c r="FA489"/>
      <c r="FB489"/>
      <c r="FC489"/>
      <c r="FD489"/>
      <c r="FE489"/>
      <c r="FF489"/>
      <c r="FG489"/>
      <c r="FH489"/>
      <c r="FI489"/>
      <c r="FJ489"/>
      <c r="FK489"/>
      <c r="FL489"/>
      <c r="FM489"/>
      <c r="FN489"/>
      <c r="FO489"/>
      <c r="FP489"/>
      <c r="FQ489"/>
      <c r="FR489"/>
      <c r="FS489"/>
      <c r="FT489"/>
      <c r="FU489"/>
      <c r="FV489"/>
      <c r="FW489"/>
      <c r="FX489"/>
      <c r="FY489"/>
      <c r="FZ489"/>
      <c r="GA489"/>
      <c r="GB489"/>
      <c r="GC489"/>
      <c r="GD489"/>
      <c r="GE489"/>
      <c r="GF489"/>
      <c r="GG489"/>
      <c r="GH489"/>
      <c r="GI489"/>
      <c r="GJ489"/>
      <c r="GK489"/>
      <c r="GL489"/>
      <c r="GM489"/>
      <c r="GN489"/>
      <c r="GO489"/>
      <c r="GP489"/>
      <c r="GQ489"/>
      <c r="GR489"/>
      <c r="GS489"/>
      <c r="GT489"/>
      <c r="GU489"/>
      <c r="GV489"/>
      <c r="GW489"/>
      <c r="GX489"/>
      <c r="GY489"/>
      <c r="GZ489"/>
      <c r="HA489"/>
    </row>
    <row r="490" spans="1:209" ht="15" customHeight="1" x14ac:dyDescent="0.15">
      <c r="A490"/>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M490"/>
      <c r="CN490"/>
      <c r="CO490"/>
      <c r="CP490"/>
      <c r="CQ490"/>
      <c r="CR490"/>
      <c r="CS490"/>
      <c r="CT490"/>
      <c r="CU490"/>
      <c r="CV490"/>
      <c r="CW490"/>
      <c r="CX490"/>
      <c r="CY490"/>
      <c r="CZ490"/>
      <c r="DA490"/>
      <c r="DB490"/>
      <c r="DC490"/>
      <c r="DD490"/>
      <c r="DE490"/>
      <c r="DF490"/>
      <c r="DG490"/>
      <c r="DH490"/>
      <c r="DI490"/>
      <c r="DJ490"/>
      <c r="DK490"/>
      <c r="DL490"/>
      <c r="DM490"/>
      <c r="DN490"/>
      <c r="DO490"/>
      <c r="DP490"/>
      <c r="DQ490"/>
      <c r="DR490"/>
      <c r="DS490"/>
      <c r="DT490"/>
      <c r="DU490"/>
      <c r="DV490"/>
      <c r="DW490"/>
      <c r="DX490"/>
      <c r="DY490"/>
      <c r="DZ490"/>
      <c r="EA490"/>
      <c r="EB490"/>
      <c r="EC490"/>
      <c r="ED490"/>
      <c r="EE490"/>
      <c r="EF490"/>
      <c r="EG490"/>
      <c r="EH490"/>
      <c r="EI490"/>
      <c r="EJ490"/>
      <c r="EK490"/>
      <c r="EL490"/>
      <c r="EM490"/>
      <c r="EN490"/>
      <c r="EO490"/>
      <c r="EP490"/>
      <c r="EQ490"/>
      <c r="ER490"/>
      <c r="ES490"/>
      <c r="ET490"/>
      <c r="EU490"/>
      <c r="EV490"/>
      <c r="EW490"/>
      <c r="EX490"/>
      <c r="EY490"/>
      <c r="EZ490"/>
      <c r="FA490"/>
      <c r="FB490"/>
      <c r="FC490"/>
      <c r="FD490"/>
      <c r="FE490"/>
      <c r="FF490"/>
      <c r="FG490"/>
      <c r="FH490"/>
      <c r="FI490"/>
      <c r="FJ490"/>
      <c r="FK490"/>
      <c r="FL490"/>
      <c r="FM490"/>
      <c r="FN490"/>
      <c r="FO490"/>
      <c r="FP490"/>
      <c r="FQ490"/>
      <c r="FR490"/>
      <c r="FS490"/>
      <c r="FT490"/>
      <c r="FU490"/>
      <c r="FV490"/>
      <c r="FW490"/>
      <c r="FX490"/>
      <c r="FY490"/>
      <c r="FZ490"/>
      <c r="GA490"/>
      <c r="GB490"/>
      <c r="GC490"/>
      <c r="GD490"/>
      <c r="GE490"/>
      <c r="GF490"/>
      <c r="GG490"/>
      <c r="GH490"/>
      <c r="GI490"/>
      <c r="GJ490"/>
      <c r="GK490"/>
      <c r="GL490"/>
      <c r="GM490"/>
      <c r="GN490"/>
      <c r="GO490"/>
      <c r="GP490"/>
      <c r="GQ490"/>
      <c r="GR490"/>
      <c r="GS490"/>
      <c r="GT490"/>
      <c r="GU490"/>
      <c r="GV490"/>
      <c r="GW490"/>
      <c r="GX490"/>
      <c r="GY490"/>
      <c r="GZ490"/>
      <c r="HA490"/>
    </row>
    <row r="491" spans="1:209" ht="15" customHeight="1" x14ac:dyDescent="0.15">
      <c r="A491"/>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M491"/>
      <c r="CN491"/>
      <c r="CO491"/>
      <c r="CP491"/>
      <c r="CQ491"/>
      <c r="CR491"/>
      <c r="CS491"/>
      <c r="CT491"/>
      <c r="CU491"/>
      <c r="CV491"/>
      <c r="CW491"/>
      <c r="CX491"/>
      <c r="CY491"/>
      <c r="CZ491"/>
      <c r="DA491"/>
      <c r="DB491"/>
      <c r="DC491"/>
      <c r="DD491"/>
      <c r="DE491"/>
      <c r="DF491"/>
      <c r="DG491"/>
      <c r="DH491"/>
      <c r="DI491"/>
      <c r="DJ491"/>
      <c r="DK491"/>
      <c r="DL491"/>
      <c r="DM491"/>
      <c r="DN491"/>
      <c r="DO491"/>
      <c r="DP491"/>
      <c r="DQ491"/>
      <c r="DR491"/>
      <c r="DS491"/>
      <c r="DT491"/>
      <c r="DU491"/>
      <c r="DV491"/>
      <c r="DW491"/>
      <c r="DX491"/>
      <c r="DY491"/>
      <c r="DZ491"/>
      <c r="EA491"/>
      <c r="EB491"/>
      <c r="EC491"/>
      <c r="ED491"/>
      <c r="EE491"/>
      <c r="EF491"/>
      <c r="EG491"/>
      <c r="EH491"/>
      <c r="EI491"/>
      <c r="EJ491"/>
      <c r="EK491"/>
      <c r="EL491"/>
      <c r="EM491"/>
      <c r="EN491"/>
      <c r="EO491"/>
      <c r="EP491"/>
      <c r="EQ491"/>
      <c r="ER491"/>
      <c r="ES491"/>
      <c r="ET491"/>
      <c r="EU491"/>
      <c r="EV491"/>
      <c r="EW491"/>
      <c r="EX491"/>
      <c r="EY491"/>
      <c r="EZ491"/>
      <c r="FA491"/>
      <c r="FB491"/>
      <c r="FC491"/>
      <c r="FD491"/>
      <c r="FE491"/>
      <c r="FF491"/>
      <c r="FG491"/>
      <c r="FH491"/>
      <c r="FI491"/>
      <c r="FJ491"/>
      <c r="FK491"/>
      <c r="FL491"/>
      <c r="FM491"/>
      <c r="FN491"/>
      <c r="FO491"/>
      <c r="FP491"/>
      <c r="FQ491"/>
      <c r="FR491"/>
      <c r="FS491"/>
      <c r="FT491"/>
      <c r="FU491"/>
      <c r="FV491"/>
      <c r="FW491"/>
      <c r="FX491"/>
      <c r="FY491"/>
      <c r="FZ491"/>
      <c r="GA491"/>
      <c r="GB491"/>
      <c r="GC491"/>
      <c r="GD491"/>
      <c r="GE491"/>
      <c r="GF491"/>
      <c r="GG491"/>
      <c r="GH491"/>
      <c r="GI491"/>
      <c r="GJ491"/>
      <c r="GK491"/>
      <c r="GL491"/>
      <c r="GM491"/>
      <c r="GN491"/>
      <c r="GO491"/>
      <c r="GP491"/>
      <c r="GQ491"/>
      <c r="GR491"/>
      <c r="GS491"/>
      <c r="GT491"/>
      <c r="GU491"/>
      <c r="GV491"/>
      <c r="GW491"/>
      <c r="GX491"/>
      <c r="GY491"/>
      <c r="GZ491"/>
      <c r="HA491"/>
    </row>
    <row r="492" spans="1:209" ht="15" customHeight="1" x14ac:dyDescent="0.15">
      <c r="A492"/>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M492"/>
      <c r="CN492"/>
      <c r="CO492"/>
      <c r="CP492"/>
      <c r="CQ492"/>
      <c r="CR492"/>
      <c r="CS492"/>
      <c r="CT492"/>
      <c r="CU492"/>
      <c r="CV492"/>
      <c r="CW492"/>
      <c r="CX492"/>
      <c r="CY492"/>
      <c r="CZ492"/>
      <c r="DA492"/>
      <c r="DB492"/>
      <c r="DC492"/>
      <c r="DD492"/>
      <c r="DE492"/>
      <c r="DF492"/>
      <c r="DG492"/>
      <c r="DH492"/>
      <c r="DI492"/>
      <c r="DJ492"/>
      <c r="DK492"/>
      <c r="DL492"/>
      <c r="DM492"/>
      <c r="DN492"/>
      <c r="DO492"/>
      <c r="DP492"/>
      <c r="DQ492"/>
      <c r="DR492"/>
      <c r="DS492"/>
      <c r="DT492"/>
      <c r="DU492"/>
      <c r="DV492"/>
      <c r="DW492"/>
      <c r="DX492"/>
      <c r="DY492"/>
      <c r="DZ492"/>
      <c r="EA492"/>
      <c r="EB492"/>
      <c r="EC492"/>
      <c r="ED492"/>
      <c r="EE492"/>
      <c r="EF492"/>
      <c r="EG492"/>
      <c r="EH492"/>
      <c r="EI492"/>
      <c r="EJ492"/>
      <c r="EK492"/>
      <c r="EL492"/>
      <c r="EM492"/>
      <c r="EN492"/>
      <c r="EO492"/>
      <c r="EP492"/>
      <c r="EQ492"/>
      <c r="ER492"/>
      <c r="ES492"/>
      <c r="ET492"/>
      <c r="EU492"/>
      <c r="EV492"/>
      <c r="EW492"/>
      <c r="EX492"/>
      <c r="EY492"/>
      <c r="EZ492"/>
      <c r="FA492"/>
      <c r="FB492"/>
      <c r="FC492"/>
      <c r="FD492"/>
      <c r="FE492"/>
      <c r="FF492"/>
      <c r="FG492"/>
      <c r="FH492"/>
      <c r="FI492"/>
      <c r="FJ492"/>
      <c r="FK492"/>
      <c r="FL492"/>
      <c r="FM492"/>
      <c r="FN492"/>
      <c r="FO492"/>
      <c r="FP492"/>
      <c r="FQ492"/>
      <c r="FR492"/>
      <c r="FS492"/>
      <c r="FT492"/>
      <c r="FU492"/>
      <c r="FV492"/>
      <c r="FW492"/>
      <c r="FX492"/>
      <c r="FY492"/>
      <c r="FZ492"/>
      <c r="GA492"/>
      <c r="GB492"/>
      <c r="GC492"/>
      <c r="GD492"/>
      <c r="GE492"/>
      <c r="GF492"/>
      <c r="GG492"/>
      <c r="GH492"/>
      <c r="GI492"/>
      <c r="GJ492"/>
      <c r="GK492"/>
      <c r="GL492"/>
      <c r="GM492"/>
      <c r="GN492"/>
      <c r="GO492"/>
      <c r="GP492"/>
      <c r="GQ492"/>
      <c r="GR492"/>
      <c r="GS492"/>
      <c r="GT492"/>
      <c r="GU492"/>
      <c r="GV492"/>
      <c r="GW492"/>
      <c r="GX492"/>
      <c r="GY492"/>
      <c r="GZ492"/>
      <c r="HA492"/>
    </row>
    <row r="493" spans="1:209" ht="15" customHeight="1" x14ac:dyDescent="0.15">
      <c r="A493"/>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M493"/>
      <c r="CN493"/>
      <c r="CO493"/>
      <c r="CP493"/>
      <c r="CQ493"/>
      <c r="CR493"/>
      <c r="CS493"/>
      <c r="CT493"/>
      <c r="CU493"/>
      <c r="CV493"/>
      <c r="CW493"/>
      <c r="CX493"/>
      <c r="CY493"/>
      <c r="CZ493"/>
      <c r="DA493"/>
      <c r="DB493"/>
      <c r="DC493"/>
      <c r="DD493"/>
      <c r="DE493"/>
      <c r="DF493"/>
      <c r="DG493"/>
      <c r="DH493"/>
      <c r="DI493"/>
      <c r="DJ493"/>
      <c r="DK493"/>
      <c r="DL493"/>
      <c r="DM493"/>
      <c r="DN493"/>
      <c r="DO493"/>
      <c r="DP493"/>
      <c r="DQ493"/>
      <c r="DR493"/>
      <c r="DS493"/>
      <c r="DT493"/>
      <c r="DU493"/>
      <c r="DV493"/>
      <c r="DW493"/>
      <c r="DX493"/>
      <c r="DY493"/>
      <c r="DZ493"/>
      <c r="EA493"/>
      <c r="EB493"/>
      <c r="EC493"/>
      <c r="ED493"/>
      <c r="EE493"/>
      <c r="EF493"/>
      <c r="EG493"/>
      <c r="EH493"/>
      <c r="EI493"/>
      <c r="EJ493"/>
      <c r="EK493"/>
      <c r="EL493"/>
      <c r="EM493"/>
      <c r="EN493"/>
      <c r="EO493"/>
      <c r="EP493"/>
      <c r="EQ493"/>
      <c r="ER493"/>
      <c r="ES493"/>
      <c r="ET493"/>
      <c r="EU493"/>
      <c r="EV493"/>
      <c r="EW493"/>
      <c r="EX493"/>
      <c r="EY493"/>
      <c r="EZ493"/>
      <c r="FA493"/>
      <c r="FB493"/>
      <c r="FC493"/>
      <c r="FD493"/>
      <c r="FE493"/>
      <c r="FF493"/>
      <c r="FG493"/>
      <c r="FH493"/>
      <c r="FI493"/>
      <c r="FJ493"/>
      <c r="FK493"/>
      <c r="FL493"/>
      <c r="FM493"/>
      <c r="FN493"/>
      <c r="FO493"/>
      <c r="FP493"/>
      <c r="FQ493"/>
      <c r="FR493"/>
      <c r="FS493"/>
      <c r="FT493"/>
      <c r="FU493"/>
      <c r="FV493"/>
      <c r="FW493"/>
      <c r="FX493"/>
      <c r="FY493"/>
      <c r="FZ493"/>
      <c r="GA493"/>
      <c r="GB493"/>
      <c r="GC493"/>
      <c r="GD493"/>
      <c r="GE493"/>
      <c r="GF493"/>
      <c r="GG493"/>
      <c r="GH493"/>
      <c r="GI493"/>
      <c r="GJ493"/>
      <c r="GK493"/>
      <c r="GL493"/>
      <c r="GM493"/>
      <c r="GN493"/>
      <c r="GO493"/>
      <c r="GP493"/>
      <c r="GQ493"/>
      <c r="GR493"/>
      <c r="GS493"/>
      <c r="GT493"/>
      <c r="GU493"/>
      <c r="GV493"/>
      <c r="GW493"/>
      <c r="GX493"/>
      <c r="GY493"/>
      <c r="GZ493"/>
      <c r="HA493"/>
    </row>
    <row r="494" spans="1:209" ht="15" customHeight="1" x14ac:dyDescent="0.15">
      <c r="A494"/>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M494"/>
      <c r="CN494"/>
      <c r="CO494"/>
      <c r="CP494"/>
      <c r="CQ494"/>
      <c r="CR494"/>
      <c r="CS494"/>
      <c r="CT494"/>
      <c r="CU494"/>
      <c r="CV494"/>
      <c r="CW494"/>
      <c r="CX494"/>
      <c r="CY494"/>
      <c r="CZ494"/>
      <c r="DA494"/>
      <c r="DB494"/>
      <c r="DC494"/>
      <c r="DD494"/>
      <c r="DE494"/>
      <c r="DF494"/>
      <c r="DG494"/>
      <c r="DH494"/>
      <c r="DI494"/>
      <c r="DJ494"/>
      <c r="DK494"/>
      <c r="DL494"/>
      <c r="DM494"/>
      <c r="DN494"/>
      <c r="DO494"/>
      <c r="DP494"/>
      <c r="DQ494"/>
      <c r="DR494"/>
      <c r="DS494"/>
      <c r="DT494"/>
      <c r="DU494"/>
      <c r="DV494"/>
      <c r="DW494"/>
      <c r="DX494"/>
      <c r="DY494"/>
      <c r="DZ494"/>
      <c r="EA494"/>
      <c r="EB494"/>
      <c r="EC494"/>
      <c r="ED494"/>
      <c r="EE494"/>
      <c r="EF494"/>
      <c r="EG494"/>
      <c r="EH494"/>
      <c r="EI494"/>
      <c r="EJ494"/>
      <c r="EK494"/>
      <c r="EL494"/>
      <c r="EM494"/>
      <c r="EN494"/>
      <c r="EO494"/>
      <c r="EP494"/>
      <c r="EQ494"/>
      <c r="ER494"/>
      <c r="ES494"/>
      <c r="ET494"/>
      <c r="EU494"/>
      <c r="EV494"/>
      <c r="EW494"/>
      <c r="EX494"/>
      <c r="EY494"/>
      <c r="EZ494"/>
      <c r="FA494"/>
      <c r="FB494"/>
      <c r="FC494"/>
      <c r="FD494"/>
      <c r="FE494"/>
      <c r="FF494"/>
      <c r="FG494"/>
      <c r="FH494"/>
      <c r="FI494"/>
      <c r="FJ494"/>
      <c r="FK494"/>
      <c r="FL494"/>
      <c r="FM494"/>
      <c r="FN494"/>
      <c r="FO494"/>
      <c r="FP494"/>
      <c r="FQ494"/>
      <c r="FR494"/>
      <c r="FS494"/>
      <c r="FT494"/>
      <c r="FU494"/>
      <c r="FV494"/>
      <c r="FW494"/>
      <c r="FX494"/>
      <c r="FY494"/>
      <c r="FZ494"/>
      <c r="GA494"/>
      <c r="GB494"/>
      <c r="GC494"/>
      <c r="GD494"/>
      <c r="GE494"/>
      <c r="GF494"/>
      <c r="GG494"/>
      <c r="GH494"/>
      <c r="GI494"/>
      <c r="GJ494"/>
      <c r="GK494"/>
      <c r="GL494"/>
      <c r="GM494"/>
      <c r="GN494"/>
      <c r="GO494"/>
      <c r="GP494"/>
      <c r="GQ494"/>
      <c r="GR494"/>
      <c r="GS494"/>
      <c r="GT494"/>
      <c r="GU494"/>
      <c r="GV494"/>
      <c r="GW494"/>
      <c r="GX494"/>
      <c r="GY494"/>
      <c r="GZ494"/>
      <c r="HA494"/>
    </row>
    <row r="495" spans="1:209" ht="15" customHeight="1" x14ac:dyDescent="0.15">
      <c r="A49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M495"/>
      <c r="CN495"/>
      <c r="CO495"/>
      <c r="CP495"/>
      <c r="CQ495"/>
      <c r="CR495"/>
      <c r="CS495"/>
      <c r="CT495"/>
      <c r="CU495"/>
      <c r="CV495"/>
      <c r="CW495"/>
      <c r="CX495"/>
      <c r="CY495"/>
      <c r="CZ495"/>
      <c r="DA495"/>
      <c r="DB495"/>
      <c r="DC495"/>
      <c r="DD495"/>
      <c r="DE495"/>
      <c r="DF495"/>
      <c r="DG495"/>
      <c r="DH495"/>
      <c r="DI495"/>
      <c r="DJ495"/>
      <c r="DK495"/>
      <c r="DL495"/>
      <c r="DM495"/>
      <c r="DN495"/>
      <c r="DO495"/>
      <c r="DP495"/>
      <c r="DQ495"/>
      <c r="DR495"/>
      <c r="DS495"/>
      <c r="DT495"/>
      <c r="DU495"/>
      <c r="DV495"/>
      <c r="DW495"/>
      <c r="DX495"/>
      <c r="DY495"/>
      <c r="DZ495"/>
      <c r="EA495"/>
      <c r="EB495"/>
      <c r="EC495"/>
      <c r="ED495"/>
      <c r="EE495"/>
      <c r="EF495"/>
      <c r="EG495"/>
      <c r="EH495"/>
      <c r="EI495"/>
      <c r="EJ495"/>
      <c r="EK495"/>
      <c r="EL495"/>
      <c r="EM495"/>
      <c r="EN495"/>
      <c r="EO495"/>
      <c r="EP495"/>
      <c r="EQ495"/>
      <c r="ER495"/>
      <c r="ES495"/>
      <c r="ET495"/>
      <c r="EU495"/>
      <c r="EV495"/>
      <c r="EW495"/>
      <c r="EX495"/>
      <c r="EY495"/>
      <c r="EZ495"/>
      <c r="FA495"/>
      <c r="FB495"/>
      <c r="FC495"/>
      <c r="FD495"/>
      <c r="FE495"/>
      <c r="FF495"/>
      <c r="FG495"/>
      <c r="FH495"/>
      <c r="FI495"/>
      <c r="FJ495"/>
      <c r="FK495"/>
      <c r="FL495"/>
      <c r="FM495"/>
      <c r="FN495"/>
      <c r="FO495"/>
      <c r="FP495"/>
      <c r="FQ495"/>
      <c r="FR495"/>
      <c r="FS495"/>
      <c r="FT495"/>
      <c r="FU495"/>
      <c r="FV495"/>
      <c r="FW495"/>
      <c r="FX495"/>
      <c r="FY495"/>
      <c r="FZ495"/>
      <c r="GA495"/>
      <c r="GB495"/>
      <c r="GC495"/>
      <c r="GD495"/>
      <c r="GE495"/>
      <c r="GF495"/>
      <c r="GG495"/>
      <c r="GH495"/>
      <c r="GI495"/>
      <c r="GJ495"/>
      <c r="GK495"/>
      <c r="GL495"/>
      <c r="GM495"/>
      <c r="GN495"/>
      <c r="GO495"/>
      <c r="GP495"/>
      <c r="GQ495"/>
      <c r="GR495"/>
      <c r="GS495"/>
      <c r="GT495"/>
      <c r="GU495"/>
      <c r="GV495"/>
      <c r="GW495"/>
      <c r="GX495"/>
      <c r="GY495"/>
      <c r="GZ495"/>
      <c r="HA495"/>
    </row>
    <row r="496" spans="1:209" ht="15" customHeight="1" x14ac:dyDescent="0.15">
      <c r="A496"/>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M496"/>
      <c r="CN496"/>
      <c r="CO496"/>
      <c r="CP496"/>
      <c r="CQ496"/>
      <c r="CR496"/>
      <c r="CS496"/>
      <c r="CT496"/>
      <c r="CU496"/>
      <c r="CV496"/>
      <c r="CW496"/>
      <c r="CX496"/>
      <c r="CY496"/>
      <c r="CZ496"/>
      <c r="DA496"/>
      <c r="DB496"/>
      <c r="DC496"/>
      <c r="DD496"/>
      <c r="DE496"/>
      <c r="DF496"/>
      <c r="DG496"/>
      <c r="DH496"/>
      <c r="DI496"/>
      <c r="DJ496"/>
      <c r="DK496"/>
      <c r="DL496"/>
      <c r="DM496"/>
      <c r="DN496"/>
      <c r="DO496"/>
      <c r="DP496"/>
      <c r="DQ496"/>
      <c r="DR496"/>
      <c r="DS496"/>
      <c r="DT496"/>
      <c r="DU496"/>
      <c r="DV496"/>
      <c r="DW496"/>
      <c r="DX496"/>
      <c r="DY496"/>
      <c r="DZ496"/>
      <c r="EA496"/>
      <c r="EB496"/>
      <c r="EC496"/>
      <c r="ED496"/>
      <c r="EE496"/>
      <c r="EF496"/>
      <c r="EG496"/>
      <c r="EH496"/>
      <c r="EI496"/>
      <c r="EJ496"/>
      <c r="EK496"/>
      <c r="EL496"/>
      <c r="EM496"/>
      <c r="EN496"/>
      <c r="EO496"/>
      <c r="EP496"/>
      <c r="EQ496"/>
      <c r="ER496"/>
      <c r="ES496"/>
      <c r="ET496"/>
      <c r="EU496"/>
      <c r="EV496"/>
      <c r="EW496"/>
      <c r="EX496"/>
      <c r="EY496"/>
      <c r="EZ496"/>
      <c r="FA496"/>
      <c r="FB496"/>
      <c r="FC496"/>
      <c r="FD496"/>
      <c r="FE496"/>
      <c r="FF496"/>
      <c r="FG496"/>
      <c r="FH496"/>
      <c r="FI496"/>
      <c r="FJ496"/>
      <c r="FK496"/>
      <c r="FL496"/>
      <c r="FM496"/>
      <c r="FN496"/>
      <c r="FO496"/>
      <c r="FP496"/>
      <c r="FQ496"/>
      <c r="FR496"/>
      <c r="FS496"/>
      <c r="FT496"/>
      <c r="FU496"/>
      <c r="FV496"/>
      <c r="FW496"/>
      <c r="FX496"/>
      <c r="FY496"/>
      <c r="FZ496"/>
      <c r="GA496"/>
      <c r="GB496"/>
      <c r="GC496"/>
      <c r="GD496"/>
      <c r="GE496"/>
      <c r="GF496"/>
      <c r="GG496"/>
      <c r="GH496"/>
      <c r="GI496"/>
      <c r="GJ496"/>
      <c r="GK496"/>
      <c r="GL496"/>
      <c r="GM496"/>
      <c r="GN496"/>
      <c r="GO496"/>
      <c r="GP496"/>
      <c r="GQ496"/>
      <c r="GR496"/>
      <c r="GS496"/>
      <c r="GT496"/>
      <c r="GU496"/>
      <c r="GV496"/>
      <c r="GW496"/>
      <c r="GX496"/>
      <c r="GY496"/>
      <c r="GZ496"/>
      <c r="HA496"/>
    </row>
    <row r="497" spans="1:209" ht="15" customHeight="1" x14ac:dyDescent="0.15">
      <c r="A497"/>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M497"/>
      <c r="CN497"/>
      <c r="CO497"/>
      <c r="CP497"/>
      <c r="CQ497"/>
      <c r="CR497"/>
      <c r="CS497"/>
      <c r="CT497"/>
      <c r="CU497"/>
      <c r="CV497"/>
      <c r="CW497"/>
      <c r="CX497"/>
      <c r="CY497"/>
      <c r="CZ497"/>
      <c r="DA497"/>
      <c r="DB497"/>
      <c r="DC497"/>
      <c r="DD497"/>
      <c r="DE497"/>
      <c r="DF497"/>
      <c r="DG497"/>
      <c r="DH497"/>
      <c r="DI497"/>
      <c r="DJ497"/>
      <c r="DK497"/>
      <c r="DL497"/>
      <c r="DM497"/>
      <c r="DN497"/>
      <c r="DO497"/>
      <c r="DP497"/>
      <c r="DQ497"/>
      <c r="DR497"/>
      <c r="DS497"/>
      <c r="DT497"/>
      <c r="DU497"/>
      <c r="DV497"/>
      <c r="DW497"/>
      <c r="DX497"/>
      <c r="DY497"/>
      <c r="DZ497"/>
      <c r="EA497"/>
      <c r="EB497"/>
      <c r="EC497"/>
      <c r="ED497"/>
      <c r="EE497"/>
      <c r="EF497"/>
      <c r="EG497"/>
      <c r="EH497"/>
      <c r="EI497"/>
      <c r="EJ497"/>
      <c r="EK497"/>
      <c r="EL497"/>
      <c r="EM497"/>
      <c r="EN497"/>
      <c r="EO497"/>
      <c r="EP497"/>
      <c r="EQ497"/>
      <c r="ER497"/>
      <c r="ES497"/>
      <c r="ET497"/>
      <c r="EU497"/>
      <c r="EV497"/>
      <c r="EW497"/>
      <c r="EX497"/>
      <c r="EY497"/>
      <c r="EZ497"/>
      <c r="FA497"/>
      <c r="FB497"/>
      <c r="FC497"/>
      <c r="FD497"/>
      <c r="FE497"/>
      <c r="FF497"/>
      <c r="FG497"/>
      <c r="FH497"/>
      <c r="FI497"/>
      <c r="FJ497"/>
      <c r="FK497"/>
      <c r="FL497"/>
      <c r="FM497"/>
      <c r="FN497"/>
      <c r="FO497"/>
      <c r="FP497"/>
      <c r="FQ497"/>
      <c r="FR497"/>
      <c r="FS497"/>
      <c r="FT497"/>
      <c r="FU497"/>
      <c r="FV497"/>
      <c r="FW497"/>
      <c r="FX497"/>
      <c r="FY497"/>
      <c r="FZ497"/>
      <c r="GA497"/>
      <c r="GB497"/>
      <c r="GC497"/>
      <c r="GD497"/>
      <c r="GE497"/>
      <c r="GF497"/>
      <c r="GG497"/>
      <c r="GH497"/>
      <c r="GI497"/>
      <c r="GJ497"/>
      <c r="GK497"/>
      <c r="GL497"/>
      <c r="GM497"/>
      <c r="GN497"/>
      <c r="GO497"/>
      <c r="GP497"/>
      <c r="GQ497"/>
      <c r="GR497"/>
      <c r="GS497"/>
      <c r="GT497"/>
      <c r="GU497"/>
      <c r="GV497"/>
      <c r="GW497"/>
      <c r="GX497"/>
      <c r="GY497"/>
      <c r="GZ497"/>
      <c r="HA497"/>
    </row>
    <row r="498" spans="1:209" ht="15" customHeight="1" x14ac:dyDescent="0.15">
      <c r="A498"/>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M498"/>
      <c r="CN498"/>
      <c r="CO498"/>
      <c r="CP498"/>
      <c r="CQ498"/>
      <c r="CR498"/>
      <c r="CS498"/>
      <c r="CT498"/>
      <c r="CU498"/>
      <c r="CV498"/>
      <c r="CW498"/>
      <c r="CX498"/>
      <c r="CY498"/>
      <c r="CZ498"/>
      <c r="DA498"/>
      <c r="DB498"/>
      <c r="DC498"/>
      <c r="DD498"/>
      <c r="DE498"/>
      <c r="DF498"/>
      <c r="DG498"/>
      <c r="DH498"/>
      <c r="DI498"/>
      <c r="DJ498"/>
      <c r="DK498"/>
      <c r="DL498"/>
      <c r="DM498"/>
      <c r="DN498"/>
      <c r="DO498"/>
      <c r="DP498"/>
      <c r="DQ498"/>
      <c r="DR498"/>
      <c r="DS498"/>
      <c r="DT498"/>
      <c r="DU498"/>
      <c r="DV498"/>
      <c r="DW498"/>
      <c r="DX498"/>
      <c r="DY498"/>
      <c r="DZ498"/>
      <c r="EA498"/>
      <c r="EB498"/>
      <c r="EC498"/>
      <c r="ED498"/>
      <c r="EE498"/>
      <c r="EF498"/>
      <c r="EG498"/>
      <c r="EH498"/>
      <c r="EI498"/>
      <c r="EJ498"/>
      <c r="EK498"/>
      <c r="EL498"/>
      <c r="EM498"/>
      <c r="EN498"/>
      <c r="EO498"/>
      <c r="EP498"/>
      <c r="EQ498"/>
      <c r="ER498"/>
      <c r="ES498"/>
      <c r="ET498"/>
      <c r="EU498"/>
      <c r="EV498"/>
      <c r="EW498"/>
      <c r="EX498"/>
      <c r="EY498"/>
      <c r="EZ498"/>
      <c r="FA498"/>
      <c r="FB498"/>
      <c r="FC498"/>
      <c r="FD498"/>
      <c r="FE498"/>
      <c r="FF498"/>
      <c r="FG498"/>
      <c r="FH498"/>
      <c r="FI498"/>
      <c r="FJ498"/>
      <c r="FK498"/>
      <c r="FL498"/>
      <c r="FM498"/>
      <c r="FN498"/>
      <c r="FO498"/>
      <c r="FP498"/>
      <c r="FQ498"/>
      <c r="FR498"/>
      <c r="FS498"/>
      <c r="FT498"/>
      <c r="FU498"/>
      <c r="FV498"/>
      <c r="FW498"/>
      <c r="FX498"/>
      <c r="FY498"/>
      <c r="FZ498"/>
      <c r="GA498"/>
      <c r="GB498"/>
      <c r="GC498"/>
      <c r="GD498"/>
      <c r="GE498"/>
      <c r="GF498"/>
      <c r="GG498"/>
      <c r="GH498"/>
      <c r="GI498"/>
      <c r="GJ498"/>
      <c r="GK498"/>
      <c r="GL498"/>
      <c r="GM498"/>
      <c r="GN498"/>
      <c r="GO498"/>
      <c r="GP498"/>
      <c r="GQ498"/>
      <c r="GR498"/>
      <c r="GS498"/>
      <c r="GT498"/>
      <c r="GU498"/>
      <c r="GV498"/>
      <c r="GW498"/>
      <c r="GX498"/>
      <c r="GY498"/>
      <c r="GZ498"/>
      <c r="HA498"/>
    </row>
    <row r="499" spans="1:209" ht="15" customHeight="1" x14ac:dyDescent="0.15">
      <c r="A499"/>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M499"/>
      <c r="CN499"/>
      <c r="CO499"/>
      <c r="CP499"/>
      <c r="CQ499"/>
      <c r="CR499"/>
      <c r="CS499"/>
      <c r="CT499"/>
      <c r="CU499"/>
      <c r="CV499"/>
      <c r="CW499"/>
      <c r="CX499"/>
      <c r="CY499"/>
      <c r="CZ499"/>
      <c r="DA499"/>
      <c r="DB499"/>
      <c r="DC499"/>
      <c r="DD499"/>
      <c r="DE499"/>
      <c r="DF499"/>
      <c r="DG499"/>
      <c r="DH499"/>
      <c r="DI499"/>
      <c r="DJ499"/>
      <c r="DK499"/>
      <c r="DL499"/>
      <c r="DM499"/>
      <c r="DN499"/>
      <c r="DO499"/>
      <c r="DP499"/>
      <c r="DQ499"/>
      <c r="DR499"/>
      <c r="DS499"/>
      <c r="DT499"/>
      <c r="DU499"/>
      <c r="DV499"/>
      <c r="DW499"/>
      <c r="DX499"/>
      <c r="DY499"/>
      <c r="DZ499"/>
      <c r="EA499"/>
      <c r="EB499"/>
      <c r="EC499"/>
      <c r="ED499"/>
      <c r="EE499"/>
      <c r="EF499"/>
      <c r="EG499"/>
      <c r="EH499"/>
      <c r="EI499"/>
      <c r="EJ499"/>
      <c r="EK499"/>
      <c r="EL499"/>
      <c r="EM499"/>
      <c r="EN499"/>
      <c r="EO499"/>
      <c r="EP499"/>
      <c r="EQ499"/>
      <c r="ER499"/>
      <c r="ES499"/>
      <c r="ET499"/>
      <c r="EU499"/>
      <c r="EV499"/>
      <c r="EW499"/>
      <c r="EX499"/>
      <c r="EY499"/>
      <c r="EZ499"/>
      <c r="FA499"/>
      <c r="FB499"/>
      <c r="FC499"/>
      <c r="FD499"/>
      <c r="FE499"/>
      <c r="FF499"/>
      <c r="FG499"/>
      <c r="FH499"/>
      <c r="FI499"/>
      <c r="FJ499"/>
      <c r="FK499"/>
      <c r="FL499"/>
      <c r="FM499"/>
      <c r="FN499"/>
      <c r="FO499"/>
      <c r="FP499"/>
      <c r="FQ499"/>
      <c r="FR499"/>
      <c r="FS499"/>
      <c r="FT499"/>
      <c r="FU499"/>
      <c r="FV499"/>
      <c r="FW499"/>
      <c r="FX499"/>
      <c r="FY499"/>
      <c r="FZ499"/>
      <c r="GA499"/>
      <c r="GB499"/>
      <c r="GC499"/>
      <c r="GD499"/>
      <c r="GE499"/>
      <c r="GF499"/>
      <c r="GG499"/>
      <c r="GH499"/>
      <c r="GI499"/>
      <c r="GJ499"/>
      <c r="GK499"/>
      <c r="GL499"/>
      <c r="GM499"/>
      <c r="GN499"/>
      <c r="GO499"/>
      <c r="GP499"/>
      <c r="GQ499"/>
      <c r="GR499"/>
      <c r="GS499"/>
      <c r="GT499"/>
      <c r="GU499"/>
      <c r="GV499"/>
      <c r="GW499"/>
      <c r="GX499"/>
      <c r="GY499"/>
      <c r="GZ499"/>
      <c r="HA499"/>
    </row>
    <row r="500" spans="1:209" ht="15" customHeight="1" x14ac:dyDescent="0.15">
      <c r="A500"/>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M500"/>
      <c r="CN500"/>
      <c r="CO500"/>
      <c r="CP500"/>
      <c r="CQ500"/>
      <c r="CR500"/>
      <c r="CS500"/>
      <c r="CT500"/>
      <c r="CU500"/>
      <c r="CV500"/>
      <c r="CW500"/>
      <c r="CX500"/>
      <c r="CY500"/>
      <c r="CZ500"/>
      <c r="DA500"/>
      <c r="DB500"/>
      <c r="DC500"/>
      <c r="DD500"/>
      <c r="DE500"/>
      <c r="DF500"/>
      <c r="DG500"/>
      <c r="DH500"/>
      <c r="DI500"/>
      <c r="DJ500"/>
      <c r="DK500"/>
      <c r="DL500"/>
      <c r="DM500"/>
      <c r="DN500"/>
      <c r="DO500"/>
      <c r="DP500"/>
      <c r="DQ500"/>
      <c r="DR500"/>
      <c r="DS500"/>
      <c r="DT500"/>
      <c r="DU500"/>
      <c r="DV500"/>
      <c r="DW500"/>
      <c r="DX500"/>
      <c r="DY500"/>
      <c r="DZ500"/>
      <c r="EA500"/>
      <c r="EB500"/>
      <c r="EC500"/>
      <c r="ED500"/>
      <c r="EE500"/>
      <c r="EF500"/>
      <c r="EG500"/>
      <c r="EH500"/>
      <c r="EI500"/>
      <c r="EJ500"/>
      <c r="EK500"/>
      <c r="EL500"/>
      <c r="EM500"/>
      <c r="EN500"/>
      <c r="EO500"/>
      <c r="EP500"/>
      <c r="EQ500"/>
      <c r="ER500"/>
      <c r="ES500"/>
      <c r="ET500"/>
      <c r="EU500"/>
      <c r="EV500"/>
      <c r="EW500"/>
      <c r="EX500"/>
      <c r="EY500"/>
      <c r="EZ500"/>
      <c r="FA500"/>
      <c r="FB500"/>
      <c r="FC500"/>
      <c r="FD500"/>
      <c r="FE500"/>
      <c r="FF500"/>
      <c r="FG500"/>
      <c r="FH500"/>
      <c r="FI500"/>
      <c r="FJ500"/>
      <c r="FK500"/>
      <c r="FL500"/>
      <c r="FM500"/>
      <c r="FN500"/>
      <c r="FO500"/>
      <c r="FP500"/>
      <c r="FQ500"/>
      <c r="FR500"/>
      <c r="FS500"/>
      <c r="FT500"/>
      <c r="FU500"/>
      <c r="FV500"/>
      <c r="FW500"/>
      <c r="FX500"/>
      <c r="FY500"/>
      <c r="FZ500"/>
      <c r="GA500"/>
      <c r="GB500"/>
      <c r="GC500"/>
      <c r="GD500"/>
      <c r="GE500"/>
      <c r="GF500"/>
      <c r="GG500"/>
      <c r="GH500"/>
      <c r="GI500"/>
      <c r="GJ500"/>
      <c r="GK500"/>
      <c r="GL500"/>
      <c r="GM500"/>
      <c r="GN500"/>
      <c r="GO500"/>
      <c r="GP500"/>
      <c r="GQ500"/>
      <c r="GR500"/>
      <c r="GS500"/>
      <c r="GT500"/>
      <c r="GU500"/>
      <c r="GV500"/>
      <c r="GW500"/>
      <c r="GX500"/>
      <c r="GY500"/>
      <c r="GZ500"/>
      <c r="HA500"/>
    </row>
  </sheetData>
  <phoneticPr fontId="2" type="noConversion"/>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dimension ref="A1:L187"/>
  <sheetViews>
    <sheetView workbookViewId="0">
      <selection activeCell="D5" sqref="D5"/>
    </sheetView>
  </sheetViews>
  <sheetFormatPr baseColWidth="10" defaultRowHeight="13" x14ac:dyDescent="0.15"/>
  <cols>
    <col min="1" max="1" width="33.6640625" bestFit="1" customWidth="1"/>
    <col min="2" max="2" width="9" customWidth="1"/>
    <col min="3" max="3" width="9" style="6" customWidth="1"/>
    <col min="4" max="4" width="27.5" bestFit="1" customWidth="1"/>
    <col min="5" max="5" width="3.33203125" bestFit="1" customWidth="1"/>
    <col min="6" max="6" width="4.83203125" bestFit="1" customWidth="1"/>
    <col min="7" max="7" width="3.33203125" bestFit="1" customWidth="1"/>
    <col min="8" max="8" width="27.5" bestFit="1" customWidth="1"/>
    <col min="10" max="10" width="18" bestFit="1" customWidth="1"/>
    <col min="11" max="11" width="14" bestFit="1" customWidth="1"/>
    <col min="15" max="15" width="14.33203125" bestFit="1" customWidth="1"/>
    <col min="16" max="16" width="39.83203125" bestFit="1" customWidth="1"/>
  </cols>
  <sheetData>
    <row r="1" spans="1:12" s="1" customFormat="1" ht="14" thickBot="1" x14ac:dyDescent="0.2">
      <c r="C1" s="54"/>
      <c r="D1" s="1" t="s">
        <v>32</v>
      </c>
      <c r="E1" s="1" t="s">
        <v>33</v>
      </c>
      <c r="F1" s="1" t="s">
        <v>34</v>
      </c>
      <c r="G1" s="1" t="s">
        <v>35</v>
      </c>
      <c r="H1" s="1" t="s">
        <v>36</v>
      </c>
      <c r="J1" s="1" t="s">
        <v>130</v>
      </c>
      <c r="K1" s="1" t="s">
        <v>131</v>
      </c>
      <c r="L1" s="62" t="s">
        <v>166</v>
      </c>
    </row>
    <row r="2" spans="1:12" x14ac:dyDescent="0.15">
      <c r="A2" s="1" t="s">
        <v>37</v>
      </c>
      <c r="B2" s="39">
        <v>3</v>
      </c>
      <c r="C2" s="37"/>
      <c r="D2" t="s">
        <v>38</v>
      </c>
      <c r="E2">
        <v>1</v>
      </c>
      <c r="F2">
        <v>1</v>
      </c>
      <c r="G2">
        <v>1</v>
      </c>
      <c r="H2" t="s">
        <v>38</v>
      </c>
      <c r="J2" s="55"/>
      <c r="K2" s="56"/>
      <c r="L2" s="62" t="s">
        <v>167</v>
      </c>
    </row>
    <row r="3" spans="1:12" ht="14" thickBot="1" x14ac:dyDescent="0.2">
      <c r="A3" s="1" t="s">
        <v>39</v>
      </c>
      <c r="B3" s="40">
        <v>0</v>
      </c>
      <c r="C3" s="37"/>
      <c r="D3" t="s">
        <v>40</v>
      </c>
      <c r="E3">
        <v>2</v>
      </c>
      <c r="F3">
        <v>1.1000000000000001</v>
      </c>
      <c r="G3">
        <v>2</v>
      </c>
      <c r="H3" t="s">
        <v>40</v>
      </c>
      <c r="J3" s="57"/>
      <c r="K3" s="58"/>
    </row>
    <row r="4" spans="1:12" x14ac:dyDescent="0.15">
      <c r="D4" t="s">
        <v>41</v>
      </c>
      <c r="E4">
        <v>3</v>
      </c>
      <c r="F4">
        <v>1.2</v>
      </c>
      <c r="G4">
        <v>3</v>
      </c>
      <c r="H4" t="s">
        <v>41</v>
      </c>
      <c r="J4" s="57"/>
      <c r="K4" s="58"/>
    </row>
    <row r="5" spans="1:12" x14ac:dyDescent="0.15">
      <c r="D5" s="163" t="s">
        <v>193</v>
      </c>
      <c r="E5">
        <v>4</v>
      </c>
      <c r="F5">
        <v>2.1</v>
      </c>
      <c r="G5">
        <v>4</v>
      </c>
      <c r="H5" s="164" t="s">
        <v>193</v>
      </c>
      <c r="J5" s="57"/>
      <c r="K5" s="58"/>
    </row>
    <row r="6" spans="1:12" ht="14" thickBot="1" x14ac:dyDescent="0.2">
      <c r="A6" s="41" t="s">
        <v>121</v>
      </c>
      <c r="D6" s="163" t="s">
        <v>194</v>
      </c>
      <c r="E6">
        <v>5</v>
      </c>
      <c r="F6">
        <v>2.2000000000000002</v>
      </c>
      <c r="G6">
        <v>5</v>
      </c>
      <c r="H6" s="164" t="s">
        <v>194</v>
      </c>
      <c r="J6" s="57"/>
      <c r="K6" s="58"/>
    </row>
    <row r="7" spans="1:12" x14ac:dyDescent="0.15">
      <c r="A7" s="36" t="s">
        <v>126</v>
      </c>
      <c r="B7" s="43">
        <v>1</v>
      </c>
      <c r="C7" s="38"/>
      <c r="D7" s="163" t="s">
        <v>195</v>
      </c>
      <c r="E7">
        <v>6</v>
      </c>
      <c r="F7">
        <v>3.11</v>
      </c>
      <c r="G7">
        <v>6</v>
      </c>
      <c r="H7" s="164" t="s">
        <v>195</v>
      </c>
      <c r="J7" s="57"/>
      <c r="K7" s="58"/>
    </row>
    <row r="8" spans="1:12" x14ac:dyDescent="0.15">
      <c r="A8" s="36" t="s">
        <v>38</v>
      </c>
      <c r="B8" s="44">
        <v>1</v>
      </c>
      <c r="C8" s="38"/>
      <c r="D8" s="163" t="s">
        <v>196</v>
      </c>
      <c r="E8">
        <v>7</v>
      </c>
      <c r="F8">
        <v>3.11</v>
      </c>
      <c r="G8">
        <v>7</v>
      </c>
      <c r="H8" s="164" t="s">
        <v>196</v>
      </c>
      <c r="J8" s="57"/>
      <c r="K8" s="58"/>
    </row>
    <row r="9" spans="1:12" x14ac:dyDescent="0.15">
      <c r="A9" s="36" t="s">
        <v>40</v>
      </c>
      <c r="B9" s="44">
        <v>1.1000000000000001</v>
      </c>
      <c r="C9" s="38"/>
      <c r="D9" s="163" t="s">
        <v>197</v>
      </c>
      <c r="E9">
        <v>8</v>
      </c>
      <c r="F9">
        <v>3.11</v>
      </c>
      <c r="G9">
        <v>8</v>
      </c>
      <c r="H9" s="164" t="s">
        <v>197</v>
      </c>
      <c r="J9" s="57"/>
      <c r="K9" s="58"/>
    </row>
    <row r="10" spans="1:12" x14ac:dyDescent="0.15">
      <c r="A10" s="36" t="s">
        <v>41</v>
      </c>
      <c r="B10" s="44">
        <v>1.2</v>
      </c>
      <c r="C10" s="38"/>
      <c r="D10" s="163" t="s">
        <v>198</v>
      </c>
      <c r="E10">
        <v>9</v>
      </c>
      <c r="F10">
        <v>3.21</v>
      </c>
      <c r="G10">
        <v>9</v>
      </c>
      <c r="H10" s="164" t="s">
        <v>198</v>
      </c>
      <c r="J10" s="57"/>
      <c r="K10" s="58"/>
    </row>
    <row r="11" spans="1:12" ht="12" customHeight="1" x14ac:dyDescent="0.15">
      <c r="A11" s="42" t="s">
        <v>127</v>
      </c>
      <c r="B11" s="44">
        <v>2</v>
      </c>
      <c r="C11" s="38"/>
      <c r="D11" s="163" t="s">
        <v>199</v>
      </c>
      <c r="E11">
        <v>10</v>
      </c>
      <c r="F11">
        <v>3.21</v>
      </c>
      <c r="G11">
        <v>10</v>
      </c>
      <c r="H11" s="164" t="s">
        <v>199</v>
      </c>
      <c r="J11" s="57"/>
      <c r="K11" s="58"/>
    </row>
    <row r="12" spans="1:12" x14ac:dyDescent="0.15">
      <c r="A12" s="36" t="s">
        <v>42</v>
      </c>
      <c r="B12" s="44">
        <v>2.1</v>
      </c>
      <c r="C12" s="38"/>
      <c r="D12" s="163" t="s">
        <v>200</v>
      </c>
      <c r="E12">
        <v>11</v>
      </c>
      <c r="F12">
        <v>3.21</v>
      </c>
      <c r="G12">
        <v>11</v>
      </c>
      <c r="H12" s="164" t="s">
        <v>200</v>
      </c>
      <c r="J12" s="57"/>
      <c r="K12" s="58"/>
    </row>
    <row r="13" spans="1:12" x14ac:dyDescent="0.15">
      <c r="A13" s="36" t="s">
        <v>43</v>
      </c>
      <c r="B13" s="44">
        <v>2.2000000000000002</v>
      </c>
      <c r="C13" s="38"/>
      <c r="D13" s="163" t="s">
        <v>201</v>
      </c>
      <c r="E13">
        <v>12</v>
      </c>
      <c r="F13">
        <v>3.02</v>
      </c>
      <c r="G13">
        <v>12</v>
      </c>
      <c r="H13" s="164" t="s">
        <v>201</v>
      </c>
      <c r="J13" s="57"/>
      <c r="K13" s="58"/>
    </row>
    <row r="14" spans="1:12" x14ac:dyDescent="0.15">
      <c r="A14" s="36" t="s">
        <v>67</v>
      </c>
      <c r="B14" s="44">
        <v>2.2999999999999998</v>
      </c>
      <c r="C14" s="38"/>
      <c r="D14" s="163" t="s">
        <v>202</v>
      </c>
      <c r="E14">
        <v>13</v>
      </c>
      <c r="F14">
        <v>3.21</v>
      </c>
      <c r="G14">
        <v>13</v>
      </c>
      <c r="H14" s="164" t="s">
        <v>202</v>
      </c>
      <c r="J14" s="57"/>
      <c r="K14" s="58"/>
    </row>
    <row r="15" spans="1:12" x14ac:dyDescent="0.15">
      <c r="A15" s="42" t="s">
        <v>128</v>
      </c>
      <c r="B15" s="44">
        <v>3</v>
      </c>
      <c r="C15" s="38"/>
      <c r="D15" s="163" t="s">
        <v>203</v>
      </c>
      <c r="E15">
        <v>14</v>
      </c>
      <c r="F15">
        <v>3.23</v>
      </c>
      <c r="G15">
        <v>14</v>
      </c>
      <c r="H15" s="164" t="s">
        <v>203</v>
      </c>
      <c r="J15" s="57"/>
      <c r="K15" s="58"/>
    </row>
    <row r="16" spans="1:12" x14ac:dyDescent="0.15">
      <c r="A16" s="36" t="s">
        <v>62</v>
      </c>
      <c r="B16" s="44">
        <v>3.11</v>
      </c>
      <c r="C16" s="38"/>
      <c r="D16" s="163" t="s">
        <v>204</v>
      </c>
      <c r="E16">
        <v>15</v>
      </c>
      <c r="F16">
        <v>3.13</v>
      </c>
      <c r="G16">
        <v>15</v>
      </c>
      <c r="H16" s="164" t="s">
        <v>204</v>
      </c>
      <c r="J16" s="57"/>
      <c r="K16" s="58"/>
    </row>
    <row r="17" spans="1:12" x14ac:dyDescent="0.15">
      <c r="A17" s="36" t="s">
        <v>61</v>
      </c>
      <c r="B17" s="44">
        <v>3.12</v>
      </c>
      <c r="C17" s="38"/>
      <c r="D17" s="163" t="s">
        <v>205</v>
      </c>
      <c r="E17">
        <v>16</v>
      </c>
      <c r="F17">
        <v>3.24</v>
      </c>
      <c r="G17">
        <v>16</v>
      </c>
      <c r="H17" s="164" t="s">
        <v>205</v>
      </c>
      <c r="J17" s="57"/>
      <c r="K17" s="58"/>
    </row>
    <row r="18" spans="1:12" x14ac:dyDescent="0.15">
      <c r="A18" s="36" t="s">
        <v>68</v>
      </c>
      <c r="B18" s="44">
        <v>3.13</v>
      </c>
      <c r="C18" s="38"/>
      <c r="D18" s="163" t="s">
        <v>206</v>
      </c>
      <c r="E18">
        <v>17</v>
      </c>
      <c r="F18">
        <v>3.24</v>
      </c>
      <c r="G18">
        <v>17</v>
      </c>
      <c r="H18" s="164" t="s">
        <v>206</v>
      </c>
      <c r="J18" s="57"/>
      <c r="K18" s="58"/>
    </row>
    <row r="19" spans="1:12" x14ac:dyDescent="0.15">
      <c r="A19" s="36" t="s">
        <v>66</v>
      </c>
      <c r="B19" s="44">
        <v>3.21</v>
      </c>
      <c r="C19" s="38"/>
      <c r="D19" s="163" t="s">
        <v>207</v>
      </c>
      <c r="E19">
        <v>18</v>
      </c>
      <c r="F19">
        <v>3.24</v>
      </c>
      <c r="G19">
        <v>18</v>
      </c>
      <c r="H19" s="164" t="s">
        <v>207</v>
      </c>
      <c r="J19" s="57"/>
      <c r="K19" s="58"/>
    </row>
    <row r="20" spans="1:12" x14ac:dyDescent="0.15">
      <c r="A20" s="36" t="s">
        <v>63</v>
      </c>
      <c r="B20" s="44">
        <v>3.22</v>
      </c>
      <c r="C20" s="38"/>
      <c r="D20" s="163" t="s">
        <v>208</v>
      </c>
      <c r="E20">
        <v>19</v>
      </c>
      <c r="F20">
        <v>3.24</v>
      </c>
      <c r="G20">
        <v>19</v>
      </c>
      <c r="H20" s="164" t="s">
        <v>208</v>
      </c>
      <c r="J20" s="57"/>
      <c r="K20" s="58"/>
    </row>
    <row r="21" spans="1:12" ht="14" thickBot="1" x14ac:dyDescent="0.2">
      <c r="A21" s="36" t="s">
        <v>69</v>
      </c>
      <c r="B21" s="44">
        <v>3.23</v>
      </c>
      <c r="C21" s="38"/>
      <c r="D21" s="163" t="s">
        <v>209</v>
      </c>
      <c r="E21">
        <v>20</v>
      </c>
      <c r="F21">
        <v>3.24</v>
      </c>
      <c r="G21">
        <v>20</v>
      </c>
      <c r="H21" s="164" t="s">
        <v>209</v>
      </c>
      <c r="J21" s="59"/>
      <c r="K21" s="60"/>
      <c r="L21" s="62" t="s">
        <v>152</v>
      </c>
    </row>
    <row r="22" spans="1:12" x14ac:dyDescent="0.15">
      <c r="A22" s="36" t="s">
        <v>64</v>
      </c>
      <c r="B22" s="44">
        <v>8</v>
      </c>
      <c r="C22" s="38"/>
      <c r="D22" s="163" t="s">
        <v>210</v>
      </c>
      <c r="E22">
        <v>21</v>
      </c>
      <c r="F22">
        <v>3.24</v>
      </c>
      <c r="G22">
        <v>21</v>
      </c>
      <c r="H22" s="164" t="s">
        <v>210</v>
      </c>
    </row>
    <row r="23" spans="1:12" x14ac:dyDescent="0.15">
      <c r="A23" s="36" t="s">
        <v>129</v>
      </c>
      <c r="B23" s="44">
        <v>4</v>
      </c>
      <c r="C23" s="38"/>
      <c r="D23" s="163" t="s">
        <v>211</v>
      </c>
      <c r="E23">
        <v>22</v>
      </c>
      <c r="F23">
        <v>3.24</v>
      </c>
      <c r="G23">
        <v>22</v>
      </c>
      <c r="H23" s="164" t="s">
        <v>211</v>
      </c>
    </row>
    <row r="24" spans="1:12" x14ac:dyDescent="0.15">
      <c r="A24" s="36" t="s">
        <v>122</v>
      </c>
      <c r="B24" s="44">
        <v>4.0999999999999996</v>
      </c>
      <c r="C24" s="38"/>
      <c r="D24" s="163" t="s">
        <v>212</v>
      </c>
      <c r="E24">
        <v>23</v>
      </c>
      <c r="F24">
        <v>3.24</v>
      </c>
      <c r="G24">
        <v>23</v>
      </c>
      <c r="H24" s="164" t="s">
        <v>212</v>
      </c>
    </row>
    <row r="25" spans="1:12" x14ac:dyDescent="0.15">
      <c r="A25" s="36" t="s">
        <v>70</v>
      </c>
      <c r="B25" s="44">
        <v>4.2</v>
      </c>
      <c r="C25" s="38"/>
      <c r="D25" s="163" t="s">
        <v>213</v>
      </c>
      <c r="E25">
        <v>24</v>
      </c>
      <c r="F25">
        <v>3.24</v>
      </c>
      <c r="G25">
        <v>24</v>
      </c>
      <c r="H25" s="164" t="s">
        <v>213</v>
      </c>
    </row>
    <row r="26" spans="1:12" x14ac:dyDescent="0.15">
      <c r="A26" s="36" t="s">
        <v>123</v>
      </c>
      <c r="B26" s="44">
        <v>4.3</v>
      </c>
      <c r="C26" s="38"/>
      <c r="D26" s="163" t="s">
        <v>214</v>
      </c>
      <c r="E26">
        <v>25</v>
      </c>
      <c r="F26">
        <v>3.24</v>
      </c>
      <c r="G26">
        <v>25</v>
      </c>
      <c r="H26" s="164" t="s">
        <v>214</v>
      </c>
    </row>
    <row r="27" spans="1:12" x14ac:dyDescent="0.15">
      <c r="A27" s="36" t="s">
        <v>125</v>
      </c>
      <c r="B27" s="44">
        <v>6.1</v>
      </c>
      <c r="D27" s="163" t="s">
        <v>215</v>
      </c>
      <c r="E27">
        <v>26</v>
      </c>
      <c r="F27">
        <v>3.24</v>
      </c>
      <c r="G27">
        <v>26</v>
      </c>
      <c r="H27" s="164" t="s">
        <v>215</v>
      </c>
    </row>
    <row r="28" spans="1:12" x14ac:dyDescent="0.15">
      <c r="A28" s="36" t="s">
        <v>124</v>
      </c>
      <c r="B28" s="44">
        <v>6.2</v>
      </c>
      <c r="D28" s="163" t="s">
        <v>216</v>
      </c>
      <c r="E28">
        <v>27</v>
      </c>
      <c r="F28">
        <v>3.14</v>
      </c>
      <c r="G28">
        <v>27</v>
      </c>
      <c r="H28" s="164" t="s">
        <v>216</v>
      </c>
    </row>
    <row r="29" spans="1:12" x14ac:dyDescent="0.15">
      <c r="A29" s="36" t="s">
        <v>44</v>
      </c>
      <c r="B29" s="44">
        <v>5</v>
      </c>
      <c r="D29" s="163" t="s">
        <v>217</v>
      </c>
      <c r="E29">
        <v>28</v>
      </c>
      <c r="F29">
        <v>3.24</v>
      </c>
      <c r="G29">
        <v>28</v>
      </c>
      <c r="H29" s="164" t="s">
        <v>217</v>
      </c>
    </row>
    <row r="30" spans="1:12" x14ac:dyDescent="0.15">
      <c r="A30" s="36" t="s">
        <v>73</v>
      </c>
      <c r="B30" s="44">
        <v>7</v>
      </c>
      <c r="D30" s="163" t="s">
        <v>218</v>
      </c>
      <c r="E30">
        <v>29</v>
      </c>
      <c r="F30">
        <v>3.24</v>
      </c>
      <c r="G30">
        <v>29</v>
      </c>
      <c r="H30" s="164" t="s">
        <v>218</v>
      </c>
    </row>
    <row r="31" spans="1:12" x14ac:dyDescent="0.15">
      <c r="A31" s="36" t="s">
        <v>169</v>
      </c>
      <c r="B31" s="44">
        <v>3.14</v>
      </c>
      <c r="D31" s="163" t="s">
        <v>219</v>
      </c>
      <c r="E31">
        <v>30</v>
      </c>
      <c r="F31">
        <v>3.24</v>
      </c>
      <c r="G31">
        <v>30</v>
      </c>
      <c r="H31" s="164" t="s">
        <v>219</v>
      </c>
    </row>
    <row r="32" spans="1:12" ht="12" customHeight="1" thickBot="1" x14ac:dyDescent="0.2">
      <c r="A32" s="42" t="s">
        <v>170</v>
      </c>
      <c r="B32" s="45">
        <v>9</v>
      </c>
      <c r="D32" s="163" t="s">
        <v>220</v>
      </c>
      <c r="E32">
        <v>31</v>
      </c>
      <c r="F32">
        <v>3.24</v>
      </c>
      <c r="G32">
        <v>31</v>
      </c>
      <c r="H32" s="164" t="s">
        <v>220</v>
      </c>
    </row>
    <row r="33" spans="4:8" customFormat="1" ht="12" customHeight="1" x14ac:dyDescent="0.15">
      <c r="D33" s="163" t="s">
        <v>221</v>
      </c>
      <c r="E33">
        <v>32</v>
      </c>
      <c r="F33">
        <v>3.14</v>
      </c>
      <c r="G33">
        <v>32</v>
      </c>
      <c r="H33" s="164" t="s">
        <v>221</v>
      </c>
    </row>
    <row r="34" spans="4:8" customFormat="1" ht="12" customHeight="1" x14ac:dyDescent="0.15">
      <c r="D34" s="163" t="s">
        <v>222</v>
      </c>
      <c r="E34">
        <v>33</v>
      </c>
      <c r="F34">
        <v>3.24</v>
      </c>
      <c r="G34">
        <v>33</v>
      </c>
      <c r="H34" s="164" t="s">
        <v>222</v>
      </c>
    </row>
    <row r="35" spans="4:8" customFormat="1" x14ac:dyDescent="0.15">
      <c r="D35" s="163" t="s">
        <v>223</v>
      </c>
      <c r="E35">
        <v>34</v>
      </c>
      <c r="F35">
        <v>3.14</v>
      </c>
      <c r="G35">
        <v>34</v>
      </c>
      <c r="H35" s="164" t="s">
        <v>223</v>
      </c>
    </row>
    <row r="36" spans="4:8" customFormat="1" x14ac:dyDescent="0.15">
      <c r="D36" s="163" t="s">
        <v>224</v>
      </c>
      <c r="E36">
        <v>35</v>
      </c>
      <c r="F36">
        <v>3.14</v>
      </c>
      <c r="G36">
        <v>35</v>
      </c>
      <c r="H36" s="164" t="s">
        <v>224</v>
      </c>
    </row>
    <row r="37" spans="4:8" customFormat="1" ht="12" customHeight="1" x14ac:dyDescent="0.15">
      <c r="D37" s="163" t="s">
        <v>225</v>
      </c>
      <c r="E37">
        <v>36</v>
      </c>
      <c r="F37">
        <v>3.14</v>
      </c>
      <c r="G37">
        <v>36</v>
      </c>
      <c r="H37" s="164" t="s">
        <v>225</v>
      </c>
    </row>
    <row r="38" spans="4:8" customFormat="1" x14ac:dyDescent="0.15">
      <c r="D38" s="163" t="s">
        <v>226</v>
      </c>
      <c r="E38">
        <v>37</v>
      </c>
      <c r="F38">
        <v>3.14</v>
      </c>
      <c r="G38">
        <v>37</v>
      </c>
      <c r="H38" s="164" t="s">
        <v>226</v>
      </c>
    </row>
    <row r="39" spans="4:8" customFormat="1" x14ac:dyDescent="0.15">
      <c r="D39" s="163" t="s">
        <v>227</v>
      </c>
      <c r="E39">
        <v>38</v>
      </c>
      <c r="F39">
        <v>3.15</v>
      </c>
      <c r="G39">
        <v>38</v>
      </c>
      <c r="H39" s="164" t="s">
        <v>227</v>
      </c>
    </row>
    <row r="40" spans="4:8" customFormat="1" x14ac:dyDescent="0.15">
      <c r="D40" s="163" t="s">
        <v>228</v>
      </c>
      <c r="E40">
        <v>39</v>
      </c>
      <c r="F40">
        <v>3.16</v>
      </c>
      <c r="G40">
        <v>39</v>
      </c>
      <c r="H40" s="164" t="s">
        <v>228</v>
      </c>
    </row>
    <row r="41" spans="4:8" customFormat="1" x14ac:dyDescent="0.15">
      <c r="D41" s="163" t="s">
        <v>229</v>
      </c>
      <c r="E41">
        <v>40</v>
      </c>
      <c r="F41">
        <v>3.16</v>
      </c>
      <c r="G41">
        <v>40</v>
      </c>
      <c r="H41" s="164" t="s">
        <v>229</v>
      </c>
    </row>
    <row r="42" spans="4:8" customFormat="1" x14ac:dyDescent="0.15">
      <c r="D42" s="163" t="s">
        <v>230</v>
      </c>
      <c r="E42">
        <v>41</v>
      </c>
      <c r="F42">
        <v>3.16</v>
      </c>
      <c r="G42">
        <v>41</v>
      </c>
      <c r="H42" s="164" t="s">
        <v>230</v>
      </c>
    </row>
    <row r="43" spans="4:8" customFormat="1" x14ac:dyDescent="0.15">
      <c r="D43" s="163" t="s">
        <v>231</v>
      </c>
      <c r="E43">
        <v>42</v>
      </c>
      <c r="F43">
        <v>4.0999999999999996</v>
      </c>
      <c r="G43">
        <v>42</v>
      </c>
      <c r="H43" s="164" t="s">
        <v>231</v>
      </c>
    </row>
    <row r="44" spans="4:8" customFormat="1" x14ac:dyDescent="0.15">
      <c r="D44" s="163" t="s">
        <v>232</v>
      </c>
      <c r="E44">
        <v>43</v>
      </c>
      <c r="F44">
        <v>4.22</v>
      </c>
      <c r="G44">
        <v>43</v>
      </c>
      <c r="H44" s="164" t="s">
        <v>232</v>
      </c>
    </row>
    <row r="45" spans="4:8" customFormat="1" x14ac:dyDescent="0.15">
      <c r="D45" s="163" t="s">
        <v>233</v>
      </c>
      <c r="E45">
        <v>44</v>
      </c>
      <c r="F45">
        <v>4.3</v>
      </c>
      <c r="G45">
        <v>44</v>
      </c>
      <c r="H45" s="164" t="s">
        <v>233</v>
      </c>
    </row>
    <row r="46" spans="4:8" customFormat="1" x14ac:dyDescent="0.15">
      <c r="D46" s="163" t="s">
        <v>234</v>
      </c>
      <c r="E46">
        <v>45</v>
      </c>
      <c r="F46">
        <v>5</v>
      </c>
      <c r="G46">
        <v>45</v>
      </c>
      <c r="H46" s="164" t="s">
        <v>234</v>
      </c>
    </row>
    <row r="47" spans="4:8" customFormat="1" x14ac:dyDescent="0.15">
      <c r="D47" s="163" t="s">
        <v>235</v>
      </c>
      <c r="E47">
        <v>46</v>
      </c>
      <c r="F47">
        <v>5</v>
      </c>
      <c r="G47">
        <v>46</v>
      </c>
      <c r="H47" s="164" t="s">
        <v>235</v>
      </c>
    </row>
    <row r="48" spans="4:8" customFormat="1" x14ac:dyDescent="0.15">
      <c r="D48" s="163" t="s">
        <v>236</v>
      </c>
      <c r="E48">
        <v>47</v>
      </c>
      <c r="F48">
        <v>5</v>
      </c>
      <c r="G48">
        <v>47</v>
      </c>
      <c r="H48" s="164" t="s">
        <v>236</v>
      </c>
    </row>
    <row r="49" spans="4:8" customFormat="1" x14ac:dyDescent="0.15">
      <c r="D49" s="163" t="s">
        <v>237</v>
      </c>
      <c r="E49">
        <v>48</v>
      </c>
      <c r="F49">
        <v>5</v>
      </c>
      <c r="G49">
        <v>48</v>
      </c>
      <c r="H49" s="164" t="s">
        <v>237</v>
      </c>
    </row>
    <row r="50" spans="4:8" customFormat="1" ht="12" customHeight="1" x14ac:dyDescent="0.15">
      <c r="D50" s="163" t="s">
        <v>238</v>
      </c>
      <c r="E50">
        <v>49</v>
      </c>
      <c r="F50">
        <v>5</v>
      </c>
      <c r="G50">
        <v>49</v>
      </c>
      <c r="H50" s="164" t="s">
        <v>238</v>
      </c>
    </row>
    <row r="51" spans="4:8" customFormat="1" x14ac:dyDescent="0.15">
      <c r="D51" s="163" t="s">
        <v>138</v>
      </c>
      <c r="E51">
        <v>50</v>
      </c>
      <c r="F51">
        <v>6.1</v>
      </c>
      <c r="G51">
        <v>50</v>
      </c>
      <c r="H51" s="164" t="s">
        <v>138</v>
      </c>
    </row>
    <row r="52" spans="4:8" customFormat="1" ht="12" customHeight="1" x14ac:dyDescent="0.15">
      <c r="D52" s="163" t="s">
        <v>45</v>
      </c>
      <c r="E52">
        <v>51</v>
      </c>
      <c r="F52">
        <v>6.2</v>
      </c>
      <c r="G52">
        <v>51</v>
      </c>
      <c r="H52" s="164" t="s">
        <v>45</v>
      </c>
    </row>
    <row r="53" spans="4:8" customFormat="1" x14ac:dyDescent="0.15"/>
    <row r="54" spans="4:8" customFormat="1" ht="12" customHeight="1" x14ac:dyDescent="0.15"/>
    <row r="55" spans="4:8" customFormat="1" ht="12" customHeight="1" x14ac:dyDescent="0.15"/>
    <row r="56" spans="4:8" customFormat="1" x14ac:dyDescent="0.15"/>
    <row r="57" spans="4:8" customFormat="1" x14ac:dyDescent="0.15"/>
    <row r="58" spans="4:8" customFormat="1" x14ac:dyDescent="0.15"/>
    <row r="59" spans="4:8" customFormat="1" x14ac:dyDescent="0.15"/>
    <row r="60" spans="4:8" customFormat="1" x14ac:dyDescent="0.15"/>
    <row r="61" spans="4:8" customFormat="1" x14ac:dyDescent="0.15"/>
    <row r="62" spans="4:8" customFormat="1" x14ac:dyDescent="0.15"/>
    <row r="63" spans="4:8" customFormat="1" x14ac:dyDescent="0.15"/>
    <row r="64" spans="4:8" customFormat="1" x14ac:dyDescent="0.15"/>
    <row r="65" customFormat="1" x14ac:dyDescent="0.15"/>
    <row r="66" customFormat="1" x14ac:dyDescent="0.15"/>
    <row r="67" customFormat="1" x14ac:dyDescent="0.15"/>
    <row r="68" customFormat="1" x14ac:dyDescent="0.15"/>
    <row r="69" customFormat="1" x14ac:dyDescent="0.15"/>
    <row r="70" customFormat="1" x14ac:dyDescent="0.15"/>
    <row r="71" customFormat="1" x14ac:dyDescent="0.15"/>
    <row r="72" customFormat="1" x14ac:dyDescent="0.15"/>
    <row r="73" customFormat="1" x14ac:dyDescent="0.15"/>
    <row r="74" customFormat="1" x14ac:dyDescent="0.15"/>
    <row r="75" customFormat="1" x14ac:dyDescent="0.15"/>
    <row r="76" customFormat="1" x14ac:dyDescent="0.15"/>
    <row r="77" customFormat="1" x14ac:dyDescent="0.15"/>
    <row r="78" customFormat="1" x14ac:dyDescent="0.15"/>
    <row r="79" customFormat="1" x14ac:dyDescent="0.15"/>
    <row r="80" customFormat="1" x14ac:dyDescent="0.15"/>
    <row r="81" customFormat="1" x14ac:dyDescent="0.15"/>
    <row r="82" customFormat="1" x14ac:dyDescent="0.15"/>
    <row r="83" customFormat="1" x14ac:dyDescent="0.15"/>
    <row r="84" customFormat="1" x14ac:dyDescent="0.15"/>
    <row r="85" customFormat="1" x14ac:dyDescent="0.15"/>
    <row r="86" customFormat="1" x14ac:dyDescent="0.15"/>
    <row r="87" customFormat="1" x14ac:dyDescent="0.15"/>
    <row r="88" customFormat="1" x14ac:dyDescent="0.15"/>
    <row r="89" customFormat="1" x14ac:dyDescent="0.15"/>
    <row r="90" customFormat="1" x14ac:dyDescent="0.15"/>
    <row r="91" customFormat="1" x14ac:dyDescent="0.15"/>
    <row r="92" customFormat="1" x14ac:dyDescent="0.15"/>
    <row r="93" customFormat="1" x14ac:dyDescent="0.15"/>
    <row r="94" customFormat="1" x14ac:dyDescent="0.15"/>
    <row r="95" customFormat="1" x14ac:dyDescent="0.15"/>
    <row r="96" customFormat="1" x14ac:dyDescent="0.15"/>
    <row r="97" customFormat="1" x14ac:dyDescent="0.15"/>
    <row r="98" customFormat="1" x14ac:dyDescent="0.15"/>
    <row r="99" customFormat="1" x14ac:dyDescent="0.15"/>
    <row r="100" customFormat="1" x14ac:dyDescent="0.15"/>
    <row r="101" customFormat="1" x14ac:dyDescent="0.15"/>
    <row r="102" customFormat="1" x14ac:dyDescent="0.15"/>
    <row r="103" customFormat="1" x14ac:dyDescent="0.15"/>
    <row r="104" customFormat="1" x14ac:dyDescent="0.15"/>
    <row r="105" customFormat="1" x14ac:dyDescent="0.15"/>
    <row r="106" customFormat="1" x14ac:dyDescent="0.15"/>
    <row r="107" customFormat="1" x14ac:dyDescent="0.15"/>
    <row r="108" customFormat="1" x14ac:dyDescent="0.15"/>
    <row r="109" customFormat="1" x14ac:dyDescent="0.15"/>
    <row r="110" customFormat="1" x14ac:dyDescent="0.15"/>
    <row r="111" customFormat="1" x14ac:dyDescent="0.15"/>
    <row r="112" customFormat="1" x14ac:dyDescent="0.15"/>
    <row r="113" customFormat="1" x14ac:dyDescent="0.15"/>
    <row r="114" customFormat="1" x14ac:dyDescent="0.15"/>
    <row r="115" customFormat="1" x14ac:dyDescent="0.15"/>
    <row r="116" customFormat="1" x14ac:dyDescent="0.15"/>
    <row r="117" customFormat="1" x14ac:dyDescent="0.15"/>
    <row r="118" customFormat="1" x14ac:dyDescent="0.15"/>
    <row r="119" customFormat="1" x14ac:dyDescent="0.15"/>
    <row r="120" customFormat="1" x14ac:dyDescent="0.15"/>
    <row r="121" customFormat="1" x14ac:dyDescent="0.15"/>
    <row r="122" customFormat="1" x14ac:dyDescent="0.15"/>
    <row r="123" customFormat="1" x14ac:dyDescent="0.15"/>
    <row r="124" customFormat="1" x14ac:dyDescent="0.15"/>
    <row r="125" customFormat="1" x14ac:dyDescent="0.15"/>
    <row r="126" customFormat="1" x14ac:dyDescent="0.15"/>
    <row r="127" customFormat="1" x14ac:dyDescent="0.15"/>
    <row r="128" customFormat="1" x14ac:dyDescent="0.15"/>
    <row r="129" customFormat="1" x14ac:dyDescent="0.15"/>
    <row r="130" customFormat="1" x14ac:dyDescent="0.15"/>
    <row r="131" customFormat="1" x14ac:dyDescent="0.15"/>
    <row r="132" customFormat="1" x14ac:dyDescent="0.15"/>
    <row r="133" customFormat="1" x14ac:dyDescent="0.15"/>
    <row r="134" customFormat="1" x14ac:dyDescent="0.15"/>
    <row r="135" customFormat="1" x14ac:dyDescent="0.15"/>
    <row r="136" customFormat="1" x14ac:dyDescent="0.15"/>
    <row r="137" customFormat="1" x14ac:dyDescent="0.15"/>
    <row r="138" customFormat="1" x14ac:dyDescent="0.15"/>
    <row r="139" customFormat="1" x14ac:dyDescent="0.15"/>
    <row r="140" customFormat="1" x14ac:dyDescent="0.15"/>
    <row r="141" customFormat="1" x14ac:dyDescent="0.15"/>
    <row r="142" customFormat="1" x14ac:dyDescent="0.15"/>
    <row r="143" customFormat="1" x14ac:dyDescent="0.15"/>
    <row r="144" customFormat="1" x14ac:dyDescent="0.15"/>
    <row r="145" customFormat="1" x14ac:dyDescent="0.15"/>
    <row r="146" customFormat="1" x14ac:dyDescent="0.15"/>
    <row r="147" customFormat="1" x14ac:dyDescent="0.15"/>
    <row r="148" customFormat="1" x14ac:dyDescent="0.15"/>
    <row r="149" customFormat="1" x14ac:dyDescent="0.15"/>
    <row r="150" customFormat="1" x14ac:dyDescent="0.15"/>
    <row r="151" customFormat="1" x14ac:dyDescent="0.15"/>
    <row r="152" customFormat="1" x14ac:dyDescent="0.15"/>
    <row r="153" customFormat="1" x14ac:dyDescent="0.15"/>
    <row r="154" customFormat="1" x14ac:dyDescent="0.15"/>
    <row r="155" customFormat="1" x14ac:dyDescent="0.15"/>
    <row r="156" customFormat="1" x14ac:dyDescent="0.15"/>
    <row r="157" customFormat="1" x14ac:dyDescent="0.15"/>
    <row r="158" customFormat="1" x14ac:dyDescent="0.15"/>
    <row r="159" customFormat="1" x14ac:dyDescent="0.15"/>
    <row r="160" customFormat="1" x14ac:dyDescent="0.15"/>
    <row r="161" customFormat="1" x14ac:dyDescent="0.15"/>
    <row r="162" customFormat="1" x14ac:dyDescent="0.15"/>
    <row r="163" customFormat="1" x14ac:dyDescent="0.15"/>
    <row r="164" customFormat="1" x14ac:dyDescent="0.15"/>
    <row r="165" customFormat="1" x14ac:dyDescent="0.15"/>
    <row r="166" customFormat="1" x14ac:dyDescent="0.15"/>
    <row r="167" customFormat="1" x14ac:dyDescent="0.15"/>
    <row r="168" customFormat="1" x14ac:dyDescent="0.15"/>
    <row r="169" customFormat="1" x14ac:dyDescent="0.15"/>
    <row r="170" customFormat="1" x14ac:dyDescent="0.15"/>
    <row r="171" customFormat="1" x14ac:dyDescent="0.15"/>
    <row r="172" customFormat="1" x14ac:dyDescent="0.15"/>
    <row r="173" customFormat="1" x14ac:dyDescent="0.15"/>
    <row r="174" customFormat="1" x14ac:dyDescent="0.15"/>
    <row r="175" customFormat="1" x14ac:dyDescent="0.15"/>
    <row r="176" customFormat="1" x14ac:dyDescent="0.15"/>
    <row r="177" customFormat="1" x14ac:dyDescent="0.15"/>
    <row r="178" customFormat="1" x14ac:dyDescent="0.15"/>
    <row r="179" customFormat="1" x14ac:dyDescent="0.15"/>
    <row r="180" customFormat="1" x14ac:dyDescent="0.15"/>
    <row r="181" customFormat="1" x14ac:dyDescent="0.15"/>
    <row r="182" customFormat="1" x14ac:dyDescent="0.15"/>
    <row r="183" customFormat="1" x14ac:dyDescent="0.15"/>
    <row r="184" customFormat="1" x14ac:dyDescent="0.15"/>
    <row r="185" customFormat="1" x14ac:dyDescent="0.15"/>
    <row r="186" customFormat="1" x14ac:dyDescent="0.15"/>
    <row r="187" customFormat="1" x14ac:dyDescent="0.15"/>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dimension ref="A1:W188"/>
  <sheetViews>
    <sheetView topLeftCell="B1" workbookViewId="0">
      <pane ySplit="2" topLeftCell="A3" activePane="bottomLeft" state="frozen"/>
      <selection pane="bottomLeft" activeCell="D4" sqref="D4"/>
    </sheetView>
  </sheetViews>
  <sheetFormatPr baseColWidth="10" defaultColWidth="11.5" defaultRowHeight="15" customHeight="1" x14ac:dyDescent="0.15"/>
  <cols>
    <col min="1" max="1" width="13.1640625" style="84" bestFit="1" customWidth="1"/>
    <col min="2" max="2" width="12.83203125" style="83" customWidth="1"/>
    <col min="3" max="3" width="13.1640625" style="83" customWidth="1"/>
    <col min="4" max="4" width="11.83203125" style="83" customWidth="1"/>
    <col min="5" max="5" width="12.83203125" style="83" customWidth="1"/>
    <col min="6" max="6" width="27.5" style="83" bestFit="1" customWidth="1"/>
    <col min="7" max="9" width="2.33203125" style="83" customWidth="1"/>
    <col min="10" max="10" width="2.33203125" style="83" bestFit="1" customWidth="1"/>
    <col min="11" max="15" width="2.33203125" style="83" customWidth="1"/>
    <col min="16" max="16" width="2.33203125" style="73" customWidth="1"/>
    <col min="17" max="17" width="2.33203125" style="83" customWidth="1"/>
    <col min="18" max="18" width="2.33203125" style="74" customWidth="1"/>
    <col min="19" max="16384" width="11.5" style="83"/>
  </cols>
  <sheetData>
    <row r="1" spans="1:23" ht="15" customHeight="1" thickBot="1" x14ac:dyDescent="0.2">
      <c r="F1" s="1"/>
      <c r="G1" s="71" t="s">
        <v>46</v>
      </c>
      <c r="H1" s="71" t="s">
        <v>47</v>
      </c>
      <c r="I1" s="71" t="s">
        <v>120</v>
      </c>
      <c r="J1" s="71" t="s">
        <v>132</v>
      </c>
      <c r="K1" s="85" t="s">
        <v>48</v>
      </c>
      <c r="L1" s="74"/>
      <c r="M1" s="85" t="s">
        <v>119</v>
      </c>
      <c r="N1" s="74"/>
      <c r="O1" s="85" t="s">
        <v>49</v>
      </c>
      <c r="P1" s="77"/>
      <c r="Q1" s="85" t="s">
        <v>50</v>
      </c>
      <c r="R1" s="71" t="s">
        <v>154</v>
      </c>
    </row>
    <row r="2" spans="1:23" ht="15" customHeight="1" x14ac:dyDescent="0.15">
      <c r="A2" s="85" t="s">
        <v>51</v>
      </c>
      <c r="B2" s="86">
        <v>0.5</v>
      </c>
      <c r="C2" s="84" t="s">
        <v>52</v>
      </c>
      <c r="D2" s="87"/>
      <c r="F2" s="1"/>
      <c r="G2" s="88"/>
      <c r="H2" s="88"/>
      <c r="I2" s="88" t="s">
        <v>133</v>
      </c>
      <c r="J2" s="88" t="s">
        <v>133</v>
      </c>
      <c r="K2" s="88" t="s">
        <v>52</v>
      </c>
      <c r="L2" s="88" t="s">
        <v>53</v>
      </c>
      <c r="M2" s="88" t="s">
        <v>52</v>
      </c>
      <c r="N2" s="88" t="s">
        <v>53</v>
      </c>
      <c r="O2" s="88" t="s">
        <v>52</v>
      </c>
      <c r="P2" s="89" t="s">
        <v>53</v>
      </c>
      <c r="Q2" s="88"/>
      <c r="R2" s="90" t="s">
        <v>155</v>
      </c>
    </row>
    <row r="3" spans="1:23" ht="15" customHeight="1" thickBot="1" x14ac:dyDescent="0.2">
      <c r="A3" s="85" t="s">
        <v>54</v>
      </c>
      <c r="B3" s="91">
        <v>0.5</v>
      </c>
      <c r="C3" s="84" t="s">
        <v>53</v>
      </c>
      <c r="D3" s="87"/>
      <c r="F3" t="s">
        <v>38</v>
      </c>
      <c r="G3">
        <v>0</v>
      </c>
      <c r="H3">
        <v>0</v>
      </c>
      <c r="I3">
        <v>0</v>
      </c>
      <c r="J3">
        <v>0</v>
      </c>
      <c r="K3">
        <v>0</v>
      </c>
      <c r="L3">
        <v>0</v>
      </c>
      <c r="M3">
        <v>0</v>
      </c>
      <c r="N3">
        <v>0</v>
      </c>
      <c r="O3">
        <v>0</v>
      </c>
      <c r="P3">
        <v>0</v>
      </c>
      <c r="Q3" s="139">
        <v>0</v>
      </c>
      <c r="R3" s="38">
        <v>0</v>
      </c>
    </row>
    <row r="4" spans="1:23" ht="15" customHeight="1" thickBot="1" x14ac:dyDescent="0.2">
      <c r="F4" t="s">
        <v>40</v>
      </c>
      <c r="G4">
        <v>0</v>
      </c>
      <c r="H4">
        <v>0</v>
      </c>
      <c r="I4">
        <v>0</v>
      </c>
      <c r="J4">
        <v>0</v>
      </c>
      <c r="K4">
        <v>0</v>
      </c>
      <c r="L4">
        <v>0</v>
      </c>
      <c r="M4">
        <v>0</v>
      </c>
      <c r="N4">
        <v>0</v>
      </c>
      <c r="O4">
        <v>0</v>
      </c>
      <c r="P4">
        <v>0</v>
      </c>
      <c r="Q4" s="139">
        <v>0</v>
      </c>
      <c r="R4" s="112">
        <v>0</v>
      </c>
    </row>
    <row r="5" spans="1:23" ht="15" customHeight="1" x14ac:dyDescent="0.15">
      <c r="A5" s="85" t="s">
        <v>55</v>
      </c>
      <c r="B5" s="92">
        <v>0.5</v>
      </c>
      <c r="C5" s="84" t="s">
        <v>52</v>
      </c>
      <c r="D5" s="87"/>
      <c r="F5" t="s">
        <v>41</v>
      </c>
      <c r="G5">
        <v>0</v>
      </c>
      <c r="H5">
        <v>0</v>
      </c>
      <c r="I5">
        <v>0</v>
      </c>
      <c r="J5">
        <v>0</v>
      </c>
      <c r="K5">
        <v>0</v>
      </c>
      <c r="L5">
        <v>0</v>
      </c>
      <c r="M5">
        <v>0</v>
      </c>
      <c r="N5">
        <v>0</v>
      </c>
      <c r="O5">
        <v>0</v>
      </c>
      <c r="P5">
        <v>0</v>
      </c>
      <c r="Q5" s="139">
        <v>0</v>
      </c>
      <c r="R5" s="112">
        <v>0</v>
      </c>
    </row>
    <row r="6" spans="1:23" ht="15" customHeight="1" thickBot="1" x14ac:dyDescent="0.2">
      <c r="A6" s="85"/>
      <c r="B6" s="93">
        <v>0.5</v>
      </c>
      <c r="C6" s="84" t="s">
        <v>53</v>
      </c>
      <c r="D6" s="87"/>
      <c r="F6" s="165" t="s">
        <v>193</v>
      </c>
      <c r="G6" s="83">
        <v>0</v>
      </c>
      <c r="H6" s="83">
        <v>0</v>
      </c>
      <c r="I6" s="83">
        <v>0</v>
      </c>
      <c r="J6" s="83">
        <v>0</v>
      </c>
      <c r="K6" s="83">
        <v>0</v>
      </c>
      <c r="L6" s="83">
        <v>0</v>
      </c>
      <c r="M6" s="83">
        <v>1</v>
      </c>
      <c r="N6" s="83">
        <v>0</v>
      </c>
      <c r="O6" s="83">
        <v>0</v>
      </c>
      <c r="P6" s="73">
        <v>0</v>
      </c>
      <c r="Q6" s="83">
        <v>0</v>
      </c>
      <c r="R6" s="74">
        <v>1</v>
      </c>
      <c r="S6"/>
      <c r="T6"/>
    </row>
    <row r="7" spans="1:23" ht="15" customHeight="1" thickBot="1" x14ac:dyDescent="0.2">
      <c r="F7" s="165" t="s">
        <v>194</v>
      </c>
      <c r="G7" s="83">
        <v>0</v>
      </c>
      <c r="H7" s="83">
        <v>0</v>
      </c>
      <c r="I7" s="83">
        <v>0</v>
      </c>
      <c r="J7" s="83">
        <v>0</v>
      </c>
      <c r="K7" s="83">
        <v>0</v>
      </c>
      <c r="L7" s="83">
        <v>0</v>
      </c>
      <c r="M7" s="83">
        <v>1</v>
      </c>
      <c r="N7" s="83">
        <v>0</v>
      </c>
      <c r="O7" s="83">
        <v>0</v>
      </c>
      <c r="P7" s="73">
        <v>0</v>
      </c>
      <c r="Q7" s="83">
        <v>0</v>
      </c>
      <c r="R7" s="74">
        <v>1</v>
      </c>
      <c r="S7"/>
      <c r="T7"/>
    </row>
    <row r="8" spans="1:23" ht="15" customHeight="1" x14ac:dyDescent="0.15">
      <c r="A8" s="85" t="s">
        <v>56</v>
      </c>
      <c r="B8" s="92">
        <v>0.97703027406034326</v>
      </c>
      <c r="C8" s="166" t="s">
        <v>193</v>
      </c>
      <c r="D8" s="87" t="s">
        <v>160</v>
      </c>
      <c r="F8" s="165" t="s">
        <v>195</v>
      </c>
      <c r="G8" s="83">
        <v>0</v>
      </c>
      <c r="H8" s="83">
        <v>0</v>
      </c>
      <c r="I8" s="83">
        <v>0</v>
      </c>
      <c r="J8" s="83">
        <v>0</v>
      </c>
      <c r="K8" s="83">
        <v>1</v>
      </c>
      <c r="L8" s="83">
        <v>0</v>
      </c>
      <c r="M8" s="83">
        <v>1</v>
      </c>
      <c r="N8" s="83">
        <v>0</v>
      </c>
      <c r="O8" s="83">
        <v>1</v>
      </c>
      <c r="P8" s="73">
        <v>0</v>
      </c>
      <c r="Q8" s="83">
        <v>0</v>
      </c>
      <c r="R8" s="74">
        <v>1</v>
      </c>
      <c r="S8"/>
      <c r="T8"/>
      <c r="W8"/>
    </row>
    <row r="9" spans="1:23" ht="15" customHeight="1" x14ac:dyDescent="0.15">
      <c r="A9" s="126" t="s">
        <v>168</v>
      </c>
      <c r="B9" s="94">
        <v>2.296972593965679E-2</v>
      </c>
      <c r="C9" s="166" t="s">
        <v>194</v>
      </c>
      <c r="D9" s="87" t="s">
        <v>160</v>
      </c>
      <c r="F9" s="165" t="s">
        <v>196</v>
      </c>
      <c r="G9" s="83">
        <v>0</v>
      </c>
      <c r="H9" s="83">
        <v>0</v>
      </c>
      <c r="I9" s="83">
        <v>0</v>
      </c>
      <c r="J9" s="83">
        <v>0</v>
      </c>
      <c r="K9" s="83">
        <v>1</v>
      </c>
      <c r="L9" s="83">
        <v>0</v>
      </c>
      <c r="M9" s="83">
        <v>1</v>
      </c>
      <c r="N9" s="83">
        <v>0</v>
      </c>
      <c r="O9" s="83">
        <v>1</v>
      </c>
      <c r="P9" s="73">
        <v>0</v>
      </c>
      <c r="Q9" s="83">
        <v>0</v>
      </c>
      <c r="R9" s="74">
        <v>1</v>
      </c>
      <c r="S9"/>
      <c r="T9"/>
      <c r="W9"/>
    </row>
    <row r="10" spans="1:23" ht="15" customHeight="1" x14ac:dyDescent="0.15">
      <c r="B10" s="94"/>
      <c r="C10" s="82"/>
      <c r="D10" s="87" t="s">
        <v>160</v>
      </c>
      <c r="F10" s="165" t="s">
        <v>197</v>
      </c>
      <c r="G10" s="83">
        <v>0</v>
      </c>
      <c r="H10" s="83">
        <v>0</v>
      </c>
      <c r="I10" s="83">
        <v>0</v>
      </c>
      <c r="J10" s="83">
        <v>0</v>
      </c>
      <c r="K10" s="83">
        <v>1</v>
      </c>
      <c r="L10" s="83">
        <v>0</v>
      </c>
      <c r="M10" s="83">
        <v>1</v>
      </c>
      <c r="N10" s="83">
        <v>0</v>
      </c>
      <c r="O10" s="83">
        <v>1</v>
      </c>
      <c r="P10" s="73">
        <v>0</v>
      </c>
      <c r="Q10" s="83">
        <v>0</v>
      </c>
      <c r="R10" s="74">
        <v>1</v>
      </c>
      <c r="S10"/>
      <c r="T10"/>
      <c r="W10"/>
    </row>
    <row r="11" spans="1:23" ht="15" customHeight="1" x14ac:dyDescent="0.15">
      <c r="A11" s="85"/>
      <c r="B11" s="94"/>
      <c r="C11" s="97"/>
      <c r="D11" s="87" t="s">
        <v>160</v>
      </c>
      <c r="F11" s="165" t="s">
        <v>198</v>
      </c>
      <c r="G11" s="83">
        <v>0</v>
      </c>
      <c r="H11" s="83">
        <v>0</v>
      </c>
      <c r="I11" s="83">
        <v>0</v>
      </c>
      <c r="J11" s="83">
        <v>0</v>
      </c>
      <c r="K11" s="83">
        <v>1</v>
      </c>
      <c r="L11" s="83">
        <v>0</v>
      </c>
      <c r="M11" s="83">
        <v>1</v>
      </c>
      <c r="N11" s="83">
        <v>0</v>
      </c>
      <c r="O11" s="83">
        <v>1</v>
      </c>
      <c r="P11" s="73">
        <v>0</v>
      </c>
      <c r="Q11" s="83">
        <v>0</v>
      </c>
      <c r="R11" s="74">
        <v>1</v>
      </c>
      <c r="S11"/>
      <c r="T11"/>
      <c r="W11"/>
    </row>
    <row r="12" spans="1:23" ht="15" customHeight="1" x14ac:dyDescent="0.15">
      <c r="B12" s="94"/>
      <c r="C12" s="98"/>
      <c r="D12" s="87" t="s">
        <v>160</v>
      </c>
      <c r="F12" s="165" t="s">
        <v>199</v>
      </c>
      <c r="G12" s="83">
        <v>0</v>
      </c>
      <c r="H12" s="83">
        <v>0</v>
      </c>
      <c r="I12" s="83">
        <v>0</v>
      </c>
      <c r="J12" s="83">
        <v>0</v>
      </c>
      <c r="K12" s="83">
        <v>1</v>
      </c>
      <c r="L12" s="83">
        <v>0</v>
      </c>
      <c r="M12" s="83">
        <v>1</v>
      </c>
      <c r="N12" s="83">
        <v>0</v>
      </c>
      <c r="O12" s="83">
        <v>1</v>
      </c>
      <c r="P12" s="73">
        <v>0</v>
      </c>
      <c r="Q12" s="83">
        <v>0</v>
      </c>
      <c r="R12" s="74">
        <v>1</v>
      </c>
      <c r="S12"/>
      <c r="T12"/>
      <c r="W12"/>
    </row>
    <row r="13" spans="1:23" ht="15" customHeight="1" x14ac:dyDescent="0.15">
      <c r="B13" s="94"/>
      <c r="C13" s="98"/>
      <c r="D13" s="87" t="s">
        <v>160</v>
      </c>
      <c r="F13" s="165" t="s">
        <v>200</v>
      </c>
      <c r="G13" s="83">
        <v>0</v>
      </c>
      <c r="H13" s="83">
        <v>0</v>
      </c>
      <c r="I13" s="83">
        <v>0</v>
      </c>
      <c r="J13" s="83">
        <v>0</v>
      </c>
      <c r="K13" s="83">
        <v>1</v>
      </c>
      <c r="L13" s="83">
        <v>0</v>
      </c>
      <c r="M13" s="83">
        <v>1</v>
      </c>
      <c r="N13" s="83">
        <v>0</v>
      </c>
      <c r="O13" s="83">
        <v>1</v>
      </c>
      <c r="P13" s="73">
        <v>0</v>
      </c>
      <c r="Q13" s="83">
        <v>0</v>
      </c>
      <c r="R13" s="74">
        <v>1</v>
      </c>
      <c r="S13"/>
      <c r="T13"/>
      <c r="W13"/>
    </row>
    <row r="14" spans="1:23" ht="15" customHeight="1" x14ac:dyDescent="0.15">
      <c r="B14" s="94"/>
      <c r="C14" s="82"/>
      <c r="D14" s="87" t="s">
        <v>160</v>
      </c>
      <c r="F14" s="165" t="s">
        <v>201</v>
      </c>
      <c r="G14" s="83">
        <v>0</v>
      </c>
      <c r="H14" s="83">
        <v>0</v>
      </c>
      <c r="I14" s="83">
        <v>0</v>
      </c>
      <c r="J14" s="83">
        <v>0</v>
      </c>
      <c r="K14" s="83">
        <v>1</v>
      </c>
      <c r="L14" s="83">
        <v>0</v>
      </c>
      <c r="M14" s="83">
        <v>1</v>
      </c>
      <c r="N14" s="83">
        <v>0</v>
      </c>
      <c r="O14" s="83">
        <v>1</v>
      </c>
      <c r="P14" s="73">
        <v>0</v>
      </c>
      <c r="Q14" s="83">
        <v>0</v>
      </c>
      <c r="R14" s="74">
        <v>1</v>
      </c>
      <c r="S14"/>
      <c r="T14"/>
      <c r="W14"/>
    </row>
    <row r="15" spans="1:23" ht="15" customHeight="1" x14ac:dyDescent="0.15">
      <c r="B15" s="94"/>
      <c r="C15" s="82"/>
      <c r="D15" s="87" t="s">
        <v>160</v>
      </c>
      <c r="F15" s="165" t="s">
        <v>202</v>
      </c>
      <c r="G15" s="83">
        <v>0</v>
      </c>
      <c r="H15" s="83">
        <v>0</v>
      </c>
      <c r="I15" s="83">
        <v>0</v>
      </c>
      <c r="J15" s="83">
        <v>0</v>
      </c>
      <c r="K15" s="83">
        <v>1</v>
      </c>
      <c r="L15" s="83">
        <v>0</v>
      </c>
      <c r="M15" s="83">
        <v>1</v>
      </c>
      <c r="N15" s="83">
        <v>0</v>
      </c>
      <c r="O15" s="83">
        <v>1</v>
      </c>
      <c r="P15" s="73">
        <v>0</v>
      </c>
      <c r="Q15" s="83">
        <v>0</v>
      </c>
      <c r="R15" s="74">
        <v>1</v>
      </c>
      <c r="S15"/>
      <c r="T15"/>
      <c r="W15"/>
    </row>
    <row r="16" spans="1:23" ht="15" customHeight="1" x14ac:dyDescent="0.15">
      <c r="B16" s="94"/>
      <c r="C16" s="82"/>
      <c r="D16" s="87" t="s">
        <v>160</v>
      </c>
      <c r="F16" s="165" t="s">
        <v>203</v>
      </c>
      <c r="G16" s="83">
        <v>0</v>
      </c>
      <c r="H16" s="83">
        <v>0</v>
      </c>
      <c r="I16" s="83">
        <v>0</v>
      </c>
      <c r="J16" s="83">
        <v>0</v>
      </c>
      <c r="K16" s="83">
        <v>1</v>
      </c>
      <c r="L16" s="83">
        <v>0</v>
      </c>
      <c r="M16" s="83">
        <v>1</v>
      </c>
      <c r="N16" s="83">
        <v>0</v>
      </c>
      <c r="O16" s="83">
        <v>1</v>
      </c>
      <c r="P16" s="73">
        <v>0</v>
      </c>
      <c r="Q16" s="83">
        <v>0</v>
      </c>
      <c r="R16" s="74">
        <v>1</v>
      </c>
      <c r="S16"/>
      <c r="T16"/>
    </row>
    <row r="17" spans="1:20" ht="15" customHeight="1" thickBot="1" x14ac:dyDescent="0.2">
      <c r="B17" s="93"/>
      <c r="C17" s="82"/>
      <c r="D17" s="87" t="s">
        <v>160</v>
      </c>
      <c r="F17" s="165" t="s">
        <v>204</v>
      </c>
      <c r="G17" s="83">
        <v>0</v>
      </c>
      <c r="H17" s="83">
        <v>0</v>
      </c>
      <c r="I17" s="83">
        <v>0</v>
      </c>
      <c r="J17" s="83">
        <v>0</v>
      </c>
      <c r="K17" s="83">
        <v>1</v>
      </c>
      <c r="L17" s="83">
        <v>0</v>
      </c>
      <c r="M17" s="83">
        <v>1</v>
      </c>
      <c r="N17" s="83">
        <v>0</v>
      </c>
      <c r="O17" s="83">
        <v>1</v>
      </c>
      <c r="P17" s="73">
        <v>0</v>
      </c>
      <c r="Q17" s="83">
        <v>0</v>
      </c>
      <c r="R17" s="74">
        <v>1</v>
      </c>
      <c r="S17"/>
      <c r="T17"/>
    </row>
    <row r="18" spans="1:20" ht="15" customHeight="1" thickBot="1" x14ac:dyDescent="0.2">
      <c r="B18" s="95"/>
      <c r="F18" s="165" t="s">
        <v>205</v>
      </c>
      <c r="G18" s="83">
        <v>0</v>
      </c>
      <c r="H18" s="83">
        <v>0</v>
      </c>
      <c r="I18" s="83">
        <v>0</v>
      </c>
      <c r="J18" s="83">
        <v>0</v>
      </c>
      <c r="K18" s="83">
        <v>1</v>
      </c>
      <c r="L18" s="83">
        <v>0</v>
      </c>
      <c r="M18" s="83">
        <v>1</v>
      </c>
      <c r="N18" s="83">
        <v>0</v>
      </c>
      <c r="O18" s="83">
        <v>1</v>
      </c>
      <c r="P18" s="73">
        <v>0</v>
      </c>
      <c r="Q18" s="83">
        <v>0</v>
      </c>
      <c r="R18" s="74">
        <v>1</v>
      </c>
      <c r="S18"/>
      <c r="T18"/>
    </row>
    <row r="19" spans="1:20" ht="15" customHeight="1" x14ac:dyDescent="0.15">
      <c r="A19" s="85" t="s">
        <v>57</v>
      </c>
      <c r="B19" s="92">
        <v>0.97703027406034326</v>
      </c>
      <c r="C19" s="167" t="s">
        <v>193</v>
      </c>
      <c r="D19" s="87" t="s">
        <v>160</v>
      </c>
      <c r="F19" s="165" t="s">
        <v>206</v>
      </c>
      <c r="G19" s="83">
        <v>0</v>
      </c>
      <c r="H19" s="83">
        <v>0</v>
      </c>
      <c r="I19" s="83">
        <v>0</v>
      </c>
      <c r="J19" s="83">
        <v>0</v>
      </c>
      <c r="K19" s="83">
        <v>1</v>
      </c>
      <c r="L19" s="83">
        <v>0</v>
      </c>
      <c r="M19" s="83">
        <v>1</v>
      </c>
      <c r="N19" s="83">
        <v>0</v>
      </c>
      <c r="O19" s="83">
        <v>1</v>
      </c>
      <c r="P19" s="73">
        <v>0</v>
      </c>
      <c r="Q19" s="83">
        <v>0</v>
      </c>
      <c r="R19" s="74">
        <v>1</v>
      </c>
      <c r="S19"/>
      <c r="T19"/>
    </row>
    <row r="20" spans="1:20" ht="15" customHeight="1" x14ac:dyDescent="0.15">
      <c r="A20" s="126" t="s">
        <v>168</v>
      </c>
      <c r="B20" s="94">
        <v>2.296972593965679E-2</v>
      </c>
      <c r="C20" s="167" t="s">
        <v>194</v>
      </c>
      <c r="D20" s="87" t="s">
        <v>160</v>
      </c>
      <c r="F20" s="165" t="s">
        <v>207</v>
      </c>
      <c r="G20" s="83">
        <v>0</v>
      </c>
      <c r="H20" s="83">
        <v>0</v>
      </c>
      <c r="I20" s="83">
        <v>0</v>
      </c>
      <c r="J20" s="83">
        <v>0</v>
      </c>
      <c r="K20" s="83">
        <v>1</v>
      </c>
      <c r="L20" s="83">
        <v>0</v>
      </c>
      <c r="M20" s="83">
        <v>1</v>
      </c>
      <c r="N20" s="83">
        <v>0</v>
      </c>
      <c r="O20" s="83">
        <v>1</v>
      </c>
      <c r="P20" s="73">
        <v>0</v>
      </c>
      <c r="Q20" s="83">
        <v>0</v>
      </c>
      <c r="R20" s="74">
        <v>1</v>
      </c>
      <c r="S20"/>
      <c r="T20"/>
    </row>
    <row r="21" spans="1:20" ht="15" customHeight="1" x14ac:dyDescent="0.15">
      <c r="B21" s="94"/>
      <c r="C21" s="82"/>
      <c r="D21" s="87" t="s">
        <v>160</v>
      </c>
      <c r="F21" s="165" t="s">
        <v>208</v>
      </c>
      <c r="G21" s="83">
        <v>0</v>
      </c>
      <c r="H21" s="83">
        <v>0</v>
      </c>
      <c r="I21" s="83">
        <v>0</v>
      </c>
      <c r="J21" s="83">
        <v>0</v>
      </c>
      <c r="K21" s="83">
        <v>1</v>
      </c>
      <c r="L21" s="83">
        <v>0</v>
      </c>
      <c r="M21" s="83">
        <v>1</v>
      </c>
      <c r="N21" s="83">
        <v>0</v>
      </c>
      <c r="O21" s="83">
        <v>1</v>
      </c>
      <c r="P21" s="73">
        <v>0</v>
      </c>
      <c r="Q21" s="83">
        <v>0</v>
      </c>
      <c r="R21" s="74">
        <v>1</v>
      </c>
      <c r="S21"/>
      <c r="T21"/>
    </row>
    <row r="22" spans="1:20" ht="15" customHeight="1" x14ac:dyDescent="0.15">
      <c r="A22" s="83"/>
      <c r="B22" s="94"/>
      <c r="C22" s="97"/>
      <c r="D22" s="87" t="s">
        <v>160</v>
      </c>
      <c r="F22" s="165" t="s">
        <v>209</v>
      </c>
      <c r="G22" s="83">
        <v>0</v>
      </c>
      <c r="H22" s="83">
        <v>0</v>
      </c>
      <c r="I22" s="83">
        <v>0</v>
      </c>
      <c r="J22" s="83">
        <v>0</v>
      </c>
      <c r="K22" s="83">
        <v>1</v>
      </c>
      <c r="L22" s="83">
        <v>0</v>
      </c>
      <c r="M22" s="83">
        <v>1</v>
      </c>
      <c r="N22" s="83">
        <v>0</v>
      </c>
      <c r="O22" s="83">
        <v>1</v>
      </c>
      <c r="P22" s="73">
        <v>0</v>
      </c>
      <c r="Q22" s="83">
        <v>0</v>
      </c>
      <c r="R22" s="74">
        <v>1</v>
      </c>
      <c r="S22"/>
      <c r="T22"/>
    </row>
    <row r="23" spans="1:20" ht="15" customHeight="1" x14ac:dyDescent="0.15">
      <c r="A23" s="83"/>
      <c r="B23" s="94"/>
      <c r="C23" s="98"/>
      <c r="D23" s="87" t="s">
        <v>160</v>
      </c>
      <c r="F23" s="165" t="s">
        <v>210</v>
      </c>
      <c r="G23" s="83">
        <v>0</v>
      </c>
      <c r="H23" s="83">
        <v>0</v>
      </c>
      <c r="I23" s="83">
        <v>0</v>
      </c>
      <c r="J23" s="83">
        <v>0</v>
      </c>
      <c r="K23" s="83">
        <v>1</v>
      </c>
      <c r="L23" s="83">
        <v>0</v>
      </c>
      <c r="M23" s="83">
        <v>1</v>
      </c>
      <c r="N23" s="83">
        <v>0</v>
      </c>
      <c r="O23" s="83">
        <v>1</v>
      </c>
      <c r="P23" s="73">
        <v>0</v>
      </c>
      <c r="Q23" s="83">
        <v>0</v>
      </c>
      <c r="R23" s="74">
        <v>1</v>
      </c>
      <c r="S23"/>
      <c r="T23"/>
    </row>
    <row r="24" spans="1:20" ht="15" customHeight="1" x14ac:dyDescent="0.15">
      <c r="A24" s="83"/>
      <c r="B24" s="94"/>
      <c r="C24" s="98"/>
      <c r="D24" s="87" t="s">
        <v>160</v>
      </c>
      <c r="F24" s="165" t="s">
        <v>211</v>
      </c>
      <c r="G24" s="83">
        <v>0</v>
      </c>
      <c r="H24" s="83">
        <v>0</v>
      </c>
      <c r="I24" s="83">
        <v>0</v>
      </c>
      <c r="J24" s="83">
        <v>0</v>
      </c>
      <c r="K24" s="83">
        <v>1</v>
      </c>
      <c r="L24" s="83">
        <v>0</v>
      </c>
      <c r="M24" s="83">
        <v>1</v>
      </c>
      <c r="N24" s="83">
        <v>0</v>
      </c>
      <c r="O24" s="83">
        <v>1</v>
      </c>
      <c r="P24" s="73">
        <v>0</v>
      </c>
      <c r="Q24" s="83">
        <v>0</v>
      </c>
      <c r="R24" s="74">
        <v>1</v>
      </c>
      <c r="S24"/>
      <c r="T24"/>
    </row>
    <row r="25" spans="1:20" ht="15" customHeight="1" x14ac:dyDescent="0.15">
      <c r="A25" s="83"/>
      <c r="B25" s="94"/>
      <c r="C25" s="82"/>
      <c r="D25" s="87" t="s">
        <v>160</v>
      </c>
      <c r="F25" s="165" t="s">
        <v>212</v>
      </c>
      <c r="G25" s="83">
        <v>0</v>
      </c>
      <c r="H25" s="83">
        <v>0</v>
      </c>
      <c r="I25" s="83">
        <v>0</v>
      </c>
      <c r="J25" s="83">
        <v>0</v>
      </c>
      <c r="K25" s="83">
        <v>1</v>
      </c>
      <c r="L25" s="83">
        <v>0</v>
      </c>
      <c r="M25" s="83">
        <v>1</v>
      </c>
      <c r="N25" s="83">
        <v>0</v>
      </c>
      <c r="O25" s="83">
        <v>1</v>
      </c>
      <c r="P25" s="73">
        <v>0</v>
      </c>
      <c r="Q25" s="83">
        <v>0</v>
      </c>
      <c r="R25" s="74">
        <v>1</v>
      </c>
      <c r="S25"/>
      <c r="T25"/>
    </row>
    <row r="26" spans="1:20" ht="15" customHeight="1" x14ac:dyDescent="0.15">
      <c r="B26" s="94"/>
      <c r="C26" s="82"/>
      <c r="D26" s="87" t="s">
        <v>160</v>
      </c>
      <c r="F26" s="165" t="s">
        <v>213</v>
      </c>
      <c r="G26" s="83">
        <v>0</v>
      </c>
      <c r="H26" s="83">
        <v>0</v>
      </c>
      <c r="I26" s="83">
        <v>0</v>
      </c>
      <c r="J26" s="83">
        <v>0</v>
      </c>
      <c r="K26" s="83">
        <v>1</v>
      </c>
      <c r="L26" s="83">
        <v>0</v>
      </c>
      <c r="M26" s="83">
        <v>1</v>
      </c>
      <c r="N26" s="83">
        <v>0</v>
      </c>
      <c r="O26" s="83">
        <v>1</v>
      </c>
      <c r="P26" s="73">
        <v>0</v>
      </c>
      <c r="Q26" s="83">
        <v>0</v>
      </c>
      <c r="R26" s="74">
        <v>1</v>
      </c>
      <c r="S26"/>
      <c r="T26"/>
    </row>
    <row r="27" spans="1:20" ht="15" customHeight="1" x14ac:dyDescent="0.15">
      <c r="B27" s="94"/>
      <c r="C27" s="82"/>
      <c r="D27" s="87" t="s">
        <v>160</v>
      </c>
      <c r="F27" s="165" t="s">
        <v>214</v>
      </c>
      <c r="G27" s="83">
        <v>0</v>
      </c>
      <c r="H27" s="83">
        <v>0</v>
      </c>
      <c r="I27" s="83">
        <v>0</v>
      </c>
      <c r="J27" s="83">
        <v>0</v>
      </c>
      <c r="K27" s="83">
        <v>1</v>
      </c>
      <c r="L27" s="83">
        <v>0</v>
      </c>
      <c r="M27" s="83">
        <v>1</v>
      </c>
      <c r="N27" s="83">
        <v>0</v>
      </c>
      <c r="O27" s="83">
        <v>1</v>
      </c>
      <c r="P27" s="73">
        <v>0</v>
      </c>
      <c r="Q27" s="83">
        <v>0</v>
      </c>
      <c r="R27" s="74">
        <v>1</v>
      </c>
      <c r="S27"/>
      <c r="T27"/>
    </row>
    <row r="28" spans="1:20" ht="15" customHeight="1" thickBot="1" x14ac:dyDescent="0.2">
      <c r="B28" s="93"/>
      <c r="C28" s="82"/>
      <c r="D28" s="87" t="s">
        <v>160</v>
      </c>
      <c r="F28" s="165" t="s">
        <v>215</v>
      </c>
      <c r="G28" s="83">
        <v>0</v>
      </c>
      <c r="H28" s="83">
        <v>0</v>
      </c>
      <c r="I28" s="83">
        <v>0</v>
      </c>
      <c r="J28" s="83">
        <v>0</v>
      </c>
      <c r="K28" s="83">
        <v>1</v>
      </c>
      <c r="L28" s="83">
        <v>0</v>
      </c>
      <c r="M28" s="83">
        <v>1</v>
      </c>
      <c r="N28" s="83">
        <v>0</v>
      </c>
      <c r="O28" s="83">
        <v>1</v>
      </c>
      <c r="P28" s="73">
        <v>0</v>
      </c>
      <c r="Q28" s="83">
        <v>0</v>
      </c>
      <c r="R28" s="74">
        <v>1</v>
      </c>
      <c r="S28"/>
      <c r="T28"/>
    </row>
    <row r="29" spans="1:20" ht="15" customHeight="1" x14ac:dyDescent="0.15">
      <c r="F29" s="165" t="s">
        <v>216</v>
      </c>
      <c r="G29" s="83">
        <v>0</v>
      </c>
      <c r="H29" s="83">
        <v>0</v>
      </c>
      <c r="I29" s="83">
        <v>0</v>
      </c>
      <c r="J29" s="83">
        <v>0</v>
      </c>
      <c r="K29" s="83">
        <v>1</v>
      </c>
      <c r="L29" s="83">
        <v>0</v>
      </c>
      <c r="M29" s="83">
        <v>1</v>
      </c>
      <c r="N29" s="83">
        <v>0</v>
      </c>
      <c r="O29" s="83">
        <v>1</v>
      </c>
      <c r="P29" s="73">
        <v>0</v>
      </c>
      <c r="Q29" s="83">
        <v>0</v>
      </c>
      <c r="R29" s="74">
        <v>1</v>
      </c>
      <c r="S29"/>
      <c r="T29"/>
    </row>
    <row r="30" spans="1:20" ht="15" customHeight="1" x14ac:dyDescent="0.15">
      <c r="F30" s="165" t="s">
        <v>217</v>
      </c>
      <c r="G30" s="83">
        <v>0</v>
      </c>
      <c r="H30" s="83">
        <v>0</v>
      </c>
      <c r="I30" s="83">
        <v>0</v>
      </c>
      <c r="J30" s="83">
        <v>0</v>
      </c>
      <c r="K30" s="83">
        <v>1</v>
      </c>
      <c r="L30" s="83">
        <v>0</v>
      </c>
      <c r="M30" s="83">
        <v>1</v>
      </c>
      <c r="N30" s="83">
        <v>0</v>
      </c>
      <c r="O30" s="83">
        <v>1</v>
      </c>
      <c r="P30" s="73">
        <v>0</v>
      </c>
      <c r="Q30" s="83">
        <v>0</v>
      </c>
      <c r="R30" s="74">
        <v>1</v>
      </c>
      <c r="S30"/>
      <c r="T30"/>
    </row>
    <row r="31" spans="1:20" ht="15" customHeight="1" x14ac:dyDescent="0.15">
      <c r="A31" s="127"/>
      <c r="B31" s="137" t="s">
        <v>17</v>
      </c>
      <c r="C31" s="137" t="s">
        <v>1</v>
      </c>
      <c r="D31" s="137" t="s">
        <v>161</v>
      </c>
      <c r="E31" s="138" t="s">
        <v>163</v>
      </c>
      <c r="F31" s="165" t="s">
        <v>218</v>
      </c>
      <c r="G31" s="83">
        <v>0</v>
      </c>
      <c r="H31" s="83">
        <v>0</v>
      </c>
      <c r="I31" s="83">
        <v>0</v>
      </c>
      <c r="J31" s="83">
        <v>0</v>
      </c>
      <c r="K31" s="83">
        <v>1</v>
      </c>
      <c r="L31" s="83">
        <v>0</v>
      </c>
      <c r="M31" s="83">
        <v>1</v>
      </c>
      <c r="N31" s="83">
        <v>0</v>
      </c>
      <c r="O31" s="83">
        <v>1</v>
      </c>
      <c r="P31" s="73">
        <v>0</v>
      </c>
      <c r="Q31" s="83">
        <v>0</v>
      </c>
      <c r="R31" s="74">
        <v>1</v>
      </c>
      <c r="S31"/>
      <c r="T31"/>
    </row>
    <row r="32" spans="1:20" ht="15" customHeight="1" x14ac:dyDescent="0.15">
      <c r="A32" s="168" t="s">
        <v>193</v>
      </c>
      <c r="B32" s="95">
        <v>2.9226999999999999</v>
      </c>
      <c r="C32" s="95">
        <v>81.912499999999994</v>
      </c>
      <c r="D32" s="95">
        <v>239.40566374999997</v>
      </c>
      <c r="E32" s="128">
        <v>0.97703027406034326</v>
      </c>
      <c r="F32" s="165" t="s">
        <v>219</v>
      </c>
      <c r="G32" s="83">
        <v>0</v>
      </c>
      <c r="H32" s="83">
        <v>0</v>
      </c>
      <c r="I32" s="83">
        <v>0</v>
      </c>
      <c r="J32" s="83">
        <v>0</v>
      </c>
      <c r="K32" s="83">
        <v>1</v>
      </c>
      <c r="L32" s="83">
        <v>0</v>
      </c>
      <c r="M32" s="83">
        <v>1</v>
      </c>
      <c r="N32" s="83">
        <v>0</v>
      </c>
      <c r="O32" s="83">
        <v>1</v>
      </c>
      <c r="P32" s="73">
        <v>0</v>
      </c>
      <c r="Q32" s="83">
        <v>0</v>
      </c>
      <c r="R32" s="74">
        <v>1</v>
      </c>
      <c r="S32"/>
      <c r="T32"/>
    </row>
    <row r="33" spans="1:20" ht="15" customHeight="1" x14ac:dyDescent="0.15">
      <c r="A33" s="168" t="s">
        <v>194</v>
      </c>
      <c r="B33" s="95">
        <v>1.15099478</v>
      </c>
      <c r="C33" s="95">
        <v>4.8899999999999997</v>
      </c>
      <c r="D33" s="95">
        <v>5.6283644741999996</v>
      </c>
      <c r="E33" s="128">
        <v>2.296972593965679E-2</v>
      </c>
      <c r="F33" s="165" t="s">
        <v>220</v>
      </c>
      <c r="G33" s="83">
        <v>0</v>
      </c>
      <c r="H33" s="83">
        <v>0</v>
      </c>
      <c r="I33" s="83">
        <v>0</v>
      </c>
      <c r="J33" s="83">
        <v>0</v>
      </c>
      <c r="K33" s="83">
        <v>1</v>
      </c>
      <c r="L33" s="83">
        <v>0</v>
      </c>
      <c r="M33" s="83">
        <v>1</v>
      </c>
      <c r="N33" s="83">
        <v>0</v>
      </c>
      <c r="O33" s="83">
        <v>1</v>
      </c>
      <c r="P33" s="73">
        <v>0</v>
      </c>
      <c r="Q33" s="83">
        <v>0</v>
      </c>
      <c r="R33" s="74">
        <v>1</v>
      </c>
      <c r="S33"/>
      <c r="T33"/>
    </row>
    <row r="34" spans="1:20" ht="15" customHeight="1" x14ac:dyDescent="0.15">
      <c r="A34" s="129"/>
      <c r="B34" s="95"/>
      <c r="C34" s="95"/>
      <c r="D34" s="95"/>
      <c r="E34" s="128"/>
      <c r="F34" s="165" t="s">
        <v>221</v>
      </c>
      <c r="G34" s="83">
        <v>0</v>
      </c>
      <c r="H34" s="83">
        <v>0</v>
      </c>
      <c r="I34" s="83">
        <v>0</v>
      </c>
      <c r="J34" s="83">
        <v>0</v>
      </c>
      <c r="K34" s="83">
        <v>1</v>
      </c>
      <c r="L34" s="83">
        <v>0</v>
      </c>
      <c r="M34" s="83">
        <v>1</v>
      </c>
      <c r="N34" s="83">
        <v>0</v>
      </c>
      <c r="O34" s="83">
        <v>1</v>
      </c>
      <c r="P34" s="73">
        <v>0</v>
      </c>
      <c r="Q34" s="83">
        <v>0</v>
      </c>
      <c r="R34" s="74">
        <v>1</v>
      </c>
      <c r="S34"/>
      <c r="T34"/>
    </row>
    <row r="35" spans="1:20" ht="15" customHeight="1" x14ac:dyDescent="0.15">
      <c r="A35" s="130"/>
      <c r="B35" s="95"/>
      <c r="C35" s="95"/>
      <c r="D35" s="95"/>
      <c r="E35" s="128"/>
      <c r="F35" s="165" t="s">
        <v>222</v>
      </c>
      <c r="G35" s="83">
        <v>0</v>
      </c>
      <c r="H35" s="83">
        <v>0</v>
      </c>
      <c r="I35" s="83">
        <v>0</v>
      </c>
      <c r="J35" s="83">
        <v>0</v>
      </c>
      <c r="K35" s="83">
        <v>1</v>
      </c>
      <c r="L35" s="83">
        <v>0</v>
      </c>
      <c r="M35" s="83">
        <v>1</v>
      </c>
      <c r="N35" s="83">
        <v>0</v>
      </c>
      <c r="O35" s="83">
        <v>1</v>
      </c>
      <c r="P35" s="73">
        <v>0</v>
      </c>
      <c r="Q35" s="83">
        <v>0</v>
      </c>
      <c r="R35" s="74">
        <v>1</v>
      </c>
      <c r="S35"/>
      <c r="T35"/>
    </row>
    <row r="36" spans="1:20" ht="15" customHeight="1" x14ac:dyDescent="0.15">
      <c r="A36" s="131"/>
      <c r="B36" s="95"/>
      <c r="C36" s="95"/>
      <c r="D36" s="95"/>
      <c r="E36" s="128"/>
      <c r="F36" s="165" t="s">
        <v>223</v>
      </c>
      <c r="G36" s="83">
        <v>0</v>
      </c>
      <c r="H36" s="83">
        <v>0</v>
      </c>
      <c r="I36" s="83">
        <v>0</v>
      </c>
      <c r="J36" s="83">
        <v>0</v>
      </c>
      <c r="K36" s="83">
        <v>1</v>
      </c>
      <c r="L36" s="83">
        <v>0</v>
      </c>
      <c r="M36" s="83">
        <v>1</v>
      </c>
      <c r="N36" s="83">
        <v>0</v>
      </c>
      <c r="O36" s="83">
        <v>1</v>
      </c>
      <c r="P36" s="73">
        <v>0</v>
      </c>
      <c r="Q36" s="83">
        <v>0</v>
      </c>
      <c r="R36" s="74">
        <v>1</v>
      </c>
      <c r="S36"/>
      <c r="T36"/>
    </row>
    <row r="37" spans="1:20" ht="15" customHeight="1" x14ac:dyDescent="0.15">
      <c r="A37" s="131"/>
      <c r="B37" s="95"/>
      <c r="C37" s="95"/>
      <c r="D37" s="95"/>
      <c r="E37" s="128"/>
      <c r="F37" s="165" t="s">
        <v>224</v>
      </c>
      <c r="G37" s="83">
        <v>0</v>
      </c>
      <c r="H37" s="83">
        <v>0</v>
      </c>
      <c r="I37" s="83">
        <v>0</v>
      </c>
      <c r="J37" s="83">
        <v>0</v>
      </c>
      <c r="K37" s="83">
        <v>1</v>
      </c>
      <c r="L37" s="83">
        <v>0</v>
      </c>
      <c r="M37" s="83">
        <v>1</v>
      </c>
      <c r="N37" s="83">
        <v>0</v>
      </c>
      <c r="O37" s="83">
        <v>1</v>
      </c>
      <c r="P37" s="73">
        <v>0</v>
      </c>
      <c r="Q37" s="83">
        <v>0</v>
      </c>
      <c r="R37" s="74">
        <v>1</v>
      </c>
      <c r="S37"/>
      <c r="T37"/>
    </row>
    <row r="38" spans="1:20" ht="15" customHeight="1" x14ac:dyDescent="0.15">
      <c r="A38" s="132"/>
      <c r="B38" s="95"/>
      <c r="C38" s="95"/>
      <c r="D38" s="95"/>
      <c r="E38" s="128"/>
      <c r="F38" s="165" t="s">
        <v>225</v>
      </c>
      <c r="G38" s="83">
        <v>0</v>
      </c>
      <c r="H38" s="83">
        <v>0</v>
      </c>
      <c r="I38" s="83">
        <v>0</v>
      </c>
      <c r="J38" s="83">
        <v>0</v>
      </c>
      <c r="K38" s="83">
        <v>1</v>
      </c>
      <c r="L38" s="83">
        <v>0</v>
      </c>
      <c r="M38" s="83">
        <v>1</v>
      </c>
      <c r="N38" s="83">
        <v>0</v>
      </c>
      <c r="O38" s="83">
        <v>1</v>
      </c>
      <c r="P38" s="73">
        <v>0</v>
      </c>
      <c r="Q38" s="83">
        <v>0</v>
      </c>
      <c r="R38" s="74">
        <v>1</v>
      </c>
      <c r="S38"/>
      <c r="T38"/>
    </row>
    <row r="39" spans="1:20" ht="15" customHeight="1" x14ac:dyDescent="0.15">
      <c r="A39" s="132"/>
      <c r="B39" s="95"/>
      <c r="C39" s="95"/>
      <c r="D39" s="95"/>
      <c r="E39" s="128"/>
      <c r="F39" s="165" t="s">
        <v>226</v>
      </c>
      <c r="G39" s="83">
        <v>0</v>
      </c>
      <c r="H39" s="83">
        <v>0</v>
      </c>
      <c r="I39" s="83">
        <v>0</v>
      </c>
      <c r="J39" s="83">
        <v>0</v>
      </c>
      <c r="K39" s="83">
        <v>1</v>
      </c>
      <c r="L39" s="83">
        <v>0</v>
      </c>
      <c r="M39" s="83">
        <v>1</v>
      </c>
      <c r="N39" s="83">
        <v>0</v>
      </c>
      <c r="O39" s="83">
        <v>1</v>
      </c>
      <c r="P39" s="73">
        <v>0</v>
      </c>
      <c r="Q39" s="83">
        <v>0</v>
      </c>
      <c r="R39" s="74">
        <v>1</v>
      </c>
      <c r="S39"/>
      <c r="T39"/>
    </row>
    <row r="40" spans="1:20" ht="15" customHeight="1" x14ac:dyDescent="0.15">
      <c r="A40" s="132"/>
      <c r="B40" s="95"/>
      <c r="C40" s="95"/>
      <c r="D40" s="95"/>
      <c r="E40" s="128"/>
      <c r="F40" s="165" t="s">
        <v>227</v>
      </c>
      <c r="G40" s="83">
        <v>0</v>
      </c>
      <c r="H40" s="83">
        <v>0</v>
      </c>
      <c r="I40" s="83">
        <v>0</v>
      </c>
      <c r="J40" s="83">
        <v>0</v>
      </c>
      <c r="K40" s="83">
        <v>1</v>
      </c>
      <c r="L40" s="83">
        <v>0</v>
      </c>
      <c r="M40" s="83">
        <v>1</v>
      </c>
      <c r="N40" s="83">
        <v>0</v>
      </c>
      <c r="O40" s="83">
        <v>1</v>
      </c>
      <c r="P40" s="73">
        <v>0</v>
      </c>
      <c r="Q40" s="83">
        <v>0</v>
      </c>
      <c r="R40" s="74">
        <v>1</v>
      </c>
      <c r="S40"/>
      <c r="T40"/>
    </row>
    <row r="41" spans="1:20" ht="15" customHeight="1" thickBot="1" x14ac:dyDescent="0.2">
      <c r="A41" s="132"/>
      <c r="B41" s="95"/>
      <c r="C41" s="95"/>
      <c r="D41" s="96"/>
      <c r="E41" s="133"/>
      <c r="F41" s="165" t="s">
        <v>228</v>
      </c>
      <c r="G41" s="83">
        <v>0</v>
      </c>
      <c r="H41" s="83">
        <v>0</v>
      </c>
      <c r="I41" s="83">
        <v>0</v>
      </c>
      <c r="J41" s="83">
        <v>0</v>
      </c>
      <c r="K41" s="83">
        <v>1</v>
      </c>
      <c r="L41" s="83">
        <v>0</v>
      </c>
      <c r="M41" s="83">
        <v>1</v>
      </c>
      <c r="N41" s="83">
        <v>0</v>
      </c>
      <c r="O41" s="83">
        <v>1</v>
      </c>
      <c r="P41" s="73">
        <v>0</v>
      </c>
      <c r="Q41" s="83">
        <v>0</v>
      </c>
      <c r="R41" s="74">
        <v>1</v>
      </c>
      <c r="S41"/>
      <c r="T41"/>
    </row>
    <row r="42" spans="1:20" ht="15" customHeight="1" x14ac:dyDescent="0.15">
      <c r="A42" s="134"/>
      <c r="B42" s="135"/>
      <c r="C42" s="135" t="s">
        <v>162</v>
      </c>
      <c r="D42" s="135">
        <f>SUM(D32:D41)</f>
        <v>245.03402822419997</v>
      </c>
      <c r="E42" s="136">
        <f>SUM(E32:E41)</f>
        <v>1</v>
      </c>
      <c r="F42" s="165" t="s">
        <v>229</v>
      </c>
      <c r="G42" s="83">
        <v>0</v>
      </c>
      <c r="H42" s="83">
        <v>0</v>
      </c>
      <c r="I42" s="83">
        <v>0</v>
      </c>
      <c r="J42" s="83">
        <v>0</v>
      </c>
      <c r="K42" s="83">
        <v>1</v>
      </c>
      <c r="L42" s="83">
        <v>0</v>
      </c>
      <c r="M42" s="83">
        <v>1</v>
      </c>
      <c r="N42" s="83">
        <v>0</v>
      </c>
      <c r="O42" s="83">
        <v>1</v>
      </c>
      <c r="P42" s="73">
        <v>0</v>
      </c>
      <c r="Q42" s="83">
        <v>0</v>
      </c>
      <c r="R42" s="74">
        <v>1</v>
      </c>
      <c r="S42"/>
      <c r="T42"/>
    </row>
    <row r="43" spans="1:20" ht="15" customHeight="1" x14ac:dyDescent="0.15">
      <c r="A43" s="83"/>
      <c r="F43" s="165" t="s">
        <v>230</v>
      </c>
      <c r="G43" s="83">
        <v>0</v>
      </c>
      <c r="H43" s="83">
        <v>0</v>
      </c>
      <c r="I43" s="83">
        <v>0</v>
      </c>
      <c r="J43" s="83">
        <v>0</v>
      </c>
      <c r="K43" s="83">
        <v>1</v>
      </c>
      <c r="L43" s="83">
        <v>0</v>
      </c>
      <c r="M43" s="83">
        <v>1</v>
      </c>
      <c r="N43" s="83">
        <v>0</v>
      </c>
      <c r="O43" s="83">
        <v>1</v>
      </c>
      <c r="P43" s="73">
        <v>0</v>
      </c>
      <c r="Q43" s="83">
        <v>0</v>
      </c>
      <c r="R43" s="74">
        <v>1</v>
      </c>
      <c r="S43"/>
      <c r="T43"/>
    </row>
    <row r="44" spans="1:20" ht="15" customHeight="1" x14ac:dyDescent="0.15">
      <c r="A44" s="83"/>
      <c r="F44" s="165" t="s">
        <v>231</v>
      </c>
      <c r="G44" s="83">
        <v>0</v>
      </c>
      <c r="H44" s="83">
        <v>0</v>
      </c>
      <c r="I44" s="83">
        <v>0</v>
      </c>
      <c r="J44" s="83">
        <v>0</v>
      </c>
      <c r="K44" s="83">
        <v>0</v>
      </c>
      <c r="L44" s="83">
        <v>1</v>
      </c>
      <c r="M44" s="83">
        <v>0</v>
      </c>
      <c r="N44" s="83">
        <v>1</v>
      </c>
      <c r="O44" s="83">
        <v>0</v>
      </c>
      <c r="P44" s="73">
        <v>1</v>
      </c>
      <c r="Q44" s="83">
        <v>0</v>
      </c>
      <c r="R44" s="74">
        <v>1</v>
      </c>
    </row>
    <row r="45" spans="1:20" ht="15" customHeight="1" x14ac:dyDescent="0.15">
      <c r="A45" s="83"/>
      <c r="F45" s="165" t="s">
        <v>232</v>
      </c>
      <c r="G45" s="83">
        <v>0</v>
      </c>
      <c r="H45" s="83">
        <v>0</v>
      </c>
      <c r="I45" s="83">
        <v>0</v>
      </c>
      <c r="J45" s="83">
        <v>0</v>
      </c>
      <c r="K45" s="83">
        <v>1</v>
      </c>
      <c r="L45" s="83">
        <v>0</v>
      </c>
      <c r="M45" s="83">
        <v>1</v>
      </c>
      <c r="N45" s="83">
        <v>0</v>
      </c>
      <c r="O45" s="83">
        <v>1</v>
      </c>
      <c r="P45" s="73">
        <v>0</v>
      </c>
      <c r="Q45" s="83">
        <v>0</v>
      </c>
      <c r="R45" s="74">
        <v>1</v>
      </c>
    </row>
    <row r="46" spans="1:20" ht="15" customHeight="1" x14ac:dyDescent="0.15">
      <c r="A46" s="83"/>
      <c r="F46" s="165" t="s">
        <v>233</v>
      </c>
      <c r="G46" s="83">
        <v>0</v>
      </c>
      <c r="H46" s="83">
        <v>0</v>
      </c>
      <c r="I46" s="83">
        <v>0</v>
      </c>
      <c r="J46" s="83">
        <v>0</v>
      </c>
      <c r="K46" s="83">
        <v>0</v>
      </c>
      <c r="L46" s="83">
        <v>1</v>
      </c>
      <c r="M46" s="83">
        <v>0</v>
      </c>
      <c r="N46" s="83">
        <v>1</v>
      </c>
      <c r="O46" s="83">
        <v>0</v>
      </c>
      <c r="P46" s="73">
        <v>1</v>
      </c>
      <c r="Q46" s="83">
        <v>0</v>
      </c>
      <c r="R46" s="74">
        <v>1</v>
      </c>
    </row>
    <row r="47" spans="1:20" ht="15" customHeight="1" x14ac:dyDescent="0.15">
      <c r="A47" s="83"/>
      <c r="F47" s="165" t="s">
        <v>234</v>
      </c>
      <c r="G47" s="83">
        <v>0</v>
      </c>
      <c r="H47" s="83">
        <v>0</v>
      </c>
      <c r="I47" s="83">
        <v>0</v>
      </c>
      <c r="J47" s="83">
        <v>0</v>
      </c>
      <c r="K47" s="83">
        <v>0</v>
      </c>
      <c r="L47" s="83">
        <v>1</v>
      </c>
      <c r="M47" s="83">
        <v>0</v>
      </c>
      <c r="N47" s="83">
        <v>0</v>
      </c>
      <c r="O47" s="83">
        <v>0</v>
      </c>
      <c r="P47" s="73">
        <v>0</v>
      </c>
      <c r="Q47" s="83">
        <v>0</v>
      </c>
      <c r="R47" s="74">
        <v>1</v>
      </c>
    </row>
    <row r="48" spans="1:20" ht="15" customHeight="1" x14ac:dyDescent="0.15">
      <c r="A48" s="83"/>
      <c r="F48" s="165" t="s">
        <v>235</v>
      </c>
      <c r="G48" s="83">
        <v>0</v>
      </c>
      <c r="H48" s="83">
        <v>0</v>
      </c>
      <c r="I48" s="83">
        <v>0</v>
      </c>
      <c r="J48" s="83">
        <v>0</v>
      </c>
      <c r="K48" s="83">
        <v>0</v>
      </c>
      <c r="L48" s="83">
        <v>1</v>
      </c>
      <c r="M48" s="83">
        <v>0</v>
      </c>
      <c r="N48" s="83">
        <v>0</v>
      </c>
      <c r="O48" s="83">
        <v>0</v>
      </c>
      <c r="P48" s="73">
        <v>0</v>
      </c>
      <c r="Q48" s="83">
        <v>0</v>
      </c>
      <c r="R48" s="74">
        <v>1</v>
      </c>
    </row>
    <row r="49" spans="6:18" s="83" customFormat="1" ht="15" customHeight="1" x14ac:dyDescent="0.15">
      <c r="F49" s="165" t="s">
        <v>236</v>
      </c>
      <c r="G49" s="83">
        <v>0</v>
      </c>
      <c r="H49" s="83">
        <v>0</v>
      </c>
      <c r="I49" s="83">
        <v>0</v>
      </c>
      <c r="J49" s="83">
        <v>0</v>
      </c>
      <c r="K49" s="83">
        <v>0</v>
      </c>
      <c r="L49" s="83">
        <v>1</v>
      </c>
      <c r="M49" s="83">
        <v>0</v>
      </c>
      <c r="N49" s="83">
        <v>0</v>
      </c>
      <c r="O49" s="83">
        <v>0</v>
      </c>
      <c r="P49" s="73">
        <v>0</v>
      </c>
      <c r="Q49" s="83">
        <v>0</v>
      </c>
      <c r="R49" s="74">
        <v>1</v>
      </c>
    </row>
    <row r="50" spans="6:18" s="83" customFormat="1" ht="15" customHeight="1" x14ac:dyDescent="0.15">
      <c r="F50" s="165" t="s">
        <v>237</v>
      </c>
      <c r="G50" s="83">
        <v>0</v>
      </c>
      <c r="H50" s="83">
        <v>0</v>
      </c>
      <c r="I50" s="83">
        <v>0</v>
      </c>
      <c r="J50" s="83">
        <v>0</v>
      </c>
      <c r="K50" s="83">
        <v>0</v>
      </c>
      <c r="L50" s="83">
        <v>1</v>
      </c>
      <c r="M50" s="83">
        <v>0</v>
      </c>
      <c r="N50" s="83">
        <v>0</v>
      </c>
      <c r="O50" s="83">
        <v>0</v>
      </c>
      <c r="P50" s="73">
        <v>0</v>
      </c>
      <c r="Q50" s="83">
        <v>0</v>
      </c>
      <c r="R50" s="74">
        <v>1</v>
      </c>
    </row>
    <row r="51" spans="6:18" s="83" customFormat="1" ht="15" customHeight="1" x14ac:dyDescent="0.15">
      <c r="F51" s="165" t="s">
        <v>238</v>
      </c>
      <c r="G51" s="83">
        <v>0</v>
      </c>
      <c r="H51" s="83">
        <v>0</v>
      </c>
      <c r="I51" s="83">
        <v>0</v>
      </c>
      <c r="J51" s="83">
        <v>0</v>
      </c>
      <c r="K51" s="83">
        <v>0</v>
      </c>
      <c r="L51" s="83">
        <v>1</v>
      </c>
      <c r="M51" s="83">
        <v>0</v>
      </c>
      <c r="N51" s="83">
        <v>0</v>
      </c>
      <c r="O51" s="83">
        <v>0</v>
      </c>
      <c r="P51" s="73">
        <v>0</v>
      </c>
      <c r="Q51" s="83">
        <v>0</v>
      </c>
      <c r="R51" s="74">
        <v>1</v>
      </c>
    </row>
    <row r="52" spans="6:18" s="83" customFormat="1" ht="15" customHeight="1" x14ac:dyDescent="0.15">
      <c r="F52"/>
      <c r="G52"/>
      <c r="H52"/>
      <c r="I52"/>
      <c r="J52"/>
      <c r="K52"/>
      <c r="L52"/>
      <c r="M52"/>
      <c r="N52"/>
      <c r="O52"/>
      <c r="P52"/>
      <c r="Q52"/>
      <c r="R52"/>
    </row>
    <row r="53" spans="6:18" s="83" customFormat="1" ht="15" customHeight="1" x14ac:dyDescent="0.15">
      <c r="F53"/>
      <c r="G53"/>
      <c r="H53"/>
      <c r="I53"/>
      <c r="J53"/>
      <c r="K53"/>
      <c r="L53"/>
      <c r="M53"/>
      <c r="N53"/>
      <c r="O53"/>
      <c r="P53"/>
      <c r="Q53"/>
      <c r="R53"/>
    </row>
    <row r="54" spans="6:18" s="83" customFormat="1" ht="15" customHeight="1" x14ac:dyDescent="0.15">
      <c r="F54"/>
      <c r="G54"/>
      <c r="H54"/>
      <c r="I54"/>
      <c r="J54"/>
      <c r="K54"/>
      <c r="L54"/>
      <c r="M54"/>
      <c r="N54"/>
      <c r="O54"/>
      <c r="P54"/>
      <c r="Q54"/>
      <c r="R54"/>
    </row>
    <row r="55" spans="6:18" s="83" customFormat="1" ht="15" customHeight="1" x14ac:dyDescent="0.15">
      <c r="F55"/>
      <c r="G55"/>
      <c r="H55"/>
      <c r="I55"/>
      <c r="J55"/>
      <c r="K55"/>
      <c r="L55"/>
      <c r="M55"/>
      <c r="N55"/>
      <c r="O55"/>
      <c r="P55"/>
      <c r="Q55"/>
      <c r="R55"/>
    </row>
    <row r="56" spans="6:18" s="83" customFormat="1" ht="15" customHeight="1" x14ac:dyDescent="0.15">
      <c r="F56"/>
      <c r="G56"/>
      <c r="H56"/>
      <c r="I56"/>
      <c r="J56"/>
      <c r="K56"/>
      <c r="L56"/>
      <c r="M56"/>
      <c r="N56"/>
      <c r="O56"/>
      <c r="P56"/>
      <c r="Q56"/>
      <c r="R56"/>
    </row>
    <row r="57" spans="6:18" s="83" customFormat="1" ht="15" customHeight="1" x14ac:dyDescent="0.15">
      <c r="F57"/>
      <c r="G57"/>
      <c r="H57"/>
      <c r="I57"/>
      <c r="J57"/>
      <c r="K57"/>
      <c r="L57"/>
      <c r="M57"/>
      <c r="N57"/>
      <c r="O57"/>
      <c r="P57"/>
      <c r="Q57"/>
      <c r="R57"/>
    </row>
    <row r="58" spans="6:18" s="83" customFormat="1" ht="15" customHeight="1" x14ac:dyDescent="0.15">
      <c r="F58"/>
      <c r="G58"/>
      <c r="H58"/>
      <c r="I58"/>
      <c r="J58"/>
      <c r="K58"/>
      <c r="L58"/>
      <c r="M58"/>
      <c r="N58"/>
      <c r="O58"/>
      <c r="P58"/>
      <c r="Q58"/>
      <c r="R58"/>
    </row>
    <row r="59" spans="6:18" s="83" customFormat="1" ht="15" customHeight="1" x14ac:dyDescent="0.15">
      <c r="F59"/>
      <c r="G59"/>
      <c r="H59"/>
      <c r="I59"/>
      <c r="J59"/>
      <c r="K59"/>
      <c r="L59"/>
      <c r="M59"/>
      <c r="N59"/>
      <c r="O59"/>
      <c r="P59"/>
      <c r="Q59"/>
      <c r="R59"/>
    </row>
    <row r="60" spans="6:18" s="83" customFormat="1" ht="15" customHeight="1" x14ac:dyDescent="0.15">
      <c r="F60"/>
      <c r="G60"/>
      <c r="H60"/>
      <c r="I60"/>
      <c r="J60"/>
      <c r="K60"/>
      <c r="L60"/>
      <c r="M60"/>
      <c r="N60"/>
      <c r="O60"/>
      <c r="P60"/>
      <c r="Q60"/>
      <c r="R60"/>
    </row>
    <row r="61" spans="6:18" s="83" customFormat="1" ht="15" customHeight="1" x14ac:dyDescent="0.15">
      <c r="F61"/>
      <c r="G61"/>
      <c r="H61"/>
      <c r="I61"/>
      <c r="J61"/>
      <c r="K61"/>
      <c r="L61"/>
      <c r="M61"/>
      <c r="N61"/>
      <c r="O61"/>
      <c r="P61"/>
      <c r="Q61"/>
      <c r="R61"/>
    </row>
    <row r="62" spans="6:18" s="83" customFormat="1" ht="15" customHeight="1" x14ac:dyDescent="0.15">
      <c r="F62"/>
      <c r="G62"/>
      <c r="H62"/>
      <c r="I62"/>
      <c r="J62"/>
      <c r="K62"/>
      <c r="L62"/>
      <c r="M62"/>
      <c r="N62"/>
      <c r="O62"/>
      <c r="P62"/>
      <c r="Q62"/>
      <c r="R62"/>
    </row>
    <row r="63" spans="6:18" s="83" customFormat="1" ht="15" customHeight="1" x14ac:dyDescent="0.15">
      <c r="F63"/>
      <c r="G63"/>
      <c r="H63"/>
      <c r="I63"/>
      <c r="J63"/>
      <c r="K63"/>
      <c r="L63"/>
      <c r="M63"/>
      <c r="N63"/>
      <c r="O63"/>
      <c r="P63"/>
      <c r="Q63"/>
      <c r="R63"/>
    </row>
    <row r="64" spans="6:18" s="83" customFormat="1" ht="15" customHeight="1" x14ac:dyDescent="0.15">
      <c r="F64"/>
      <c r="G64"/>
      <c r="H64"/>
      <c r="I64"/>
      <c r="J64"/>
      <c r="K64"/>
      <c r="L64"/>
      <c r="M64"/>
      <c r="N64"/>
      <c r="O64"/>
      <c r="P64"/>
      <c r="Q64"/>
      <c r="R64"/>
    </row>
    <row r="65" spans="1:18" ht="15" customHeight="1" x14ac:dyDescent="0.15">
      <c r="F65"/>
      <c r="G65"/>
      <c r="H65"/>
      <c r="I65"/>
      <c r="J65"/>
      <c r="K65"/>
      <c r="L65"/>
      <c r="M65"/>
      <c r="N65"/>
      <c r="O65"/>
      <c r="P65"/>
      <c r="Q65"/>
      <c r="R65"/>
    </row>
    <row r="66" spans="1:18" ht="15" customHeight="1" x14ac:dyDescent="0.15">
      <c r="F66"/>
      <c r="G66"/>
      <c r="H66"/>
      <c r="I66"/>
      <c r="J66"/>
      <c r="K66"/>
      <c r="L66"/>
      <c r="M66"/>
      <c r="N66"/>
      <c r="O66"/>
      <c r="P66"/>
      <c r="Q66"/>
      <c r="R66"/>
    </row>
    <row r="67" spans="1:18" ht="15" customHeight="1" x14ac:dyDescent="0.15">
      <c r="F67"/>
      <c r="G67"/>
      <c r="H67"/>
      <c r="I67"/>
      <c r="J67"/>
      <c r="K67"/>
      <c r="L67"/>
      <c r="M67"/>
      <c r="N67"/>
      <c r="O67"/>
      <c r="P67"/>
      <c r="Q67"/>
      <c r="R67"/>
    </row>
    <row r="68" spans="1:18" ht="15" customHeight="1" x14ac:dyDescent="0.15">
      <c r="F68"/>
      <c r="G68"/>
      <c r="H68"/>
      <c r="I68"/>
      <c r="J68"/>
      <c r="K68"/>
      <c r="L68"/>
      <c r="M68"/>
      <c r="N68"/>
      <c r="O68"/>
      <c r="P68"/>
      <c r="Q68"/>
      <c r="R68"/>
    </row>
    <row r="69" spans="1:18" ht="15" customHeight="1" x14ac:dyDescent="0.15">
      <c r="F69"/>
      <c r="G69"/>
      <c r="H69"/>
      <c r="I69"/>
      <c r="J69"/>
      <c r="K69"/>
      <c r="L69"/>
      <c r="M69"/>
      <c r="N69"/>
      <c r="O69"/>
      <c r="P69"/>
      <c r="Q69"/>
      <c r="R69"/>
    </row>
    <row r="70" spans="1:18" ht="15" customHeight="1" x14ac:dyDescent="0.15">
      <c r="F70"/>
      <c r="G70"/>
      <c r="H70"/>
      <c r="I70"/>
      <c r="J70"/>
      <c r="K70"/>
      <c r="L70"/>
      <c r="M70"/>
      <c r="N70"/>
      <c r="O70"/>
      <c r="P70"/>
      <c r="Q70"/>
      <c r="R70"/>
    </row>
    <row r="71" spans="1:18" ht="15" customHeight="1" x14ac:dyDescent="0.15">
      <c r="F71"/>
      <c r="G71"/>
      <c r="H71"/>
      <c r="I71"/>
      <c r="J71"/>
      <c r="K71"/>
      <c r="L71"/>
      <c r="M71"/>
      <c r="N71"/>
      <c r="O71"/>
      <c r="P71"/>
      <c r="Q71"/>
      <c r="R71"/>
    </row>
    <row r="72" spans="1:18" ht="15" customHeight="1" x14ac:dyDescent="0.15">
      <c r="F72"/>
      <c r="G72"/>
      <c r="H72"/>
      <c r="I72"/>
      <c r="J72"/>
      <c r="K72"/>
      <c r="L72"/>
      <c r="M72"/>
      <c r="N72"/>
      <c r="O72"/>
      <c r="P72"/>
      <c r="Q72"/>
      <c r="R72"/>
    </row>
    <row r="73" spans="1:18" ht="15" customHeight="1" x14ac:dyDescent="0.15">
      <c r="F73"/>
      <c r="G73"/>
      <c r="H73"/>
      <c r="I73"/>
      <c r="J73"/>
      <c r="K73"/>
      <c r="L73"/>
      <c r="M73"/>
      <c r="N73"/>
      <c r="O73"/>
      <c r="P73"/>
      <c r="Q73"/>
      <c r="R73"/>
    </row>
    <row r="74" spans="1:18" ht="15" customHeight="1" x14ac:dyDescent="0.15">
      <c r="F74"/>
      <c r="G74"/>
      <c r="H74"/>
      <c r="I74"/>
      <c r="J74"/>
      <c r="K74"/>
      <c r="L74"/>
      <c r="M74"/>
      <c r="N74"/>
      <c r="O74"/>
      <c r="P74"/>
      <c r="Q74"/>
      <c r="R74"/>
    </row>
    <row r="75" spans="1:18" ht="15" customHeight="1" x14ac:dyDescent="0.15">
      <c r="F75"/>
      <c r="G75"/>
      <c r="H75"/>
      <c r="I75"/>
      <c r="J75"/>
      <c r="K75"/>
      <c r="L75"/>
      <c r="M75"/>
      <c r="N75"/>
      <c r="O75"/>
      <c r="P75"/>
      <c r="Q75"/>
      <c r="R75"/>
    </row>
    <row r="76" spans="1:18" ht="15" customHeight="1" x14ac:dyDescent="0.15">
      <c r="A76" s="83"/>
      <c r="F76"/>
      <c r="G76"/>
      <c r="H76"/>
      <c r="I76"/>
      <c r="J76"/>
      <c r="K76"/>
      <c r="L76"/>
      <c r="M76"/>
      <c r="N76"/>
      <c r="O76"/>
      <c r="P76"/>
      <c r="Q76"/>
      <c r="R76"/>
    </row>
    <row r="77" spans="1:18" ht="15" customHeight="1" x14ac:dyDescent="0.15">
      <c r="A77" s="83"/>
      <c r="F77"/>
      <c r="G77"/>
      <c r="H77"/>
      <c r="I77"/>
      <c r="J77"/>
      <c r="K77"/>
      <c r="L77"/>
      <c r="M77"/>
      <c r="N77"/>
      <c r="O77"/>
      <c r="P77"/>
      <c r="Q77"/>
      <c r="R77"/>
    </row>
    <row r="78" spans="1:18" ht="15" customHeight="1" x14ac:dyDescent="0.15">
      <c r="A78" s="83"/>
      <c r="F78"/>
      <c r="G78"/>
      <c r="H78"/>
      <c r="I78"/>
      <c r="J78"/>
      <c r="K78"/>
      <c r="L78"/>
      <c r="M78"/>
      <c r="N78"/>
      <c r="O78"/>
      <c r="P78"/>
      <c r="Q78"/>
      <c r="R78"/>
    </row>
    <row r="79" spans="1:18" ht="15" customHeight="1" x14ac:dyDescent="0.15">
      <c r="A79" s="83"/>
      <c r="F79"/>
      <c r="G79"/>
      <c r="H79"/>
      <c r="I79"/>
      <c r="J79"/>
      <c r="K79"/>
      <c r="L79"/>
      <c r="M79"/>
      <c r="N79"/>
      <c r="O79"/>
      <c r="P79"/>
      <c r="Q79"/>
      <c r="R79"/>
    </row>
    <row r="80" spans="1:18" ht="15" customHeight="1" x14ac:dyDescent="0.15">
      <c r="A80" s="83"/>
      <c r="F80"/>
      <c r="G80"/>
      <c r="H80"/>
      <c r="I80"/>
      <c r="J80"/>
      <c r="K80"/>
      <c r="L80"/>
      <c r="M80"/>
      <c r="N80"/>
      <c r="O80"/>
      <c r="P80"/>
      <c r="Q80"/>
      <c r="R80"/>
    </row>
    <row r="81" spans="1:18" ht="15" customHeight="1" x14ac:dyDescent="0.15">
      <c r="A81" s="83"/>
      <c r="F81"/>
      <c r="G81"/>
      <c r="H81"/>
      <c r="I81"/>
      <c r="J81"/>
      <c r="K81"/>
      <c r="L81"/>
      <c r="M81"/>
      <c r="N81"/>
      <c r="O81"/>
      <c r="P81"/>
      <c r="Q81"/>
      <c r="R81"/>
    </row>
    <row r="82" spans="1:18" ht="15" customHeight="1" x14ac:dyDescent="0.15">
      <c r="A82" s="83"/>
      <c r="F82"/>
      <c r="G82"/>
      <c r="H82"/>
      <c r="I82"/>
      <c r="J82"/>
      <c r="K82"/>
      <c r="L82"/>
      <c r="M82"/>
      <c r="N82"/>
      <c r="O82"/>
      <c r="P82"/>
      <c r="Q82"/>
      <c r="R82"/>
    </row>
    <row r="83" spans="1:18" ht="15" customHeight="1" x14ac:dyDescent="0.15">
      <c r="A83" s="83"/>
      <c r="F83"/>
      <c r="G83"/>
      <c r="H83"/>
      <c r="I83"/>
      <c r="J83"/>
      <c r="K83"/>
      <c r="L83"/>
      <c r="M83"/>
      <c r="N83"/>
      <c r="O83"/>
      <c r="P83"/>
      <c r="Q83"/>
      <c r="R83"/>
    </row>
    <row r="84" spans="1:18" ht="15" customHeight="1" x14ac:dyDescent="0.15">
      <c r="A84" s="83"/>
      <c r="F84"/>
      <c r="G84"/>
      <c r="H84"/>
      <c r="I84"/>
      <c r="J84"/>
      <c r="K84"/>
      <c r="L84"/>
      <c r="M84"/>
      <c r="N84"/>
      <c r="O84"/>
      <c r="P84"/>
      <c r="Q84"/>
      <c r="R84"/>
    </row>
    <row r="85" spans="1:18" ht="15" customHeight="1" x14ac:dyDescent="0.15">
      <c r="A85" s="83"/>
      <c r="F85"/>
      <c r="G85"/>
      <c r="H85"/>
      <c r="I85"/>
      <c r="J85"/>
      <c r="K85"/>
      <c r="L85"/>
      <c r="M85"/>
      <c r="N85"/>
      <c r="O85"/>
      <c r="P85"/>
      <c r="Q85"/>
      <c r="R85"/>
    </row>
    <row r="86" spans="1:18" ht="15" customHeight="1" x14ac:dyDescent="0.15">
      <c r="A86" s="83"/>
      <c r="F86"/>
      <c r="G86"/>
      <c r="H86"/>
      <c r="I86"/>
      <c r="J86"/>
      <c r="K86"/>
      <c r="L86"/>
      <c r="M86"/>
      <c r="N86"/>
      <c r="O86"/>
      <c r="P86"/>
      <c r="Q86"/>
      <c r="R86"/>
    </row>
    <row r="87" spans="1:18" ht="15" customHeight="1" x14ac:dyDescent="0.15">
      <c r="A87" s="83"/>
      <c r="F87"/>
      <c r="G87"/>
      <c r="H87"/>
      <c r="I87"/>
      <c r="J87"/>
      <c r="K87"/>
      <c r="L87"/>
      <c r="M87"/>
      <c r="N87"/>
      <c r="O87"/>
      <c r="P87"/>
      <c r="Q87"/>
      <c r="R87"/>
    </row>
    <row r="88" spans="1:18" ht="15" customHeight="1" x14ac:dyDescent="0.15">
      <c r="A88" s="83"/>
      <c r="F88"/>
      <c r="G88"/>
      <c r="H88"/>
      <c r="I88"/>
      <c r="J88"/>
      <c r="K88"/>
      <c r="L88"/>
      <c r="M88"/>
      <c r="N88"/>
      <c r="O88"/>
      <c r="P88"/>
      <c r="Q88"/>
      <c r="R88"/>
    </row>
    <row r="89" spans="1:18" ht="15" customHeight="1" x14ac:dyDescent="0.15">
      <c r="A89" s="83"/>
      <c r="F89"/>
      <c r="G89"/>
      <c r="H89"/>
      <c r="I89"/>
      <c r="J89"/>
      <c r="K89"/>
      <c r="L89"/>
      <c r="M89"/>
      <c r="N89"/>
      <c r="O89"/>
      <c r="P89"/>
      <c r="Q89"/>
      <c r="R89"/>
    </row>
    <row r="90" spans="1:18" ht="15" customHeight="1" x14ac:dyDescent="0.15">
      <c r="A90" s="83"/>
      <c r="F90"/>
      <c r="G90"/>
      <c r="H90"/>
      <c r="I90"/>
      <c r="J90"/>
      <c r="K90"/>
      <c r="L90"/>
      <c r="M90"/>
      <c r="N90"/>
      <c r="O90"/>
      <c r="P90"/>
      <c r="Q90"/>
      <c r="R90"/>
    </row>
    <row r="91" spans="1:18" ht="15" customHeight="1" x14ac:dyDescent="0.15">
      <c r="A91" s="83"/>
      <c r="F91"/>
      <c r="G91"/>
      <c r="H91"/>
      <c r="I91"/>
      <c r="J91"/>
      <c r="K91"/>
      <c r="L91"/>
      <c r="M91"/>
      <c r="N91"/>
      <c r="O91"/>
      <c r="P91"/>
      <c r="Q91"/>
      <c r="R91"/>
    </row>
    <row r="92" spans="1:18" ht="15" customHeight="1" x14ac:dyDescent="0.15">
      <c r="A92" s="83"/>
      <c r="F92"/>
      <c r="G92"/>
      <c r="H92"/>
      <c r="I92"/>
      <c r="J92"/>
      <c r="K92"/>
      <c r="L92"/>
      <c r="M92"/>
      <c r="N92"/>
      <c r="O92"/>
      <c r="P92"/>
      <c r="Q92"/>
      <c r="R92"/>
    </row>
    <row r="93" spans="1:18" ht="15" customHeight="1" x14ac:dyDescent="0.15">
      <c r="A93" s="83"/>
      <c r="F93"/>
      <c r="G93"/>
      <c r="H93"/>
      <c r="I93"/>
      <c r="J93"/>
      <c r="K93"/>
      <c r="L93"/>
      <c r="M93"/>
      <c r="N93"/>
      <c r="O93"/>
      <c r="P93"/>
      <c r="Q93"/>
      <c r="R93"/>
    </row>
    <row r="94" spans="1:18" ht="15" customHeight="1" x14ac:dyDescent="0.15">
      <c r="A94" s="83"/>
      <c r="F94"/>
      <c r="G94"/>
      <c r="H94"/>
      <c r="I94"/>
      <c r="J94"/>
      <c r="K94"/>
      <c r="L94"/>
      <c r="M94"/>
      <c r="N94"/>
      <c r="O94"/>
      <c r="P94"/>
      <c r="Q94"/>
      <c r="R94"/>
    </row>
    <row r="95" spans="1:18" ht="15" customHeight="1" x14ac:dyDescent="0.15">
      <c r="A95" s="83"/>
      <c r="F95"/>
      <c r="G95"/>
      <c r="H95"/>
      <c r="I95"/>
      <c r="J95"/>
      <c r="K95"/>
      <c r="L95"/>
      <c r="M95"/>
      <c r="N95"/>
      <c r="O95"/>
      <c r="P95"/>
      <c r="Q95"/>
      <c r="R95"/>
    </row>
    <row r="96" spans="1:18" ht="15" customHeight="1" x14ac:dyDescent="0.15">
      <c r="A96" s="83"/>
      <c r="F96"/>
      <c r="G96"/>
      <c r="H96"/>
      <c r="I96"/>
      <c r="J96"/>
      <c r="K96"/>
      <c r="L96"/>
      <c r="M96"/>
      <c r="N96"/>
      <c r="O96"/>
      <c r="P96"/>
      <c r="Q96"/>
      <c r="R96"/>
    </row>
    <row r="97" spans="1:18" ht="15" customHeight="1" x14ac:dyDescent="0.15">
      <c r="A97" s="83"/>
      <c r="F97"/>
      <c r="G97"/>
      <c r="H97"/>
      <c r="I97"/>
      <c r="J97"/>
      <c r="K97"/>
      <c r="L97"/>
      <c r="M97"/>
      <c r="N97"/>
      <c r="O97"/>
      <c r="P97"/>
      <c r="Q97"/>
      <c r="R97"/>
    </row>
    <row r="98" spans="1:18" ht="15" customHeight="1" x14ac:dyDescent="0.15">
      <c r="A98" s="83"/>
      <c r="F98"/>
      <c r="G98"/>
      <c r="H98"/>
      <c r="I98"/>
      <c r="J98"/>
      <c r="K98"/>
      <c r="L98"/>
      <c r="M98"/>
      <c r="N98"/>
      <c r="O98"/>
      <c r="P98"/>
      <c r="Q98"/>
      <c r="R98"/>
    </row>
    <row r="99" spans="1:18" ht="15" customHeight="1" x14ac:dyDescent="0.15">
      <c r="A99" s="83"/>
      <c r="F99"/>
      <c r="G99"/>
      <c r="H99"/>
      <c r="I99"/>
      <c r="J99"/>
      <c r="K99"/>
      <c r="L99"/>
      <c r="M99"/>
      <c r="N99"/>
      <c r="O99"/>
      <c r="P99"/>
      <c r="Q99"/>
      <c r="R99"/>
    </row>
    <row r="100" spans="1:18" ht="15" customHeight="1" x14ac:dyDescent="0.15">
      <c r="A100" s="83"/>
      <c r="F100"/>
      <c r="G100"/>
      <c r="H100"/>
      <c r="I100"/>
      <c r="J100"/>
      <c r="K100"/>
      <c r="L100"/>
      <c r="M100"/>
      <c r="N100"/>
      <c r="O100"/>
      <c r="P100"/>
      <c r="Q100"/>
      <c r="R100"/>
    </row>
    <row r="101" spans="1:18" ht="15" customHeight="1" x14ac:dyDescent="0.15">
      <c r="A101" s="83"/>
      <c r="F101"/>
      <c r="G101"/>
      <c r="H101"/>
      <c r="I101"/>
      <c r="J101"/>
      <c r="K101"/>
      <c r="L101"/>
      <c r="M101"/>
      <c r="N101"/>
      <c r="O101"/>
      <c r="P101"/>
      <c r="Q101"/>
      <c r="R101"/>
    </row>
    <row r="102" spans="1:18" ht="15" customHeight="1" x14ac:dyDescent="0.15">
      <c r="A102" s="83"/>
      <c r="F102"/>
      <c r="G102"/>
      <c r="H102"/>
      <c r="I102"/>
      <c r="J102"/>
      <c r="K102"/>
      <c r="L102"/>
      <c r="M102"/>
      <c r="N102"/>
      <c r="O102"/>
      <c r="P102"/>
      <c r="Q102"/>
      <c r="R102"/>
    </row>
    <row r="103" spans="1:18" ht="15" customHeight="1" x14ac:dyDescent="0.15">
      <c r="A103" s="83"/>
      <c r="F103"/>
      <c r="G103"/>
      <c r="H103"/>
      <c r="I103"/>
      <c r="J103"/>
      <c r="K103"/>
      <c r="L103"/>
      <c r="M103"/>
      <c r="N103"/>
      <c r="O103"/>
      <c r="P103"/>
      <c r="Q103"/>
      <c r="R103"/>
    </row>
    <row r="104" spans="1:18" ht="15" customHeight="1" x14ac:dyDescent="0.15">
      <c r="A104" s="83"/>
      <c r="F104"/>
      <c r="G104"/>
      <c r="H104"/>
      <c r="I104"/>
      <c r="J104"/>
      <c r="K104"/>
      <c r="L104"/>
      <c r="M104"/>
      <c r="N104"/>
      <c r="O104"/>
      <c r="P104"/>
      <c r="Q104"/>
      <c r="R104"/>
    </row>
    <row r="105" spans="1:18" ht="15" customHeight="1" x14ac:dyDescent="0.15">
      <c r="A105" s="83"/>
      <c r="F105"/>
      <c r="G105"/>
      <c r="H105"/>
      <c r="I105"/>
      <c r="J105"/>
      <c r="K105"/>
      <c r="L105"/>
      <c r="M105"/>
      <c r="N105"/>
      <c r="O105"/>
      <c r="P105"/>
      <c r="Q105"/>
      <c r="R105"/>
    </row>
    <row r="106" spans="1:18" ht="15" customHeight="1" x14ac:dyDescent="0.15">
      <c r="F106"/>
      <c r="G106"/>
      <c r="H106"/>
      <c r="I106"/>
      <c r="J106"/>
      <c r="K106"/>
      <c r="L106"/>
      <c r="M106"/>
      <c r="N106"/>
      <c r="O106"/>
      <c r="P106"/>
      <c r="Q106"/>
      <c r="R106"/>
    </row>
    <row r="107" spans="1:18" ht="15" customHeight="1" x14ac:dyDescent="0.15">
      <c r="F107"/>
      <c r="G107"/>
      <c r="H107"/>
      <c r="I107"/>
      <c r="J107"/>
      <c r="K107"/>
      <c r="L107"/>
      <c r="M107"/>
      <c r="N107"/>
      <c r="O107"/>
      <c r="P107"/>
      <c r="Q107"/>
      <c r="R107"/>
    </row>
    <row r="108" spans="1:18" ht="15" customHeight="1" x14ac:dyDescent="0.15">
      <c r="F108"/>
      <c r="G108"/>
      <c r="H108"/>
      <c r="I108"/>
      <c r="J108"/>
      <c r="K108"/>
      <c r="L108"/>
      <c r="M108"/>
      <c r="N108"/>
      <c r="O108"/>
      <c r="P108"/>
      <c r="Q108"/>
      <c r="R108"/>
    </row>
    <row r="109" spans="1:18" ht="15" customHeight="1" x14ac:dyDescent="0.15">
      <c r="F109"/>
      <c r="G109"/>
      <c r="H109"/>
      <c r="I109"/>
      <c r="J109"/>
      <c r="K109"/>
      <c r="L109"/>
      <c r="M109"/>
      <c r="N109"/>
      <c r="O109"/>
      <c r="P109"/>
      <c r="Q109"/>
      <c r="R109"/>
    </row>
    <row r="110" spans="1:18" ht="15" customHeight="1" x14ac:dyDescent="0.15">
      <c r="F110"/>
      <c r="G110"/>
      <c r="H110"/>
      <c r="I110"/>
      <c r="J110"/>
      <c r="K110"/>
      <c r="L110"/>
      <c r="M110"/>
      <c r="N110"/>
      <c r="O110"/>
      <c r="P110"/>
      <c r="Q110"/>
      <c r="R110"/>
    </row>
    <row r="111" spans="1:18" ht="15" customHeight="1" x14ac:dyDescent="0.15">
      <c r="F111"/>
      <c r="G111"/>
      <c r="H111"/>
      <c r="I111"/>
      <c r="J111"/>
      <c r="K111"/>
      <c r="L111"/>
      <c r="M111"/>
      <c r="N111"/>
      <c r="O111"/>
      <c r="P111"/>
      <c r="Q111"/>
      <c r="R111"/>
    </row>
    <row r="112" spans="1:18" ht="15" customHeight="1" x14ac:dyDescent="0.15">
      <c r="F112"/>
      <c r="G112"/>
      <c r="H112"/>
      <c r="I112"/>
      <c r="J112"/>
      <c r="K112"/>
      <c r="L112"/>
      <c r="M112"/>
      <c r="N112"/>
      <c r="O112"/>
      <c r="P112"/>
      <c r="Q112"/>
      <c r="R112"/>
    </row>
    <row r="113" spans="6:18" s="83" customFormat="1" ht="15" customHeight="1" x14ac:dyDescent="0.15">
      <c r="F113"/>
      <c r="G113"/>
      <c r="H113"/>
      <c r="I113"/>
      <c r="J113"/>
      <c r="K113"/>
      <c r="L113"/>
      <c r="M113"/>
      <c r="N113"/>
      <c r="O113"/>
      <c r="P113"/>
      <c r="Q113"/>
      <c r="R113"/>
    </row>
    <row r="114" spans="6:18" s="83" customFormat="1" ht="15" customHeight="1" x14ac:dyDescent="0.15">
      <c r="F114"/>
      <c r="G114"/>
      <c r="H114"/>
      <c r="I114"/>
      <c r="J114"/>
      <c r="K114"/>
      <c r="L114"/>
      <c r="M114"/>
      <c r="N114"/>
      <c r="O114"/>
      <c r="P114"/>
      <c r="Q114"/>
      <c r="R114"/>
    </row>
    <row r="115" spans="6:18" s="83" customFormat="1" ht="15" customHeight="1" x14ac:dyDescent="0.15">
      <c r="F115"/>
      <c r="G115"/>
      <c r="H115"/>
      <c r="I115"/>
      <c r="J115"/>
      <c r="K115"/>
      <c r="L115"/>
      <c r="M115"/>
      <c r="N115"/>
      <c r="O115"/>
      <c r="P115"/>
      <c r="Q115"/>
      <c r="R115"/>
    </row>
    <row r="116" spans="6:18" s="83" customFormat="1" ht="15" customHeight="1" x14ac:dyDescent="0.15">
      <c r="F116"/>
      <c r="G116"/>
      <c r="H116"/>
      <c r="I116"/>
      <c r="J116"/>
      <c r="K116"/>
      <c r="L116"/>
      <c r="M116"/>
      <c r="N116"/>
      <c r="O116"/>
      <c r="P116"/>
      <c r="Q116"/>
      <c r="R116"/>
    </row>
    <row r="117" spans="6:18" s="83" customFormat="1" ht="15" customHeight="1" x14ac:dyDescent="0.15">
      <c r="F117"/>
      <c r="G117"/>
      <c r="H117"/>
      <c r="I117"/>
      <c r="J117"/>
      <c r="K117"/>
      <c r="L117"/>
      <c r="M117"/>
      <c r="N117"/>
      <c r="O117"/>
      <c r="P117"/>
      <c r="Q117"/>
      <c r="R117"/>
    </row>
    <row r="118" spans="6:18" s="83" customFormat="1" ht="15" customHeight="1" x14ac:dyDescent="0.15">
      <c r="F118"/>
      <c r="G118"/>
      <c r="H118"/>
      <c r="I118"/>
      <c r="J118"/>
      <c r="K118"/>
      <c r="L118"/>
      <c r="M118"/>
      <c r="N118"/>
      <c r="O118"/>
      <c r="P118"/>
      <c r="Q118"/>
      <c r="R118"/>
    </row>
    <row r="119" spans="6:18" s="83" customFormat="1" ht="15" customHeight="1" x14ac:dyDescent="0.15">
      <c r="F119"/>
      <c r="G119"/>
      <c r="H119"/>
      <c r="I119"/>
      <c r="J119"/>
      <c r="K119"/>
      <c r="L119"/>
      <c r="M119"/>
      <c r="N119"/>
      <c r="O119"/>
      <c r="P119"/>
      <c r="Q119"/>
      <c r="R119"/>
    </row>
    <row r="120" spans="6:18" s="83" customFormat="1" ht="15" customHeight="1" x14ac:dyDescent="0.15">
      <c r="F120"/>
      <c r="G120"/>
      <c r="H120"/>
      <c r="I120"/>
      <c r="J120"/>
      <c r="K120"/>
      <c r="L120"/>
      <c r="M120"/>
      <c r="N120"/>
      <c r="O120"/>
      <c r="P120"/>
      <c r="Q120"/>
      <c r="R120"/>
    </row>
    <row r="121" spans="6:18" s="83" customFormat="1" ht="15" customHeight="1" x14ac:dyDescent="0.15">
      <c r="F121"/>
      <c r="G121"/>
      <c r="H121"/>
      <c r="I121"/>
      <c r="J121"/>
      <c r="K121"/>
      <c r="L121"/>
      <c r="M121"/>
      <c r="N121"/>
      <c r="O121"/>
      <c r="P121"/>
      <c r="Q121"/>
      <c r="R121"/>
    </row>
    <row r="122" spans="6:18" s="83" customFormat="1" ht="15" customHeight="1" x14ac:dyDescent="0.15">
      <c r="F122"/>
      <c r="G122"/>
      <c r="H122"/>
      <c r="I122"/>
      <c r="J122"/>
      <c r="K122"/>
      <c r="L122"/>
      <c r="M122"/>
      <c r="N122"/>
      <c r="O122"/>
      <c r="P122"/>
      <c r="Q122"/>
      <c r="R122"/>
    </row>
    <row r="123" spans="6:18" s="83" customFormat="1" ht="15" customHeight="1" x14ac:dyDescent="0.15">
      <c r="F123"/>
      <c r="G123"/>
      <c r="H123"/>
      <c r="I123"/>
      <c r="J123"/>
      <c r="K123"/>
      <c r="L123"/>
      <c r="M123"/>
      <c r="N123"/>
      <c r="O123"/>
      <c r="P123"/>
      <c r="Q123"/>
      <c r="R123"/>
    </row>
    <row r="124" spans="6:18" s="83" customFormat="1" ht="15" customHeight="1" x14ac:dyDescent="0.15">
      <c r="F124"/>
      <c r="G124"/>
      <c r="H124"/>
      <c r="I124"/>
      <c r="J124"/>
      <c r="K124"/>
      <c r="L124"/>
      <c r="M124"/>
      <c r="N124"/>
      <c r="O124"/>
      <c r="P124"/>
      <c r="Q124"/>
      <c r="R124"/>
    </row>
    <row r="125" spans="6:18" s="83" customFormat="1" ht="15" customHeight="1" x14ac:dyDescent="0.15">
      <c r="F125"/>
      <c r="G125"/>
      <c r="H125"/>
      <c r="I125"/>
      <c r="J125"/>
      <c r="K125"/>
      <c r="L125"/>
      <c r="M125"/>
      <c r="N125"/>
      <c r="O125"/>
      <c r="P125"/>
      <c r="Q125"/>
      <c r="R125"/>
    </row>
    <row r="126" spans="6:18" s="83" customFormat="1" ht="15" customHeight="1" x14ac:dyDescent="0.15">
      <c r="F126"/>
      <c r="G126"/>
      <c r="H126"/>
      <c r="I126"/>
      <c r="J126"/>
      <c r="K126"/>
      <c r="L126"/>
      <c r="M126"/>
      <c r="N126"/>
      <c r="O126"/>
      <c r="P126"/>
      <c r="Q126"/>
      <c r="R126"/>
    </row>
    <row r="127" spans="6:18" s="83" customFormat="1" ht="15" customHeight="1" x14ac:dyDescent="0.15">
      <c r="F127"/>
      <c r="G127"/>
      <c r="H127"/>
      <c r="I127"/>
      <c r="J127"/>
      <c r="K127"/>
      <c r="L127"/>
      <c r="M127"/>
      <c r="N127"/>
      <c r="O127"/>
      <c r="P127"/>
      <c r="Q127"/>
      <c r="R127"/>
    </row>
    <row r="128" spans="6:18" s="83" customFormat="1" ht="15" customHeight="1" x14ac:dyDescent="0.15">
      <c r="F128"/>
      <c r="G128"/>
      <c r="H128"/>
      <c r="I128"/>
      <c r="J128"/>
      <c r="K128"/>
      <c r="L128"/>
      <c r="M128"/>
      <c r="N128"/>
      <c r="O128"/>
      <c r="P128"/>
      <c r="Q128"/>
      <c r="R128"/>
    </row>
    <row r="129" spans="6:18" s="83" customFormat="1" ht="15" customHeight="1" x14ac:dyDescent="0.15">
      <c r="F129"/>
      <c r="G129"/>
      <c r="H129"/>
      <c r="I129"/>
      <c r="J129"/>
      <c r="K129"/>
      <c r="L129"/>
      <c r="M129"/>
      <c r="N129"/>
      <c r="O129"/>
      <c r="P129"/>
      <c r="Q129"/>
      <c r="R129"/>
    </row>
    <row r="130" spans="6:18" s="83" customFormat="1" ht="15" customHeight="1" x14ac:dyDescent="0.15">
      <c r="F130"/>
      <c r="G130"/>
      <c r="H130"/>
      <c r="I130"/>
      <c r="J130"/>
      <c r="K130"/>
      <c r="L130"/>
      <c r="M130"/>
      <c r="N130"/>
      <c r="O130"/>
      <c r="P130"/>
      <c r="Q130"/>
      <c r="R130"/>
    </row>
    <row r="131" spans="6:18" s="83" customFormat="1" ht="15" customHeight="1" x14ac:dyDescent="0.15">
      <c r="F131"/>
      <c r="G131"/>
      <c r="H131"/>
      <c r="I131"/>
      <c r="J131"/>
      <c r="K131"/>
      <c r="L131"/>
      <c r="M131"/>
      <c r="N131"/>
      <c r="O131"/>
      <c r="P131"/>
      <c r="Q131"/>
      <c r="R131"/>
    </row>
    <row r="132" spans="6:18" s="83" customFormat="1" ht="15" customHeight="1" x14ac:dyDescent="0.15">
      <c r="F132"/>
      <c r="G132"/>
      <c r="H132"/>
      <c r="I132"/>
      <c r="J132"/>
      <c r="K132"/>
      <c r="L132"/>
      <c r="M132"/>
      <c r="N132"/>
      <c r="O132"/>
      <c r="P132"/>
      <c r="Q132"/>
      <c r="R132"/>
    </row>
    <row r="133" spans="6:18" s="83" customFormat="1" ht="15" customHeight="1" x14ac:dyDescent="0.15">
      <c r="F133"/>
      <c r="G133"/>
      <c r="H133"/>
      <c r="I133"/>
      <c r="J133"/>
      <c r="K133"/>
      <c r="L133"/>
      <c r="M133"/>
      <c r="N133"/>
      <c r="O133"/>
      <c r="P133"/>
      <c r="Q133"/>
      <c r="R133"/>
    </row>
    <row r="134" spans="6:18" s="83" customFormat="1" ht="15" customHeight="1" x14ac:dyDescent="0.15">
      <c r="F134"/>
      <c r="G134"/>
      <c r="H134"/>
      <c r="I134"/>
      <c r="J134"/>
      <c r="K134"/>
      <c r="L134"/>
      <c r="M134"/>
      <c r="N134"/>
      <c r="O134"/>
      <c r="P134"/>
      <c r="Q134"/>
      <c r="R134"/>
    </row>
    <row r="135" spans="6:18" s="83" customFormat="1" ht="15" customHeight="1" x14ac:dyDescent="0.15">
      <c r="F135"/>
      <c r="G135"/>
      <c r="H135"/>
      <c r="I135"/>
      <c r="J135"/>
      <c r="K135"/>
      <c r="L135"/>
      <c r="M135"/>
      <c r="N135"/>
      <c r="O135"/>
      <c r="P135"/>
      <c r="Q135"/>
      <c r="R135"/>
    </row>
    <row r="136" spans="6:18" s="83" customFormat="1" ht="15" customHeight="1" x14ac:dyDescent="0.15">
      <c r="F136"/>
      <c r="G136"/>
      <c r="H136"/>
      <c r="I136"/>
      <c r="J136"/>
      <c r="K136"/>
      <c r="L136"/>
      <c r="M136"/>
      <c r="N136"/>
      <c r="O136"/>
      <c r="P136"/>
      <c r="Q136"/>
      <c r="R136"/>
    </row>
    <row r="137" spans="6:18" s="83" customFormat="1" ht="15" customHeight="1" x14ac:dyDescent="0.15">
      <c r="F137"/>
      <c r="G137"/>
      <c r="H137"/>
      <c r="I137"/>
      <c r="J137"/>
      <c r="K137"/>
      <c r="L137"/>
      <c r="M137"/>
      <c r="N137"/>
      <c r="O137"/>
      <c r="P137"/>
      <c r="Q137"/>
      <c r="R137"/>
    </row>
    <row r="138" spans="6:18" s="83" customFormat="1" ht="15" customHeight="1" x14ac:dyDescent="0.15">
      <c r="F138"/>
      <c r="G138"/>
      <c r="H138"/>
      <c r="I138"/>
      <c r="J138"/>
      <c r="K138"/>
      <c r="L138"/>
      <c r="M138"/>
      <c r="N138"/>
      <c r="O138"/>
      <c r="P138"/>
      <c r="Q138"/>
      <c r="R138"/>
    </row>
    <row r="139" spans="6:18" s="83" customFormat="1" ht="15" customHeight="1" x14ac:dyDescent="0.15">
      <c r="F139"/>
      <c r="G139"/>
      <c r="H139"/>
      <c r="I139"/>
      <c r="J139"/>
      <c r="K139"/>
      <c r="L139"/>
      <c r="M139"/>
      <c r="N139"/>
      <c r="O139"/>
      <c r="P139"/>
      <c r="Q139"/>
      <c r="R139"/>
    </row>
    <row r="140" spans="6:18" s="83" customFormat="1" ht="15" customHeight="1" x14ac:dyDescent="0.15">
      <c r="F140"/>
      <c r="G140"/>
      <c r="H140"/>
      <c r="I140"/>
      <c r="J140"/>
      <c r="K140"/>
      <c r="L140"/>
      <c r="M140"/>
      <c r="N140"/>
      <c r="O140"/>
      <c r="P140"/>
      <c r="Q140"/>
      <c r="R140"/>
    </row>
    <row r="141" spans="6:18" s="83" customFormat="1" ht="15" customHeight="1" x14ac:dyDescent="0.15">
      <c r="F141"/>
      <c r="G141"/>
      <c r="H141"/>
      <c r="I141"/>
      <c r="J141"/>
      <c r="K141"/>
      <c r="L141"/>
      <c r="M141"/>
      <c r="N141"/>
      <c r="O141"/>
      <c r="P141"/>
      <c r="Q141"/>
      <c r="R141"/>
    </row>
    <row r="142" spans="6:18" s="83" customFormat="1" ht="15" customHeight="1" x14ac:dyDescent="0.15">
      <c r="F142"/>
      <c r="G142"/>
      <c r="H142"/>
      <c r="I142"/>
      <c r="J142"/>
      <c r="K142"/>
      <c r="L142"/>
      <c r="M142"/>
      <c r="N142"/>
      <c r="O142"/>
      <c r="P142"/>
      <c r="Q142"/>
      <c r="R142"/>
    </row>
    <row r="143" spans="6:18" s="83" customFormat="1" ht="15" customHeight="1" x14ac:dyDescent="0.15">
      <c r="F143"/>
      <c r="G143"/>
      <c r="H143"/>
      <c r="I143"/>
      <c r="J143"/>
      <c r="K143"/>
      <c r="L143"/>
      <c r="M143"/>
      <c r="N143"/>
      <c r="O143"/>
      <c r="P143"/>
      <c r="Q143"/>
      <c r="R143"/>
    </row>
    <row r="144" spans="6:18" s="83" customFormat="1" ht="15" customHeight="1" x14ac:dyDescent="0.15">
      <c r="F144"/>
      <c r="G144"/>
      <c r="H144"/>
      <c r="I144"/>
      <c r="J144"/>
      <c r="K144"/>
      <c r="L144"/>
      <c r="M144"/>
      <c r="N144"/>
      <c r="O144"/>
      <c r="P144"/>
      <c r="Q144"/>
      <c r="R144"/>
    </row>
    <row r="145" spans="6:18" s="83" customFormat="1" ht="15" customHeight="1" x14ac:dyDescent="0.15">
      <c r="F145"/>
      <c r="G145"/>
      <c r="H145"/>
      <c r="I145"/>
      <c r="J145"/>
      <c r="K145"/>
      <c r="L145"/>
      <c r="M145"/>
      <c r="N145"/>
      <c r="O145"/>
      <c r="P145"/>
      <c r="Q145"/>
      <c r="R145"/>
    </row>
    <row r="146" spans="6:18" s="83" customFormat="1" ht="15" customHeight="1" x14ac:dyDescent="0.15">
      <c r="F146"/>
      <c r="G146"/>
      <c r="H146"/>
      <c r="I146"/>
      <c r="J146"/>
      <c r="K146"/>
      <c r="L146"/>
      <c r="M146"/>
      <c r="N146"/>
      <c r="O146"/>
      <c r="P146"/>
      <c r="Q146"/>
      <c r="R146"/>
    </row>
    <row r="147" spans="6:18" s="83" customFormat="1" ht="15" customHeight="1" x14ac:dyDescent="0.15">
      <c r="F147"/>
      <c r="G147"/>
      <c r="H147"/>
      <c r="I147"/>
      <c r="J147"/>
      <c r="K147"/>
      <c r="L147"/>
      <c r="M147"/>
      <c r="N147"/>
      <c r="O147"/>
      <c r="P147"/>
      <c r="Q147"/>
      <c r="R147"/>
    </row>
    <row r="148" spans="6:18" s="83" customFormat="1" ht="15" customHeight="1" x14ac:dyDescent="0.15">
      <c r="F148"/>
      <c r="G148"/>
      <c r="H148"/>
      <c r="I148"/>
      <c r="J148"/>
      <c r="K148"/>
      <c r="L148"/>
      <c r="M148"/>
      <c r="N148"/>
      <c r="O148"/>
      <c r="P148"/>
      <c r="Q148"/>
      <c r="R148"/>
    </row>
    <row r="149" spans="6:18" s="83" customFormat="1" ht="15" customHeight="1" x14ac:dyDescent="0.15">
      <c r="F149"/>
      <c r="G149"/>
      <c r="H149"/>
      <c r="I149"/>
      <c r="J149"/>
      <c r="K149"/>
      <c r="L149"/>
      <c r="M149"/>
      <c r="N149"/>
      <c r="O149"/>
      <c r="P149"/>
      <c r="Q149"/>
      <c r="R149"/>
    </row>
    <row r="150" spans="6:18" s="83" customFormat="1" ht="15" customHeight="1" x14ac:dyDescent="0.15">
      <c r="F150"/>
      <c r="G150"/>
      <c r="H150"/>
      <c r="I150"/>
      <c r="J150"/>
      <c r="K150"/>
      <c r="L150"/>
      <c r="M150"/>
      <c r="N150"/>
      <c r="O150"/>
      <c r="P150"/>
      <c r="Q150"/>
      <c r="R150"/>
    </row>
    <row r="151" spans="6:18" s="83" customFormat="1" ht="15" customHeight="1" x14ac:dyDescent="0.15">
      <c r="F151"/>
      <c r="G151"/>
      <c r="H151"/>
      <c r="I151"/>
      <c r="J151"/>
      <c r="K151"/>
      <c r="L151"/>
      <c r="M151"/>
      <c r="N151"/>
      <c r="O151"/>
      <c r="P151"/>
      <c r="Q151"/>
      <c r="R151"/>
    </row>
    <row r="152" spans="6:18" s="83" customFormat="1" ht="15" customHeight="1" x14ac:dyDescent="0.15">
      <c r="F152"/>
      <c r="G152"/>
      <c r="H152"/>
      <c r="I152"/>
      <c r="J152"/>
      <c r="K152"/>
      <c r="L152"/>
      <c r="M152"/>
      <c r="N152"/>
      <c r="O152"/>
      <c r="P152"/>
      <c r="Q152"/>
      <c r="R152"/>
    </row>
    <row r="153" spans="6:18" s="83" customFormat="1" ht="15" customHeight="1" x14ac:dyDescent="0.15">
      <c r="F153"/>
      <c r="G153"/>
      <c r="H153"/>
      <c r="I153"/>
      <c r="J153"/>
      <c r="K153"/>
      <c r="L153"/>
      <c r="M153"/>
      <c r="N153"/>
      <c r="O153"/>
      <c r="P153"/>
      <c r="Q153"/>
      <c r="R153"/>
    </row>
    <row r="154" spans="6:18" s="83" customFormat="1" ht="15" customHeight="1" x14ac:dyDescent="0.15">
      <c r="F154"/>
      <c r="G154"/>
      <c r="H154"/>
      <c r="I154"/>
      <c r="J154"/>
      <c r="K154"/>
      <c r="L154"/>
      <c r="M154"/>
      <c r="N154"/>
      <c r="O154"/>
      <c r="P154"/>
      <c r="Q154"/>
      <c r="R154"/>
    </row>
    <row r="155" spans="6:18" s="83" customFormat="1" ht="15" customHeight="1" x14ac:dyDescent="0.15">
      <c r="F155"/>
      <c r="G155"/>
      <c r="H155"/>
      <c r="I155"/>
      <c r="J155"/>
      <c r="K155"/>
      <c r="L155"/>
      <c r="M155"/>
      <c r="N155"/>
      <c r="O155"/>
      <c r="P155"/>
      <c r="Q155"/>
      <c r="R155"/>
    </row>
    <row r="156" spans="6:18" s="83" customFormat="1" ht="15" customHeight="1" x14ac:dyDescent="0.15">
      <c r="F156"/>
      <c r="G156"/>
      <c r="H156"/>
      <c r="I156"/>
      <c r="J156"/>
      <c r="K156"/>
      <c r="L156"/>
      <c r="M156"/>
      <c r="N156"/>
      <c r="O156"/>
      <c r="P156"/>
      <c r="Q156"/>
      <c r="R156"/>
    </row>
    <row r="157" spans="6:18" s="83" customFormat="1" ht="15" customHeight="1" x14ac:dyDescent="0.15">
      <c r="F157"/>
      <c r="G157"/>
      <c r="H157"/>
      <c r="I157"/>
      <c r="J157"/>
      <c r="K157"/>
      <c r="L157"/>
      <c r="M157"/>
      <c r="N157"/>
      <c r="O157"/>
      <c r="P157"/>
      <c r="Q157"/>
      <c r="R157"/>
    </row>
    <row r="158" spans="6:18" s="83" customFormat="1" ht="15" customHeight="1" x14ac:dyDescent="0.15">
      <c r="F158"/>
      <c r="G158"/>
      <c r="H158"/>
      <c r="I158"/>
      <c r="J158"/>
      <c r="K158"/>
      <c r="L158"/>
      <c r="M158"/>
      <c r="N158"/>
      <c r="O158"/>
      <c r="P158"/>
      <c r="Q158"/>
      <c r="R158"/>
    </row>
    <row r="159" spans="6:18" s="83" customFormat="1" ht="15" customHeight="1" x14ac:dyDescent="0.15">
      <c r="F159"/>
      <c r="G159"/>
      <c r="H159"/>
      <c r="I159"/>
      <c r="J159"/>
      <c r="K159"/>
      <c r="L159"/>
      <c r="M159"/>
      <c r="N159"/>
      <c r="O159"/>
      <c r="P159"/>
      <c r="Q159"/>
      <c r="R159"/>
    </row>
    <row r="160" spans="6:18" s="83" customFormat="1" ht="15" customHeight="1" x14ac:dyDescent="0.15">
      <c r="F160"/>
      <c r="G160"/>
      <c r="H160"/>
      <c r="I160"/>
      <c r="J160"/>
      <c r="K160"/>
      <c r="L160"/>
      <c r="M160"/>
      <c r="N160"/>
      <c r="O160"/>
      <c r="P160"/>
      <c r="Q160"/>
      <c r="R160"/>
    </row>
    <row r="161" spans="6:18" s="83" customFormat="1" ht="15" customHeight="1" x14ac:dyDescent="0.15">
      <c r="F161"/>
      <c r="G161"/>
      <c r="H161"/>
      <c r="I161"/>
      <c r="J161"/>
      <c r="K161"/>
      <c r="L161"/>
      <c r="M161"/>
      <c r="N161"/>
      <c r="O161"/>
      <c r="P161"/>
      <c r="Q161"/>
      <c r="R161"/>
    </row>
    <row r="162" spans="6:18" s="83" customFormat="1" ht="15" customHeight="1" x14ac:dyDescent="0.15">
      <c r="F162"/>
      <c r="G162"/>
      <c r="H162"/>
      <c r="I162"/>
      <c r="J162"/>
      <c r="K162"/>
      <c r="L162"/>
      <c r="M162"/>
      <c r="N162"/>
      <c r="O162"/>
      <c r="P162"/>
      <c r="Q162"/>
      <c r="R162"/>
    </row>
    <row r="163" spans="6:18" s="83" customFormat="1" ht="15" customHeight="1" x14ac:dyDescent="0.15">
      <c r="F163"/>
      <c r="G163"/>
      <c r="H163"/>
      <c r="I163"/>
      <c r="J163"/>
      <c r="K163"/>
      <c r="L163"/>
      <c r="M163"/>
      <c r="N163"/>
      <c r="O163"/>
      <c r="P163"/>
      <c r="Q163"/>
      <c r="R163"/>
    </row>
    <row r="164" spans="6:18" s="83" customFormat="1" ht="15" customHeight="1" x14ac:dyDescent="0.15">
      <c r="F164"/>
      <c r="G164"/>
      <c r="H164"/>
      <c r="I164"/>
      <c r="J164"/>
      <c r="K164"/>
      <c r="L164"/>
      <c r="M164"/>
      <c r="N164"/>
      <c r="O164"/>
      <c r="P164"/>
      <c r="Q164"/>
      <c r="R164"/>
    </row>
    <row r="165" spans="6:18" s="83" customFormat="1" ht="15" customHeight="1" x14ac:dyDescent="0.15">
      <c r="F165"/>
      <c r="G165"/>
      <c r="H165"/>
      <c r="I165"/>
      <c r="J165"/>
      <c r="K165"/>
      <c r="L165"/>
      <c r="M165"/>
      <c r="N165"/>
      <c r="O165"/>
      <c r="P165"/>
      <c r="Q165"/>
      <c r="R165"/>
    </row>
    <row r="166" spans="6:18" s="83" customFormat="1" ht="15" customHeight="1" x14ac:dyDescent="0.15">
      <c r="F166"/>
      <c r="G166"/>
      <c r="H166"/>
      <c r="I166"/>
      <c r="J166"/>
      <c r="K166"/>
      <c r="L166"/>
      <c r="M166"/>
      <c r="N166"/>
      <c r="O166"/>
      <c r="P166"/>
      <c r="Q166"/>
      <c r="R166"/>
    </row>
    <row r="167" spans="6:18" s="83" customFormat="1" ht="15" customHeight="1" x14ac:dyDescent="0.15">
      <c r="F167"/>
      <c r="G167"/>
      <c r="H167"/>
      <c r="I167"/>
      <c r="J167"/>
      <c r="K167"/>
      <c r="L167"/>
      <c r="M167"/>
      <c r="N167"/>
      <c r="O167"/>
      <c r="P167"/>
      <c r="Q167"/>
      <c r="R167"/>
    </row>
    <row r="168" spans="6:18" s="83" customFormat="1" ht="15" customHeight="1" x14ac:dyDescent="0.15">
      <c r="F168"/>
      <c r="G168"/>
      <c r="H168"/>
      <c r="I168"/>
      <c r="J168"/>
      <c r="K168"/>
      <c r="L168"/>
      <c r="M168"/>
      <c r="N168"/>
      <c r="O168"/>
      <c r="P168"/>
      <c r="Q168"/>
      <c r="R168"/>
    </row>
    <row r="169" spans="6:18" s="83" customFormat="1" ht="15" customHeight="1" x14ac:dyDescent="0.15">
      <c r="F169"/>
      <c r="G169"/>
      <c r="H169"/>
      <c r="I169"/>
      <c r="J169"/>
      <c r="K169"/>
      <c r="L169"/>
      <c r="M169"/>
      <c r="N169"/>
      <c r="O169"/>
      <c r="P169"/>
      <c r="Q169"/>
      <c r="R169"/>
    </row>
    <row r="170" spans="6:18" s="83" customFormat="1" ht="15" customHeight="1" x14ac:dyDescent="0.15">
      <c r="F170"/>
      <c r="G170"/>
      <c r="H170"/>
      <c r="I170"/>
      <c r="J170"/>
      <c r="K170"/>
      <c r="L170"/>
      <c r="M170"/>
      <c r="N170"/>
      <c r="O170"/>
      <c r="P170"/>
      <c r="Q170"/>
      <c r="R170"/>
    </row>
    <row r="171" spans="6:18" s="83" customFormat="1" ht="15" customHeight="1" x14ac:dyDescent="0.15">
      <c r="F171"/>
      <c r="G171"/>
      <c r="H171"/>
      <c r="I171"/>
      <c r="J171"/>
      <c r="K171"/>
      <c r="L171"/>
      <c r="M171"/>
      <c r="N171"/>
      <c r="O171"/>
      <c r="P171"/>
      <c r="Q171"/>
      <c r="R171"/>
    </row>
    <row r="172" spans="6:18" s="83" customFormat="1" ht="15" customHeight="1" x14ac:dyDescent="0.15">
      <c r="F172"/>
      <c r="G172"/>
      <c r="H172"/>
      <c r="I172"/>
      <c r="J172"/>
      <c r="K172"/>
      <c r="L172"/>
      <c r="M172"/>
      <c r="N172"/>
      <c r="O172"/>
      <c r="P172"/>
      <c r="Q172"/>
      <c r="R172"/>
    </row>
    <row r="173" spans="6:18" s="83" customFormat="1" ht="15" customHeight="1" x14ac:dyDescent="0.15">
      <c r="F173"/>
      <c r="G173"/>
      <c r="H173"/>
      <c r="I173"/>
      <c r="J173"/>
      <c r="K173"/>
      <c r="L173"/>
      <c r="M173"/>
      <c r="N173"/>
      <c r="O173"/>
      <c r="P173"/>
      <c r="Q173"/>
      <c r="R173"/>
    </row>
    <row r="174" spans="6:18" s="83" customFormat="1" ht="15" customHeight="1" x14ac:dyDescent="0.15">
      <c r="F174"/>
      <c r="G174"/>
      <c r="H174"/>
      <c r="I174"/>
      <c r="J174"/>
      <c r="K174"/>
      <c r="L174"/>
      <c r="M174"/>
      <c r="N174"/>
      <c r="O174"/>
      <c r="P174"/>
      <c r="Q174"/>
      <c r="R174"/>
    </row>
    <row r="175" spans="6:18" s="83" customFormat="1" ht="15" customHeight="1" x14ac:dyDescent="0.15">
      <c r="F175"/>
      <c r="G175"/>
      <c r="H175"/>
      <c r="I175"/>
      <c r="J175"/>
      <c r="K175"/>
      <c r="L175"/>
      <c r="M175"/>
      <c r="N175"/>
      <c r="O175"/>
      <c r="P175"/>
      <c r="Q175"/>
      <c r="R175"/>
    </row>
    <row r="176" spans="6:18" s="83" customFormat="1" ht="15" customHeight="1" x14ac:dyDescent="0.15">
      <c r="F176"/>
      <c r="G176"/>
      <c r="H176"/>
      <c r="I176"/>
      <c r="J176"/>
      <c r="K176"/>
      <c r="L176"/>
      <c r="M176"/>
      <c r="N176"/>
      <c r="O176"/>
      <c r="P176"/>
      <c r="Q176"/>
      <c r="R176"/>
    </row>
    <row r="177" spans="6:18" s="83" customFormat="1" ht="15" customHeight="1" x14ac:dyDescent="0.15">
      <c r="F177"/>
      <c r="G177"/>
      <c r="H177"/>
      <c r="I177"/>
      <c r="J177"/>
      <c r="K177"/>
      <c r="L177"/>
      <c r="M177"/>
      <c r="N177"/>
      <c r="O177"/>
      <c r="P177"/>
      <c r="Q177"/>
      <c r="R177"/>
    </row>
    <row r="178" spans="6:18" s="83" customFormat="1" ht="15" customHeight="1" x14ac:dyDescent="0.15">
      <c r="F178"/>
      <c r="G178"/>
      <c r="H178"/>
      <c r="I178"/>
      <c r="J178"/>
      <c r="K178"/>
      <c r="L178"/>
      <c r="M178"/>
      <c r="N178"/>
      <c r="O178"/>
      <c r="P178"/>
      <c r="Q178"/>
      <c r="R178"/>
    </row>
    <row r="179" spans="6:18" s="83" customFormat="1" ht="15" customHeight="1" x14ac:dyDescent="0.15">
      <c r="F179"/>
      <c r="G179"/>
      <c r="H179"/>
      <c r="I179"/>
      <c r="J179"/>
      <c r="K179"/>
      <c r="L179"/>
      <c r="M179"/>
      <c r="N179"/>
      <c r="O179"/>
      <c r="P179"/>
      <c r="Q179"/>
      <c r="R179"/>
    </row>
    <row r="180" spans="6:18" s="83" customFormat="1" ht="15" customHeight="1" x14ac:dyDescent="0.15">
      <c r="F180"/>
      <c r="G180"/>
      <c r="H180"/>
      <c r="I180"/>
      <c r="J180"/>
      <c r="K180"/>
      <c r="L180"/>
      <c r="M180"/>
      <c r="N180"/>
      <c r="O180"/>
      <c r="P180"/>
      <c r="Q180"/>
      <c r="R180"/>
    </row>
    <row r="181" spans="6:18" s="83" customFormat="1" ht="15" customHeight="1" x14ac:dyDescent="0.15">
      <c r="F181"/>
      <c r="G181"/>
      <c r="H181"/>
      <c r="I181"/>
      <c r="J181"/>
      <c r="K181"/>
      <c r="L181"/>
      <c r="M181"/>
      <c r="N181"/>
      <c r="O181"/>
      <c r="P181"/>
      <c r="Q181"/>
      <c r="R181"/>
    </row>
    <row r="182" spans="6:18" s="83" customFormat="1" ht="15" customHeight="1" x14ac:dyDescent="0.15">
      <c r="F182"/>
      <c r="G182"/>
      <c r="H182"/>
      <c r="I182"/>
      <c r="J182"/>
      <c r="K182"/>
      <c r="L182"/>
      <c r="M182"/>
      <c r="N182"/>
      <c r="O182"/>
      <c r="P182"/>
      <c r="Q182"/>
      <c r="R182"/>
    </row>
    <row r="183" spans="6:18" s="83" customFormat="1" ht="15" customHeight="1" x14ac:dyDescent="0.15">
      <c r="F183"/>
      <c r="G183"/>
      <c r="H183"/>
      <c r="I183"/>
      <c r="J183"/>
      <c r="K183"/>
      <c r="L183"/>
      <c r="M183"/>
      <c r="N183"/>
      <c r="O183"/>
      <c r="P183"/>
      <c r="Q183"/>
      <c r="R183"/>
    </row>
    <row r="184" spans="6:18" s="83" customFormat="1" ht="15" customHeight="1" x14ac:dyDescent="0.15">
      <c r="F184"/>
      <c r="G184"/>
      <c r="H184"/>
      <c r="I184"/>
      <c r="J184"/>
      <c r="K184"/>
      <c r="L184"/>
      <c r="M184"/>
      <c r="N184"/>
      <c r="O184"/>
      <c r="P184"/>
      <c r="Q184"/>
      <c r="R184"/>
    </row>
    <row r="185" spans="6:18" s="83" customFormat="1" ht="15" customHeight="1" x14ac:dyDescent="0.15">
      <c r="F185"/>
      <c r="G185"/>
      <c r="H185"/>
      <c r="I185"/>
      <c r="J185"/>
      <c r="K185"/>
      <c r="L185"/>
      <c r="M185"/>
      <c r="N185"/>
      <c r="O185"/>
      <c r="P185"/>
      <c r="Q185"/>
      <c r="R185"/>
    </row>
    <row r="186" spans="6:18" s="83" customFormat="1" ht="15" customHeight="1" x14ac:dyDescent="0.15">
      <c r="F186"/>
      <c r="G186"/>
      <c r="H186"/>
      <c r="I186"/>
      <c r="J186"/>
      <c r="K186"/>
      <c r="L186"/>
      <c r="M186"/>
      <c r="N186"/>
      <c r="O186"/>
      <c r="P186"/>
      <c r="Q186"/>
      <c r="R186"/>
    </row>
    <row r="187" spans="6:18" s="83" customFormat="1" ht="15" customHeight="1" x14ac:dyDescent="0.15">
      <c r="F187"/>
      <c r="G187"/>
      <c r="H187"/>
      <c r="I187"/>
      <c r="J187"/>
      <c r="K187"/>
      <c r="L187"/>
      <c r="M187"/>
      <c r="N187"/>
      <c r="O187"/>
      <c r="P187"/>
      <c r="Q187"/>
      <c r="R187"/>
    </row>
    <row r="188" spans="6:18" s="83" customFormat="1" ht="15" customHeight="1" x14ac:dyDescent="0.15">
      <c r="F188"/>
      <c r="G188"/>
      <c r="H188"/>
      <c r="I188"/>
      <c r="J188"/>
      <c r="K188"/>
      <c r="L188"/>
      <c r="M188"/>
      <c r="N188"/>
      <c r="O188"/>
      <c r="P188"/>
      <c r="Q188"/>
      <c r="R188"/>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dimension ref="A1:BB192"/>
  <sheetViews>
    <sheetView workbookViewId="0">
      <pane xSplit="1" ySplit="1" topLeftCell="B2" activePane="bottomRight" state="frozen"/>
      <selection pane="topRight" activeCell="B1" sqref="B1"/>
      <selection pane="bottomLeft" activeCell="A2" sqref="A2"/>
      <selection pane="bottomRight" activeCell="A5" sqref="A5"/>
    </sheetView>
  </sheetViews>
  <sheetFormatPr baseColWidth="10" defaultColWidth="8.83203125" defaultRowHeight="13" x14ac:dyDescent="0.15"/>
  <cols>
    <col min="1" max="1" width="27.5" bestFit="1" customWidth="1"/>
    <col min="2" max="2" width="2.33203125" style="112" customWidth="1"/>
    <col min="3" max="5" width="7.83203125" style="112" customWidth="1"/>
    <col min="6" max="8" width="8.83203125" style="6"/>
    <col min="9" max="9" width="13.1640625" style="6" customWidth="1"/>
    <col min="10" max="10" width="12.6640625" style="6" customWidth="1"/>
    <col min="11" max="11" width="27" style="6" customWidth="1"/>
    <col min="12" max="12" width="16.5" style="6" customWidth="1"/>
    <col min="13" max="13" width="17.6640625" style="6" customWidth="1"/>
    <col min="14" max="14" width="11.5" style="6" customWidth="1"/>
    <col min="15" max="15" width="23.33203125" style="6" customWidth="1"/>
    <col min="16" max="16" width="18.5" style="6" customWidth="1"/>
    <col min="17" max="17" width="8.1640625" style="6" customWidth="1"/>
    <col min="18" max="18" width="19.33203125" style="6" customWidth="1"/>
    <col min="19" max="19" width="24.33203125" style="6" customWidth="1"/>
    <col min="20" max="20" width="7" style="6" customWidth="1"/>
    <col min="21" max="21" width="25.5" style="6" customWidth="1"/>
    <col min="22" max="22" width="12.6640625" style="6" customWidth="1"/>
    <col min="23" max="23" width="11.83203125" style="6" customWidth="1"/>
    <col min="24" max="24" width="9.33203125" style="6" customWidth="1"/>
    <col min="25" max="25" width="27.5" style="6" customWidth="1"/>
    <col min="26" max="26" width="11.6640625" style="6" customWidth="1"/>
    <col min="27" max="27" width="12.1640625" style="6" customWidth="1"/>
    <col min="28" max="28" width="23.83203125" style="6" customWidth="1"/>
    <col min="29" max="29" width="17.6640625" style="6" customWidth="1"/>
    <col min="30" max="30" width="19.5" style="6" customWidth="1"/>
    <col min="31" max="31" width="17.6640625" style="6" customWidth="1"/>
    <col min="32" max="32" width="12.1640625" style="6" customWidth="1"/>
    <col min="33" max="33" width="23.5" style="6" customWidth="1"/>
    <col min="34" max="34" width="25.33203125" style="6" customWidth="1"/>
    <col min="35" max="35" width="12.83203125" style="6" customWidth="1"/>
    <col min="36" max="36" width="14" style="6" customWidth="1"/>
    <col min="37" max="37" width="15.1640625" style="6" customWidth="1"/>
    <col min="38" max="38" width="15.33203125" style="6" customWidth="1"/>
    <col min="39" max="39" width="17.83203125" customWidth="1"/>
    <col min="40" max="40" width="22.33203125" customWidth="1"/>
    <col min="41" max="41" width="19.6640625" customWidth="1"/>
    <col min="42" max="42" width="17.6640625" customWidth="1"/>
    <col min="43" max="43" width="6.83203125" customWidth="1"/>
    <col min="44" max="44" width="16.5" customWidth="1"/>
    <col min="45" max="45" width="9.83203125" customWidth="1"/>
    <col min="46" max="46" width="9.1640625" customWidth="1"/>
    <col min="47" max="47" width="7.6640625" customWidth="1"/>
    <col min="48" max="48" width="8.5" customWidth="1"/>
    <col min="49" max="49" width="21.6640625" customWidth="1"/>
    <col min="50" max="50" width="11" customWidth="1"/>
    <col min="51" max="51" width="8.1640625" customWidth="1"/>
    <col min="52" max="52" width="12.6640625" customWidth="1"/>
    <col min="53" max="53" width="11.5" customWidth="1"/>
    <col min="54" max="54" width="6.5" customWidth="1"/>
    <col min="81" max="81" width="22.1640625" bestFit="1" customWidth="1"/>
  </cols>
  <sheetData>
    <row r="1" spans="1:54" x14ac:dyDescent="0.15">
      <c r="A1" s="4" t="s">
        <v>156</v>
      </c>
      <c r="B1" s="37" t="s">
        <v>157</v>
      </c>
      <c r="C1" s="37" t="s">
        <v>17</v>
      </c>
      <c r="D1" s="37" t="s">
        <v>158</v>
      </c>
      <c r="E1" s="37" t="s">
        <v>159</v>
      </c>
      <c r="F1" t="s">
        <v>38</v>
      </c>
      <c r="G1" t="s">
        <v>40</v>
      </c>
      <c r="H1" t="s">
        <v>41</v>
      </c>
      <c r="I1" s="170" t="s">
        <v>193</v>
      </c>
      <c r="J1" s="170" t="s">
        <v>194</v>
      </c>
      <c r="K1" s="170" t="s">
        <v>195</v>
      </c>
      <c r="L1" s="170" t="s">
        <v>196</v>
      </c>
      <c r="M1" s="170" t="s">
        <v>197</v>
      </c>
      <c r="N1" s="170" t="s">
        <v>198</v>
      </c>
      <c r="O1" s="170" t="s">
        <v>199</v>
      </c>
      <c r="P1" s="170" t="s">
        <v>200</v>
      </c>
      <c r="Q1" s="170" t="s">
        <v>201</v>
      </c>
      <c r="R1" s="170" t="s">
        <v>202</v>
      </c>
      <c r="S1" s="170" t="s">
        <v>203</v>
      </c>
      <c r="T1" s="170" t="s">
        <v>204</v>
      </c>
      <c r="U1" s="170" t="s">
        <v>205</v>
      </c>
      <c r="V1" s="170" t="s">
        <v>206</v>
      </c>
      <c r="W1" s="170" t="s">
        <v>207</v>
      </c>
      <c r="X1" s="170" t="s">
        <v>208</v>
      </c>
      <c r="Y1" s="170" t="s">
        <v>209</v>
      </c>
      <c r="Z1" s="170" t="s">
        <v>210</v>
      </c>
      <c r="AA1" s="170" t="s">
        <v>211</v>
      </c>
      <c r="AB1" s="170" t="s">
        <v>212</v>
      </c>
      <c r="AC1" s="170" t="s">
        <v>213</v>
      </c>
      <c r="AD1" s="170" t="s">
        <v>214</v>
      </c>
      <c r="AE1" s="170" t="s">
        <v>215</v>
      </c>
      <c r="AF1" s="170" t="s">
        <v>216</v>
      </c>
      <c r="AG1" s="170" t="s">
        <v>217</v>
      </c>
      <c r="AH1" s="170" t="s">
        <v>218</v>
      </c>
      <c r="AI1" s="170" t="s">
        <v>219</v>
      </c>
      <c r="AJ1" s="170" t="s">
        <v>220</v>
      </c>
      <c r="AK1" s="170" t="s">
        <v>221</v>
      </c>
      <c r="AL1" s="170" t="s">
        <v>222</v>
      </c>
      <c r="AM1" s="170" t="s">
        <v>223</v>
      </c>
      <c r="AN1" s="170" t="s">
        <v>224</v>
      </c>
      <c r="AO1" s="170" t="s">
        <v>225</v>
      </c>
      <c r="AP1" s="170" t="s">
        <v>226</v>
      </c>
      <c r="AQ1" s="170" t="s">
        <v>227</v>
      </c>
      <c r="AR1" s="170" t="s">
        <v>228</v>
      </c>
      <c r="AS1" s="170" t="s">
        <v>229</v>
      </c>
      <c r="AT1" s="170" t="s">
        <v>230</v>
      </c>
      <c r="AU1" s="170" t="s">
        <v>231</v>
      </c>
      <c r="AV1" s="170" t="s">
        <v>232</v>
      </c>
      <c r="AW1" s="170" t="s">
        <v>233</v>
      </c>
      <c r="AX1" s="170" t="s">
        <v>234</v>
      </c>
      <c r="AY1" s="170" t="s">
        <v>235</v>
      </c>
      <c r="AZ1" s="170" t="s">
        <v>236</v>
      </c>
      <c r="BA1" s="170" t="s">
        <v>237</v>
      </c>
      <c r="BB1" s="170" t="s">
        <v>238</v>
      </c>
    </row>
    <row r="2" spans="1:54" x14ac:dyDescent="0.15">
      <c r="A2" t="s">
        <v>38</v>
      </c>
      <c r="B2" s="112">
        <v>0</v>
      </c>
      <c r="C2"/>
      <c r="D2"/>
      <c r="E2"/>
      <c r="F2"/>
      <c r="G2"/>
      <c r="H2"/>
      <c r="I2"/>
      <c r="J2"/>
      <c r="K2"/>
      <c r="L2"/>
      <c r="M2"/>
      <c r="N2"/>
      <c r="O2"/>
      <c r="P2"/>
      <c r="Q2"/>
      <c r="R2"/>
      <c r="S2"/>
      <c r="T2"/>
      <c r="U2"/>
      <c r="V2"/>
      <c r="W2"/>
      <c r="X2"/>
      <c r="Y2"/>
      <c r="Z2"/>
      <c r="AA2"/>
      <c r="AB2"/>
      <c r="AC2"/>
      <c r="AD2"/>
      <c r="AE2"/>
      <c r="AF2"/>
      <c r="AG2"/>
      <c r="AH2"/>
      <c r="AI2"/>
      <c r="AJ2"/>
      <c r="AK2"/>
      <c r="AL2"/>
    </row>
    <row r="3" spans="1:54" x14ac:dyDescent="0.15">
      <c r="A3" t="s">
        <v>40</v>
      </c>
      <c r="B3" s="112">
        <v>0</v>
      </c>
      <c r="C3"/>
      <c r="D3"/>
      <c r="E3"/>
      <c r="F3"/>
      <c r="G3"/>
      <c r="H3"/>
      <c r="I3"/>
      <c r="J3"/>
      <c r="K3"/>
      <c r="L3"/>
      <c r="M3"/>
      <c r="N3"/>
      <c r="O3"/>
      <c r="P3"/>
      <c r="Q3"/>
      <c r="R3"/>
      <c r="S3"/>
      <c r="T3"/>
      <c r="U3"/>
      <c r="V3"/>
      <c r="W3"/>
      <c r="X3"/>
      <c r="Y3"/>
      <c r="Z3"/>
      <c r="AA3"/>
      <c r="AB3"/>
      <c r="AC3"/>
      <c r="AD3"/>
      <c r="AE3"/>
      <c r="AF3"/>
      <c r="AG3"/>
      <c r="AH3"/>
      <c r="AI3"/>
      <c r="AJ3"/>
      <c r="AK3"/>
      <c r="AL3"/>
    </row>
    <row r="4" spans="1:54" x14ac:dyDescent="0.15">
      <c r="A4" t="s">
        <v>41</v>
      </c>
      <c r="B4" s="112">
        <v>0</v>
      </c>
      <c r="C4"/>
      <c r="D4"/>
      <c r="E4"/>
      <c r="F4"/>
      <c r="G4"/>
      <c r="H4"/>
      <c r="I4"/>
      <c r="J4"/>
      <c r="K4"/>
      <c r="L4"/>
      <c r="M4"/>
      <c r="N4"/>
      <c r="O4"/>
      <c r="P4"/>
      <c r="Q4"/>
      <c r="R4"/>
      <c r="S4"/>
      <c r="T4"/>
      <c r="U4"/>
      <c r="V4"/>
      <c r="W4"/>
      <c r="X4"/>
      <c r="Y4"/>
      <c r="Z4"/>
      <c r="AA4"/>
      <c r="AB4"/>
      <c r="AC4"/>
      <c r="AD4"/>
      <c r="AE4"/>
      <c r="AF4"/>
      <c r="AG4"/>
      <c r="AH4"/>
      <c r="AI4"/>
      <c r="AJ4"/>
      <c r="AK4"/>
      <c r="AL4"/>
    </row>
    <row r="5" spans="1:54" x14ac:dyDescent="0.15">
      <c r="A5" s="169" t="s">
        <v>193</v>
      </c>
      <c r="B5" s="112">
        <v>0</v>
      </c>
      <c r="C5"/>
      <c r="D5"/>
      <c r="E5"/>
      <c r="F5"/>
      <c r="G5"/>
      <c r="H5"/>
      <c r="I5"/>
      <c r="J5"/>
      <c r="K5"/>
      <c r="L5"/>
      <c r="M5"/>
      <c r="N5"/>
      <c r="O5"/>
      <c r="P5"/>
      <c r="Q5"/>
      <c r="R5"/>
      <c r="S5"/>
      <c r="T5"/>
      <c r="U5"/>
      <c r="V5"/>
      <c r="W5"/>
      <c r="X5"/>
      <c r="Y5"/>
      <c r="Z5"/>
      <c r="AA5"/>
      <c r="AB5"/>
      <c r="AC5"/>
      <c r="AD5"/>
      <c r="AE5"/>
      <c r="AF5"/>
      <c r="AG5"/>
      <c r="AH5"/>
      <c r="AI5"/>
      <c r="AJ5"/>
      <c r="AK5"/>
      <c r="AL5"/>
    </row>
    <row r="6" spans="1:54" x14ac:dyDescent="0.15">
      <c r="A6" s="169" t="s">
        <v>194</v>
      </c>
      <c r="B6" s="112">
        <v>0</v>
      </c>
      <c r="C6"/>
      <c r="D6"/>
      <c r="E6"/>
      <c r="F6"/>
      <c r="G6"/>
      <c r="H6"/>
      <c r="I6"/>
      <c r="J6"/>
      <c r="K6"/>
      <c r="L6"/>
      <c r="M6"/>
      <c r="N6"/>
      <c r="O6"/>
      <c r="P6"/>
      <c r="Q6"/>
      <c r="R6"/>
      <c r="S6"/>
      <c r="T6"/>
      <c r="U6"/>
      <c r="V6"/>
      <c r="W6"/>
      <c r="X6"/>
      <c r="Y6"/>
      <c r="Z6"/>
      <c r="AA6"/>
      <c r="AB6"/>
      <c r="AC6"/>
      <c r="AD6"/>
      <c r="AE6"/>
      <c r="AF6"/>
      <c r="AG6"/>
      <c r="AH6"/>
      <c r="AI6"/>
      <c r="AJ6"/>
      <c r="AK6"/>
      <c r="AL6"/>
    </row>
    <row r="7" spans="1:54" x14ac:dyDescent="0.15">
      <c r="A7" s="169" t="s">
        <v>195</v>
      </c>
      <c r="B7" s="112">
        <v>0</v>
      </c>
      <c r="C7"/>
      <c r="D7"/>
      <c r="E7"/>
      <c r="F7"/>
      <c r="G7"/>
      <c r="H7"/>
      <c r="I7"/>
      <c r="J7"/>
      <c r="K7"/>
      <c r="L7"/>
      <c r="M7"/>
      <c r="N7"/>
      <c r="O7"/>
      <c r="P7"/>
      <c r="Q7"/>
      <c r="R7"/>
      <c r="S7"/>
      <c r="T7"/>
      <c r="U7"/>
      <c r="V7"/>
      <c r="W7"/>
      <c r="X7"/>
      <c r="Y7"/>
      <c r="Z7"/>
      <c r="AA7"/>
      <c r="AB7"/>
      <c r="AC7"/>
      <c r="AD7"/>
      <c r="AE7"/>
      <c r="AF7"/>
      <c r="AG7"/>
      <c r="AH7"/>
      <c r="AI7"/>
      <c r="AJ7"/>
      <c r="AK7"/>
      <c r="AL7"/>
    </row>
    <row r="8" spans="1:54" x14ac:dyDescent="0.15">
      <c r="A8" s="169" t="s">
        <v>196</v>
      </c>
      <c r="B8" s="112">
        <v>0</v>
      </c>
      <c r="C8"/>
      <c r="D8"/>
      <c r="E8"/>
      <c r="F8"/>
      <c r="G8"/>
      <c r="H8"/>
      <c r="I8"/>
      <c r="J8"/>
      <c r="K8"/>
      <c r="L8"/>
      <c r="M8"/>
      <c r="N8"/>
      <c r="O8"/>
      <c r="P8"/>
      <c r="Q8"/>
      <c r="R8"/>
      <c r="S8"/>
      <c r="T8"/>
      <c r="U8"/>
      <c r="V8"/>
      <c r="W8"/>
      <c r="X8"/>
      <c r="Y8"/>
      <c r="Z8"/>
      <c r="AA8"/>
      <c r="AB8"/>
      <c r="AC8"/>
      <c r="AD8"/>
      <c r="AE8"/>
      <c r="AF8"/>
      <c r="AG8"/>
      <c r="AH8"/>
      <c r="AI8"/>
      <c r="AJ8"/>
      <c r="AK8"/>
      <c r="AL8"/>
    </row>
    <row r="9" spans="1:54" x14ac:dyDescent="0.15">
      <c r="A9" s="169" t="s">
        <v>197</v>
      </c>
      <c r="B9" s="112">
        <v>0</v>
      </c>
      <c r="C9"/>
      <c r="D9"/>
      <c r="E9"/>
      <c r="F9"/>
      <c r="G9"/>
      <c r="H9"/>
      <c r="I9"/>
      <c r="J9"/>
      <c r="K9"/>
      <c r="L9"/>
      <c r="M9"/>
      <c r="N9"/>
      <c r="O9"/>
      <c r="P9"/>
      <c r="Q9"/>
      <c r="R9"/>
      <c r="S9"/>
      <c r="T9"/>
      <c r="U9"/>
      <c r="V9"/>
      <c r="W9"/>
      <c r="X9"/>
      <c r="Y9"/>
      <c r="Z9"/>
      <c r="AA9"/>
      <c r="AB9"/>
      <c r="AC9"/>
      <c r="AD9"/>
      <c r="AE9"/>
      <c r="AF9"/>
      <c r="AG9"/>
      <c r="AH9"/>
      <c r="AI9"/>
      <c r="AJ9"/>
      <c r="AK9"/>
      <c r="AL9"/>
    </row>
    <row r="10" spans="1:54" x14ac:dyDescent="0.15">
      <c r="A10" s="169" t="s">
        <v>198</v>
      </c>
      <c r="B10" s="112">
        <v>0</v>
      </c>
      <c r="C10"/>
      <c r="D10"/>
      <c r="E10"/>
      <c r="F10"/>
      <c r="G10"/>
      <c r="H10"/>
      <c r="I10"/>
      <c r="J10"/>
      <c r="K10"/>
      <c r="L10"/>
      <c r="M10"/>
      <c r="N10"/>
      <c r="O10"/>
      <c r="P10"/>
      <c r="Q10"/>
      <c r="R10"/>
      <c r="S10"/>
      <c r="T10"/>
      <c r="U10"/>
      <c r="V10"/>
      <c r="W10"/>
      <c r="X10"/>
      <c r="Y10"/>
      <c r="Z10"/>
      <c r="AA10"/>
      <c r="AB10"/>
      <c r="AC10"/>
      <c r="AD10"/>
      <c r="AE10"/>
      <c r="AF10"/>
      <c r="AG10"/>
      <c r="AH10"/>
      <c r="AI10"/>
      <c r="AJ10"/>
      <c r="AK10"/>
      <c r="AL10"/>
    </row>
    <row r="11" spans="1:54" x14ac:dyDescent="0.15">
      <c r="A11" s="169" t="s">
        <v>199</v>
      </c>
      <c r="B11" s="112">
        <v>0</v>
      </c>
      <c r="C11"/>
      <c r="D11"/>
      <c r="E11"/>
      <c r="F11"/>
      <c r="G11"/>
      <c r="H11"/>
      <c r="I11"/>
      <c r="J11"/>
      <c r="K11"/>
      <c r="L11"/>
      <c r="M11"/>
      <c r="N11"/>
      <c r="O11"/>
      <c r="P11"/>
      <c r="Q11"/>
      <c r="R11"/>
      <c r="S11"/>
      <c r="T11"/>
      <c r="U11"/>
      <c r="V11"/>
      <c r="W11"/>
      <c r="X11"/>
      <c r="Y11"/>
      <c r="Z11"/>
      <c r="AA11"/>
      <c r="AB11"/>
      <c r="AC11"/>
      <c r="AD11"/>
      <c r="AE11"/>
      <c r="AF11"/>
      <c r="AG11"/>
      <c r="AH11"/>
      <c r="AI11"/>
      <c r="AJ11"/>
      <c r="AK11"/>
      <c r="AL11"/>
    </row>
    <row r="12" spans="1:54" x14ac:dyDescent="0.15">
      <c r="A12" s="169" t="s">
        <v>200</v>
      </c>
      <c r="B12" s="112">
        <v>0</v>
      </c>
      <c r="C12"/>
      <c r="D12"/>
      <c r="E12"/>
      <c r="F12"/>
      <c r="G12"/>
      <c r="H12"/>
      <c r="I12"/>
      <c r="J12"/>
      <c r="K12"/>
      <c r="L12"/>
      <c r="M12"/>
      <c r="N12"/>
      <c r="O12"/>
      <c r="P12"/>
      <c r="Q12"/>
      <c r="R12"/>
      <c r="S12"/>
      <c r="T12"/>
      <c r="U12"/>
      <c r="V12"/>
      <c r="W12"/>
      <c r="X12"/>
      <c r="Y12"/>
      <c r="Z12"/>
      <c r="AA12"/>
      <c r="AB12"/>
      <c r="AC12"/>
      <c r="AD12"/>
      <c r="AE12"/>
      <c r="AF12"/>
      <c r="AG12"/>
      <c r="AH12"/>
      <c r="AI12"/>
      <c r="AJ12"/>
      <c r="AK12"/>
      <c r="AL12"/>
    </row>
    <row r="13" spans="1:54" x14ac:dyDescent="0.15">
      <c r="A13" s="169" t="s">
        <v>201</v>
      </c>
      <c r="B13" s="112">
        <v>0</v>
      </c>
      <c r="C13"/>
      <c r="D13"/>
      <c r="E13"/>
      <c r="F13"/>
      <c r="G13"/>
      <c r="H13"/>
      <c r="I13"/>
      <c r="J13"/>
      <c r="K13"/>
      <c r="L13"/>
      <c r="M13"/>
      <c r="N13"/>
      <c r="O13"/>
      <c r="P13"/>
      <c r="Q13"/>
      <c r="R13"/>
      <c r="S13"/>
      <c r="T13"/>
      <c r="U13"/>
      <c r="V13"/>
      <c r="W13"/>
      <c r="X13"/>
      <c r="Y13"/>
      <c r="Z13"/>
      <c r="AA13"/>
      <c r="AB13"/>
      <c r="AC13"/>
      <c r="AD13"/>
      <c r="AE13"/>
      <c r="AF13"/>
      <c r="AG13"/>
      <c r="AH13"/>
      <c r="AI13"/>
      <c r="AJ13"/>
      <c r="AK13"/>
      <c r="AL13"/>
    </row>
    <row r="14" spans="1:54" x14ac:dyDescent="0.15">
      <c r="A14" s="169" t="s">
        <v>202</v>
      </c>
      <c r="B14" s="112">
        <v>0</v>
      </c>
      <c r="C14"/>
      <c r="D14"/>
      <c r="E14"/>
      <c r="F14"/>
      <c r="G14"/>
      <c r="H14"/>
      <c r="I14"/>
      <c r="J14"/>
      <c r="K14"/>
      <c r="L14"/>
      <c r="M14"/>
      <c r="N14"/>
      <c r="O14"/>
      <c r="P14"/>
      <c r="Q14"/>
      <c r="R14"/>
      <c r="S14"/>
      <c r="T14"/>
      <c r="U14"/>
      <c r="V14"/>
      <c r="W14"/>
      <c r="X14"/>
      <c r="Y14"/>
      <c r="Z14"/>
      <c r="AA14"/>
      <c r="AB14"/>
      <c r="AC14"/>
      <c r="AD14"/>
      <c r="AE14"/>
      <c r="AF14"/>
      <c r="AG14"/>
      <c r="AH14"/>
      <c r="AI14"/>
      <c r="AJ14"/>
      <c r="AK14"/>
      <c r="AL14"/>
    </row>
    <row r="15" spans="1:54" x14ac:dyDescent="0.15">
      <c r="A15" s="169" t="s">
        <v>203</v>
      </c>
      <c r="B15" s="112">
        <v>0</v>
      </c>
      <c r="C15"/>
      <c r="D15"/>
      <c r="E15"/>
      <c r="F15"/>
      <c r="G15"/>
      <c r="H15"/>
      <c r="I15"/>
      <c r="J15"/>
      <c r="K15"/>
      <c r="L15"/>
      <c r="M15"/>
      <c r="N15"/>
      <c r="O15"/>
      <c r="P15"/>
      <c r="Q15"/>
      <c r="R15"/>
      <c r="S15"/>
      <c r="T15"/>
      <c r="U15"/>
      <c r="V15"/>
      <c r="W15"/>
      <c r="X15"/>
      <c r="Y15"/>
      <c r="Z15"/>
      <c r="AA15"/>
      <c r="AB15"/>
      <c r="AC15"/>
      <c r="AD15"/>
      <c r="AE15"/>
      <c r="AF15"/>
      <c r="AG15"/>
      <c r="AH15"/>
      <c r="AI15"/>
      <c r="AJ15"/>
      <c r="AK15"/>
      <c r="AL15"/>
    </row>
    <row r="16" spans="1:54" x14ac:dyDescent="0.15">
      <c r="A16" s="169" t="s">
        <v>204</v>
      </c>
      <c r="B16" s="112">
        <v>0</v>
      </c>
      <c r="C16"/>
      <c r="D16"/>
      <c r="E16"/>
      <c r="F16"/>
      <c r="G16"/>
      <c r="H16"/>
      <c r="I16"/>
      <c r="J16"/>
      <c r="K16"/>
      <c r="L16"/>
      <c r="M16"/>
      <c r="N16"/>
      <c r="O16"/>
      <c r="P16"/>
      <c r="Q16"/>
      <c r="R16"/>
      <c r="S16"/>
      <c r="T16"/>
      <c r="U16"/>
      <c r="V16"/>
      <c r="W16"/>
      <c r="X16"/>
      <c r="Y16"/>
      <c r="Z16"/>
      <c r="AA16"/>
      <c r="AB16"/>
      <c r="AC16"/>
      <c r="AD16"/>
      <c r="AE16"/>
      <c r="AF16"/>
      <c r="AG16"/>
      <c r="AH16"/>
      <c r="AI16"/>
      <c r="AJ16"/>
      <c r="AK16"/>
      <c r="AL16"/>
    </row>
    <row r="17" spans="1:38" ht="15" customHeight="1" x14ac:dyDescent="0.15">
      <c r="A17" s="169" t="s">
        <v>205</v>
      </c>
      <c r="B17" s="112">
        <v>0</v>
      </c>
      <c r="C17"/>
      <c r="D17"/>
      <c r="E17"/>
      <c r="F17"/>
      <c r="G17"/>
      <c r="H17"/>
      <c r="I17"/>
      <c r="J17"/>
      <c r="K17"/>
      <c r="L17"/>
      <c r="M17"/>
      <c r="N17"/>
      <c r="O17"/>
      <c r="P17"/>
      <c r="Q17"/>
      <c r="R17"/>
      <c r="S17"/>
      <c r="T17"/>
      <c r="U17"/>
      <c r="V17"/>
      <c r="W17"/>
      <c r="X17"/>
      <c r="Y17"/>
      <c r="Z17"/>
      <c r="AA17"/>
      <c r="AB17"/>
      <c r="AC17"/>
      <c r="AD17"/>
      <c r="AE17"/>
      <c r="AF17"/>
      <c r="AG17"/>
      <c r="AH17"/>
      <c r="AI17"/>
      <c r="AJ17"/>
      <c r="AK17"/>
      <c r="AL17"/>
    </row>
    <row r="18" spans="1:38" ht="15" customHeight="1" x14ac:dyDescent="0.15">
      <c r="A18" s="169" t="s">
        <v>206</v>
      </c>
      <c r="B18" s="112">
        <v>0</v>
      </c>
      <c r="C18"/>
      <c r="D18"/>
      <c r="E18"/>
      <c r="F18"/>
      <c r="G18"/>
      <c r="H18"/>
      <c r="I18"/>
      <c r="J18"/>
      <c r="K18"/>
      <c r="L18"/>
      <c r="M18"/>
      <c r="N18"/>
      <c r="O18"/>
      <c r="P18"/>
      <c r="Q18"/>
      <c r="R18"/>
      <c r="S18"/>
      <c r="T18"/>
      <c r="U18"/>
      <c r="V18"/>
      <c r="W18"/>
      <c r="X18"/>
      <c r="Y18"/>
      <c r="Z18"/>
      <c r="AA18"/>
      <c r="AB18"/>
      <c r="AC18"/>
      <c r="AD18"/>
      <c r="AE18"/>
      <c r="AF18"/>
      <c r="AG18"/>
      <c r="AH18"/>
      <c r="AI18"/>
      <c r="AJ18"/>
      <c r="AK18"/>
      <c r="AL18"/>
    </row>
    <row r="19" spans="1:38" ht="15" customHeight="1" x14ac:dyDescent="0.15">
      <c r="A19" s="169" t="s">
        <v>207</v>
      </c>
      <c r="B19" s="112">
        <v>0</v>
      </c>
      <c r="C19"/>
      <c r="D19"/>
      <c r="E19"/>
      <c r="F19"/>
      <c r="G19"/>
      <c r="H19"/>
      <c r="I19"/>
      <c r="J19"/>
      <c r="K19"/>
      <c r="L19"/>
      <c r="M19"/>
      <c r="N19"/>
      <c r="O19"/>
      <c r="P19"/>
      <c r="Q19"/>
      <c r="R19"/>
      <c r="S19"/>
      <c r="T19"/>
      <c r="U19"/>
      <c r="V19"/>
      <c r="W19"/>
      <c r="X19"/>
      <c r="Y19"/>
      <c r="Z19"/>
      <c r="AA19"/>
      <c r="AB19"/>
      <c r="AC19"/>
      <c r="AD19"/>
      <c r="AE19"/>
      <c r="AF19"/>
      <c r="AG19"/>
      <c r="AH19"/>
      <c r="AI19"/>
      <c r="AJ19"/>
      <c r="AK19"/>
      <c r="AL19"/>
    </row>
    <row r="20" spans="1:38" ht="15" customHeight="1" x14ac:dyDescent="0.15">
      <c r="A20" s="169" t="s">
        <v>208</v>
      </c>
      <c r="B20" s="112">
        <v>0</v>
      </c>
      <c r="C20"/>
      <c r="D20"/>
      <c r="E20"/>
      <c r="F20"/>
      <c r="G20"/>
      <c r="H20"/>
      <c r="I20"/>
      <c r="J20"/>
      <c r="K20"/>
      <c r="L20"/>
      <c r="M20"/>
      <c r="N20"/>
      <c r="O20"/>
      <c r="P20"/>
      <c r="Q20"/>
      <c r="R20"/>
      <c r="S20"/>
      <c r="T20"/>
      <c r="U20"/>
      <c r="V20"/>
      <c r="W20"/>
      <c r="X20"/>
      <c r="Y20"/>
      <c r="Z20"/>
      <c r="AA20"/>
      <c r="AB20"/>
      <c r="AC20"/>
      <c r="AD20"/>
      <c r="AE20"/>
      <c r="AF20"/>
      <c r="AG20"/>
      <c r="AH20"/>
      <c r="AI20"/>
      <c r="AJ20"/>
      <c r="AK20"/>
      <c r="AL20"/>
    </row>
    <row r="21" spans="1:38" ht="15" customHeight="1" x14ac:dyDescent="0.15">
      <c r="A21" s="169" t="s">
        <v>209</v>
      </c>
      <c r="B21" s="112">
        <v>0</v>
      </c>
      <c r="C21"/>
      <c r="D21"/>
      <c r="E21"/>
      <c r="F21"/>
      <c r="G21"/>
      <c r="H21"/>
      <c r="I21"/>
      <c r="J21"/>
      <c r="K21"/>
      <c r="L21"/>
      <c r="M21"/>
      <c r="N21"/>
      <c r="O21"/>
      <c r="P21"/>
      <c r="Q21"/>
      <c r="R21"/>
      <c r="S21"/>
      <c r="T21"/>
      <c r="U21"/>
      <c r="V21"/>
      <c r="W21"/>
      <c r="X21"/>
      <c r="Y21"/>
      <c r="Z21"/>
      <c r="AA21"/>
      <c r="AB21"/>
      <c r="AC21"/>
      <c r="AD21"/>
      <c r="AE21"/>
      <c r="AF21"/>
      <c r="AG21"/>
      <c r="AH21"/>
      <c r="AI21"/>
      <c r="AJ21"/>
      <c r="AK21"/>
      <c r="AL21"/>
    </row>
    <row r="22" spans="1:38" ht="15" customHeight="1" x14ac:dyDescent="0.15">
      <c r="A22" s="169" t="s">
        <v>210</v>
      </c>
      <c r="B22" s="112">
        <v>0</v>
      </c>
      <c r="C22"/>
      <c r="D22"/>
      <c r="E22"/>
      <c r="F22"/>
      <c r="G22"/>
      <c r="H22"/>
      <c r="I22"/>
      <c r="J22"/>
      <c r="K22"/>
      <c r="L22"/>
      <c r="M22"/>
      <c r="N22"/>
      <c r="O22"/>
      <c r="P22"/>
      <c r="Q22"/>
      <c r="R22"/>
      <c r="S22"/>
      <c r="T22"/>
      <c r="U22"/>
      <c r="V22"/>
      <c r="W22"/>
      <c r="X22"/>
      <c r="Y22"/>
      <c r="Z22"/>
      <c r="AA22"/>
      <c r="AB22"/>
      <c r="AC22"/>
      <c r="AD22"/>
      <c r="AE22"/>
      <c r="AF22"/>
      <c r="AG22"/>
      <c r="AH22"/>
      <c r="AI22"/>
      <c r="AJ22"/>
      <c r="AK22"/>
      <c r="AL22"/>
    </row>
    <row r="23" spans="1:38" ht="15" customHeight="1" x14ac:dyDescent="0.15">
      <c r="A23" s="169" t="s">
        <v>211</v>
      </c>
      <c r="B23" s="112">
        <v>0</v>
      </c>
      <c r="C23"/>
      <c r="D23"/>
      <c r="E23"/>
      <c r="F23"/>
      <c r="G23"/>
      <c r="H23"/>
      <c r="I23"/>
      <c r="J23"/>
      <c r="K23"/>
      <c r="L23"/>
      <c r="M23"/>
      <c r="N23"/>
      <c r="O23"/>
      <c r="P23"/>
      <c r="Q23"/>
      <c r="R23"/>
      <c r="S23"/>
      <c r="T23"/>
      <c r="U23"/>
      <c r="V23"/>
      <c r="W23"/>
      <c r="X23"/>
      <c r="Y23"/>
      <c r="Z23"/>
      <c r="AA23"/>
      <c r="AB23"/>
      <c r="AC23"/>
      <c r="AD23"/>
      <c r="AE23"/>
      <c r="AF23"/>
      <c r="AG23"/>
      <c r="AH23"/>
      <c r="AI23"/>
      <c r="AJ23"/>
      <c r="AK23"/>
      <c r="AL23"/>
    </row>
    <row r="24" spans="1:38" ht="15" customHeight="1" x14ac:dyDescent="0.15">
      <c r="A24" s="169" t="s">
        <v>212</v>
      </c>
      <c r="B24" s="112">
        <v>0</v>
      </c>
      <c r="C24"/>
      <c r="D24"/>
      <c r="E24"/>
      <c r="F24"/>
      <c r="G24"/>
      <c r="H24"/>
      <c r="I24"/>
      <c r="J24"/>
      <c r="K24"/>
      <c r="L24"/>
      <c r="M24"/>
      <c r="N24"/>
      <c r="O24"/>
      <c r="P24"/>
      <c r="Q24"/>
      <c r="R24"/>
      <c r="S24"/>
      <c r="T24"/>
      <c r="U24"/>
      <c r="V24"/>
      <c r="W24"/>
      <c r="X24"/>
      <c r="Y24"/>
      <c r="Z24"/>
      <c r="AA24"/>
      <c r="AB24"/>
      <c r="AC24"/>
      <c r="AD24"/>
      <c r="AE24"/>
      <c r="AF24"/>
      <c r="AG24"/>
      <c r="AH24"/>
      <c r="AI24"/>
      <c r="AJ24"/>
      <c r="AK24"/>
      <c r="AL24"/>
    </row>
    <row r="25" spans="1:38" ht="15" customHeight="1" x14ac:dyDescent="0.15">
      <c r="A25" s="169" t="s">
        <v>213</v>
      </c>
      <c r="B25" s="112">
        <v>0</v>
      </c>
      <c r="C25"/>
      <c r="D25"/>
      <c r="E25"/>
      <c r="F25"/>
      <c r="G25"/>
      <c r="H25"/>
      <c r="I25"/>
      <c r="J25"/>
      <c r="K25"/>
      <c r="L25"/>
      <c r="M25"/>
      <c r="N25"/>
      <c r="O25"/>
      <c r="P25"/>
      <c r="Q25"/>
      <c r="R25"/>
      <c r="S25"/>
      <c r="T25"/>
      <c r="U25"/>
      <c r="V25"/>
      <c r="W25"/>
      <c r="X25"/>
      <c r="Y25"/>
      <c r="Z25"/>
      <c r="AA25"/>
      <c r="AB25"/>
      <c r="AC25"/>
      <c r="AD25"/>
      <c r="AE25"/>
      <c r="AF25"/>
      <c r="AG25"/>
      <c r="AH25"/>
      <c r="AI25"/>
      <c r="AJ25"/>
      <c r="AK25"/>
      <c r="AL25"/>
    </row>
    <row r="26" spans="1:38" ht="15" customHeight="1" x14ac:dyDescent="0.15">
      <c r="A26" s="169" t="s">
        <v>214</v>
      </c>
      <c r="B26" s="112">
        <v>0</v>
      </c>
      <c r="C26"/>
      <c r="D26"/>
      <c r="E26"/>
      <c r="F26"/>
      <c r="G26"/>
      <c r="H26"/>
      <c r="I26"/>
      <c r="J26"/>
      <c r="K26"/>
      <c r="L26"/>
      <c r="M26"/>
      <c r="N26"/>
      <c r="O26"/>
      <c r="P26"/>
      <c r="Q26"/>
      <c r="R26"/>
      <c r="S26"/>
      <c r="T26"/>
      <c r="U26"/>
      <c r="V26"/>
      <c r="W26"/>
      <c r="X26"/>
      <c r="Y26"/>
      <c r="Z26"/>
      <c r="AA26"/>
      <c r="AB26"/>
      <c r="AC26"/>
      <c r="AD26"/>
      <c r="AE26"/>
      <c r="AF26"/>
      <c r="AG26"/>
      <c r="AH26"/>
      <c r="AI26"/>
      <c r="AJ26"/>
      <c r="AK26"/>
      <c r="AL26"/>
    </row>
    <row r="27" spans="1:38" ht="15" customHeight="1" x14ac:dyDescent="0.15">
      <c r="A27" s="169" t="s">
        <v>215</v>
      </c>
      <c r="B27" s="112">
        <v>0</v>
      </c>
      <c r="C27"/>
      <c r="D27"/>
      <c r="E27"/>
      <c r="F27"/>
      <c r="G27"/>
      <c r="H27"/>
      <c r="I27"/>
      <c r="J27"/>
      <c r="K27"/>
      <c r="L27"/>
      <c r="M27"/>
      <c r="N27"/>
      <c r="O27"/>
      <c r="P27"/>
      <c r="Q27"/>
      <c r="R27"/>
      <c r="S27"/>
      <c r="T27"/>
      <c r="U27"/>
      <c r="V27"/>
      <c r="W27"/>
      <c r="X27"/>
      <c r="Y27"/>
      <c r="Z27"/>
      <c r="AA27"/>
      <c r="AB27"/>
      <c r="AC27"/>
      <c r="AD27"/>
      <c r="AE27"/>
      <c r="AF27"/>
      <c r="AG27"/>
      <c r="AH27"/>
      <c r="AI27"/>
      <c r="AJ27"/>
      <c r="AK27"/>
      <c r="AL27"/>
    </row>
    <row r="28" spans="1:38" ht="15" customHeight="1" x14ac:dyDescent="0.15">
      <c r="A28" s="169" t="s">
        <v>216</v>
      </c>
      <c r="B28" s="112">
        <v>0</v>
      </c>
      <c r="C28"/>
      <c r="D28"/>
      <c r="E28"/>
      <c r="F28"/>
      <c r="G28"/>
      <c r="H28"/>
      <c r="I28"/>
      <c r="J28"/>
      <c r="K28"/>
      <c r="L28"/>
      <c r="M28"/>
      <c r="N28"/>
      <c r="O28"/>
      <c r="P28"/>
      <c r="Q28"/>
      <c r="R28"/>
      <c r="S28"/>
      <c r="T28"/>
      <c r="U28"/>
      <c r="V28"/>
      <c r="W28"/>
      <c r="X28"/>
      <c r="Y28"/>
      <c r="Z28"/>
      <c r="AA28"/>
      <c r="AB28"/>
      <c r="AC28"/>
      <c r="AD28"/>
      <c r="AE28"/>
      <c r="AF28"/>
      <c r="AG28"/>
      <c r="AH28"/>
      <c r="AI28"/>
      <c r="AJ28"/>
      <c r="AK28"/>
      <c r="AL28"/>
    </row>
    <row r="29" spans="1:38" ht="15" customHeight="1" x14ac:dyDescent="0.15">
      <c r="A29" s="169" t="s">
        <v>217</v>
      </c>
      <c r="B29" s="112">
        <v>0</v>
      </c>
      <c r="C29"/>
      <c r="D29"/>
      <c r="E29"/>
      <c r="F29"/>
      <c r="G29"/>
      <c r="H29"/>
      <c r="I29"/>
      <c r="J29"/>
      <c r="K29"/>
      <c r="L29"/>
      <c r="M29"/>
      <c r="N29"/>
      <c r="O29"/>
      <c r="P29"/>
      <c r="Q29"/>
      <c r="R29"/>
      <c r="S29"/>
      <c r="T29"/>
      <c r="U29"/>
      <c r="V29"/>
      <c r="W29"/>
      <c r="X29"/>
      <c r="Y29"/>
      <c r="Z29"/>
      <c r="AA29"/>
      <c r="AB29"/>
      <c r="AC29"/>
      <c r="AD29"/>
      <c r="AE29"/>
      <c r="AF29"/>
      <c r="AG29"/>
      <c r="AH29"/>
      <c r="AI29"/>
      <c r="AJ29"/>
      <c r="AK29"/>
      <c r="AL29"/>
    </row>
    <row r="30" spans="1:38" ht="15" customHeight="1" x14ac:dyDescent="0.15">
      <c r="A30" s="169" t="s">
        <v>218</v>
      </c>
      <c r="B30" s="112">
        <v>0</v>
      </c>
      <c r="C30"/>
      <c r="D30"/>
      <c r="E30"/>
      <c r="F30"/>
      <c r="G30"/>
      <c r="H30"/>
      <c r="I30"/>
      <c r="J30"/>
      <c r="K30"/>
      <c r="L30"/>
      <c r="M30"/>
      <c r="N30"/>
      <c r="O30"/>
      <c r="P30"/>
      <c r="Q30"/>
      <c r="R30"/>
      <c r="S30"/>
      <c r="T30"/>
      <c r="U30"/>
      <c r="V30"/>
      <c r="W30"/>
      <c r="X30"/>
      <c r="Y30"/>
      <c r="Z30"/>
      <c r="AA30"/>
      <c r="AB30"/>
      <c r="AC30"/>
      <c r="AD30"/>
      <c r="AE30"/>
      <c r="AF30"/>
      <c r="AG30"/>
      <c r="AH30"/>
      <c r="AI30"/>
      <c r="AJ30"/>
      <c r="AK30"/>
      <c r="AL30"/>
    </row>
    <row r="31" spans="1:38" ht="15" customHeight="1" x14ac:dyDescent="0.15">
      <c r="A31" s="169" t="s">
        <v>219</v>
      </c>
      <c r="B31" s="112">
        <v>0</v>
      </c>
      <c r="C31"/>
      <c r="D31"/>
      <c r="E31"/>
      <c r="F31"/>
      <c r="G31"/>
      <c r="H31"/>
      <c r="I31"/>
      <c r="J31"/>
      <c r="K31"/>
      <c r="L31"/>
      <c r="M31"/>
      <c r="N31"/>
      <c r="O31"/>
      <c r="P31"/>
      <c r="Q31"/>
      <c r="R31"/>
      <c r="S31"/>
      <c r="T31"/>
      <c r="U31"/>
      <c r="V31"/>
      <c r="W31"/>
      <c r="X31"/>
      <c r="Y31"/>
      <c r="Z31"/>
      <c r="AA31"/>
      <c r="AB31"/>
      <c r="AC31"/>
      <c r="AD31"/>
      <c r="AE31"/>
      <c r="AF31"/>
      <c r="AG31"/>
      <c r="AH31"/>
      <c r="AI31"/>
      <c r="AJ31"/>
      <c r="AK31"/>
      <c r="AL31"/>
    </row>
    <row r="32" spans="1:38" ht="15" customHeight="1" x14ac:dyDescent="0.15">
      <c r="A32" s="169" t="s">
        <v>220</v>
      </c>
      <c r="B32" s="112">
        <v>0</v>
      </c>
      <c r="C32"/>
      <c r="D32"/>
      <c r="E32"/>
      <c r="F32"/>
      <c r="G32"/>
      <c r="H32"/>
      <c r="I32"/>
      <c r="J32"/>
      <c r="K32"/>
      <c r="L32"/>
      <c r="M32"/>
      <c r="N32"/>
      <c r="O32"/>
      <c r="P32"/>
      <c r="Q32"/>
      <c r="R32"/>
      <c r="S32"/>
      <c r="T32"/>
      <c r="U32"/>
      <c r="V32"/>
      <c r="W32"/>
      <c r="X32"/>
      <c r="Y32"/>
      <c r="Z32"/>
      <c r="AA32"/>
      <c r="AB32"/>
      <c r="AC32"/>
      <c r="AD32"/>
      <c r="AE32"/>
      <c r="AF32"/>
      <c r="AG32"/>
      <c r="AH32"/>
      <c r="AI32"/>
      <c r="AJ32"/>
      <c r="AK32"/>
      <c r="AL32"/>
    </row>
    <row r="33" spans="1:38" ht="15" customHeight="1" x14ac:dyDescent="0.15">
      <c r="A33" s="169" t="s">
        <v>221</v>
      </c>
      <c r="B33" s="112">
        <v>0</v>
      </c>
      <c r="C33"/>
      <c r="D33"/>
      <c r="E33"/>
      <c r="F33"/>
      <c r="G33"/>
      <c r="H33"/>
      <c r="I33"/>
      <c r="J33"/>
      <c r="K33"/>
      <c r="L33"/>
      <c r="M33"/>
      <c r="N33"/>
      <c r="O33"/>
      <c r="P33"/>
      <c r="Q33"/>
      <c r="R33"/>
      <c r="S33"/>
      <c r="T33"/>
      <c r="U33"/>
      <c r="V33"/>
      <c r="W33"/>
      <c r="X33"/>
      <c r="Y33"/>
      <c r="Z33"/>
      <c r="AA33"/>
      <c r="AB33"/>
      <c r="AC33"/>
      <c r="AD33"/>
      <c r="AE33"/>
      <c r="AF33"/>
      <c r="AG33"/>
      <c r="AH33"/>
      <c r="AI33"/>
      <c r="AJ33"/>
      <c r="AK33"/>
      <c r="AL33"/>
    </row>
    <row r="34" spans="1:38" ht="15" customHeight="1" x14ac:dyDescent="0.15">
      <c r="A34" s="169" t="s">
        <v>222</v>
      </c>
      <c r="B34" s="112">
        <v>0</v>
      </c>
      <c r="C34"/>
      <c r="D34"/>
      <c r="E34"/>
      <c r="F34"/>
      <c r="G34"/>
      <c r="H34"/>
      <c r="I34"/>
      <c r="J34"/>
      <c r="K34"/>
      <c r="L34"/>
      <c r="M34"/>
      <c r="N34"/>
      <c r="O34"/>
      <c r="P34"/>
      <c r="Q34"/>
      <c r="R34"/>
      <c r="S34"/>
      <c r="T34"/>
      <c r="U34"/>
      <c r="V34"/>
      <c r="W34"/>
      <c r="X34"/>
      <c r="Y34"/>
      <c r="Z34"/>
      <c r="AA34"/>
      <c r="AB34"/>
      <c r="AC34"/>
      <c r="AD34"/>
      <c r="AE34"/>
      <c r="AF34"/>
      <c r="AG34"/>
      <c r="AH34"/>
      <c r="AI34"/>
      <c r="AJ34"/>
      <c r="AK34"/>
      <c r="AL34"/>
    </row>
    <row r="35" spans="1:38" ht="15" customHeight="1" x14ac:dyDescent="0.15">
      <c r="A35" s="169" t="s">
        <v>223</v>
      </c>
      <c r="B35" s="112">
        <v>0</v>
      </c>
      <c r="C35"/>
      <c r="D35"/>
      <c r="E35"/>
      <c r="F35"/>
      <c r="G35"/>
      <c r="H35"/>
      <c r="I35"/>
      <c r="J35"/>
      <c r="K35"/>
      <c r="L35"/>
      <c r="M35"/>
      <c r="N35"/>
      <c r="O35"/>
      <c r="P35"/>
      <c r="Q35"/>
      <c r="R35"/>
      <c r="S35"/>
      <c r="T35"/>
      <c r="U35"/>
      <c r="V35"/>
      <c r="W35"/>
      <c r="X35"/>
      <c r="Y35"/>
      <c r="Z35"/>
      <c r="AA35"/>
      <c r="AB35"/>
      <c r="AC35"/>
      <c r="AD35"/>
      <c r="AE35"/>
      <c r="AF35"/>
      <c r="AG35"/>
      <c r="AH35"/>
      <c r="AI35"/>
      <c r="AJ35"/>
      <c r="AK35"/>
      <c r="AL35"/>
    </row>
    <row r="36" spans="1:38" ht="15" customHeight="1" x14ac:dyDescent="0.15">
      <c r="A36" s="169" t="s">
        <v>224</v>
      </c>
      <c r="B36" s="112">
        <v>0</v>
      </c>
      <c r="C36"/>
      <c r="D36"/>
    </row>
    <row r="37" spans="1:38" ht="15" customHeight="1" x14ac:dyDescent="0.15">
      <c r="A37" s="169" t="s">
        <v>225</v>
      </c>
      <c r="B37" s="112">
        <v>0</v>
      </c>
      <c r="C37"/>
      <c r="D37"/>
    </row>
    <row r="38" spans="1:38" ht="15" customHeight="1" x14ac:dyDescent="0.15">
      <c r="A38" s="169" t="s">
        <v>226</v>
      </c>
      <c r="B38" s="112">
        <v>0</v>
      </c>
      <c r="C38"/>
      <c r="D38"/>
      <c r="E38"/>
      <c r="F38"/>
      <c r="G38"/>
      <c r="H38"/>
      <c r="I38"/>
      <c r="J38"/>
      <c r="K38"/>
      <c r="L38"/>
      <c r="M38"/>
      <c r="N38"/>
      <c r="O38"/>
      <c r="P38"/>
      <c r="Q38"/>
      <c r="R38"/>
      <c r="S38"/>
      <c r="T38"/>
      <c r="U38"/>
      <c r="V38"/>
      <c r="W38"/>
      <c r="X38"/>
      <c r="Y38"/>
      <c r="Z38"/>
      <c r="AA38"/>
      <c r="AB38"/>
      <c r="AC38"/>
      <c r="AD38"/>
      <c r="AE38"/>
      <c r="AF38"/>
      <c r="AG38"/>
      <c r="AH38"/>
      <c r="AI38"/>
      <c r="AJ38"/>
      <c r="AK38"/>
      <c r="AL38"/>
    </row>
    <row r="39" spans="1:38" ht="15" customHeight="1" x14ac:dyDescent="0.15">
      <c r="A39" s="169" t="s">
        <v>227</v>
      </c>
      <c r="B39" s="112">
        <v>0</v>
      </c>
      <c r="C39"/>
      <c r="D39"/>
    </row>
    <row r="40" spans="1:38" ht="15" customHeight="1" x14ac:dyDescent="0.15">
      <c r="A40" s="169" t="s">
        <v>228</v>
      </c>
      <c r="B40" s="112">
        <v>0</v>
      </c>
      <c r="C40"/>
      <c r="D40"/>
    </row>
    <row r="41" spans="1:38" ht="15" customHeight="1" x14ac:dyDescent="0.15">
      <c r="A41" s="169" t="s">
        <v>229</v>
      </c>
      <c r="B41" s="112">
        <v>0</v>
      </c>
      <c r="C41"/>
      <c r="D41"/>
    </row>
    <row r="42" spans="1:38" ht="15" customHeight="1" x14ac:dyDescent="0.15">
      <c r="A42" s="169" t="s">
        <v>230</v>
      </c>
      <c r="B42" s="112">
        <v>0</v>
      </c>
    </row>
    <row r="43" spans="1:38" ht="15" customHeight="1" x14ac:dyDescent="0.15">
      <c r="A43" s="169" t="s">
        <v>231</v>
      </c>
      <c r="B43" s="112">
        <v>0</v>
      </c>
    </row>
    <row r="44" spans="1:38" ht="15" customHeight="1" x14ac:dyDescent="0.15">
      <c r="A44" s="169" t="s">
        <v>232</v>
      </c>
      <c r="B44" s="112">
        <v>0</v>
      </c>
    </row>
    <row r="45" spans="1:38" ht="15" customHeight="1" x14ac:dyDescent="0.15">
      <c r="A45" s="169" t="s">
        <v>233</v>
      </c>
      <c r="B45" s="112">
        <v>0</v>
      </c>
    </row>
    <row r="46" spans="1:38" ht="15" customHeight="1" x14ac:dyDescent="0.15">
      <c r="A46" s="169" t="s">
        <v>234</v>
      </c>
      <c r="B46" s="112">
        <v>0</v>
      </c>
    </row>
    <row r="47" spans="1:38" ht="15" customHeight="1" x14ac:dyDescent="0.15">
      <c r="A47" s="169" t="s">
        <v>235</v>
      </c>
      <c r="B47" s="112">
        <v>0</v>
      </c>
    </row>
    <row r="48" spans="1:38" ht="15" customHeight="1" x14ac:dyDescent="0.15">
      <c r="A48" s="169" t="s">
        <v>236</v>
      </c>
      <c r="B48" s="112">
        <v>0</v>
      </c>
    </row>
    <row r="49" spans="1:38" ht="15" customHeight="1" x14ac:dyDescent="0.15">
      <c r="A49" s="169" t="s">
        <v>237</v>
      </c>
      <c r="B49" s="112">
        <v>0</v>
      </c>
    </row>
    <row r="50" spans="1:38" ht="15" customHeight="1" x14ac:dyDescent="0.15">
      <c r="A50" s="169" t="s">
        <v>238</v>
      </c>
      <c r="B50" s="112">
        <v>0</v>
      </c>
    </row>
    <row r="51" spans="1:38" ht="15" customHeight="1" x14ac:dyDescent="0.15"/>
    <row r="52" spans="1:38" ht="15" customHeight="1" x14ac:dyDescent="0.15">
      <c r="B52"/>
      <c r="C52"/>
      <c r="D52"/>
      <c r="E52"/>
      <c r="F52"/>
      <c r="G52"/>
      <c r="H52"/>
      <c r="I52"/>
      <c r="J52"/>
      <c r="K52"/>
      <c r="L52"/>
      <c r="M52"/>
      <c r="N52"/>
      <c r="O52"/>
      <c r="P52"/>
      <c r="Q52"/>
      <c r="R52"/>
      <c r="S52"/>
      <c r="T52"/>
      <c r="U52"/>
      <c r="V52"/>
      <c r="W52"/>
      <c r="X52"/>
      <c r="Y52"/>
      <c r="Z52"/>
      <c r="AA52"/>
      <c r="AB52"/>
      <c r="AC52"/>
      <c r="AD52"/>
      <c r="AE52"/>
      <c r="AF52"/>
      <c r="AG52"/>
      <c r="AH52"/>
      <c r="AI52"/>
      <c r="AJ52"/>
      <c r="AK52"/>
      <c r="AL52"/>
    </row>
    <row r="53" spans="1:38" ht="15" customHeight="1" x14ac:dyDescent="0.15">
      <c r="B53"/>
      <c r="C53"/>
      <c r="D53"/>
      <c r="E53"/>
      <c r="F53"/>
      <c r="G53"/>
      <c r="H53"/>
      <c r="I53"/>
      <c r="J53"/>
      <c r="K53"/>
      <c r="L53"/>
      <c r="M53"/>
      <c r="N53"/>
      <c r="O53"/>
      <c r="P53"/>
      <c r="Q53"/>
      <c r="R53"/>
      <c r="S53"/>
      <c r="T53"/>
      <c r="U53"/>
      <c r="V53"/>
      <c r="W53"/>
      <c r="X53"/>
      <c r="Y53"/>
      <c r="Z53"/>
      <c r="AA53"/>
      <c r="AB53"/>
      <c r="AC53"/>
      <c r="AD53"/>
      <c r="AE53"/>
      <c r="AF53"/>
      <c r="AG53"/>
      <c r="AH53"/>
      <c r="AI53"/>
      <c r="AJ53"/>
      <c r="AK53"/>
      <c r="AL53"/>
    </row>
    <row r="54" spans="1:38" ht="15" customHeight="1" x14ac:dyDescent="0.15">
      <c r="B54"/>
      <c r="C54"/>
      <c r="D54"/>
      <c r="E54"/>
      <c r="F54"/>
      <c r="G54"/>
      <c r="H54"/>
      <c r="I54"/>
      <c r="J54"/>
      <c r="K54"/>
      <c r="L54"/>
      <c r="M54"/>
      <c r="N54"/>
      <c r="O54"/>
      <c r="P54"/>
      <c r="Q54"/>
      <c r="R54"/>
      <c r="S54"/>
      <c r="T54"/>
      <c r="U54"/>
      <c r="V54"/>
      <c r="W54"/>
      <c r="X54"/>
      <c r="Y54"/>
      <c r="Z54"/>
      <c r="AA54"/>
      <c r="AB54"/>
      <c r="AC54"/>
      <c r="AD54"/>
      <c r="AE54"/>
      <c r="AF54"/>
      <c r="AG54"/>
      <c r="AH54"/>
      <c r="AI54"/>
      <c r="AJ54"/>
      <c r="AK54"/>
      <c r="AL54"/>
    </row>
    <row r="55" spans="1:38" ht="15" customHeight="1" x14ac:dyDescent="0.15">
      <c r="B55"/>
      <c r="C55"/>
      <c r="D55"/>
      <c r="E55"/>
      <c r="F55"/>
      <c r="G55"/>
      <c r="H55"/>
      <c r="I55"/>
      <c r="J55"/>
      <c r="K55"/>
      <c r="L55"/>
      <c r="M55"/>
      <c r="N55"/>
      <c r="O55"/>
      <c r="P55"/>
      <c r="Q55"/>
      <c r="R55"/>
      <c r="S55"/>
      <c r="T55"/>
      <c r="U55"/>
      <c r="V55"/>
      <c r="W55"/>
      <c r="X55"/>
      <c r="Y55"/>
      <c r="Z55"/>
      <c r="AA55"/>
      <c r="AB55"/>
      <c r="AC55"/>
      <c r="AD55"/>
      <c r="AE55"/>
      <c r="AF55"/>
      <c r="AG55"/>
      <c r="AH55"/>
      <c r="AI55"/>
      <c r="AJ55"/>
      <c r="AK55"/>
      <c r="AL55"/>
    </row>
    <row r="56" spans="1:38" ht="15" customHeight="1" x14ac:dyDescent="0.15">
      <c r="B56"/>
      <c r="C56"/>
      <c r="D56"/>
      <c r="E56"/>
      <c r="F56"/>
      <c r="G56"/>
      <c r="H56"/>
      <c r="I56"/>
      <c r="J56"/>
      <c r="K56"/>
      <c r="L56"/>
      <c r="M56"/>
      <c r="N56"/>
      <c r="O56"/>
      <c r="P56"/>
      <c r="Q56"/>
      <c r="R56"/>
      <c r="S56"/>
      <c r="T56"/>
      <c r="U56"/>
      <c r="V56"/>
      <c r="W56"/>
      <c r="X56"/>
      <c r="Y56"/>
      <c r="Z56"/>
      <c r="AA56"/>
      <c r="AB56"/>
      <c r="AC56"/>
      <c r="AD56"/>
      <c r="AE56"/>
      <c r="AF56"/>
      <c r="AG56"/>
      <c r="AH56"/>
      <c r="AI56"/>
      <c r="AJ56"/>
      <c r="AK56"/>
      <c r="AL56"/>
    </row>
    <row r="57" spans="1:38" ht="15" customHeight="1" x14ac:dyDescent="0.15">
      <c r="B57"/>
      <c r="C57"/>
      <c r="D57"/>
      <c r="E57"/>
      <c r="F57"/>
      <c r="G57"/>
      <c r="H57"/>
      <c r="I57"/>
      <c r="J57"/>
      <c r="K57"/>
      <c r="L57"/>
      <c r="M57"/>
      <c r="N57"/>
      <c r="O57"/>
      <c r="P57"/>
      <c r="Q57"/>
      <c r="R57"/>
      <c r="S57"/>
      <c r="T57"/>
      <c r="U57"/>
      <c r="V57"/>
      <c r="W57"/>
      <c r="X57"/>
      <c r="Y57"/>
      <c r="Z57"/>
      <c r="AA57"/>
      <c r="AB57"/>
      <c r="AC57"/>
      <c r="AD57"/>
      <c r="AE57"/>
      <c r="AF57"/>
      <c r="AG57"/>
      <c r="AH57"/>
      <c r="AI57"/>
      <c r="AJ57"/>
      <c r="AK57"/>
      <c r="AL57"/>
    </row>
    <row r="58" spans="1:38" ht="15" customHeight="1" x14ac:dyDescent="0.15">
      <c r="B58"/>
      <c r="C58"/>
      <c r="D58"/>
      <c r="E58"/>
      <c r="F58"/>
      <c r="G58"/>
      <c r="H58"/>
      <c r="I58"/>
      <c r="J58"/>
      <c r="K58"/>
      <c r="L58"/>
      <c r="M58"/>
      <c r="N58"/>
      <c r="O58"/>
      <c r="P58"/>
      <c r="Q58"/>
      <c r="R58"/>
      <c r="S58"/>
      <c r="T58"/>
      <c r="U58"/>
      <c r="V58"/>
      <c r="W58"/>
      <c r="X58"/>
      <c r="Y58"/>
      <c r="Z58"/>
      <c r="AA58"/>
      <c r="AB58"/>
      <c r="AC58"/>
      <c r="AD58"/>
      <c r="AE58"/>
      <c r="AF58"/>
      <c r="AG58"/>
      <c r="AH58"/>
      <c r="AI58"/>
      <c r="AJ58"/>
      <c r="AK58"/>
      <c r="AL58"/>
    </row>
    <row r="59" spans="1:38" ht="15" customHeight="1" x14ac:dyDescent="0.15">
      <c r="B59"/>
      <c r="C59"/>
      <c r="D59"/>
      <c r="E59"/>
      <c r="F59"/>
      <c r="G59"/>
      <c r="H59"/>
      <c r="I59"/>
      <c r="J59"/>
      <c r="K59"/>
      <c r="L59"/>
      <c r="M59"/>
      <c r="N59"/>
      <c r="O59"/>
      <c r="P59"/>
      <c r="Q59"/>
      <c r="R59"/>
      <c r="S59"/>
      <c r="T59"/>
      <c r="U59"/>
      <c r="V59"/>
      <c r="W59"/>
      <c r="X59"/>
      <c r="Y59"/>
      <c r="Z59"/>
      <c r="AA59"/>
      <c r="AB59"/>
      <c r="AC59"/>
      <c r="AD59"/>
      <c r="AE59"/>
      <c r="AF59"/>
      <c r="AG59"/>
      <c r="AH59"/>
      <c r="AI59"/>
      <c r="AJ59"/>
      <c r="AK59"/>
      <c r="AL59"/>
    </row>
    <row r="60" spans="1:38" ht="15" customHeight="1" x14ac:dyDescent="0.15">
      <c r="B60"/>
      <c r="C60"/>
      <c r="D60"/>
      <c r="E60"/>
      <c r="F60"/>
      <c r="G60"/>
      <c r="H60"/>
      <c r="I60"/>
      <c r="J60"/>
      <c r="K60"/>
      <c r="L60"/>
      <c r="M60"/>
      <c r="N60"/>
      <c r="O60"/>
      <c r="P60"/>
      <c r="Q60"/>
      <c r="R60"/>
      <c r="S60"/>
      <c r="T60"/>
      <c r="U60"/>
      <c r="V60"/>
      <c r="W60"/>
      <c r="X60"/>
      <c r="Y60"/>
      <c r="Z60"/>
      <c r="AA60"/>
      <c r="AB60"/>
      <c r="AC60"/>
      <c r="AD60"/>
      <c r="AE60"/>
      <c r="AF60"/>
      <c r="AG60"/>
      <c r="AH60"/>
      <c r="AI60"/>
      <c r="AJ60"/>
      <c r="AK60"/>
      <c r="AL60"/>
    </row>
    <row r="61" spans="1:38" ht="15" customHeight="1" x14ac:dyDescent="0.15">
      <c r="B61"/>
      <c r="C61"/>
      <c r="D61"/>
      <c r="E61"/>
      <c r="F61"/>
      <c r="G61"/>
      <c r="H61"/>
      <c r="I61"/>
      <c r="J61"/>
      <c r="K61"/>
      <c r="L61"/>
      <c r="M61"/>
      <c r="N61"/>
      <c r="O61"/>
      <c r="P61"/>
      <c r="Q61"/>
      <c r="R61"/>
      <c r="S61"/>
      <c r="T61"/>
      <c r="U61"/>
      <c r="V61"/>
      <c r="W61"/>
      <c r="X61"/>
      <c r="Y61"/>
      <c r="Z61"/>
      <c r="AA61"/>
      <c r="AB61"/>
      <c r="AC61"/>
      <c r="AD61"/>
      <c r="AE61"/>
      <c r="AF61"/>
      <c r="AG61"/>
      <c r="AH61"/>
      <c r="AI61"/>
      <c r="AJ61"/>
      <c r="AK61"/>
      <c r="AL61"/>
    </row>
    <row r="62" spans="1:38" ht="15" customHeight="1" x14ac:dyDescent="0.15">
      <c r="B62"/>
      <c r="C62"/>
      <c r="D62"/>
      <c r="E62"/>
      <c r="F62"/>
      <c r="G62"/>
      <c r="H62"/>
      <c r="I62"/>
      <c r="J62"/>
      <c r="K62"/>
      <c r="L62"/>
      <c r="M62"/>
      <c r="N62"/>
      <c r="O62"/>
      <c r="P62"/>
      <c r="Q62"/>
      <c r="R62"/>
      <c r="S62"/>
      <c r="T62"/>
      <c r="U62"/>
      <c r="V62"/>
      <c r="W62"/>
      <c r="X62"/>
      <c r="Y62"/>
      <c r="Z62"/>
      <c r="AA62"/>
      <c r="AB62"/>
      <c r="AC62"/>
      <c r="AD62"/>
      <c r="AE62"/>
      <c r="AF62"/>
      <c r="AG62"/>
      <c r="AH62"/>
      <c r="AI62"/>
      <c r="AJ62"/>
      <c r="AK62"/>
      <c r="AL62"/>
    </row>
    <row r="63" spans="1:38" ht="15" customHeight="1" x14ac:dyDescent="0.15">
      <c r="B63"/>
      <c r="C63"/>
      <c r="D63"/>
      <c r="E63"/>
      <c r="F63"/>
      <c r="G63"/>
      <c r="H63"/>
      <c r="I63"/>
      <c r="J63"/>
      <c r="K63"/>
      <c r="L63"/>
      <c r="M63"/>
      <c r="N63"/>
      <c r="O63"/>
      <c r="P63"/>
      <c r="Q63"/>
      <c r="R63"/>
      <c r="S63"/>
      <c r="T63"/>
      <c r="U63"/>
      <c r="V63"/>
      <c r="W63"/>
      <c r="X63"/>
      <c r="Y63"/>
      <c r="Z63"/>
      <c r="AA63"/>
      <c r="AB63"/>
      <c r="AC63"/>
      <c r="AD63"/>
      <c r="AE63"/>
      <c r="AF63"/>
      <c r="AG63"/>
      <c r="AH63"/>
      <c r="AI63"/>
      <c r="AJ63"/>
      <c r="AK63"/>
      <c r="AL63"/>
    </row>
    <row r="64" spans="1:38" ht="15" customHeight="1" x14ac:dyDescent="0.15">
      <c r="B64"/>
      <c r="C64"/>
      <c r="D64"/>
      <c r="E64"/>
      <c r="F64"/>
      <c r="G64"/>
      <c r="H64"/>
      <c r="I64"/>
      <c r="J64"/>
      <c r="K64"/>
      <c r="L64"/>
      <c r="M64"/>
      <c r="N64"/>
      <c r="O64"/>
      <c r="P64"/>
      <c r="Q64"/>
      <c r="R64"/>
      <c r="S64"/>
      <c r="T64"/>
      <c r="U64"/>
      <c r="V64"/>
      <c r="W64"/>
      <c r="X64"/>
      <c r="Y64"/>
      <c r="Z64"/>
      <c r="AA64"/>
      <c r="AB64"/>
      <c r="AC64"/>
      <c r="AD64"/>
      <c r="AE64"/>
      <c r="AF64"/>
      <c r="AG64"/>
      <c r="AH64"/>
      <c r="AI64"/>
      <c r="AJ64"/>
      <c r="AK64"/>
      <c r="AL64"/>
    </row>
    <row r="65" spans="2:38" ht="15" customHeight="1" x14ac:dyDescent="0.15">
      <c r="B65"/>
      <c r="C65"/>
      <c r="D65"/>
      <c r="E65"/>
      <c r="F65"/>
      <c r="G65"/>
      <c r="H65"/>
      <c r="I65"/>
      <c r="J65"/>
      <c r="K65"/>
      <c r="L65"/>
      <c r="M65"/>
      <c r="N65"/>
      <c r="O65"/>
      <c r="P65"/>
      <c r="Q65"/>
      <c r="R65"/>
      <c r="S65"/>
      <c r="T65"/>
      <c r="U65"/>
      <c r="V65"/>
      <c r="W65"/>
      <c r="X65"/>
      <c r="Y65"/>
      <c r="Z65"/>
      <c r="AA65"/>
      <c r="AB65"/>
      <c r="AC65"/>
      <c r="AD65"/>
      <c r="AE65"/>
      <c r="AF65"/>
      <c r="AG65"/>
      <c r="AH65"/>
      <c r="AI65"/>
      <c r="AJ65"/>
      <c r="AK65"/>
      <c r="AL65"/>
    </row>
    <row r="66" spans="2:38" ht="15" customHeight="1" x14ac:dyDescent="0.15">
      <c r="B66"/>
      <c r="C66"/>
      <c r="D66"/>
      <c r="E66"/>
      <c r="F66"/>
      <c r="G66"/>
      <c r="H66"/>
      <c r="I66"/>
      <c r="J66"/>
      <c r="K66"/>
      <c r="L66"/>
      <c r="M66"/>
      <c r="N66"/>
      <c r="O66"/>
      <c r="P66"/>
      <c r="Q66"/>
      <c r="R66"/>
      <c r="S66"/>
      <c r="T66"/>
      <c r="U66"/>
      <c r="V66"/>
      <c r="W66"/>
      <c r="X66"/>
      <c r="Y66"/>
      <c r="Z66"/>
      <c r="AA66"/>
      <c r="AB66"/>
      <c r="AC66"/>
      <c r="AD66"/>
      <c r="AE66"/>
      <c r="AF66"/>
      <c r="AG66"/>
      <c r="AH66"/>
      <c r="AI66"/>
      <c r="AJ66"/>
      <c r="AK66"/>
      <c r="AL66"/>
    </row>
    <row r="67" spans="2:38" ht="15" customHeight="1" x14ac:dyDescent="0.15">
      <c r="B67"/>
      <c r="C67"/>
      <c r="D67"/>
      <c r="E67"/>
      <c r="F67"/>
      <c r="G67"/>
      <c r="H67"/>
      <c r="I67"/>
      <c r="J67"/>
      <c r="K67"/>
      <c r="L67"/>
      <c r="M67"/>
      <c r="N67"/>
      <c r="O67"/>
      <c r="P67"/>
      <c r="Q67"/>
      <c r="R67"/>
      <c r="S67"/>
      <c r="T67"/>
      <c r="U67"/>
      <c r="V67"/>
      <c r="W67"/>
      <c r="X67"/>
      <c r="Y67"/>
      <c r="Z67"/>
      <c r="AA67"/>
      <c r="AB67"/>
      <c r="AC67"/>
      <c r="AD67"/>
      <c r="AE67"/>
      <c r="AF67"/>
      <c r="AG67"/>
      <c r="AH67"/>
      <c r="AI67"/>
      <c r="AJ67"/>
      <c r="AK67"/>
      <c r="AL67"/>
    </row>
    <row r="68" spans="2:38" ht="15" customHeight="1" x14ac:dyDescent="0.15">
      <c r="B68"/>
      <c r="C68"/>
      <c r="D68"/>
      <c r="E68"/>
      <c r="F68"/>
      <c r="G68"/>
      <c r="H68"/>
      <c r="I68"/>
      <c r="J68"/>
      <c r="K68"/>
      <c r="L68"/>
      <c r="M68"/>
      <c r="N68"/>
      <c r="O68"/>
      <c r="P68"/>
      <c r="Q68"/>
      <c r="R68"/>
      <c r="S68"/>
      <c r="T68"/>
      <c r="U68"/>
      <c r="V68"/>
      <c r="W68"/>
      <c r="X68"/>
      <c r="Y68"/>
      <c r="Z68"/>
      <c r="AA68"/>
      <c r="AB68"/>
      <c r="AC68"/>
      <c r="AD68"/>
      <c r="AE68"/>
      <c r="AF68"/>
      <c r="AG68"/>
      <c r="AH68"/>
      <c r="AI68"/>
      <c r="AJ68"/>
      <c r="AK68"/>
      <c r="AL68"/>
    </row>
    <row r="69" spans="2:38" ht="15" customHeight="1" x14ac:dyDescent="0.15">
      <c r="B69"/>
      <c r="C69"/>
      <c r="D69"/>
      <c r="E69"/>
      <c r="F69"/>
      <c r="G69"/>
      <c r="H69"/>
      <c r="I69"/>
      <c r="J69"/>
      <c r="K69"/>
      <c r="L69"/>
      <c r="M69"/>
      <c r="N69"/>
      <c r="O69"/>
      <c r="P69"/>
      <c r="Q69"/>
      <c r="R69"/>
      <c r="S69"/>
      <c r="T69"/>
      <c r="U69"/>
      <c r="V69"/>
      <c r="W69"/>
      <c r="X69"/>
      <c r="Y69"/>
      <c r="Z69"/>
      <c r="AA69"/>
      <c r="AB69"/>
      <c r="AC69"/>
      <c r="AD69"/>
      <c r="AE69"/>
      <c r="AF69"/>
      <c r="AG69"/>
      <c r="AH69"/>
      <c r="AI69"/>
      <c r="AJ69"/>
      <c r="AK69"/>
      <c r="AL69"/>
    </row>
    <row r="70" spans="2:38" ht="15" customHeight="1" x14ac:dyDescent="0.15">
      <c r="B70"/>
      <c r="C70"/>
      <c r="D70"/>
      <c r="E70"/>
      <c r="F70"/>
      <c r="G70"/>
      <c r="H70"/>
      <c r="I70"/>
      <c r="J70"/>
      <c r="K70"/>
      <c r="L70"/>
      <c r="M70"/>
      <c r="N70"/>
      <c r="O70"/>
      <c r="P70"/>
      <c r="Q70"/>
      <c r="R70"/>
      <c r="S70"/>
      <c r="T70"/>
      <c r="U70"/>
      <c r="V70"/>
      <c r="W70"/>
      <c r="X70"/>
      <c r="Y70"/>
      <c r="Z70"/>
      <c r="AA70"/>
      <c r="AB70"/>
      <c r="AC70"/>
      <c r="AD70"/>
      <c r="AE70"/>
      <c r="AF70"/>
      <c r="AG70"/>
      <c r="AH70"/>
      <c r="AI70"/>
      <c r="AJ70"/>
      <c r="AK70"/>
      <c r="AL70"/>
    </row>
    <row r="71" spans="2:38" ht="15" customHeight="1" x14ac:dyDescent="0.15">
      <c r="B71"/>
      <c r="C71"/>
      <c r="D71"/>
      <c r="E71"/>
      <c r="F71"/>
      <c r="G71"/>
      <c r="H71"/>
      <c r="I71"/>
      <c r="J71"/>
      <c r="K71"/>
      <c r="L71"/>
      <c r="M71"/>
      <c r="N71"/>
      <c r="O71"/>
      <c r="P71"/>
      <c r="Q71"/>
      <c r="R71"/>
      <c r="S71"/>
      <c r="T71"/>
      <c r="U71"/>
      <c r="V71"/>
      <c r="W71"/>
      <c r="X71"/>
      <c r="Y71"/>
      <c r="Z71"/>
      <c r="AA71"/>
      <c r="AB71"/>
      <c r="AC71"/>
      <c r="AD71"/>
      <c r="AE71"/>
      <c r="AF71"/>
      <c r="AG71"/>
      <c r="AH71"/>
      <c r="AI71"/>
      <c r="AJ71"/>
      <c r="AK71"/>
      <c r="AL71"/>
    </row>
    <row r="72" spans="2:38" ht="15" customHeight="1" x14ac:dyDescent="0.15">
      <c r="B72"/>
      <c r="C72"/>
      <c r="D72"/>
      <c r="E72"/>
      <c r="F72"/>
      <c r="G72"/>
      <c r="H72"/>
      <c r="I72"/>
      <c r="J72"/>
      <c r="K72"/>
      <c r="L72"/>
      <c r="M72"/>
      <c r="N72"/>
      <c r="O72"/>
      <c r="P72"/>
      <c r="Q72"/>
      <c r="R72"/>
      <c r="S72"/>
      <c r="T72"/>
      <c r="U72"/>
      <c r="V72"/>
      <c r="W72"/>
      <c r="X72"/>
      <c r="Y72"/>
      <c r="Z72"/>
      <c r="AA72"/>
      <c r="AB72"/>
      <c r="AC72"/>
      <c r="AD72"/>
      <c r="AE72"/>
      <c r="AF72"/>
      <c r="AG72"/>
      <c r="AH72"/>
      <c r="AI72"/>
      <c r="AJ72"/>
      <c r="AK72"/>
      <c r="AL72"/>
    </row>
    <row r="73" spans="2:38" ht="15" customHeight="1" x14ac:dyDescent="0.15">
      <c r="B73"/>
      <c r="C73"/>
      <c r="D73"/>
      <c r="E73"/>
      <c r="F73"/>
      <c r="G73"/>
      <c r="H73"/>
      <c r="I73"/>
      <c r="J73"/>
      <c r="K73"/>
      <c r="L73"/>
      <c r="M73"/>
      <c r="N73"/>
      <c r="O73"/>
      <c r="P73"/>
      <c r="Q73"/>
      <c r="R73"/>
      <c r="S73"/>
      <c r="T73"/>
      <c r="U73"/>
      <c r="V73"/>
      <c r="W73"/>
      <c r="X73"/>
      <c r="Y73"/>
      <c r="Z73"/>
      <c r="AA73"/>
      <c r="AB73"/>
      <c r="AC73"/>
      <c r="AD73"/>
      <c r="AE73"/>
      <c r="AF73"/>
      <c r="AG73"/>
      <c r="AH73"/>
      <c r="AI73"/>
      <c r="AJ73"/>
      <c r="AK73"/>
      <c r="AL73"/>
    </row>
    <row r="74" spans="2:38" ht="15" customHeight="1" x14ac:dyDescent="0.15">
      <c r="B74"/>
      <c r="C74"/>
      <c r="D74"/>
      <c r="E74"/>
      <c r="F74"/>
      <c r="G74"/>
      <c r="H74"/>
      <c r="I74"/>
      <c r="J74"/>
      <c r="K74"/>
      <c r="L74"/>
      <c r="M74"/>
      <c r="N74"/>
      <c r="O74"/>
      <c r="P74"/>
      <c r="Q74"/>
      <c r="R74"/>
      <c r="S74"/>
      <c r="T74"/>
      <c r="U74"/>
      <c r="V74"/>
      <c r="W74"/>
      <c r="X74"/>
      <c r="Y74"/>
      <c r="Z74"/>
      <c r="AA74"/>
      <c r="AB74"/>
      <c r="AC74"/>
      <c r="AD74"/>
      <c r="AE74"/>
      <c r="AF74"/>
      <c r="AG74"/>
      <c r="AH74"/>
      <c r="AI74"/>
      <c r="AJ74"/>
      <c r="AK74"/>
      <c r="AL74"/>
    </row>
    <row r="75" spans="2:38" ht="15" customHeight="1" x14ac:dyDescent="0.15">
      <c r="B75"/>
      <c r="C75"/>
      <c r="D75"/>
      <c r="E75"/>
      <c r="F75"/>
      <c r="G75"/>
      <c r="H75"/>
      <c r="I75"/>
      <c r="J75"/>
      <c r="K75"/>
      <c r="L75"/>
      <c r="M75"/>
      <c r="N75"/>
      <c r="O75"/>
      <c r="P75"/>
      <c r="Q75"/>
      <c r="R75"/>
      <c r="S75"/>
      <c r="T75"/>
      <c r="U75"/>
      <c r="V75"/>
      <c r="W75"/>
      <c r="X75"/>
      <c r="Y75"/>
      <c r="Z75"/>
      <c r="AA75"/>
      <c r="AB75"/>
      <c r="AC75"/>
      <c r="AD75"/>
      <c r="AE75"/>
      <c r="AF75"/>
      <c r="AG75"/>
      <c r="AH75"/>
      <c r="AI75"/>
      <c r="AJ75"/>
      <c r="AK75"/>
      <c r="AL75"/>
    </row>
    <row r="76" spans="2:38" ht="15" customHeight="1" x14ac:dyDescent="0.15">
      <c r="B76"/>
      <c r="C76"/>
      <c r="D76"/>
      <c r="E76"/>
      <c r="F76"/>
      <c r="G76"/>
      <c r="H76"/>
      <c r="I76"/>
      <c r="J76"/>
      <c r="K76"/>
      <c r="L76"/>
      <c r="M76"/>
      <c r="N76"/>
      <c r="O76"/>
      <c r="P76"/>
      <c r="Q76"/>
      <c r="R76"/>
      <c r="S76"/>
      <c r="T76"/>
      <c r="U76"/>
      <c r="V76"/>
      <c r="W76"/>
      <c r="X76"/>
      <c r="Y76"/>
      <c r="Z76"/>
      <c r="AA76"/>
      <c r="AB76"/>
      <c r="AC76"/>
      <c r="AD76"/>
      <c r="AE76"/>
      <c r="AF76"/>
      <c r="AG76"/>
      <c r="AH76"/>
      <c r="AI76"/>
      <c r="AJ76"/>
      <c r="AK76"/>
      <c r="AL76"/>
    </row>
    <row r="77" spans="2:38" ht="15" customHeight="1" x14ac:dyDescent="0.15">
      <c r="B77"/>
      <c r="C77"/>
      <c r="D77"/>
      <c r="E77"/>
      <c r="F77"/>
      <c r="G77"/>
      <c r="H77"/>
      <c r="I77"/>
      <c r="J77"/>
      <c r="K77"/>
      <c r="L77"/>
      <c r="M77"/>
      <c r="N77"/>
      <c r="O77"/>
      <c r="P77"/>
      <c r="Q77"/>
      <c r="R77"/>
      <c r="S77"/>
      <c r="T77"/>
      <c r="U77"/>
      <c r="V77"/>
      <c r="W77"/>
      <c r="X77"/>
      <c r="Y77"/>
      <c r="Z77"/>
      <c r="AA77"/>
      <c r="AB77"/>
      <c r="AC77"/>
      <c r="AD77"/>
      <c r="AE77"/>
      <c r="AF77"/>
      <c r="AG77"/>
      <c r="AH77"/>
      <c r="AI77"/>
      <c r="AJ77"/>
      <c r="AK77"/>
      <c r="AL77"/>
    </row>
    <row r="78" spans="2:38" ht="15" customHeight="1" x14ac:dyDescent="0.15">
      <c r="B78"/>
      <c r="C78"/>
      <c r="D78"/>
      <c r="E78"/>
      <c r="F78"/>
      <c r="G78"/>
      <c r="H78"/>
      <c r="I78"/>
      <c r="J78"/>
      <c r="K78"/>
      <c r="L78"/>
      <c r="M78"/>
      <c r="N78"/>
      <c r="O78"/>
      <c r="P78"/>
      <c r="Q78"/>
      <c r="R78"/>
      <c r="S78"/>
      <c r="T78"/>
      <c r="U78"/>
      <c r="V78"/>
      <c r="W78"/>
      <c r="X78"/>
      <c r="Y78"/>
      <c r="Z78"/>
      <c r="AA78"/>
      <c r="AB78"/>
      <c r="AC78"/>
      <c r="AD78"/>
      <c r="AE78"/>
      <c r="AF78"/>
      <c r="AG78"/>
      <c r="AH78"/>
      <c r="AI78"/>
      <c r="AJ78"/>
      <c r="AK78"/>
      <c r="AL78"/>
    </row>
    <row r="79" spans="2:38" ht="15" customHeight="1" x14ac:dyDescent="0.15">
      <c r="B79"/>
      <c r="C79"/>
      <c r="D79"/>
      <c r="E79"/>
      <c r="F79"/>
      <c r="G79"/>
      <c r="H79"/>
      <c r="I79"/>
      <c r="J79"/>
      <c r="K79"/>
      <c r="L79"/>
      <c r="M79"/>
      <c r="N79"/>
      <c r="O79"/>
      <c r="P79"/>
      <c r="Q79"/>
      <c r="R79"/>
      <c r="S79"/>
      <c r="T79"/>
      <c r="U79"/>
      <c r="V79"/>
      <c r="W79"/>
      <c r="X79"/>
      <c r="Y79"/>
      <c r="Z79"/>
      <c r="AA79"/>
      <c r="AB79"/>
      <c r="AC79"/>
      <c r="AD79"/>
      <c r="AE79"/>
      <c r="AF79"/>
      <c r="AG79"/>
      <c r="AH79"/>
      <c r="AI79"/>
      <c r="AJ79"/>
      <c r="AK79"/>
      <c r="AL79"/>
    </row>
    <row r="80" spans="2:38" ht="15" customHeight="1" x14ac:dyDescent="0.15">
      <c r="B80"/>
      <c r="C80"/>
      <c r="D80"/>
      <c r="E80"/>
      <c r="F80"/>
      <c r="G80"/>
      <c r="H80"/>
      <c r="I80"/>
      <c r="J80"/>
      <c r="K80"/>
      <c r="L80"/>
      <c r="M80"/>
      <c r="N80"/>
      <c r="O80"/>
      <c r="P80"/>
      <c r="Q80"/>
      <c r="R80"/>
      <c r="S80"/>
      <c r="T80"/>
      <c r="U80"/>
      <c r="V80"/>
      <c r="W80"/>
      <c r="X80"/>
      <c r="Y80"/>
      <c r="Z80"/>
      <c r="AA80"/>
      <c r="AB80"/>
      <c r="AC80"/>
      <c r="AD80"/>
      <c r="AE80"/>
      <c r="AF80"/>
      <c r="AG80"/>
      <c r="AH80"/>
      <c r="AI80"/>
      <c r="AJ80"/>
      <c r="AK80"/>
      <c r="AL80"/>
    </row>
    <row r="81" spans="2:38" ht="15" customHeight="1" x14ac:dyDescent="0.15">
      <c r="B81"/>
      <c r="C81"/>
      <c r="D81"/>
      <c r="E81"/>
      <c r="F81"/>
      <c r="G81"/>
      <c r="H81"/>
      <c r="I81"/>
      <c r="J81"/>
      <c r="K81"/>
      <c r="L81"/>
      <c r="M81"/>
      <c r="N81"/>
      <c r="O81"/>
      <c r="P81"/>
      <c r="Q81"/>
      <c r="R81"/>
      <c r="S81"/>
      <c r="T81"/>
      <c r="U81"/>
      <c r="V81"/>
      <c r="W81"/>
      <c r="X81"/>
      <c r="Y81"/>
      <c r="Z81"/>
      <c r="AA81"/>
      <c r="AB81"/>
      <c r="AC81"/>
      <c r="AD81"/>
      <c r="AE81"/>
      <c r="AF81"/>
      <c r="AG81"/>
      <c r="AH81"/>
      <c r="AI81"/>
      <c r="AJ81"/>
      <c r="AK81"/>
      <c r="AL81"/>
    </row>
    <row r="82" spans="2:38" ht="15" customHeight="1" x14ac:dyDescent="0.15">
      <c r="B82"/>
      <c r="C82"/>
      <c r="D82"/>
      <c r="E82"/>
      <c r="F82"/>
      <c r="G82"/>
      <c r="H82"/>
      <c r="I82"/>
      <c r="J82"/>
      <c r="K82"/>
      <c r="L82"/>
      <c r="M82"/>
      <c r="N82"/>
      <c r="O82"/>
      <c r="P82"/>
      <c r="Q82"/>
      <c r="R82"/>
      <c r="S82"/>
      <c r="T82"/>
      <c r="U82"/>
      <c r="V82"/>
      <c r="W82"/>
      <c r="X82"/>
      <c r="Y82"/>
      <c r="Z82"/>
      <c r="AA82"/>
      <c r="AB82"/>
      <c r="AC82"/>
      <c r="AD82"/>
      <c r="AE82"/>
      <c r="AF82"/>
      <c r="AG82"/>
      <c r="AH82"/>
      <c r="AI82"/>
      <c r="AJ82"/>
      <c r="AK82"/>
      <c r="AL82"/>
    </row>
    <row r="83" spans="2:38" ht="15" customHeight="1" x14ac:dyDescent="0.15">
      <c r="B83"/>
      <c r="C83"/>
      <c r="D83"/>
      <c r="E83"/>
      <c r="F83"/>
      <c r="G83"/>
      <c r="H83"/>
      <c r="I83"/>
      <c r="J83"/>
      <c r="K83"/>
      <c r="L83"/>
      <c r="M83"/>
      <c r="N83"/>
      <c r="O83"/>
      <c r="P83"/>
      <c r="Q83"/>
      <c r="R83"/>
      <c r="S83"/>
      <c r="T83"/>
      <c r="U83"/>
      <c r="V83"/>
      <c r="W83"/>
      <c r="X83"/>
      <c r="Y83"/>
      <c r="Z83"/>
      <c r="AA83"/>
      <c r="AB83"/>
      <c r="AC83"/>
      <c r="AD83"/>
      <c r="AE83"/>
      <c r="AF83"/>
      <c r="AG83"/>
      <c r="AH83"/>
      <c r="AI83"/>
      <c r="AJ83"/>
      <c r="AK83"/>
      <c r="AL83"/>
    </row>
    <row r="84" spans="2:38" ht="15" customHeight="1" x14ac:dyDescent="0.15">
      <c r="B84"/>
      <c r="C84"/>
      <c r="D84"/>
      <c r="E84"/>
      <c r="F84"/>
      <c r="G84"/>
      <c r="H84"/>
      <c r="I84"/>
      <c r="J84"/>
      <c r="K84"/>
      <c r="L84"/>
      <c r="M84"/>
      <c r="N84"/>
      <c r="O84"/>
      <c r="P84"/>
      <c r="Q84"/>
      <c r="R84"/>
      <c r="S84"/>
      <c r="T84"/>
      <c r="U84"/>
      <c r="V84"/>
      <c r="W84"/>
      <c r="X84"/>
      <c r="Y84"/>
      <c r="Z84"/>
      <c r="AA84"/>
      <c r="AB84"/>
      <c r="AC84"/>
      <c r="AD84"/>
      <c r="AE84"/>
      <c r="AF84"/>
      <c r="AG84"/>
      <c r="AH84"/>
      <c r="AI84"/>
      <c r="AJ84"/>
      <c r="AK84"/>
      <c r="AL84"/>
    </row>
    <row r="85" spans="2:38" ht="15" customHeight="1" x14ac:dyDescent="0.15">
      <c r="B85"/>
      <c r="C85"/>
      <c r="D85"/>
      <c r="E85"/>
      <c r="F85"/>
      <c r="G85"/>
      <c r="H85"/>
      <c r="I85"/>
      <c r="J85"/>
      <c r="K85"/>
      <c r="L85"/>
      <c r="M85"/>
      <c r="N85"/>
      <c r="O85"/>
      <c r="P85"/>
      <c r="Q85"/>
      <c r="R85"/>
      <c r="S85"/>
      <c r="T85"/>
      <c r="U85"/>
      <c r="V85"/>
      <c r="W85"/>
      <c r="X85"/>
      <c r="Y85"/>
      <c r="Z85"/>
      <c r="AA85"/>
      <c r="AB85"/>
      <c r="AC85"/>
      <c r="AD85"/>
      <c r="AE85"/>
      <c r="AF85"/>
      <c r="AG85"/>
      <c r="AH85"/>
      <c r="AI85"/>
      <c r="AJ85"/>
      <c r="AK85"/>
      <c r="AL85"/>
    </row>
    <row r="86" spans="2:38" ht="15" customHeight="1" x14ac:dyDescent="0.15">
      <c r="B86"/>
      <c r="C86"/>
      <c r="D86"/>
      <c r="E86"/>
      <c r="F86"/>
      <c r="G86"/>
      <c r="H86"/>
      <c r="I86"/>
      <c r="J86"/>
      <c r="K86"/>
      <c r="L86"/>
      <c r="M86"/>
      <c r="N86"/>
      <c r="O86"/>
      <c r="P86"/>
      <c r="Q86"/>
      <c r="R86"/>
      <c r="S86"/>
      <c r="T86"/>
      <c r="U86"/>
      <c r="V86"/>
      <c r="W86"/>
      <c r="X86"/>
      <c r="Y86"/>
      <c r="Z86"/>
      <c r="AA86"/>
      <c r="AB86"/>
      <c r="AC86"/>
      <c r="AD86"/>
      <c r="AE86"/>
      <c r="AF86"/>
      <c r="AG86"/>
      <c r="AH86"/>
      <c r="AI86"/>
      <c r="AJ86"/>
      <c r="AK86"/>
      <c r="AL86"/>
    </row>
    <row r="87" spans="2:38" ht="15" customHeight="1" x14ac:dyDescent="0.15">
      <c r="B87"/>
      <c r="C87"/>
      <c r="D87"/>
      <c r="E87"/>
      <c r="F87"/>
      <c r="G87"/>
      <c r="H87"/>
      <c r="I87"/>
      <c r="J87"/>
      <c r="K87"/>
      <c r="L87"/>
      <c r="M87"/>
      <c r="N87"/>
      <c r="O87"/>
      <c r="P87"/>
      <c r="Q87"/>
      <c r="R87"/>
      <c r="S87"/>
      <c r="T87"/>
      <c r="U87"/>
      <c r="V87"/>
      <c r="W87"/>
      <c r="X87"/>
      <c r="Y87"/>
      <c r="Z87"/>
      <c r="AA87"/>
      <c r="AB87"/>
      <c r="AC87"/>
      <c r="AD87"/>
      <c r="AE87"/>
      <c r="AF87"/>
      <c r="AG87"/>
      <c r="AH87"/>
      <c r="AI87"/>
      <c r="AJ87"/>
      <c r="AK87"/>
      <c r="AL87"/>
    </row>
    <row r="88" spans="2:38" ht="15" customHeight="1" x14ac:dyDescent="0.15">
      <c r="B88"/>
      <c r="C88"/>
      <c r="D88"/>
      <c r="E88"/>
      <c r="F88"/>
      <c r="G88"/>
      <c r="H88"/>
      <c r="I88"/>
      <c r="J88"/>
      <c r="K88"/>
      <c r="L88"/>
      <c r="M88"/>
      <c r="N88"/>
      <c r="O88"/>
      <c r="P88"/>
      <c r="Q88"/>
      <c r="R88"/>
      <c r="S88"/>
      <c r="T88"/>
      <c r="U88"/>
      <c r="V88"/>
      <c r="W88"/>
      <c r="X88"/>
      <c r="Y88"/>
      <c r="Z88"/>
      <c r="AA88"/>
      <c r="AB88"/>
      <c r="AC88"/>
      <c r="AD88"/>
      <c r="AE88"/>
      <c r="AF88"/>
      <c r="AG88"/>
      <c r="AH88"/>
      <c r="AI88"/>
      <c r="AJ88"/>
      <c r="AK88"/>
      <c r="AL88"/>
    </row>
    <row r="89" spans="2:38" ht="15" customHeight="1" x14ac:dyDescent="0.15">
      <c r="B89"/>
      <c r="C89"/>
      <c r="D89"/>
      <c r="E89"/>
      <c r="F89"/>
      <c r="G89"/>
      <c r="H89"/>
      <c r="I89"/>
      <c r="J89"/>
      <c r="K89"/>
      <c r="L89"/>
      <c r="M89"/>
      <c r="N89"/>
      <c r="O89"/>
      <c r="P89"/>
      <c r="Q89"/>
      <c r="R89"/>
      <c r="S89"/>
      <c r="T89"/>
      <c r="U89"/>
      <c r="V89"/>
      <c r="W89"/>
      <c r="X89"/>
      <c r="Y89"/>
      <c r="Z89"/>
      <c r="AA89"/>
      <c r="AB89"/>
      <c r="AC89"/>
      <c r="AD89"/>
      <c r="AE89"/>
      <c r="AF89"/>
      <c r="AG89"/>
      <c r="AH89"/>
      <c r="AI89"/>
      <c r="AJ89"/>
      <c r="AK89"/>
      <c r="AL89"/>
    </row>
    <row r="90" spans="2:38" ht="15" customHeight="1" x14ac:dyDescent="0.15">
      <c r="B90"/>
      <c r="C90"/>
      <c r="D90"/>
      <c r="E90"/>
      <c r="F90"/>
      <c r="G90"/>
      <c r="H90"/>
      <c r="I90"/>
      <c r="J90"/>
      <c r="K90"/>
      <c r="L90"/>
      <c r="M90"/>
      <c r="N90"/>
      <c r="O90"/>
      <c r="P90"/>
      <c r="Q90"/>
      <c r="R90"/>
      <c r="S90"/>
      <c r="T90"/>
      <c r="U90"/>
      <c r="V90"/>
      <c r="W90"/>
      <c r="X90"/>
      <c r="Y90"/>
      <c r="Z90"/>
      <c r="AA90"/>
      <c r="AB90"/>
      <c r="AC90"/>
      <c r="AD90"/>
      <c r="AE90"/>
      <c r="AF90"/>
      <c r="AG90"/>
      <c r="AH90"/>
      <c r="AI90"/>
      <c r="AJ90"/>
      <c r="AK90"/>
      <c r="AL90"/>
    </row>
    <row r="91" spans="2:38" ht="15" customHeight="1" x14ac:dyDescent="0.15">
      <c r="B91"/>
      <c r="C91"/>
      <c r="D91"/>
      <c r="E91"/>
      <c r="F91"/>
      <c r="G91"/>
      <c r="H91"/>
      <c r="I91"/>
      <c r="J91"/>
      <c r="K91"/>
      <c r="L91"/>
      <c r="M91"/>
      <c r="N91"/>
      <c r="O91"/>
      <c r="P91"/>
      <c r="Q91"/>
      <c r="R91"/>
      <c r="S91"/>
      <c r="T91"/>
      <c r="U91"/>
      <c r="V91"/>
      <c r="W91"/>
      <c r="X91"/>
      <c r="Y91"/>
      <c r="Z91"/>
      <c r="AA91"/>
      <c r="AB91"/>
      <c r="AC91"/>
      <c r="AD91"/>
      <c r="AE91"/>
      <c r="AF91"/>
      <c r="AG91"/>
      <c r="AH91"/>
      <c r="AI91"/>
      <c r="AJ91"/>
      <c r="AK91"/>
      <c r="AL91"/>
    </row>
    <row r="92" spans="2:38" ht="15" customHeight="1" x14ac:dyDescent="0.15">
      <c r="B92"/>
      <c r="C92"/>
      <c r="D92"/>
      <c r="E92"/>
      <c r="F92"/>
      <c r="G92"/>
      <c r="H92"/>
      <c r="I92"/>
      <c r="J92"/>
      <c r="K92"/>
      <c r="L92"/>
      <c r="M92"/>
      <c r="N92"/>
      <c r="O92"/>
      <c r="P92"/>
      <c r="Q92"/>
      <c r="R92"/>
      <c r="S92"/>
      <c r="T92"/>
      <c r="U92"/>
      <c r="V92"/>
      <c r="W92"/>
      <c r="X92"/>
      <c r="Y92"/>
      <c r="Z92"/>
      <c r="AA92"/>
      <c r="AB92"/>
      <c r="AC92"/>
      <c r="AD92"/>
      <c r="AE92"/>
      <c r="AF92"/>
      <c r="AG92"/>
      <c r="AH92"/>
      <c r="AI92"/>
      <c r="AJ92"/>
      <c r="AK92"/>
      <c r="AL92"/>
    </row>
    <row r="93" spans="2:38" ht="15" customHeight="1" x14ac:dyDescent="0.15">
      <c r="B93"/>
      <c r="C93"/>
      <c r="D93"/>
      <c r="E93"/>
      <c r="F93"/>
      <c r="G93"/>
      <c r="H93"/>
      <c r="I93"/>
      <c r="J93"/>
      <c r="K93"/>
      <c r="L93"/>
      <c r="M93"/>
      <c r="N93"/>
      <c r="O93"/>
      <c r="P93"/>
      <c r="Q93"/>
      <c r="R93"/>
      <c r="S93"/>
      <c r="T93"/>
      <c r="U93"/>
      <c r="V93"/>
      <c r="W93"/>
      <c r="X93"/>
      <c r="Y93"/>
      <c r="Z93"/>
      <c r="AA93"/>
      <c r="AB93"/>
      <c r="AC93"/>
      <c r="AD93"/>
      <c r="AE93"/>
      <c r="AF93"/>
      <c r="AG93"/>
      <c r="AH93"/>
      <c r="AI93"/>
      <c r="AJ93"/>
      <c r="AK93"/>
      <c r="AL93"/>
    </row>
    <row r="94" spans="2:38" ht="15" customHeight="1" x14ac:dyDescent="0.15">
      <c r="B94"/>
      <c r="C94"/>
      <c r="D94"/>
      <c r="E94"/>
      <c r="F94"/>
      <c r="G94"/>
      <c r="H94"/>
      <c r="I94"/>
      <c r="J94"/>
      <c r="K94"/>
      <c r="L94"/>
      <c r="M94"/>
      <c r="N94"/>
      <c r="O94"/>
      <c r="P94"/>
      <c r="Q94"/>
      <c r="R94"/>
      <c r="S94"/>
      <c r="T94"/>
      <c r="U94"/>
      <c r="V94"/>
      <c r="W94"/>
      <c r="X94"/>
      <c r="Y94"/>
      <c r="Z94"/>
      <c r="AA94"/>
      <c r="AB94"/>
      <c r="AC94"/>
      <c r="AD94"/>
      <c r="AE94"/>
      <c r="AF94"/>
      <c r="AG94"/>
      <c r="AH94"/>
      <c r="AI94"/>
      <c r="AJ94"/>
      <c r="AK94"/>
      <c r="AL94"/>
    </row>
    <row r="95" spans="2:38" ht="15" customHeight="1" x14ac:dyDescent="0.15">
      <c r="B95"/>
      <c r="C95"/>
      <c r="D95"/>
      <c r="E95"/>
      <c r="F95"/>
      <c r="G95"/>
      <c r="H95"/>
      <c r="I95"/>
      <c r="J95"/>
      <c r="K95"/>
      <c r="L95"/>
      <c r="M95"/>
      <c r="N95"/>
      <c r="O95"/>
      <c r="P95"/>
      <c r="Q95"/>
      <c r="R95"/>
      <c r="S95"/>
      <c r="T95"/>
      <c r="U95"/>
      <c r="V95"/>
      <c r="W95"/>
      <c r="X95"/>
      <c r="Y95"/>
      <c r="Z95"/>
      <c r="AA95"/>
      <c r="AB95"/>
      <c r="AC95"/>
      <c r="AD95"/>
      <c r="AE95"/>
      <c r="AF95"/>
      <c r="AG95"/>
      <c r="AH95"/>
      <c r="AI95"/>
      <c r="AJ95"/>
      <c r="AK95"/>
      <c r="AL95"/>
    </row>
    <row r="96" spans="2:38" ht="15" customHeight="1" x14ac:dyDescent="0.15">
      <c r="B96"/>
      <c r="C96"/>
      <c r="D96"/>
      <c r="E96"/>
      <c r="F96"/>
      <c r="G96"/>
      <c r="H96"/>
      <c r="I96"/>
      <c r="J96"/>
      <c r="K96"/>
      <c r="L96"/>
      <c r="M96"/>
      <c r="N96"/>
      <c r="O96"/>
      <c r="P96"/>
      <c r="Q96"/>
      <c r="R96"/>
      <c r="S96"/>
      <c r="T96"/>
      <c r="U96"/>
      <c r="V96"/>
      <c r="W96"/>
      <c r="X96"/>
      <c r="Y96"/>
      <c r="Z96"/>
      <c r="AA96"/>
      <c r="AB96"/>
      <c r="AC96"/>
      <c r="AD96"/>
      <c r="AE96"/>
      <c r="AF96"/>
      <c r="AG96"/>
      <c r="AH96"/>
      <c r="AI96"/>
      <c r="AJ96"/>
      <c r="AK96"/>
      <c r="AL96"/>
    </row>
    <row r="97" spans="2:38" ht="15" customHeight="1" x14ac:dyDescent="0.15">
      <c r="B97"/>
      <c r="C97"/>
      <c r="D97"/>
      <c r="E97"/>
      <c r="F97"/>
      <c r="G97"/>
      <c r="H97"/>
      <c r="I97"/>
      <c r="J97"/>
      <c r="K97"/>
      <c r="L97"/>
      <c r="M97"/>
      <c r="N97"/>
      <c r="O97"/>
      <c r="P97"/>
      <c r="Q97"/>
      <c r="R97"/>
      <c r="S97"/>
      <c r="T97"/>
      <c r="U97"/>
      <c r="V97"/>
      <c r="W97"/>
      <c r="X97"/>
      <c r="Y97"/>
      <c r="Z97"/>
      <c r="AA97"/>
      <c r="AB97"/>
      <c r="AC97"/>
      <c r="AD97"/>
      <c r="AE97"/>
      <c r="AF97"/>
      <c r="AG97"/>
      <c r="AH97"/>
      <c r="AI97"/>
      <c r="AJ97"/>
      <c r="AK97"/>
      <c r="AL97"/>
    </row>
    <row r="98" spans="2:38" ht="15" customHeight="1" x14ac:dyDescent="0.15">
      <c r="B98"/>
      <c r="C98"/>
      <c r="D98"/>
      <c r="E98"/>
      <c r="F98"/>
      <c r="G98"/>
      <c r="H98"/>
      <c r="I98"/>
      <c r="J98"/>
      <c r="K98"/>
      <c r="L98"/>
      <c r="M98"/>
      <c r="N98"/>
      <c r="O98"/>
      <c r="P98"/>
      <c r="Q98"/>
      <c r="R98"/>
      <c r="S98"/>
      <c r="T98"/>
      <c r="U98"/>
      <c r="V98"/>
      <c r="W98"/>
      <c r="X98"/>
      <c r="Y98"/>
      <c r="Z98"/>
      <c r="AA98"/>
      <c r="AB98"/>
      <c r="AC98"/>
      <c r="AD98"/>
      <c r="AE98"/>
      <c r="AF98"/>
      <c r="AG98"/>
      <c r="AH98"/>
      <c r="AI98"/>
      <c r="AJ98"/>
      <c r="AK98"/>
      <c r="AL98"/>
    </row>
    <row r="99" spans="2:38" ht="15" customHeight="1" x14ac:dyDescent="0.15">
      <c r="B99"/>
      <c r="C99"/>
      <c r="D99"/>
      <c r="E99"/>
      <c r="F99"/>
      <c r="G99"/>
      <c r="H99"/>
      <c r="I99"/>
      <c r="J99"/>
      <c r="K99"/>
      <c r="L99"/>
      <c r="M99"/>
      <c r="N99"/>
      <c r="O99"/>
      <c r="P99"/>
      <c r="Q99"/>
      <c r="R99"/>
      <c r="S99"/>
      <c r="T99"/>
      <c r="U99"/>
      <c r="V99"/>
      <c r="W99"/>
      <c r="X99"/>
      <c r="Y99"/>
      <c r="Z99"/>
      <c r="AA99"/>
      <c r="AB99"/>
      <c r="AC99"/>
      <c r="AD99"/>
      <c r="AE99"/>
      <c r="AF99"/>
      <c r="AG99"/>
      <c r="AH99"/>
      <c r="AI99"/>
      <c r="AJ99"/>
      <c r="AK99"/>
      <c r="AL99"/>
    </row>
    <row r="100" spans="2:38" ht="15" customHeight="1" x14ac:dyDescent="0.15">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row>
    <row r="101" spans="2:38" ht="15" customHeight="1" x14ac:dyDescent="0.15">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row>
    <row r="102" spans="2:38" ht="15" customHeight="1" x14ac:dyDescent="0.15">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row>
    <row r="103" spans="2:38" ht="15" customHeight="1" x14ac:dyDescent="0.15">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row>
    <row r="104" spans="2:38" ht="15" customHeight="1" x14ac:dyDescent="0.15">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row>
    <row r="105" spans="2:38" ht="15" customHeight="1" x14ac:dyDescent="0.1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row>
    <row r="106" spans="2:38" ht="15" customHeight="1" x14ac:dyDescent="0.15">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row>
    <row r="107" spans="2:38" ht="15" customHeight="1" x14ac:dyDescent="0.15">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row>
    <row r="108" spans="2:38" ht="15" customHeight="1" x14ac:dyDescent="0.15">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row>
    <row r="109" spans="2:38" ht="15" customHeight="1" x14ac:dyDescent="0.15">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row>
    <row r="110" spans="2:38" ht="15" customHeight="1" x14ac:dyDescent="0.15">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row>
    <row r="111" spans="2:38" ht="15" customHeight="1" x14ac:dyDescent="0.15">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row>
    <row r="112" spans="2:38" ht="15" customHeight="1" x14ac:dyDescent="0.15">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row>
    <row r="113" spans="2:38" ht="15" customHeight="1" x14ac:dyDescent="0.15">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row>
    <row r="114" spans="2:38" ht="15" customHeight="1" x14ac:dyDescent="0.15">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row>
    <row r="115" spans="2:38" ht="15" customHeight="1" x14ac:dyDescent="0.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row>
    <row r="116" spans="2:38" ht="15" customHeight="1" x14ac:dyDescent="0.15">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row>
    <row r="117" spans="2:38" ht="15" customHeight="1" x14ac:dyDescent="0.15">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row>
    <row r="118" spans="2:38" ht="15" customHeight="1" x14ac:dyDescent="0.15">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row>
    <row r="119" spans="2:38" ht="15" customHeight="1" x14ac:dyDescent="0.15">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row>
    <row r="120" spans="2:38" ht="15" customHeight="1" x14ac:dyDescent="0.15">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row>
    <row r="121" spans="2:38" ht="15" customHeight="1" x14ac:dyDescent="0.15">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row>
    <row r="122" spans="2:38" ht="15" customHeight="1" x14ac:dyDescent="0.15">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row>
    <row r="123" spans="2:38" ht="15" customHeight="1" x14ac:dyDescent="0.15">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row>
    <row r="124" spans="2:38" ht="15" customHeight="1" x14ac:dyDescent="0.15">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row>
    <row r="125" spans="2:38" ht="15" customHeight="1" x14ac:dyDescent="0.1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row>
    <row r="126" spans="2:38" ht="15" customHeight="1" x14ac:dyDescent="0.15">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row>
    <row r="127" spans="2:38" ht="15" customHeight="1" x14ac:dyDescent="0.15">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row>
    <row r="128" spans="2:38" ht="15" customHeight="1" x14ac:dyDescent="0.15">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row>
    <row r="129" spans="2:38" ht="15" customHeight="1" x14ac:dyDescent="0.15">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row>
    <row r="130" spans="2:38" ht="15" customHeight="1" x14ac:dyDescent="0.15">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row>
    <row r="131" spans="2:38" ht="15" customHeight="1" x14ac:dyDescent="0.15">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row>
    <row r="132" spans="2:38" ht="15" customHeight="1" x14ac:dyDescent="0.15">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row>
    <row r="133" spans="2:38" ht="15" customHeight="1" x14ac:dyDescent="0.15">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row>
    <row r="134" spans="2:38" ht="15" customHeight="1" x14ac:dyDescent="0.15">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row>
    <row r="135" spans="2:38" ht="15" customHeight="1" x14ac:dyDescent="0.1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row>
    <row r="136" spans="2:38" ht="15" customHeight="1" x14ac:dyDescent="0.15">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row>
    <row r="137" spans="2:38" ht="15" customHeight="1" x14ac:dyDescent="0.15">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row>
    <row r="138" spans="2:38" ht="15" customHeight="1" x14ac:dyDescent="0.15">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row>
    <row r="139" spans="2:38" ht="15" customHeight="1" x14ac:dyDescent="0.15">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row>
    <row r="140" spans="2:38" ht="15" customHeight="1" x14ac:dyDescent="0.15">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row>
    <row r="141" spans="2:38" ht="15" customHeight="1" x14ac:dyDescent="0.15">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row>
    <row r="142" spans="2:38" ht="15" customHeight="1" x14ac:dyDescent="0.15">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row>
    <row r="143" spans="2:38" ht="15" customHeight="1" x14ac:dyDescent="0.15">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row>
    <row r="144" spans="2:38" ht="15" customHeight="1" x14ac:dyDescent="0.15">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row>
    <row r="145" spans="2:38" ht="15" customHeight="1" x14ac:dyDescent="0.1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row>
    <row r="146" spans="2:38" ht="15" customHeight="1" x14ac:dyDescent="0.15">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row>
    <row r="147" spans="2:38" ht="15" customHeight="1" x14ac:dyDescent="0.15">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row>
    <row r="148" spans="2:38" ht="15" customHeight="1" x14ac:dyDescent="0.15">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row>
    <row r="149" spans="2:38" ht="15" customHeight="1" x14ac:dyDescent="0.15">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row>
    <row r="150" spans="2:38" ht="15" customHeight="1" x14ac:dyDescent="0.15">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row>
    <row r="151" spans="2:38" ht="15" customHeight="1" x14ac:dyDescent="0.15">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row>
    <row r="152" spans="2:38" ht="15" customHeight="1" x14ac:dyDescent="0.15">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row>
    <row r="153" spans="2:38" ht="15" customHeight="1" x14ac:dyDescent="0.15">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row>
    <row r="154" spans="2:38" ht="15" customHeight="1" x14ac:dyDescent="0.15">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row>
    <row r="155" spans="2:38" ht="15" customHeight="1" x14ac:dyDescent="0.1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row>
    <row r="156" spans="2:38" ht="15" customHeight="1" x14ac:dyDescent="0.15">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row>
    <row r="157" spans="2:38" ht="15" customHeight="1" x14ac:dyDescent="0.15">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row>
    <row r="158" spans="2:38" ht="15" customHeight="1" x14ac:dyDescent="0.15">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row>
    <row r="159" spans="2:38" ht="15" customHeight="1" x14ac:dyDescent="0.15">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row>
    <row r="160" spans="2:38" ht="15" customHeight="1" x14ac:dyDescent="0.15">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row>
    <row r="161" spans="2:38" ht="15" customHeight="1" x14ac:dyDescent="0.15">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row>
    <row r="162" spans="2:38" ht="15" customHeight="1" x14ac:dyDescent="0.15">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row>
    <row r="163" spans="2:38" ht="15" customHeight="1" x14ac:dyDescent="0.15">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row>
    <row r="164" spans="2:38" ht="15" customHeight="1" x14ac:dyDescent="0.15">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row>
    <row r="165" spans="2:38" ht="15" customHeight="1" x14ac:dyDescent="0.1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row>
    <row r="166" spans="2:38" ht="15" customHeight="1" x14ac:dyDescent="0.15">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row>
    <row r="167" spans="2:38" ht="15" customHeight="1" x14ac:dyDescent="0.15">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row>
    <row r="168" spans="2:38" ht="15" customHeight="1" x14ac:dyDescent="0.15">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row>
    <row r="169" spans="2:38" ht="15" customHeight="1" x14ac:dyDescent="0.15">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row>
    <row r="170" spans="2:38" ht="15" customHeight="1" x14ac:dyDescent="0.15">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row>
    <row r="171" spans="2:38" ht="15" customHeight="1" x14ac:dyDescent="0.15">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row>
    <row r="172" spans="2:38" ht="15" customHeight="1" x14ac:dyDescent="0.15">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row>
    <row r="173" spans="2:38" ht="15" customHeight="1" x14ac:dyDescent="0.15">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row>
    <row r="174" spans="2:38" ht="15" customHeight="1" x14ac:dyDescent="0.15">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row>
    <row r="175" spans="2:38" ht="15" customHeight="1" x14ac:dyDescent="0.1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row>
    <row r="176" spans="2:38" ht="15" customHeight="1" x14ac:dyDescent="0.15">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row>
    <row r="177" spans="2:38" ht="15" customHeight="1" x14ac:dyDescent="0.15">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row>
    <row r="178" spans="2:38" ht="15" customHeight="1" x14ac:dyDescent="0.15">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row>
    <row r="179" spans="2:38" ht="15" customHeight="1" x14ac:dyDescent="0.15">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row>
    <row r="180" spans="2:38" ht="15" customHeight="1" x14ac:dyDescent="0.15">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row>
    <row r="181" spans="2:38" ht="15" customHeight="1" x14ac:dyDescent="0.15">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row>
    <row r="182" spans="2:38" ht="15" customHeight="1" x14ac:dyDescent="0.15">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row>
    <row r="183" spans="2:38" ht="15" customHeight="1" x14ac:dyDescent="0.15">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row>
    <row r="184" spans="2:38" ht="15" customHeight="1" x14ac:dyDescent="0.15">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row>
    <row r="185" spans="2:38" ht="15" customHeight="1" x14ac:dyDescent="0.1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row>
    <row r="186" spans="2:38" ht="15" customHeight="1" x14ac:dyDescent="0.15">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row>
    <row r="187" spans="2:38" ht="15" customHeight="1" x14ac:dyDescent="0.15">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row>
    <row r="188" spans="2:38" ht="15" customHeight="1" x14ac:dyDescent="0.15">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row>
    <row r="192" spans="2:38" ht="15" customHeight="1" x14ac:dyDescent="0.15">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16</vt:i4>
      </vt:variant>
      <vt:variant>
        <vt:lpstr>Named Ranges</vt:lpstr>
      </vt:variant>
      <vt:variant>
        <vt:i4>20</vt:i4>
      </vt:variant>
    </vt:vector>
  </HeadingPairs>
  <TitlesOfParts>
    <vt:vector size="36" baseType="lpstr">
      <vt:lpstr>READ ME</vt:lpstr>
      <vt:lpstr>Main</vt:lpstr>
      <vt:lpstr>Diets</vt:lpstr>
      <vt:lpstr>Detritus</vt:lpstr>
      <vt:lpstr>Fishing</vt:lpstr>
      <vt:lpstr>Discards</vt:lpstr>
      <vt:lpstr>pedigree_Parameters</vt:lpstr>
      <vt:lpstr>pedigree_Diet</vt:lpstr>
      <vt:lpstr>pedigree_DietPrefRules</vt:lpstr>
      <vt:lpstr>pedigree_Landings</vt:lpstr>
      <vt:lpstr>pedigree_Discards</vt:lpstr>
      <vt:lpstr>MainOutputs</vt:lpstr>
      <vt:lpstr>Mortalities</vt:lpstr>
      <vt:lpstr>EcotranType</vt:lpstr>
      <vt:lpstr>EcotranRecycling</vt:lpstr>
      <vt:lpstr>FunctionalResponse</vt:lpstr>
      <vt:lpstr>cornerBasic</vt:lpstr>
      <vt:lpstr>cornerBasicOut</vt:lpstr>
      <vt:lpstr>cornerDetritus</vt:lpstr>
      <vt:lpstr>cornerDiets</vt:lpstr>
      <vt:lpstr>cornerDiscards</vt:lpstr>
      <vt:lpstr>cornerFishing</vt:lpstr>
      <vt:lpstr>cornerMort</vt:lpstr>
      <vt:lpstr>FishingLinks</vt:lpstr>
      <vt:lpstr>matBasic</vt:lpstr>
      <vt:lpstr>matDetritus</vt:lpstr>
      <vt:lpstr>matDiet</vt:lpstr>
      <vt:lpstr>matDiscards</vt:lpstr>
      <vt:lpstr>matFishery</vt:lpstr>
      <vt:lpstr>matMort</vt:lpstr>
      <vt:lpstr>matOut</vt:lpstr>
      <vt:lpstr>NumDead</vt:lpstr>
      <vt:lpstr>NumGears</vt:lpstr>
      <vt:lpstr>NumLiving</vt:lpstr>
      <vt:lpstr>PredPreyLinks</vt:lpstr>
      <vt:lpstr>vecBB</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Microsoft Office User</cp:lastModifiedBy>
  <cp:lastPrinted>2003-08-05T17:15:48Z</cp:lastPrinted>
  <dcterms:created xsi:type="dcterms:W3CDTF">1996-10-14T23:33:28Z</dcterms:created>
  <dcterms:modified xsi:type="dcterms:W3CDTF">2023-08-14T23:35:29Z</dcterms:modified>
</cp:coreProperties>
</file>