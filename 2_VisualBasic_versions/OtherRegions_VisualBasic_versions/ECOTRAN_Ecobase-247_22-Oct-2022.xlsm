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OtherRegions_ECOTRAN_K-path_versions/"/>
    </mc:Choice>
  </mc:AlternateContent>
  <xr:revisionPtr revIDLastSave="0" documentId="13_ncr:1_{1423D36B-DBED-0640-82E6-E27934A92A3B}" xr6:coauthVersionLast="45" xr6:coauthVersionMax="45" xr10:uidLastSave="{00000000-0000-0000-0000-000000000000}"/>
  <bookViews>
    <workbookView xWindow="0" yWindow="460" windowWidth="25600" windowHeight="14240" tabRatio="728" activeTab="2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Main!$C$2:$N$22</definedName>
    <definedName name="matDetritus">Detritus!$C$2:$E$22</definedName>
    <definedName name="matDiet">Diets!$B$2:$S$22</definedName>
    <definedName name="matDiscards">Discards!$C$2:$C$21</definedName>
    <definedName name="matFishery">Fishing!$C$2:$C$21</definedName>
    <definedName name="matFishing">Fishing!#REF!</definedName>
    <definedName name="matMort">Mortalities!$A$1:$X$21</definedName>
    <definedName name="matOut">MainOutputs!$A$2:$I$22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<sst xmlns="http://schemas.openxmlformats.org/spreadsheetml/2006/main" count="725" uniqueCount="218">
  <si>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</si>
  <si>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</si>
  <si>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</si>
  <si>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</si>
  <si>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</si>
  <si>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</si>
  <si>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</si>
  <si>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</si>
  <si>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</si>
  <si>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</si>
  <si>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</si>
  <si>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</si>
  <si>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</si>
  <si>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</si>
  <si>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</si>
  <si>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</si>
  <si>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</si>
  <si>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</si>
  <si>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</si>
  <si>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</si>
  <si>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</si>
  <si>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</si>
  <si>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</si>
  <si>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</si>
  <si>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</si>
  <si>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</si>
  <si>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</si>
  <si>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</si>
  <si>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</si>
  <si>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</si>
  <si>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</si>
  <si>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</si>
  <si>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</si>
  <si>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</si>
  <si>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</si>
  <si>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</si>
  <si>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</si>
  <si>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</si>
  <si>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</si>
  <si>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</si>
  <si>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</si>
  <si>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</si>
  <si>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</si>
  <si>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</si>
  <si>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</si>
  <si>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</si>
  <si>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</si>
  <si>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</si>
  <si>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</si>
  <si>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</si>
  <si>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</si>
  <si>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</si>
  <si>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</si>
  <si>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</si>
  <si>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</si>
  <si>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</si>
  <si>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</si>
  <si>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</si>
  <si>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</si>
  <si>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</si>
  <si>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</si>
  <si>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</si>
  <si>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</si>
  <si>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</si>
  <si>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</si>
  <si>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</si>
  <si>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</si>
  <si>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</si>
  <si>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</si>
  <si>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</si>
  <si>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</si>
  <si>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</si>
  <si>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</si>
  <si>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</si>
  <si>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</si>
  <si>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</si>
  <si>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</si>
  <si>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</si>
  <si>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</si>
  <si>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</si>
  <si>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</si>
  <si>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</si>
  <si>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</si>
  <si>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</si>
  <si>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</si>
  <si>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</si>
  <si>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</si>
  <si>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</si>
  <si>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</si>
  <si>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</si>
  <si>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</si>
  <si>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</si>
  <si>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</si>
  <si>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</si>
  <si>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</si>
  <si>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</si>
  <si>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</si>
  <si>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</si>
  <si>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</si>
  <si>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</si>
  <si>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</si>
  <si>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</si>
  <si>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</si>
  <si>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</si>
  <si>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</si>
  <si>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</si>
  <si>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</si>
  <si>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</si>
  <si>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</si>
  <si>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</si>
  <si>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</si>
  <si>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</si>
  <si>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</si>
  <si>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</si>
  <si>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</si>
  <si>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</si>
  <si>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</si>
  <si>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</si>
  <si>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</si>
  <si>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</si>
  <si>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</si>
  <si>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</si>
  <si>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</si>
  <si>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</si>
  <si>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</si>
  <si>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</si>
  <si>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</si>
  <si>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</si>
  <si>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</si>
  <si>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</si>
  <si>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</si>
  <si>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</si>
  <si>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</si>
  <si>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</si>
  <si>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</si>
  <si>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</si>
  <si>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</si>
  <si>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</si>
  <si>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</si>
  <si>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</si>
  <si>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</si>
  <si>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</si>
  <si>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</si>
  <si>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</si>
  <si>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</si>
  <si>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</si>
  <si>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</si>
  <si>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</si>
  <si>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</si>
  <si>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</si>
  <si>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</si>
  <si>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</si>
  <si>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</si>
  <si>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</si>
  <si>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</si>
  <si>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</si>
  <si>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</si>
  <si>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</si>
  <si>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</si>
  <si>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</si>
  <si>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</si>
  <si>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</si>
  <si>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</si>
  <si>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</si>
  <si>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</si>
  <si>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</si>
  <si>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</si>
  <si>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</si>
  <si>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</si>
  <si>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</si>
  <si>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</si>
  <si>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</si>
  <si>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</si>
  <si>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</si>
  <si>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</si>
  <si>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</si>
  <si>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</si>
  <si>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</si>
  <si>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</si>
  <si>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</si>
  <si>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</si>
  <si>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</si>
  <si>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</si>
  <si>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</si>
  <si>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</si>
  <si>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Celestun mangrove</t>
  </si>
  <si>
    <t>Mexico</t>
  </si>
  <si>
    <t>BOX(-90.4135115335966 20.7754664241315,-90.3268336271847 20.9620652101388)</t>
  </si>
  <si>
    <t>coastal lagoon</t>
  </si>
  <si>
    <t>WetWeight</t>
  </si>
  <si>
    <t>; 23/1/2007 12:38:39 p.m.; 23/1/2007 12:48:55 p.m.; 23/1/2007 01:00:31 p.m.</t>
  </si>
  <si>
    <t>Vega-Cendejas M.E.,Arreguı́n-Sánchez F.(2001). Energy fluxes in a mangrove ecosystem from a coastal lagoon in Yucatan Peninsula, Mexico Ecological Modelling. pp 119-133</t>
  </si>
  <si>
    <t>Fitoplanctofag.</t>
  </si>
  <si>
    <t>Zooplanktofagos</t>
  </si>
  <si>
    <t>Cons.mic.fitopl</t>
  </si>
  <si>
    <t>Con.mic.zoo.fit</t>
  </si>
  <si>
    <t>Con.micro.zoopl</t>
  </si>
  <si>
    <t>Con.microcr.zoo</t>
  </si>
  <si>
    <t>Cons.microrustr</t>
  </si>
  <si>
    <t>Omnivoros</t>
  </si>
  <si>
    <t>Piscivoros</t>
  </si>
  <si>
    <t>Otros peces</t>
  </si>
  <si>
    <t>Zooplankton</t>
  </si>
  <si>
    <t>Insectos</t>
  </si>
  <si>
    <t>Microcrustaceos</t>
  </si>
  <si>
    <t>Macrocrustaceos</t>
  </si>
  <si>
    <t>Moluscus</t>
  </si>
  <si>
    <t>Poliquetos</t>
  </si>
  <si>
    <t>Fitoplancton</t>
  </si>
  <si>
    <t>Macrofitas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</si>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</sst>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8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FF47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E1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1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9" borderId="2" xfId="0" applyFont="1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9" borderId="5" xfId="0" applyFill="1" applyBorder="1"/>
    <xf numFmtId="0" fontId="0" fillId="19" borderId="6" xfId="0" applyFill="1" applyBorder="1"/>
    <xf numFmtId="0" fontId="0" fillId="19" borderId="7" xfId="0" applyFill="1" applyBorder="1"/>
    <xf numFmtId="0" fontId="0" fillId="19" borderId="8" xfId="0" applyFill="1" applyBorder="1"/>
    <xf numFmtId="0" fontId="0" fillId="19" borderId="9" xfId="0" applyFill="1" applyBorder="1"/>
    <xf numFmtId="0" fontId="0" fillId="19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0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9" borderId="3" xfId="0" applyNumberFormat="1" applyFont="1" applyFill="1" applyBorder="1"/>
    <xf numFmtId="0" fontId="0" fillId="29" borderId="2" xfId="0" applyFont="1" applyFill="1" applyBorder="1"/>
    <xf numFmtId="0" fontId="0" fillId="29" borderId="3" xfId="0" applyFont="1" applyFill="1" applyBorder="1"/>
    <xf numFmtId="0" fontId="0" fillId="2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1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9" borderId="2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19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2" borderId="0" xfId="0" applyFill="1"/>
    <xf numFmtId="0" fontId="0" fillId="3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46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6" t="s">
        <v>164</v>
      </c>
    </row>
    <row r="6" spans="2:4" ht="14" thickBot="1" x14ac:dyDescent="0.2">
      <c r="B6" s="40" t="s">
        <v>141</v>
      </c>
    </row>
    <row r="7" spans="2:4" x14ac:dyDescent="0.15">
      <c r="B7" s="56" t="s">
        <v>143</v>
      </c>
    </row>
    <row r="8" spans="2:4" x14ac:dyDescent="0.15">
      <c r="B8" s="56" t="s">
        <v>142</v>
      </c>
    </row>
    <row r="9" spans="2:4" x14ac:dyDescent="0.15">
      <c r="B9" s="56" t="s">
        <v>144</v>
      </c>
    </row>
    <row r="10" spans="2:4" x14ac:dyDescent="0.15">
      <c r="B10" s="56" t="s">
        <v>147</v>
      </c>
    </row>
    <row r="11" spans="2:4" x14ac:dyDescent="0.15">
      <c r="B11" s="56" t="s">
        <v>151</v>
      </c>
    </row>
    <row r="12" spans="2:4" x14ac:dyDescent="0.15">
      <c r="B12" s="56" t="s">
        <v>153</v>
      </c>
    </row>
    <row r="13" spans="2:4" x14ac:dyDescent="0.15">
      <c r="B13" s="56" t="s">
        <v>165</v>
      </c>
    </row>
    <row r="15" spans="2:4" ht="14" thickBot="1" x14ac:dyDescent="0.2"/>
    <row r="16" spans="2:4" ht="14" thickBot="1" x14ac:dyDescent="0.2">
      <c r="B16" s="41" t="s">
        <v>137</v>
      </c>
      <c r="C16" s="42"/>
      <c r="D16" s="24">
        <v>41373</v>
      </c>
    </row>
    <row r="17" spans="2:4" x14ac:dyDescent="0.15">
      <c r="B17" s="43" t="s">
        <v>58</v>
      </c>
      <c r="C17" s="27">
        <v>0</v>
      </c>
    </row>
    <row r="18" spans="2:4" x14ac:dyDescent="0.15">
      <c r="B18" s="43" t="s">
        <v>59</v>
      </c>
      <c r="C18" s="27">
        <v>1</v>
      </c>
    </row>
    <row r="19" spans="2:4" x14ac:dyDescent="0.15">
      <c r="B19" s="43" t="s">
        <v>60</v>
      </c>
      <c r="C19" s="27">
        <v>2</v>
      </c>
    </row>
    <row r="20" spans="2:4" ht="14" thickBot="1" x14ac:dyDescent="0.2">
      <c r="B20" s="44" t="s">
        <v>44</v>
      </c>
      <c r="C20" s="28">
        <v>3</v>
      </c>
    </row>
    <row r="21" spans="2:4" x14ac:dyDescent="0.15">
      <c r="B21" s="45" t="s">
        <v>140</v>
      </c>
    </row>
    <row r="22" spans="2:4" ht="14" thickBot="1" x14ac:dyDescent="0.2"/>
    <row r="23" spans="2:4" ht="14" thickBot="1" x14ac:dyDescent="0.2">
      <c r="B23" s="41" t="s">
        <v>65</v>
      </c>
      <c r="C23" s="42"/>
      <c r="D23" s="24" t="s">
        <v>148</v>
      </c>
    </row>
    <row r="24" spans="2:4" x14ac:dyDescent="0.15">
      <c r="B24" s="47" t="s">
        <v>38</v>
      </c>
      <c r="C24" s="25">
        <v>1</v>
      </c>
    </row>
    <row r="25" spans="2:4" x14ac:dyDescent="0.15">
      <c r="B25" s="43" t="s">
        <v>40</v>
      </c>
      <c r="C25" s="27">
        <v>1.1000000000000001</v>
      </c>
    </row>
    <row r="26" spans="2:4" x14ac:dyDescent="0.15">
      <c r="B26" s="43" t="s">
        <v>41</v>
      </c>
      <c r="C26" s="27">
        <v>1.2</v>
      </c>
    </row>
    <row r="27" spans="2:4" x14ac:dyDescent="0.15">
      <c r="B27" s="43"/>
      <c r="C27" s="27"/>
    </row>
    <row r="28" spans="2:4" x14ac:dyDescent="0.15">
      <c r="B28" s="43" t="s">
        <v>42</v>
      </c>
      <c r="C28" s="27">
        <v>2.1</v>
      </c>
    </row>
    <row r="29" spans="2:4" x14ac:dyDescent="0.15">
      <c r="B29" s="43" t="s">
        <v>43</v>
      </c>
      <c r="C29" s="27">
        <v>2.2000000000000002</v>
      </c>
    </row>
    <row r="30" spans="2:4" x14ac:dyDescent="0.15">
      <c r="B30" s="43" t="s">
        <v>67</v>
      </c>
      <c r="C30" s="27">
        <v>2.2999999999999998</v>
      </c>
    </row>
    <row r="31" spans="2:4" x14ac:dyDescent="0.15">
      <c r="B31" s="43"/>
      <c r="C31" s="27"/>
    </row>
    <row r="32" spans="2:4" x14ac:dyDescent="0.15">
      <c r="B32" s="43" t="s">
        <v>62</v>
      </c>
      <c r="C32" s="27">
        <v>3.11</v>
      </c>
    </row>
    <row r="33" spans="2:3" x14ac:dyDescent="0.15">
      <c r="B33" s="43" t="s">
        <v>61</v>
      </c>
      <c r="C33" s="27">
        <v>3.12</v>
      </c>
    </row>
    <row r="34" spans="2:3" x14ac:dyDescent="0.15">
      <c r="B34" s="43" t="s">
        <v>68</v>
      </c>
      <c r="C34" s="27">
        <v>3.13</v>
      </c>
    </row>
    <row r="35" spans="2:3" x14ac:dyDescent="0.15">
      <c r="B35" s="43"/>
      <c r="C35" s="27"/>
    </row>
    <row r="36" spans="2:3" x14ac:dyDescent="0.15">
      <c r="B36" s="43" t="s">
        <v>66</v>
      </c>
      <c r="C36" s="27">
        <v>3.21</v>
      </c>
    </row>
    <row r="37" spans="2:3" x14ac:dyDescent="0.15">
      <c r="B37" s="43" t="s">
        <v>63</v>
      </c>
      <c r="C37" s="27">
        <v>3.22</v>
      </c>
    </row>
    <row r="38" spans="2:3" x14ac:dyDescent="0.15">
      <c r="B38" s="43" t="s">
        <v>69</v>
      </c>
      <c r="C38" s="27">
        <v>3.23</v>
      </c>
    </row>
    <row r="39" spans="2:3" x14ac:dyDescent="0.15">
      <c r="B39" s="43"/>
      <c r="C39" s="27"/>
    </row>
    <row r="40" spans="2:3" x14ac:dyDescent="0.15">
      <c r="B40" s="43" t="s">
        <v>64</v>
      </c>
      <c r="C40" s="27">
        <v>8</v>
      </c>
    </row>
    <row r="41" spans="2:3" x14ac:dyDescent="0.15">
      <c r="B41" s="43"/>
      <c r="C41" s="27"/>
    </row>
    <row r="42" spans="2:3" x14ac:dyDescent="0.15">
      <c r="B42" s="43" t="s">
        <v>71</v>
      </c>
      <c r="C42" s="27">
        <v>4.0999999999999996</v>
      </c>
    </row>
    <row r="43" spans="2:3" x14ac:dyDescent="0.15">
      <c r="B43" s="43" t="s">
        <v>70</v>
      </c>
      <c r="C43" s="27">
        <v>4.2</v>
      </c>
    </row>
    <row r="44" spans="2:3" x14ac:dyDescent="0.15">
      <c r="B44" s="43" t="s">
        <v>72</v>
      </c>
      <c r="C44" s="27">
        <v>4.3</v>
      </c>
    </row>
    <row r="45" spans="2:3" x14ac:dyDescent="0.15">
      <c r="B45" s="26"/>
      <c r="C45" s="27"/>
    </row>
    <row r="46" spans="2:3" x14ac:dyDescent="0.15">
      <c r="B46" s="43" t="s">
        <v>138</v>
      </c>
      <c r="C46" s="27">
        <v>6.1</v>
      </c>
    </row>
    <row r="47" spans="2:3" x14ac:dyDescent="0.15">
      <c r="B47" s="43" t="s">
        <v>45</v>
      </c>
      <c r="C47" s="27">
        <v>6.2</v>
      </c>
    </row>
    <row r="48" spans="2:3" x14ac:dyDescent="0.15">
      <c r="B48" s="43"/>
      <c r="C48" s="27"/>
    </row>
    <row r="49" spans="2:4" x14ac:dyDescent="0.15">
      <c r="B49" s="43" t="s">
        <v>44</v>
      </c>
      <c r="C49" s="27">
        <v>5</v>
      </c>
    </row>
    <row r="50" spans="2:4" x14ac:dyDescent="0.15">
      <c r="B50" s="43"/>
      <c r="C50" s="27"/>
    </row>
    <row r="51" spans="2:4" ht="14" thickBot="1" x14ac:dyDescent="0.2">
      <c r="B51" s="44" t="s">
        <v>73</v>
      </c>
      <c r="C51" s="28">
        <v>7</v>
      </c>
    </row>
    <row r="53" spans="2:4" x14ac:dyDescent="0.15">
      <c r="B53" s="151" t="s">
        <v>171</v>
      </c>
      <c r="C53" s="96">
        <v>247</v>
      </c>
      <c r="D53" s="96"/>
    </row>
    <row r="54" spans="2:4" x14ac:dyDescent="0.15">
      <c r="B54" s="151" t="s">
        <v>172</v>
      </c>
      <c r="C54" s="151" t="s">
        <v>185</v>
      </c>
      <c r="D54" s="96"/>
    </row>
    <row r="55" spans="2:4" x14ac:dyDescent="0.15">
      <c r="B55" s="151" t="s">
        <v>173</v>
      </c>
      <c r="C55" s="151" t="s">
        <v>186</v>
      </c>
      <c r="D55" s="96"/>
    </row>
    <row r="56" spans="2:4" x14ac:dyDescent="0.15">
      <c r="B56" s="151" t="s">
        <v>174</v>
      </c>
      <c r="C56" s="96">
        <v>28</v>
      </c>
      <c r="D56" s="96"/>
    </row>
    <row r="57" spans="2:4" x14ac:dyDescent="0.15">
      <c r="B57" s="151" t="s">
        <v>175</v>
      </c>
      <c r="C57" s="151" t="s">
        <v>187</v>
      </c>
      <c r="D57" s="96"/>
    </row>
    <row r="58" spans="2:4" x14ac:dyDescent="0.15">
      <c r="B58" s="151" t="s">
        <v>176</v>
      </c>
      <c r="C58" s="151" t="s">
        <v>188</v>
      </c>
      <c r="D58" s="96"/>
    </row>
    <row r="59" spans="2:4" x14ac:dyDescent="0.15">
      <c r="B59" s="151" t="s">
        <v>177</v>
      </c>
      <c r="C59" s="151" t="s">
        <v>189</v>
      </c>
      <c r="D59" s="96"/>
    </row>
    <row r="60" spans="2:4" x14ac:dyDescent="0.15">
      <c r="B60" s="151" t="s">
        <v>178</v>
      </c>
      <c r="C60" s="151" t="s">
        <v>190</v>
      </c>
      <c r="D60" s="96"/>
    </row>
    <row r="61" spans="2:4" x14ac:dyDescent="0.15">
      <c r="B61" s="151" t="s">
        <v>179</v>
      </c>
      <c r="C61" s="96">
        <v>19</v>
      </c>
      <c r="D61" s="96"/>
    </row>
    <row r="62" spans="2:4" x14ac:dyDescent="0.15">
      <c r="B62" s="151" t="s">
        <v>180</v>
      </c>
      <c r="C62" s="96">
        <v>1</v>
      </c>
      <c r="D62" s="96"/>
    </row>
    <row r="63" spans="2:4" x14ac:dyDescent="0.15">
      <c r="B63" s="151" t="s">
        <v>181</v>
      </c>
      <c r="C63" s="96">
        <v>1992</v>
      </c>
      <c r="D63" s="96"/>
    </row>
    <row r="64" spans="2:4" x14ac:dyDescent="0.15">
      <c r="B64" s="151" t="s">
        <v>182</v>
      </c>
      <c r="C64" s="96">
        <v>2</v>
      </c>
      <c r="D64" s="96"/>
    </row>
    <row r="65" spans="2:4" x14ac:dyDescent="0.15">
      <c r="B65" s="151" t="s">
        <v>183</v>
      </c>
      <c r="C65" s="151" t="s">
        <v>191</v>
      </c>
      <c r="D65" s="96"/>
    </row>
    <row r="66" spans="2:4" x14ac:dyDescent="0.15">
      <c r="B66" s="151" t="s">
        <v>184</v>
      </c>
      <c r="D66" s="96"/>
    </row>
    <row r="67" spans="2:4" x14ac:dyDescent="0.15">
      <c r="B67" s="96"/>
      <c r="C67" s="96"/>
      <c r="D67" s="96"/>
    </row>
    <row r="68" spans="2:4" x14ac:dyDescent="0.15">
      <c r="B68" s="96"/>
      <c r="C68" s="96"/>
      <c r="D68" s="9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E4" sqref="E4:N4"/>
    </sheetView>
  </sheetViews>
  <sheetFormatPr baseColWidth="10" defaultColWidth="8.83203125" defaultRowHeight="15" customHeight="1" x14ac:dyDescent="0.15"/>
  <cols>
    <col min="1" max="1" width="22.5" style="71" customWidth="1"/>
    <col min="2" max="3" width="3.33203125" style="71" customWidth="1"/>
    <col min="4" max="4" width="14.33203125" style="71" customWidth="1"/>
    <col min="5" max="5" width="21.6640625" style="71" bestFit="1" customWidth="1"/>
    <col min="6" max="6" width="2.33203125" style="71" bestFit="1" customWidth="1"/>
    <col min="7" max="7" width="10.83203125" style="71" bestFit="1" customWidth="1"/>
    <col min="8" max="8" width="5.83203125" style="71" customWidth="1"/>
    <col min="9" max="9" width="10.83203125" style="71" customWidth="1"/>
    <col min="10" max="10" width="12.83203125" style="71" customWidth="1"/>
    <col min="11" max="11" width="11.83203125" style="71" customWidth="1"/>
    <col min="12" max="12" width="2.33203125" style="71" customWidth="1"/>
    <col min="13" max="14" width="3.83203125" style="71" customWidth="1"/>
    <col min="16" max="25" width="8.83203125" style="7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1"/>
  </cols>
  <sheetData>
    <row r="1" spans="1:46" s="88" customFormat="1" ht="15" customHeight="1" x14ac:dyDescent="0.15">
      <c r="A1" s="67" t="s">
        <v>18</v>
      </c>
      <c r="C1" s="68" t="s">
        <v>8</v>
      </c>
      <c r="D1" s="67" t="s">
        <v>23</v>
      </c>
      <c r="E1" s="67" t="s">
        <v>0</v>
      </c>
      <c r="F1" s="67" t="s">
        <v>7</v>
      </c>
      <c r="G1" s="69" t="s">
        <v>13</v>
      </c>
      <c r="H1" s="67" t="s">
        <v>1</v>
      </c>
      <c r="I1" s="67" t="s">
        <v>2</v>
      </c>
      <c r="J1" s="67" t="s">
        <v>14</v>
      </c>
      <c r="K1" s="67" t="s">
        <v>3</v>
      </c>
      <c r="L1" s="67" t="s">
        <v>4</v>
      </c>
      <c r="M1" s="67" t="s">
        <v>5</v>
      </c>
      <c r="N1" s="6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8">
        <v>1</v>
      </c>
      <c r="D2"/>
      <c r="E2" s="152" t="s">
        <v>192</v>
      </c>
      <c r="F2" s="71">
        <v>0</v>
      </c>
      <c r="G2" s="71">
        <v>0.59</v>
      </c>
      <c r="H2" s="71">
        <v>2.62</v>
      </c>
      <c r="I2" s="6">
        <v>6.5499997099999998</v>
      </c>
      <c r="J2" s="6">
        <v>0.160877511</v>
      </c>
      <c r="K2" s="6">
        <v>0.4</v>
      </c>
      <c r="L2" s="6">
        <v>0</v>
      </c>
      <c r="M2" s="71">
        <v>0.2</v>
      </c>
      <c r="N2" s="71">
        <v>-99</v>
      </c>
    </row>
    <row r="3" spans="1:46" ht="15" customHeight="1" x14ac:dyDescent="0.15">
      <c r="A3" s="1" t="s">
        <v>9</v>
      </c>
      <c r="B3" s="4">
        <v>18</v>
      </c>
      <c r="C3" s="71">
        <v>2</v>
      </c>
      <c r="D3"/>
      <c r="E3" s="152" t="s">
        <v>193</v>
      </c>
      <c r="F3" s="71">
        <v>0</v>
      </c>
      <c r="G3" s="71">
        <v>0.09</v>
      </c>
      <c r="H3" s="71">
        <v>3.76</v>
      </c>
      <c r="I3" s="71">
        <v>8.5454550000000005</v>
      </c>
      <c r="J3" s="71">
        <v>0</v>
      </c>
      <c r="K3" s="71">
        <v>0.44</v>
      </c>
      <c r="L3" s="71">
        <v>0</v>
      </c>
      <c r="M3" s="71">
        <v>0.2</v>
      </c>
      <c r="N3" s="71">
        <v>-99</v>
      </c>
    </row>
    <row r="4" spans="1:46" ht="15" customHeight="1" x14ac:dyDescent="0.15">
      <c r="A4" s="1" t="s">
        <v>10</v>
      </c>
      <c r="B4" s="4">
        <v>2</v>
      </c>
      <c r="C4" s="71">
        <v>3</v>
      </c>
      <c r="D4"/>
      <c r="E4" s="152" t="s">
        <v>194</v>
      </c>
      <c r="F4" s="71">
        <v>0</v>
      </c>
      <c r="G4" s="71">
        <v>0.22</v>
      </c>
      <c r="H4" s="71">
        <v>2.57</v>
      </c>
      <c r="I4" s="71">
        <v>8.5666659999999997</v>
      </c>
      <c r="J4" s="71">
        <v>0.43983808200000002</v>
      </c>
      <c r="K4" s="71">
        <v>0.3</v>
      </c>
      <c r="L4" s="71">
        <v>0</v>
      </c>
      <c r="M4" s="71">
        <v>0.2</v>
      </c>
      <c r="N4" s="71">
        <v>-99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1">
        <v>4</v>
      </c>
      <c r="D5"/>
      <c r="E5" s="152" t="s">
        <v>195</v>
      </c>
      <c r="F5" s="71">
        <v>0</v>
      </c>
      <c r="G5" s="71">
        <v>7.01</v>
      </c>
      <c r="H5" s="71">
        <v>3.12</v>
      </c>
      <c r="I5" s="71">
        <v>7.4285709999999998</v>
      </c>
      <c r="J5" s="71">
        <v>0.12507447599999999</v>
      </c>
      <c r="K5" s="71">
        <v>0.42</v>
      </c>
      <c r="L5" s="71">
        <v>0</v>
      </c>
      <c r="M5" s="71">
        <v>0.2</v>
      </c>
      <c r="N5" s="71">
        <v>-99</v>
      </c>
      <c r="P5" s="63"/>
      <c r="Q5" s="63"/>
      <c r="R5" s="63"/>
    </row>
    <row r="6" spans="1:46" ht="15" customHeight="1" thickBot="1" x14ac:dyDescent="0.2">
      <c r="B6" s="1"/>
      <c r="C6" s="71">
        <v>5</v>
      </c>
      <c r="D6"/>
      <c r="E6" s="152" t="s">
        <v>196</v>
      </c>
      <c r="F6" s="71">
        <v>0</v>
      </c>
      <c r="G6" s="71">
        <v>0.2</v>
      </c>
      <c r="H6" s="71">
        <v>3.59</v>
      </c>
      <c r="I6" s="71">
        <v>10.878787000000001</v>
      </c>
      <c r="J6" s="71">
        <v>0.85982440000000004</v>
      </c>
      <c r="K6" s="71">
        <v>0.33</v>
      </c>
      <c r="L6" s="71">
        <v>0</v>
      </c>
      <c r="M6" s="71">
        <v>0.2</v>
      </c>
      <c r="N6" s="71">
        <v>-99</v>
      </c>
      <c r="P6" s="63"/>
      <c r="Q6" s="63"/>
      <c r="R6" s="63"/>
      <c r="W6" s="30" t="s">
        <v>31</v>
      </c>
      <c r="X6" s="46">
        <f>MAX(MainOutputs!G:G)</f>
        <v>0.94969743490219116</v>
      </c>
    </row>
    <row r="7" spans="1:46" ht="15" customHeight="1" x14ac:dyDescent="0.15">
      <c r="A7" s="2" t="s">
        <v>27</v>
      </c>
      <c r="B7" s="71">
        <f ca="1">COUNTIF(OFFSET(cornerDiets,1,1,NumLiving+NumDead+1,NumLiving+NumDead),"&gt;0")+NumLiving+NumDead+1</f>
        <v>117</v>
      </c>
      <c r="C7" s="71">
        <v>6</v>
      </c>
      <c r="D7"/>
      <c r="E7" s="152" t="s">
        <v>197</v>
      </c>
      <c r="F7" s="71">
        <v>0</v>
      </c>
      <c r="G7" s="71">
        <v>6.37</v>
      </c>
      <c r="H7" s="71">
        <v>2.52</v>
      </c>
      <c r="I7" s="71">
        <v>8.4</v>
      </c>
      <c r="J7" s="71">
        <v>7.7460214499999999E-2</v>
      </c>
      <c r="K7" s="71">
        <v>0.3</v>
      </c>
      <c r="L7" s="71">
        <v>0</v>
      </c>
      <c r="M7" s="71">
        <v>0.2</v>
      </c>
      <c r="N7" s="71">
        <v>-99</v>
      </c>
      <c r="P7" s="63"/>
      <c r="Q7" s="63"/>
      <c r="R7" s="63"/>
    </row>
    <row r="8" spans="1:46" ht="15" customHeight="1" x14ac:dyDescent="0.15">
      <c r="A8" s="2" t="s">
        <v>28</v>
      </c>
      <c r="B8" s="71">
        <f ca="1">COUNTIF(OFFSET(cornerFishing,1,2,NumLiving+NumDead,NumGears),"&gt;0")+NumDead*COUNTIF(OFFSET(cornerDiscards,1,2,NumLiving+NumDead,NumGears),"&gt;0")+NumLiving+NumDead+1</f>
        <v>22</v>
      </c>
      <c r="C8" s="71">
        <v>7</v>
      </c>
      <c r="D8"/>
      <c r="E8" s="152" t="s">
        <v>198</v>
      </c>
      <c r="F8" s="71">
        <v>0</v>
      </c>
      <c r="G8" s="71">
        <v>6.73</v>
      </c>
      <c r="H8" s="71">
        <v>3.09</v>
      </c>
      <c r="I8" s="71">
        <v>7.0227269999999997</v>
      </c>
      <c r="J8" s="71">
        <v>0.33976832000000001</v>
      </c>
      <c r="K8" s="71">
        <v>0.44</v>
      </c>
      <c r="L8" s="71">
        <v>0</v>
      </c>
      <c r="M8" s="71">
        <v>0.2</v>
      </c>
      <c r="N8" s="71">
        <v>-99</v>
      </c>
      <c r="P8" s="63"/>
      <c r="Q8" s="63"/>
      <c r="R8" s="63"/>
    </row>
    <row r="9" spans="1:46" ht="15" customHeight="1" x14ac:dyDescent="0.15">
      <c r="B9" s="1"/>
      <c r="C9" s="71">
        <v>8</v>
      </c>
      <c r="D9"/>
      <c r="E9" s="152" t="s">
        <v>199</v>
      </c>
      <c r="F9" s="71">
        <v>0</v>
      </c>
      <c r="G9" s="71">
        <v>0.38</v>
      </c>
      <c r="H9" s="71">
        <v>3.06</v>
      </c>
      <c r="I9" s="71">
        <v>9</v>
      </c>
      <c r="J9" s="71">
        <v>0.4277338</v>
      </c>
      <c r="K9" s="71">
        <v>0.34</v>
      </c>
      <c r="L9" s="71">
        <v>0</v>
      </c>
      <c r="M9" s="71">
        <v>0.2</v>
      </c>
      <c r="N9" s="71">
        <v>-99</v>
      </c>
      <c r="P9" s="63"/>
      <c r="Q9" s="63"/>
      <c r="R9" s="63"/>
    </row>
    <row r="10" spans="1:46" ht="15" customHeight="1" x14ac:dyDescent="0.15">
      <c r="B10" s="1"/>
      <c r="C10" s="71">
        <v>9</v>
      </c>
      <c r="D10"/>
      <c r="E10" s="152" t="s">
        <v>200</v>
      </c>
      <c r="F10" s="71">
        <v>0</v>
      </c>
      <c r="G10" s="71">
        <v>4.04</v>
      </c>
      <c r="H10" s="71">
        <v>2.77</v>
      </c>
      <c r="I10" s="71">
        <v>6.1555557299999997</v>
      </c>
      <c r="J10" s="71">
        <v>0.45461990000000002</v>
      </c>
      <c r="K10" s="71">
        <v>0.45</v>
      </c>
      <c r="L10" s="71">
        <v>0</v>
      </c>
      <c r="M10" s="71">
        <v>0.2</v>
      </c>
      <c r="N10" s="71">
        <v>-99</v>
      </c>
    </row>
    <row r="11" spans="1:46" ht="15" customHeight="1" x14ac:dyDescent="0.15">
      <c r="C11" s="71">
        <v>10</v>
      </c>
      <c r="D11"/>
      <c r="E11" s="152" t="s">
        <v>201</v>
      </c>
      <c r="F11" s="71">
        <v>0</v>
      </c>
      <c r="G11" s="71">
        <v>12.31</v>
      </c>
      <c r="H11" s="71">
        <v>3.33</v>
      </c>
      <c r="I11" s="71">
        <v>8.3249999999999993</v>
      </c>
      <c r="J11" s="71">
        <v>0.70954249999999996</v>
      </c>
      <c r="K11" s="71">
        <v>0.4</v>
      </c>
      <c r="L11" s="71">
        <v>0</v>
      </c>
      <c r="M11" s="71">
        <v>0.2</v>
      </c>
      <c r="N11" s="71">
        <v>-99</v>
      </c>
    </row>
    <row r="12" spans="1:46" ht="15" customHeight="1" x14ac:dyDescent="0.15">
      <c r="C12" s="71">
        <v>11</v>
      </c>
      <c r="D12"/>
      <c r="E12" s="152" t="s">
        <v>202</v>
      </c>
      <c r="F12" s="71">
        <v>0</v>
      </c>
      <c r="G12" s="71">
        <v>10.6945744</v>
      </c>
      <c r="H12" s="71">
        <v>13.75</v>
      </c>
      <c r="I12" s="71">
        <v>69.91</v>
      </c>
      <c r="J12" s="71">
        <v>0.62</v>
      </c>
      <c r="K12" s="71">
        <v>0.19668144000000001</v>
      </c>
      <c r="L12" s="71">
        <v>0</v>
      </c>
      <c r="M12" s="71">
        <v>0.2</v>
      </c>
      <c r="N12" s="71">
        <v>-99</v>
      </c>
    </row>
    <row r="13" spans="1:46" ht="15" customHeight="1" x14ac:dyDescent="0.15">
      <c r="C13" s="71">
        <v>12</v>
      </c>
      <c r="D13"/>
      <c r="E13" s="152" t="s">
        <v>203</v>
      </c>
      <c r="F13" s="71">
        <v>0</v>
      </c>
      <c r="G13" s="71">
        <v>0.61</v>
      </c>
      <c r="H13" s="71">
        <v>15.54</v>
      </c>
      <c r="I13" s="71">
        <v>51.93</v>
      </c>
      <c r="J13" s="71">
        <v>0.73736979999999996</v>
      </c>
      <c r="K13" s="71">
        <v>0.29924899999999999</v>
      </c>
      <c r="L13" s="71">
        <v>0</v>
      </c>
      <c r="M13" s="71">
        <v>0.2</v>
      </c>
      <c r="N13" s="71">
        <v>-99</v>
      </c>
    </row>
    <row r="14" spans="1:46" ht="15" customHeight="1" x14ac:dyDescent="0.15">
      <c r="C14" s="71">
        <v>13</v>
      </c>
      <c r="D14"/>
      <c r="E14" s="152" t="s">
        <v>204</v>
      </c>
      <c r="F14" s="71">
        <v>0</v>
      </c>
      <c r="G14" s="71">
        <v>8.64</v>
      </c>
      <c r="H14" s="71">
        <v>15.75</v>
      </c>
      <c r="I14" s="71">
        <v>50.51</v>
      </c>
      <c r="J14" s="71">
        <v>0.92324329999999999</v>
      </c>
      <c r="K14" s="71">
        <v>0.31181946399999999</v>
      </c>
      <c r="L14" s="71">
        <v>0</v>
      </c>
      <c r="M14" s="71">
        <v>0.2</v>
      </c>
      <c r="N14" s="71">
        <v>-99</v>
      </c>
    </row>
    <row r="15" spans="1:46" ht="15" customHeight="1" x14ac:dyDescent="0.15">
      <c r="C15" s="71">
        <v>14</v>
      </c>
      <c r="D15"/>
      <c r="E15" s="152" t="s">
        <v>205</v>
      </c>
      <c r="F15" s="71">
        <v>0</v>
      </c>
      <c r="G15" s="71">
        <v>4.05</v>
      </c>
      <c r="H15" s="71">
        <v>4.01</v>
      </c>
      <c r="I15" s="71">
        <v>14.86</v>
      </c>
      <c r="J15" s="71">
        <v>0.8394682</v>
      </c>
      <c r="K15" s="71">
        <v>0.26985198300000002</v>
      </c>
      <c r="L15" s="71">
        <v>0</v>
      </c>
      <c r="M15" s="71">
        <v>0.2</v>
      </c>
      <c r="N15" s="71">
        <v>-99</v>
      </c>
    </row>
    <row r="16" spans="1:46" ht="15" customHeight="1" x14ac:dyDescent="0.15">
      <c r="C16" s="71">
        <v>15</v>
      </c>
      <c r="D16"/>
      <c r="E16" s="152" t="s">
        <v>206</v>
      </c>
      <c r="F16" s="71">
        <v>0</v>
      </c>
      <c r="G16" s="71">
        <v>26.5</v>
      </c>
      <c r="H16" s="71">
        <v>1.84</v>
      </c>
      <c r="I16" s="71">
        <v>9.58</v>
      </c>
      <c r="J16" s="71">
        <v>0.8480801</v>
      </c>
      <c r="K16" s="71">
        <v>0.19206680000000001</v>
      </c>
      <c r="L16" s="71">
        <v>0</v>
      </c>
      <c r="M16" s="71">
        <v>0.2</v>
      </c>
      <c r="N16" s="71">
        <v>-99</v>
      </c>
    </row>
    <row r="17" spans="1:22" ht="15" customHeight="1" x14ac:dyDescent="0.15">
      <c r="C17" s="71">
        <v>16</v>
      </c>
      <c r="D17"/>
      <c r="E17" s="152" t="s">
        <v>207</v>
      </c>
      <c r="F17" s="71">
        <v>0</v>
      </c>
      <c r="G17" s="71">
        <v>9.75</v>
      </c>
      <c r="H17" s="71">
        <v>3.84</v>
      </c>
      <c r="I17" s="71">
        <v>13.48</v>
      </c>
      <c r="J17" s="71">
        <v>0.59751989999999999</v>
      </c>
      <c r="K17" s="71">
        <v>0.28486648199999998</v>
      </c>
      <c r="L17" s="71">
        <v>0</v>
      </c>
      <c r="M17" s="71">
        <v>0.2</v>
      </c>
      <c r="N17" s="71">
        <v>-99</v>
      </c>
      <c r="V17" s="1" t="s">
        <v>30</v>
      </c>
    </row>
    <row r="18" spans="1:22" ht="15" customHeight="1" x14ac:dyDescent="0.15">
      <c r="C18" s="71">
        <v>17</v>
      </c>
      <c r="D18"/>
      <c r="E18" s="152" t="s">
        <v>208</v>
      </c>
      <c r="F18" s="71">
        <v>1</v>
      </c>
      <c r="G18" s="71">
        <v>7.25</v>
      </c>
      <c r="H18" s="71">
        <v>65.55</v>
      </c>
      <c r="I18" s="71">
        <v>0</v>
      </c>
      <c r="J18" s="71">
        <v>0.94969743500000003</v>
      </c>
      <c r="K18" s="71">
        <v>0</v>
      </c>
      <c r="L18" s="71">
        <v>0</v>
      </c>
      <c r="M18" s="71">
        <v>0</v>
      </c>
      <c r="N18" s="71">
        <v>-99</v>
      </c>
      <c r="V18" s="1"/>
    </row>
    <row r="19" spans="1:22" ht="15" customHeight="1" x14ac:dyDescent="0.15">
      <c r="C19" s="71">
        <v>18</v>
      </c>
      <c r="D19"/>
      <c r="E19" s="152" t="s">
        <v>209</v>
      </c>
      <c r="F19" s="71">
        <v>1</v>
      </c>
      <c r="G19" s="71">
        <v>153.41999999999999</v>
      </c>
      <c r="H19" s="71">
        <v>7.45</v>
      </c>
      <c r="I19" s="71">
        <v>0</v>
      </c>
      <c r="J19" s="71">
        <v>9.6238519999999994E-2</v>
      </c>
      <c r="K19" s="71">
        <v>0</v>
      </c>
      <c r="L19" s="71">
        <v>0</v>
      </c>
      <c r="M19" s="71">
        <v>0</v>
      </c>
      <c r="N19" s="71">
        <v>-99</v>
      </c>
    </row>
    <row r="20" spans="1:22" ht="15" customHeight="1" thickBot="1" x14ac:dyDescent="0.2">
      <c r="C20" s="71">
        <v>19</v>
      </c>
      <c r="D20"/>
      <c r="E20" s="152" t="s">
        <v>210</v>
      </c>
      <c r="F20" s="71">
        <v>2</v>
      </c>
      <c r="G20" s="71">
        <v>2400</v>
      </c>
      <c r="H20" s="71">
        <v>0</v>
      </c>
      <c r="I20" s="71">
        <v>0</v>
      </c>
      <c r="J20" s="71">
        <v>0.64878820000000004</v>
      </c>
      <c r="K20" s="71">
        <v>0</v>
      </c>
      <c r="L20" s="71">
        <v>0</v>
      </c>
      <c r="M20" s="71">
        <v>0</v>
      </c>
      <c r="N20" s="71">
        <v>0</v>
      </c>
    </row>
    <row r="21" spans="1:22" ht="15" customHeight="1" thickBot="1" x14ac:dyDescent="0.2">
      <c r="A21" s="41" t="s">
        <v>137</v>
      </c>
      <c r="B21" s="89"/>
      <c r="C21" s="71">
        <v>20</v>
      </c>
      <c r="D21"/>
      <c r="E21" s="152" t="s">
        <v>211</v>
      </c>
      <c r="F21" s="71">
        <v>2</v>
      </c>
      <c r="G21" s="71">
        <v>5</v>
      </c>
      <c r="H21" s="71">
        <v>0</v>
      </c>
      <c r="I21" s="71">
        <v>0</v>
      </c>
      <c r="J21" s="71">
        <v>0</v>
      </c>
      <c r="K21" s="71">
        <v>0</v>
      </c>
      <c r="L21" s="71">
        <v>0</v>
      </c>
      <c r="M21" s="71">
        <v>0</v>
      </c>
      <c r="N21" s="71">
        <v>0</v>
      </c>
    </row>
    <row r="22" spans="1:22" ht="15" customHeight="1" x14ac:dyDescent="0.15">
      <c r="A22" s="90" t="s">
        <v>58</v>
      </c>
      <c r="B22" s="91">
        <v>0</v>
      </c>
      <c r="C22" s="71">
        <v>21</v>
      </c>
      <c r="D22"/>
      <c r="E22" s="152" t="s">
        <v>212</v>
      </c>
      <c r="F22" s="71">
        <v>3</v>
      </c>
      <c r="G22" s="71">
        <v>0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  <c r="M22" s="71">
        <v>0</v>
      </c>
      <c r="N22" s="71">
        <v>0</v>
      </c>
    </row>
    <row r="23" spans="1:22" ht="15" customHeight="1" x14ac:dyDescent="0.15">
      <c r="A23" s="90" t="s">
        <v>59</v>
      </c>
      <c r="B23" s="91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90" t="s">
        <v>60</v>
      </c>
      <c r="B24" s="91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2" t="s">
        <v>44</v>
      </c>
      <c r="B25" s="93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4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7" sqref="E27"/>
    </sheetView>
  </sheetViews>
  <sheetFormatPr baseColWidth="10" defaultColWidth="8.83203125" defaultRowHeight="13" x14ac:dyDescent="0.15"/>
  <cols>
    <col min="1" max="1" width="21.6640625" style="128" bestFit="1" customWidth="1"/>
    <col min="2" max="10" width="4.83203125" style="128" bestFit="1" customWidth="1"/>
    <col min="11" max="11" width="14.83203125" style="128" bestFit="1" customWidth="1"/>
    <col min="12" max="17" width="4.83203125" style="128" bestFit="1" customWidth="1"/>
    <col min="18" max="21" width="2.33203125" style="128" bestFit="1" customWidth="1"/>
    <col min="22" max="29" width="9" style="128" bestFit="1" customWidth="1"/>
    <col min="30" max="16384" width="8.83203125" style="128"/>
  </cols>
  <sheetData>
    <row r="1" spans="1:34" x14ac:dyDescent="0.15">
      <c r="A1" s="127" t="s">
        <v>19</v>
      </c>
      <c r="B1" s="154" t="s">
        <v>192</v>
      </c>
      <c r="C1" s="154" t="s">
        <v>193</v>
      </c>
      <c r="D1" s="154" t="s">
        <v>194</v>
      </c>
      <c r="E1" s="154" t="s">
        <v>195</v>
      </c>
      <c r="F1" s="154" t="s">
        <v>196</v>
      </c>
      <c r="G1" s="154" t="s">
        <v>197</v>
      </c>
      <c r="H1" s="154" t="s">
        <v>198</v>
      </c>
      <c r="I1" s="154" t="s">
        <v>199</v>
      </c>
      <c r="J1" s="154" t="s">
        <v>200</v>
      </c>
      <c r="K1" s="154" t="s">
        <v>201</v>
      </c>
      <c r="L1" s="154" t="s">
        <v>202</v>
      </c>
      <c r="M1" s="154" t="s">
        <v>203</v>
      </c>
      <c r="N1" s="154" t="s">
        <v>204</v>
      </c>
      <c r="O1" s="154" t="s">
        <v>205</v>
      </c>
      <c r="P1" s="154" t="s">
        <v>206</v>
      </c>
      <c r="Q1" s="154" t="s">
        <v>207</v>
      </c>
      <c r="R1" s="154" t="s">
        <v>208</v>
      </c>
      <c r="S1" s="154" t="s">
        <v>209</v>
      </c>
      <c r="T1" s="154" t="s">
        <v>210</v>
      </c>
      <c r="U1" s="154" t="s">
        <v>211</v>
      </c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3" t="s">
        <v>192</v>
      </c>
      <c r="B2" s="128">
        <v>0</v>
      </c>
      <c r="C2" s="128">
        <v>0</v>
      </c>
      <c r="D2" s="128">
        <v>0</v>
      </c>
      <c r="E2" s="128">
        <v>0</v>
      </c>
      <c r="F2" s="128">
        <v>0</v>
      </c>
      <c r="G2" s="128">
        <v>0</v>
      </c>
      <c r="H2" s="128">
        <v>0</v>
      </c>
      <c r="I2" s="128">
        <v>0</v>
      </c>
      <c r="J2" s="128">
        <v>9.9999999999999985E-3</v>
      </c>
      <c r="K2" s="128">
        <v>0</v>
      </c>
      <c r="L2" s="128">
        <v>0</v>
      </c>
      <c r="M2" s="128">
        <v>0</v>
      </c>
      <c r="N2" s="128">
        <v>0</v>
      </c>
      <c r="O2" s="128">
        <v>0</v>
      </c>
      <c r="P2" s="128">
        <v>0</v>
      </c>
      <c r="Q2" s="128">
        <v>0</v>
      </c>
      <c r="R2" s="128">
        <v>0</v>
      </c>
      <c r="S2" s="128">
        <v>0</v>
      </c>
      <c r="T2" s="128">
        <v>0</v>
      </c>
      <c r="U2" s="128">
        <v>0</v>
      </c>
    </row>
    <row r="3" spans="1:34" customFormat="1" x14ac:dyDescent="0.15">
      <c r="A3" s="153" t="s">
        <v>193</v>
      </c>
      <c r="B3" s="128">
        <v>0</v>
      </c>
      <c r="C3" s="128">
        <v>0</v>
      </c>
      <c r="D3" s="128">
        <v>0</v>
      </c>
      <c r="E3" s="128">
        <v>0</v>
      </c>
      <c r="F3" s="128">
        <v>0</v>
      </c>
      <c r="G3" s="128">
        <v>0</v>
      </c>
      <c r="H3" s="128">
        <v>0</v>
      </c>
      <c r="I3" s="128">
        <v>0</v>
      </c>
      <c r="J3" s="128">
        <v>0</v>
      </c>
      <c r="K3" s="128">
        <v>0</v>
      </c>
      <c r="L3" s="128">
        <v>0</v>
      </c>
      <c r="M3" s="128">
        <v>0</v>
      </c>
      <c r="N3" s="128">
        <v>0</v>
      </c>
      <c r="O3" s="128">
        <v>0</v>
      </c>
      <c r="P3" s="128">
        <v>0</v>
      </c>
      <c r="Q3" s="128">
        <v>0</v>
      </c>
      <c r="R3" s="128">
        <v>0</v>
      </c>
      <c r="S3" s="128">
        <v>0</v>
      </c>
      <c r="T3" s="128">
        <v>0</v>
      </c>
      <c r="U3" s="128">
        <v>0</v>
      </c>
    </row>
    <row r="4" spans="1:34" customFormat="1" x14ac:dyDescent="0.15">
      <c r="A4" s="153" t="s">
        <v>194</v>
      </c>
      <c r="B4" s="128">
        <v>0</v>
      </c>
      <c r="C4" s="128">
        <v>0</v>
      </c>
      <c r="D4" s="128">
        <v>0</v>
      </c>
      <c r="E4" s="128">
        <v>0</v>
      </c>
      <c r="F4" s="128">
        <v>0</v>
      </c>
      <c r="G4" s="128">
        <v>0</v>
      </c>
      <c r="H4" s="128">
        <v>0</v>
      </c>
      <c r="I4" s="128">
        <v>0</v>
      </c>
      <c r="J4" s="128">
        <v>9.9999999999999985E-3</v>
      </c>
      <c r="K4" s="128">
        <v>0</v>
      </c>
      <c r="L4" s="128">
        <v>0</v>
      </c>
      <c r="M4" s="128">
        <v>0</v>
      </c>
      <c r="N4" s="128">
        <v>0</v>
      </c>
      <c r="O4" s="128">
        <v>0</v>
      </c>
      <c r="P4" s="128">
        <v>0</v>
      </c>
      <c r="Q4" s="128">
        <v>0</v>
      </c>
      <c r="R4" s="128">
        <v>0</v>
      </c>
      <c r="S4" s="128">
        <v>0</v>
      </c>
      <c r="T4" s="128">
        <v>0</v>
      </c>
      <c r="U4" s="128">
        <v>0</v>
      </c>
    </row>
    <row r="5" spans="1:34" customFormat="1" x14ac:dyDescent="0.15">
      <c r="A5" s="153" t="s">
        <v>195</v>
      </c>
      <c r="B5" s="128">
        <v>0</v>
      </c>
      <c r="C5" s="128">
        <v>0</v>
      </c>
      <c r="D5" s="128">
        <v>0</v>
      </c>
      <c r="E5" s="128">
        <v>0</v>
      </c>
      <c r="F5" s="128">
        <v>0</v>
      </c>
      <c r="G5" s="128">
        <v>0</v>
      </c>
      <c r="H5" s="128">
        <v>0</v>
      </c>
      <c r="I5" s="128">
        <v>0</v>
      </c>
      <c r="J5" s="128">
        <v>0.10999999999999997</v>
      </c>
      <c r="K5" s="128">
        <v>0</v>
      </c>
      <c r="L5" s="128">
        <v>0</v>
      </c>
      <c r="M5" s="128">
        <v>0</v>
      </c>
      <c r="N5" s="128">
        <v>0</v>
      </c>
      <c r="O5" s="128">
        <v>0</v>
      </c>
      <c r="P5" s="128">
        <v>0</v>
      </c>
      <c r="Q5" s="128">
        <v>0</v>
      </c>
      <c r="R5" s="128">
        <v>0</v>
      </c>
      <c r="S5" s="128">
        <v>0</v>
      </c>
      <c r="T5" s="128">
        <v>0</v>
      </c>
      <c r="U5" s="128">
        <v>0</v>
      </c>
    </row>
    <row r="6" spans="1:34" customFormat="1" x14ac:dyDescent="0.15">
      <c r="A6" s="153" t="s">
        <v>196</v>
      </c>
      <c r="B6" s="128">
        <v>0</v>
      </c>
      <c r="C6" s="128">
        <v>0</v>
      </c>
      <c r="D6" s="128">
        <v>0</v>
      </c>
      <c r="E6" s="128">
        <v>0</v>
      </c>
      <c r="F6" s="128">
        <v>0</v>
      </c>
      <c r="G6" s="128">
        <v>0</v>
      </c>
      <c r="H6" s="128">
        <v>0</v>
      </c>
      <c r="I6" s="128">
        <v>0</v>
      </c>
      <c r="J6" s="128">
        <v>0</v>
      </c>
      <c r="K6" s="128">
        <v>6.024096385542169E-3</v>
      </c>
      <c r="L6" s="128">
        <v>0</v>
      </c>
      <c r="M6" s="128">
        <v>0</v>
      </c>
      <c r="N6" s="128">
        <v>0</v>
      </c>
      <c r="O6" s="128">
        <v>0</v>
      </c>
      <c r="P6" s="128">
        <v>0</v>
      </c>
      <c r="Q6" s="128">
        <v>0</v>
      </c>
      <c r="R6" s="128">
        <v>0</v>
      </c>
      <c r="S6" s="128">
        <v>0</v>
      </c>
      <c r="T6" s="128">
        <v>0</v>
      </c>
      <c r="U6" s="128">
        <v>0</v>
      </c>
    </row>
    <row r="7" spans="1:34" customFormat="1" x14ac:dyDescent="0.15">
      <c r="A7" s="153" t="s">
        <v>197</v>
      </c>
      <c r="B7" s="128">
        <v>0</v>
      </c>
      <c r="C7" s="128">
        <v>0</v>
      </c>
      <c r="D7" s="128">
        <v>0</v>
      </c>
      <c r="E7" s="128">
        <v>0</v>
      </c>
      <c r="F7" s="128">
        <v>0</v>
      </c>
      <c r="G7" s="128">
        <v>0</v>
      </c>
      <c r="H7" s="128">
        <v>0</v>
      </c>
      <c r="I7" s="128">
        <v>0</v>
      </c>
      <c r="J7" s="128">
        <v>4.9999999999999989E-2</v>
      </c>
      <c r="K7" s="128">
        <v>0</v>
      </c>
      <c r="L7" s="128">
        <v>0</v>
      </c>
      <c r="M7" s="128">
        <v>0</v>
      </c>
      <c r="N7" s="128">
        <v>0</v>
      </c>
      <c r="O7" s="128">
        <v>0</v>
      </c>
      <c r="P7" s="128">
        <v>0</v>
      </c>
      <c r="Q7" s="128">
        <v>0</v>
      </c>
      <c r="R7" s="128">
        <v>0</v>
      </c>
      <c r="S7" s="128">
        <v>0</v>
      </c>
      <c r="T7" s="128">
        <v>0</v>
      </c>
      <c r="U7" s="128">
        <v>0</v>
      </c>
    </row>
    <row r="8" spans="1:34" customFormat="1" x14ac:dyDescent="0.15">
      <c r="A8" s="153" t="s">
        <v>198</v>
      </c>
      <c r="B8" s="128">
        <v>0</v>
      </c>
      <c r="C8" s="128">
        <v>0</v>
      </c>
      <c r="D8" s="128">
        <v>0</v>
      </c>
      <c r="E8" s="128">
        <v>0</v>
      </c>
      <c r="F8" s="128">
        <v>0</v>
      </c>
      <c r="G8" s="128">
        <v>0</v>
      </c>
      <c r="H8" s="128">
        <v>0</v>
      </c>
      <c r="I8" s="128">
        <v>0</v>
      </c>
      <c r="J8" s="128">
        <v>0.15999999999999998</v>
      </c>
      <c r="K8" s="128">
        <v>3.0120481927710843E-2</v>
      </c>
      <c r="L8" s="128">
        <v>0</v>
      </c>
      <c r="M8" s="128">
        <v>0</v>
      </c>
      <c r="N8" s="128">
        <v>0</v>
      </c>
      <c r="O8" s="128">
        <v>0</v>
      </c>
      <c r="P8" s="128">
        <v>0</v>
      </c>
      <c r="Q8" s="128">
        <v>0</v>
      </c>
      <c r="R8" s="128">
        <v>0</v>
      </c>
      <c r="S8" s="128">
        <v>0</v>
      </c>
      <c r="T8" s="128">
        <v>0</v>
      </c>
      <c r="U8" s="128">
        <v>0</v>
      </c>
    </row>
    <row r="9" spans="1:34" customFormat="1" x14ac:dyDescent="0.15">
      <c r="A9" s="153" t="s">
        <v>199</v>
      </c>
      <c r="B9" s="128">
        <v>0</v>
      </c>
      <c r="C9" s="128">
        <v>0</v>
      </c>
      <c r="D9" s="128">
        <v>0</v>
      </c>
      <c r="E9" s="128">
        <v>0</v>
      </c>
      <c r="F9" s="128">
        <v>0</v>
      </c>
      <c r="G9" s="128">
        <v>0</v>
      </c>
      <c r="H9" s="128">
        <v>0</v>
      </c>
      <c r="I9" s="128">
        <v>0</v>
      </c>
      <c r="J9" s="128">
        <v>1.9999999999999997E-2</v>
      </c>
      <c r="K9" s="128">
        <v>0</v>
      </c>
      <c r="L9" s="128">
        <v>0</v>
      </c>
      <c r="M9" s="128">
        <v>0</v>
      </c>
      <c r="N9" s="128">
        <v>0</v>
      </c>
      <c r="O9" s="128">
        <v>0</v>
      </c>
      <c r="P9" s="128">
        <v>0</v>
      </c>
      <c r="Q9" s="128">
        <v>0</v>
      </c>
      <c r="R9" s="128">
        <v>0</v>
      </c>
      <c r="S9" s="128">
        <v>0</v>
      </c>
      <c r="T9" s="128">
        <v>0</v>
      </c>
      <c r="U9" s="128">
        <v>0</v>
      </c>
    </row>
    <row r="10" spans="1:34" customFormat="1" x14ac:dyDescent="0.15">
      <c r="A10" s="153" t="s">
        <v>200</v>
      </c>
      <c r="B10" s="128">
        <v>0</v>
      </c>
      <c r="C10" s="128">
        <v>0</v>
      </c>
      <c r="D10" s="128">
        <v>0</v>
      </c>
      <c r="E10" s="128">
        <v>0</v>
      </c>
      <c r="F10" s="128">
        <v>0</v>
      </c>
      <c r="G10" s="128">
        <v>0</v>
      </c>
      <c r="H10" s="128">
        <v>0</v>
      </c>
      <c r="I10" s="128">
        <v>0</v>
      </c>
      <c r="J10" s="128">
        <v>6.9999999999999993E-2</v>
      </c>
      <c r="K10" s="128">
        <v>3.0120481927710843E-2</v>
      </c>
      <c r="L10" s="128">
        <v>0</v>
      </c>
      <c r="M10" s="128">
        <v>0</v>
      </c>
      <c r="N10" s="128">
        <v>0</v>
      </c>
      <c r="O10" s="128">
        <v>0</v>
      </c>
      <c r="P10" s="128">
        <v>0</v>
      </c>
      <c r="Q10" s="128">
        <v>0</v>
      </c>
      <c r="R10" s="128">
        <v>0</v>
      </c>
      <c r="S10" s="128">
        <v>0</v>
      </c>
      <c r="T10" s="128">
        <v>0</v>
      </c>
      <c r="U10" s="128">
        <v>0</v>
      </c>
    </row>
    <row r="11" spans="1:34" customFormat="1" x14ac:dyDescent="0.15">
      <c r="A11" s="153" t="s">
        <v>201</v>
      </c>
      <c r="B11" s="128">
        <v>0</v>
      </c>
      <c r="C11" s="128">
        <v>7.0000000000000021E-2</v>
      </c>
      <c r="D11" s="128">
        <v>0.01</v>
      </c>
      <c r="E11" s="128">
        <v>0.02</v>
      </c>
      <c r="F11" s="128">
        <v>0</v>
      </c>
      <c r="G11" s="128">
        <v>0.03</v>
      </c>
      <c r="H11" s="128">
        <v>7.0000000000000007E-2</v>
      </c>
      <c r="I11" s="128">
        <v>0</v>
      </c>
      <c r="J11" s="128">
        <v>0.11999999999999997</v>
      </c>
      <c r="K11" s="128">
        <v>0.1606425702811245</v>
      </c>
      <c r="L11" s="128">
        <v>0</v>
      </c>
      <c r="M11" s="128">
        <v>0</v>
      </c>
      <c r="N11" s="128">
        <v>0</v>
      </c>
      <c r="O11" s="128">
        <v>0.06</v>
      </c>
      <c r="P11" s="128">
        <v>0</v>
      </c>
      <c r="Q11" s="128">
        <v>0</v>
      </c>
      <c r="R11" s="128">
        <v>0</v>
      </c>
      <c r="S11" s="128">
        <v>0</v>
      </c>
      <c r="T11" s="128">
        <v>0</v>
      </c>
      <c r="U11" s="128">
        <v>0</v>
      </c>
    </row>
    <row r="12" spans="1:34" customFormat="1" x14ac:dyDescent="0.15">
      <c r="A12" s="153" t="s">
        <v>202</v>
      </c>
      <c r="B12" s="128">
        <v>7.0000000000000007E-2</v>
      </c>
      <c r="C12" s="128">
        <v>0.82000000000000006</v>
      </c>
      <c r="D12" s="128">
        <v>7.0000000000000007E-2</v>
      </c>
      <c r="E12" s="128">
        <v>0.24</v>
      </c>
      <c r="F12" s="128">
        <v>0.31</v>
      </c>
      <c r="G12" s="128">
        <v>0.01</v>
      </c>
      <c r="H12" s="128">
        <v>0.02</v>
      </c>
      <c r="I12" s="128">
        <v>0.1</v>
      </c>
      <c r="J12" s="128">
        <v>1.9999999999999997E-2</v>
      </c>
      <c r="K12" s="128">
        <v>0.11044176706827309</v>
      </c>
      <c r="L12" s="128">
        <v>0.01</v>
      </c>
      <c r="M12" s="128">
        <v>0</v>
      </c>
      <c r="N12" s="128">
        <v>0</v>
      </c>
      <c r="O12" s="128">
        <v>0</v>
      </c>
      <c r="P12" s="128">
        <v>0.22</v>
      </c>
      <c r="Q12" s="128">
        <v>0</v>
      </c>
      <c r="R12" s="128">
        <v>0</v>
      </c>
      <c r="S12" s="128">
        <v>0</v>
      </c>
      <c r="T12" s="128">
        <v>0</v>
      </c>
      <c r="U12" s="128">
        <v>0</v>
      </c>
    </row>
    <row r="13" spans="1:34" customFormat="1" x14ac:dyDescent="0.15">
      <c r="A13" s="153" t="s">
        <v>203</v>
      </c>
      <c r="B13" s="128">
        <v>0</v>
      </c>
      <c r="C13" s="128">
        <v>0</v>
      </c>
      <c r="D13" s="128">
        <v>0.02</v>
      </c>
      <c r="E13" s="128">
        <v>0.01</v>
      </c>
      <c r="F13" s="128">
        <v>0</v>
      </c>
      <c r="G13" s="128">
        <v>0</v>
      </c>
      <c r="H13" s="128">
        <v>0.01</v>
      </c>
      <c r="I13" s="128">
        <v>0</v>
      </c>
      <c r="J13" s="128">
        <v>1.9999999999999997E-2</v>
      </c>
      <c r="K13" s="128">
        <v>5.0200803212851405E-2</v>
      </c>
      <c r="L13" s="128">
        <v>0</v>
      </c>
      <c r="M13" s="128">
        <v>0.01</v>
      </c>
      <c r="N13" s="128">
        <v>0</v>
      </c>
      <c r="O13" s="128">
        <v>0</v>
      </c>
      <c r="P13" s="128">
        <v>0</v>
      </c>
      <c r="Q13" s="128">
        <v>0</v>
      </c>
      <c r="R13" s="128">
        <v>0</v>
      </c>
      <c r="S13" s="128">
        <v>0</v>
      </c>
      <c r="T13" s="128">
        <v>0</v>
      </c>
      <c r="U13" s="128">
        <v>0</v>
      </c>
    </row>
    <row r="14" spans="1:34" customFormat="1" x14ac:dyDescent="0.15">
      <c r="A14" s="153" t="s">
        <v>204</v>
      </c>
      <c r="B14" s="128">
        <v>0.2</v>
      </c>
      <c r="C14" s="128">
        <v>0.11000000000000001</v>
      </c>
      <c r="D14" s="128">
        <v>0.68</v>
      </c>
      <c r="E14" s="128">
        <v>0.54</v>
      </c>
      <c r="F14" s="128">
        <v>0.63</v>
      </c>
      <c r="G14" s="128">
        <v>0.33</v>
      </c>
      <c r="H14" s="128">
        <v>0.76</v>
      </c>
      <c r="I14" s="128">
        <v>0.37</v>
      </c>
      <c r="J14" s="128">
        <v>0.24999999999999994</v>
      </c>
      <c r="K14" s="128">
        <v>0.25100401606425704</v>
      </c>
      <c r="L14" s="128">
        <v>0</v>
      </c>
      <c r="M14" s="128">
        <v>0</v>
      </c>
      <c r="N14" s="128">
        <v>0</v>
      </c>
      <c r="O14" s="128">
        <v>0.12</v>
      </c>
      <c r="P14" s="128">
        <v>0</v>
      </c>
      <c r="Q14" s="128">
        <v>0</v>
      </c>
      <c r="R14" s="128">
        <v>0</v>
      </c>
      <c r="S14" s="128">
        <v>0</v>
      </c>
      <c r="T14" s="128">
        <v>0</v>
      </c>
      <c r="U14" s="128">
        <v>0</v>
      </c>
    </row>
    <row r="15" spans="1:34" customFormat="1" x14ac:dyDescent="0.15">
      <c r="A15" s="153" t="s">
        <v>205</v>
      </c>
      <c r="B15" s="128">
        <v>0.02</v>
      </c>
      <c r="C15" s="128">
        <v>0</v>
      </c>
      <c r="D15" s="128">
        <v>0</v>
      </c>
      <c r="E15" s="128">
        <v>0.01</v>
      </c>
      <c r="F15" s="128">
        <v>0</v>
      </c>
      <c r="G15" s="128">
        <v>0.09</v>
      </c>
      <c r="H15" s="128">
        <v>0.05</v>
      </c>
      <c r="I15" s="128">
        <v>0</v>
      </c>
      <c r="J15" s="128">
        <v>6.9999999999999993E-2</v>
      </c>
      <c r="K15" s="128">
        <v>4.0160642570281124E-2</v>
      </c>
      <c r="L15" s="128">
        <v>0</v>
      </c>
      <c r="M15" s="128">
        <v>0</v>
      </c>
      <c r="N15" s="128">
        <v>0</v>
      </c>
      <c r="O15" s="128">
        <v>0</v>
      </c>
      <c r="P15" s="128">
        <v>0</v>
      </c>
      <c r="Q15" s="128">
        <v>0</v>
      </c>
      <c r="R15" s="128">
        <v>0</v>
      </c>
      <c r="S15" s="128">
        <v>0</v>
      </c>
      <c r="T15" s="128">
        <v>0</v>
      </c>
      <c r="U15" s="128">
        <v>0</v>
      </c>
    </row>
    <row r="16" spans="1:34" customFormat="1" x14ac:dyDescent="0.15">
      <c r="A16" s="153" t="s">
        <v>206</v>
      </c>
      <c r="B16" s="128">
        <v>0</v>
      </c>
      <c r="C16" s="128">
        <v>0</v>
      </c>
      <c r="D16" s="128">
        <v>0</v>
      </c>
      <c r="E16" s="128">
        <v>0.01</v>
      </c>
      <c r="F16" s="128">
        <v>0</v>
      </c>
      <c r="G16" s="128">
        <v>0.36</v>
      </c>
      <c r="H16" s="128">
        <v>0</v>
      </c>
      <c r="I16" s="128">
        <v>0</v>
      </c>
      <c r="J16" s="128">
        <v>0</v>
      </c>
      <c r="K16" s="128">
        <v>4.0160642570281124E-2</v>
      </c>
      <c r="L16" s="128">
        <v>0</v>
      </c>
      <c r="M16" s="128">
        <v>0</v>
      </c>
      <c r="N16" s="128">
        <v>0</v>
      </c>
      <c r="O16" s="128">
        <v>0.28999999999999998</v>
      </c>
      <c r="P16" s="128">
        <v>0</v>
      </c>
      <c r="Q16" s="128">
        <v>0</v>
      </c>
      <c r="R16" s="128">
        <v>0</v>
      </c>
      <c r="S16" s="128">
        <v>0</v>
      </c>
      <c r="T16" s="128">
        <v>0</v>
      </c>
      <c r="U16" s="128">
        <v>0</v>
      </c>
    </row>
    <row r="17" spans="1:21" customFormat="1" x14ac:dyDescent="0.15">
      <c r="A17" s="153" t="s">
        <v>207</v>
      </c>
      <c r="B17" s="128">
        <v>0.11</v>
      </c>
      <c r="C17" s="128">
        <v>0</v>
      </c>
      <c r="D17" s="128">
        <v>0</v>
      </c>
      <c r="E17" s="128">
        <v>0</v>
      </c>
      <c r="F17" s="128">
        <v>0.03</v>
      </c>
      <c r="G17" s="128">
        <v>0.01</v>
      </c>
      <c r="H17" s="128">
        <v>0.05</v>
      </c>
      <c r="I17" s="128">
        <v>0</v>
      </c>
      <c r="J17" s="128">
        <v>1.9999999999999997E-2</v>
      </c>
      <c r="K17" s="128">
        <v>1.0040160642570281E-2</v>
      </c>
      <c r="L17" s="128">
        <v>0</v>
      </c>
      <c r="M17" s="128">
        <v>0</v>
      </c>
      <c r="N17" s="128">
        <v>0.04</v>
      </c>
      <c r="O17" s="128">
        <v>0</v>
      </c>
      <c r="P17" s="128">
        <v>0</v>
      </c>
      <c r="Q17" s="128">
        <v>0</v>
      </c>
      <c r="R17" s="128">
        <v>0</v>
      </c>
      <c r="S17" s="128">
        <v>0</v>
      </c>
      <c r="T17" s="128">
        <v>0</v>
      </c>
      <c r="U17" s="128">
        <v>0</v>
      </c>
    </row>
    <row r="18" spans="1:21" customFormat="1" x14ac:dyDescent="0.15">
      <c r="A18" s="153" t="s">
        <v>208</v>
      </c>
      <c r="B18" s="128">
        <v>0.56000000000000005</v>
      </c>
      <c r="C18" s="128">
        <v>0</v>
      </c>
      <c r="D18" s="128">
        <v>0.19</v>
      </c>
      <c r="E18" s="128">
        <v>0.16</v>
      </c>
      <c r="F18" s="128">
        <v>0</v>
      </c>
      <c r="G18" s="128">
        <v>0</v>
      </c>
      <c r="H18" s="128">
        <v>0.01</v>
      </c>
      <c r="I18" s="128">
        <v>0.08</v>
      </c>
      <c r="J18" s="128">
        <v>0</v>
      </c>
      <c r="K18" s="128">
        <v>0.13052208835341367</v>
      </c>
      <c r="L18" s="128">
        <v>0.28000000000000003</v>
      </c>
      <c r="M18" s="128">
        <v>0.15</v>
      </c>
      <c r="N18" s="128">
        <v>0.27</v>
      </c>
      <c r="O18" s="128">
        <v>0.11</v>
      </c>
      <c r="P18" s="128">
        <v>0.32</v>
      </c>
      <c r="Q18" s="128">
        <v>0.05</v>
      </c>
      <c r="R18" s="128">
        <v>0</v>
      </c>
      <c r="S18" s="128">
        <v>0</v>
      </c>
      <c r="T18" s="128">
        <v>0</v>
      </c>
      <c r="U18" s="128">
        <v>0</v>
      </c>
    </row>
    <row r="19" spans="1:21" customFormat="1" x14ac:dyDescent="0.15">
      <c r="A19" s="153" t="s">
        <v>209</v>
      </c>
      <c r="B19" s="128">
        <v>0.04</v>
      </c>
      <c r="C19" s="128">
        <v>0</v>
      </c>
      <c r="D19" s="128">
        <v>0.03</v>
      </c>
      <c r="E19" s="128">
        <v>0.01</v>
      </c>
      <c r="F19" s="128">
        <v>0.03</v>
      </c>
      <c r="G19" s="128">
        <v>0.04</v>
      </c>
      <c r="H19" s="128">
        <v>0.03</v>
      </c>
      <c r="I19" s="128">
        <v>0.45</v>
      </c>
      <c r="J19" s="128">
        <v>6.9999999999999993E-2</v>
      </c>
      <c r="K19" s="128">
        <v>8.0321285140562249E-2</v>
      </c>
      <c r="L19" s="128">
        <v>0</v>
      </c>
      <c r="M19" s="128">
        <v>0.34</v>
      </c>
      <c r="N19" s="128">
        <v>0</v>
      </c>
      <c r="O19" s="128">
        <v>0</v>
      </c>
      <c r="P19" s="128">
        <v>0.23</v>
      </c>
      <c r="Q19" s="128">
        <v>0.19</v>
      </c>
      <c r="R19" s="128">
        <v>0</v>
      </c>
      <c r="S19" s="128">
        <v>0</v>
      </c>
      <c r="T19" s="128">
        <v>0</v>
      </c>
      <c r="U19" s="128">
        <v>0</v>
      </c>
    </row>
    <row r="20" spans="1:21" customFormat="1" x14ac:dyDescent="0.15">
      <c r="A20" s="153" t="s">
        <v>210</v>
      </c>
      <c r="B20" s="128">
        <v>0</v>
      </c>
      <c r="C20" s="128">
        <v>0</v>
      </c>
      <c r="D20" s="128">
        <v>0</v>
      </c>
      <c r="E20" s="128">
        <v>0</v>
      </c>
      <c r="F20" s="128">
        <v>0</v>
      </c>
      <c r="G20" s="128">
        <v>0.13</v>
      </c>
      <c r="H20" s="128">
        <v>0</v>
      </c>
      <c r="I20" s="128">
        <v>0</v>
      </c>
      <c r="J20" s="128">
        <v>0</v>
      </c>
      <c r="K20" s="128">
        <v>6.0240963855421686E-2</v>
      </c>
      <c r="L20" s="128">
        <v>0.71</v>
      </c>
      <c r="M20" s="128">
        <v>0.5</v>
      </c>
      <c r="N20" s="128">
        <v>0.69</v>
      </c>
      <c r="O20" s="128">
        <v>0.42</v>
      </c>
      <c r="P20" s="128">
        <v>0.23</v>
      </c>
      <c r="Q20" s="128">
        <v>0.76</v>
      </c>
      <c r="R20" s="128">
        <v>0</v>
      </c>
      <c r="S20" s="128">
        <v>0</v>
      </c>
      <c r="T20" s="128">
        <v>0</v>
      </c>
      <c r="U20" s="128">
        <v>0</v>
      </c>
    </row>
    <row r="21" spans="1:21" customFormat="1" x14ac:dyDescent="0.15">
      <c r="A21" s="153" t="s">
        <v>211</v>
      </c>
      <c r="B21" s="128">
        <v>0</v>
      </c>
      <c r="C21" s="128">
        <v>0</v>
      </c>
      <c r="D21" s="128">
        <v>0</v>
      </c>
      <c r="E21" s="128">
        <v>0</v>
      </c>
      <c r="F21" s="128">
        <v>0</v>
      </c>
      <c r="G21" s="128">
        <v>0</v>
      </c>
      <c r="H21" s="128">
        <v>0</v>
      </c>
      <c r="I21" s="128">
        <v>0</v>
      </c>
      <c r="J21" s="128">
        <v>0</v>
      </c>
      <c r="K21" s="128">
        <v>0</v>
      </c>
      <c r="L21" s="128">
        <v>0</v>
      </c>
      <c r="M21" s="128">
        <v>0</v>
      </c>
      <c r="N21" s="128">
        <v>0</v>
      </c>
      <c r="O21" s="128">
        <v>0</v>
      </c>
      <c r="P21" s="128">
        <v>0</v>
      </c>
      <c r="Q21" s="128">
        <v>0</v>
      </c>
      <c r="R21" s="128">
        <v>0</v>
      </c>
      <c r="S21" s="128">
        <v>0</v>
      </c>
      <c r="T21" s="128">
        <v>0</v>
      </c>
      <c r="U21" s="128">
        <v>0</v>
      </c>
    </row>
    <row r="22" spans="1:21" customFormat="1" x14ac:dyDescent="0.15">
      <c r="A22" s="153" t="s">
        <v>213</v>
      </c>
      <c r="B22" s="128">
        <v>0</v>
      </c>
      <c r="C22" s="128">
        <v>0</v>
      </c>
      <c r="D22" s="128">
        <v>0</v>
      </c>
      <c r="E22" s="128">
        <v>0</v>
      </c>
      <c r="F22" s="128">
        <v>0</v>
      </c>
      <c r="G22" s="128">
        <v>0</v>
      </c>
      <c r="H22" s="128">
        <v>0</v>
      </c>
      <c r="I22" s="128">
        <v>0</v>
      </c>
      <c r="J22" s="128">
        <v>0</v>
      </c>
      <c r="K22" s="128">
        <v>0</v>
      </c>
      <c r="L22" s="128">
        <v>0</v>
      </c>
      <c r="M22" s="128">
        <v>0</v>
      </c>
      <c r="N22" s="128">
        <v>0</v>
      </c>
      <c r="O22" s="128">
        <v>0</v>
      </c>
      <c r="P22" s="128">
        <v>0</v>
      </c>
      <c r="Q22" s="128">
        <v>0</v>
      </c>
      <c r="R22" s="128">
        <v>0</v>
      </c>
      <c r="S22" s="128">
        <v>0</v>
      </c>
      <c r="T22" s="128">
        <v>0</v>
      </c>
      <c r="U22" s="128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98" customWidth="1"/>
    <col min="5" max="6" width="2.33203125" style="97" bestFit="1" customWidth="1"/>
    <col min="7" max="8" width="8.83203125" style="98"/>
  </cols>
  <sheetData>
    <row r="1" spans="1:8" ht="70" x14ac:dyDescent="0.15">
      <c r="A1" s="5" t="s">
        <v>20</v>
      </c>
      <c r="B1" s="1" t="s">
        <v>0</v>
      </c>
      <c r="C1" s="156" t="s">
        <v>210</v>
      </c>
      <c r="D1" s="156" t="s">
        <v>211</v>
      </c>
      <c r="E1" s="156" t="s">
        <v>214</v>
      </c>
      <c r="F1" s="156" t="s">
        <v>215</v>
      </c>
      <c r="G1"/>
      <c r="H1"/>
    </row>
    <row r="2" spans="1:8" x14ac:dyDescent="0.15">
      <c r="A2">
        <v>1</v>
      </c>
      <c r="B2" s="155" t="s">
        <v>192</v>
      </c>
      <c r="C2" s="98">
        <v>1</v>
      </c>
      <c r="D2" s="98">
        <v>0</v>
      </c>
      <c r="E2" s="97">
        <v>0</v>
      </c>
      <c r="F2" s="97">
        <v>1</v>
      </c>
      <c r="G2"/>
      <c r="H2"/>
    </row>
    <row r="3" spans="1:8" x14ac:dyDescent="0.15">
      <c r="A3">
        <v>2</v>
      </c>
      <c r="B3" s="155" t="s">
        <v>193</v>
      </c>
      <c r="C3" s="98">
        <v>1</v>
      </c>
      <c r="D3" s="98">
        <v>0</v>
      </c>
      <c r="E3" s="97">
        <v>0</v>
      </c>
      <c r="F3" s="97">
        <v>1</v>
      </c>
      <c r="G3"/>
      <c r="H3"/>
    </row>
    <row r="4" spans="1:8" x14ac:dyDescent="0.15">
      <c r="A4">
        <v>3</v>
      </c>
      <c r="B4" s="155" t="s">
        <v>194</v>
      </c>
      <c r="C4" s="98">
        <v>1</v>
      </c>
      <c r="D4" s="98">
        <v>0</v>
      </c>
      <c r="E4" s="97">
        <v>0</v>
      </c>
      <c r="F4" s="97">
        <v>1</v>
      </c>
      <c r="G4"/>
      <c r="H4"/>
    </row>
    <row r="5" spans="1:8" x14ac:dyDescent="0.15">
      <c r="A5">
        <v>4</v>
      </c>
      <c r="B5" s="155" t="s">
        <v>195</v>
      </c>
      <c r="C5" s="98">
        <v>1</v>
      </c>
      <c r="D5" s="98">
        <v>0</v>
      </c>
      <c r="E5" s="97">
        <v>0</v>
      </c>
      <c r="F5" s="97">
        <v>1</v>
      </c>
      <c r="G5"/>
      <c r="H5"/>
    </row>
    <row r="6" spans="1:8" x14ac:dyDescent="0.15">
      <c r="A6">
        <v>5</v>
      </c>
      <c r="B6" s="155" t="s">
        <v>196</v>
      </c>
      <c r="C6" s="98">
        <v>1</v>
      </c>
      <c r="D6" s="98">
        <v>0</v>
      </c>
      <c r="E6" s="97">
        <v>0</v>
      </c>
      <c r="F6" s="97">
        <v>1</v>
      </c>
      <c r="G6"/>
      <c r="H6"/>
    </row>
    <row r="7" spans="1:8" x14ac:dyDescent="0.15">
      <c r="A7">
        <v>6</v>
      </c>
      <c r="B7" s="155" t="s">
        <v>197</v>
      </c>
      <c r="C7" s="98">
        <v>1</v>
      </c>
      <c r="D7" s="98">
        <v>0</v>
      </c>
      <c r="E7" s="97">
        <v>0</v>
      </c>
      <c r="F7" s="97">
        <v>1</v>
      </c>
      <c r="G7"/>
      <c r="H7"/>
    </row>
    <row r="8" spans="1:8" x14ac:dyDescent="0.15">
      <c r="A8">
        <v>7</v>
      </c>
      <c r="B8" s="155" t="s">
        <v>198</v>
      </c>
      <c r="C8" s="98">
        <v>1</v>
      </c>
      <c r="D8" s="98">
        <v>0</v>
      </c>
      <c r="E8" s="97">
        <v>0</v>
      </c>
      <c r="F8" s="97">
        <v>1</v>
      </c>
      <c r="G8"/>
      <c r="H8"/>
    </row>
    <row r="9" spans="1:8" x14ac:dyDescent="0.15">
      <c r="A9">
        <v>8</v>
      </c>
      <c r="B9" s="155" t="s">
        <v>199</v>
      </c>
      <c r="C9" s="98">
        <v>1</v>
      </c>
      <c r="D9" s="98">
        <v>0</v>
      </c>
      <c r="E9" s="97">
        <v>0</v>
      </c>
      <c r="F9" s="97">
        <v>1</v>
      </c>
      <c r="G9"/>
      <c r="H9"/>
    </row>
    <row r="10" spans="1:8" x14ac:dyDescent="0.15">
      <c r="A10">
        <v>9</v>
      </c>
      <c r="B10" s="155" t="s">
        <v>200</v>
      </c>
      <c r="C10" s="98">
        <v>1</v>
      </c>
      <c r="D10" s="98">
        <v>0</v>
      </c>
      <c r="E10" s="97">
        <v>0</v>
      </c>
      <c r="F10" s="97">
        <v>1</v>
      </c>
      <c r="G10"/>
      <c r="H10"/>
    </row>
    <row r="11" spans="1:8" x14ac:dyDescent="0.15">
      <c r="A11">
        <v>10</v>
      </c>
      <c r="B11" s="155" t="s">
        <v>201</v>
      </c>
      <c r="C11" s="98">
        <v>1</v>
      </c>
      <c r="D11" s="98">
        <v>0</v>
      </c>
      <c r="E11" s="97">
        <v>0</v>
      </c>
      <c r="F11" s="97">
        <v>1</v>
      </c>
      <c r="G11"/>
      <c r="H11"/>
    </row>
    <row r="12" spans="1:8" x14ac:dyDescent="0.15">
      <c r="A12">
        <v>11</v>
      </c>
      <c r="B12" s="155" t="s">
        <v>202</v>
      </c>
      <c r="C12" s="98">
        <v>1</v>
      </c>
      <c r="D12" s="98">
        <v>0</v>
      </c>
      <c r="E12" s="97">
        <v>0</v>
      </c>
      <c r="F12" s="97">
        <v>1</v>
      </c>
      <c r="G12"/>
      <c r="H12"/>
    </row>
    <row r="13" spans="1:8" x14ac:dyDescent="0.15">
      <c r="A13">
        <v>12</v>
      </c>
      <c r="B13" s="155" t="s">
        <v>203</v>
      </c>
      <c r="C13" s="98">
        <v>1</v>
      </c>
      <c r="D13" s="98">
        <v>0</v>
      </c>
      <c r="E13" s="97">
        <v>0</v>
      </c>
      <c r="F13" s="97">
        <v>1</v>
      </c>
      <c r="G13"/>
      <c r="H13"/>
    </row>
    <row r="14" spans="1:8" x14ac:dyDescent="0.15">
      <c r="A14">
        <v>13</v>
      </c>
      <c r="B14" s="155" t="s">
        <v>204</v>
      </c>
      <c r="C14" s="98">
        <v>1</v>
      </c>
      <c r="D14" s="98">
        <v>0</v>
      </c>
      <c r="E14" s="97">
        <v>0</v>
      </c>
      <c r="F14" s="97">
        <v>1</v>
      </c>
      <c r="G14"/>
      <c r="H14"/>
    </row>
    <row r="15" spans="1:8" x14ac:dyDescent="0.15">
      <c r="A15">
        <v>14</v>
      </c>
      <c r="B15" s="155" t="s">
        <v>205</v>
      </c>
      <c r="C15" s="98">
        <v>1</v>
      </c>
      <c r="D15" s="98">
        <v>0</v>
      </c>
      <c r="E15" s="97">
        <v>0</v>
      </c>
      <c r="F15" s="97">
        <v>1</v>
      </c>
      <c r="G15"/>
      <c r="H15"/>
    </row>
    <row r="16" spans="1:8" x14ac:dyDescent="0.15">
      <c r="A16">
        <v>15</v>
      </c>
      <c r="B16" s="155" t="s">
        <v>206</v>
      </c>
      <c r="C16" s="98">
        <v>1</v>
      </c>
      <c r="D16" s="98">
        <v>0</v>
      </c>
      <c r="E16" s="97">
        <v>0</v>
      </c>
      <c r="F16" s="97">
        <v>1</v>
      </c>
      <c r="G16"/>
      <c r="H16"/>
    </row>
    <row r="17" spans="1:8" ht="15" customHeight="1" x14ac:dyDescent="0.15">
      <c r="A17">
        <v>16</v>
      </c>
      <c r="B17" s="155" t="s">
        <v>207</v>
      </c>
      <c r="C17" s="98">
        <v>1</v>
      </c>
      <c r="D17" s="98">
        <v>0</v>
      </c>
      <c r="E17" s="97">
        <v>0</v>
      </c>
      <c r="F17" s="97">
        <v>1</v>
      </c>
      <c r="G17"/>
      <c r="H17"/>
    </row>
    <row r="18" spans="1:8" ht="15" customHeight="1" x14ac:dyDescent="0.15">
      <c r="A18">
        <v>17</v>
      </c>
      <c r="B18" s="155" t="s">
        <v>208</v>
      </c>
      <c r="C18" s="98">
        <v>1</v>
      </c>
      <c r="D18" s="98">
        <v>0</v>
      </c>
      <c r="E18" s="97">
        <v>0</v>
      </c>
      <c r="F18" s="97">
        <v>1</v>
      </c>
      <c r="G18"/>
      <c r="H18"/>
    </row>
    <row r="19" spans="1:8" ht="15" customHeight="1" x14ac:dyDescent="0.15">
      <c r="A19">
        <v>18</v>
      </c>
      <c r="B19" s="155" t="s">
        <v>209</v>
      </c>
      <c r="C19" s="98">
        <v>1</v>
      </c>
      <c r="D19" s="98">
        <v>0</v>
      </c>
      <c r="E19" s="97">
        <v>0</v>
      </c>
      <c r="F19" s="97">
        <v>1</v>
      </c>
      <c r="G19"/>
      <c r="H19"/>
    </row>
    <row r="20" spans="1:8" ht="15" customHeight="1" x14ac:dyDescent="0.15">
      <c r="A20">
        <v>19</v>
      </c>
      <c r="B20" s="155" t="s">
        <v>210</v>
      </c>
      <c r="C20" s="98">
        <v>0</v>
      </c>
      <c r="D20" s="98">
        <v>1</v>
      </c>
      <c r="E20" s="97">
        <v>0</v>
      </c>
      <c r="F20" s="97">
        <v>1</v>
      </c>
      <c r="G20"/>
      <c r="H20"/>
    </row>
    <row r="21" spans="1:8" ht="15" customHeight="1" x14ac:dyDescent="0.15">
      <c r="A21">
        <v>20</v>
      </c>
      <c r="B21" s="155" t="s">
        <v>211</v>
      </c>
      <c r="C21" s="98">
        <v>0</v>
      </c>
      <c r="D21" s="98">
        <v>0</v>
      </c>
      <c r="E21" s="97">
        <v>1</v>
      </c>
      <c r="F21" s="97">
        <v>1</v>
      </c>
      <c r="G21"/>
      <c r="H21"/>
    </row>
    <row r="22" spans="1:8" ht="15" customHeight="1" x14ac:dyDescent="0.15">
      <c r="A22">
        <v>21</v>
      </c>
      <c r="B22" s="155" t="s">
        <v>212</v>
      </c>
      <c r="C22" s="98">
        <v>0</v>
      </c>
      <c r="D22" s="98">
        <v>1</v>
      </c>
      <c r="E22" s="97">
        <v>0</v>
      </c>
      <c r="F22" s="97">
        <v>1</v>
      </c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8"/>
      <c r="F36" s="98"/>
      <c r="G36"/>
      <c r="H36"/>
    </row>
    <row r="37" spans="3:8" ht="15" customHeight="1" x14ac:dyDescent="0.15">
      <c r="C37"/>
      <c r="D37"/>
      <c r="E37" s="98"/>
      <c r="F37" s="98"/>
      <c r="G37"/>
      <c r="H37"/>
    </row>
    <row r="38" spans="3:8" ht="15" customHeight="1" x14ac:dyDescent="0.15">
      <c r="C38"/>
      <c r="D38"/>
      <c r="E38" s="98"/>
      <c r="F38" s="98"/>
      <c r="G38"/>
      <c r="H38"/>
    </row>
    <row r="39" spans="3:8" ht="15" customHeight="1" x14ac:dyDescent="0.15">
      <c r="C39"/>
      <c r="D39"/>
      <c r="E39" s="98"/>
      <c r="F39" s="98"/>
      <c r="G39"/>
      <c r="H39"/>
    </row>
    <row r="40" spans="3:8" ht="15" customHeight="1" x14ac:dyDescent="0.15">
      <c r="C40"/>
      <c r="D40"/>
      <c r="E40" s="98"/>
      <c r="F40" s="98"/>
      <c r="G40"/>
      <c r="H40"/>
    </row>
    <row r="41" spans="3:8" ht="15" customHeight="1" x14ac:dyDescent="0.15">
      <c r="C41"/>
      <c r="D41"/>
      <c r="E41" s="98"/>
      <c r="F41" s="98"/>
      <c r="G41"/>
      <c r="H41"/>
    </row>
    <row r="42" spans="3:8" ht="15" customHeight="1" x14ac:dyDescent="0.15">
      <c r="C42"/>
      <c r="D42"/>
      <c r="E42" s="98"/>
      <c r="F42" s="98"/>
      <c r="G42"/>
      <c r="H42"/>
    </row>
    <row r="43" spans="3:8" ht="15" customHeight="1" x14ac:dyDescent="0.15">
      <c r="C43"/>
      <c r="D43"/>
      <c r="E43" s="98"/>
      <c r="F43" s="98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8"/>
      <c r="F46" s="98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4" width="4.83203125" bestFit="1" customWidth="1"/>
    <col min="5" max="5" width="12.1640625" bestFit="1" customWidth="1"/>
  </cols>
  <sheetData>
    <row r="1" spans="1:5" s="99" customFormat="1" ht="112" x14ac:dyDescent="0.15">
      <c r="A1" s="5" t="s">
        <v>21</v>
      </c>
      <c r="B1" s="3" t="s">
        <v>0</v>
      </c>
      <c r="C1" s="158" t="s">
        <v>212</v>
      </c>
      <c r="D1" s="158" t="s">
        <v>216</v>
      </c>
      <c r="E1"/>
    </row>
    <row r="2" spans="1:5" ht="15" customHeight="1" x14ac:dyDescent="0.15">
      <c r="A2">
        <v>1</v>
      </c>
      <c r="B2" s="157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57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57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57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57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57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57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57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57" t="s">
        <v>200</v>
      </c>
      <c r="C10">
        <v>0.26</v>
      </c>
      <c r="D10">
        <v>0.26</v>
      </c>
    </row>
    <row r="11" spans="1:5" ht="15" customHeight="1" x14ac:dyDescent="0.15">
      <c r="A11">
        <v>10</v>
      </c>
      <c r="B11" s="157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57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57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57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57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57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57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57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57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57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57" t="s">
        <v>211</v>
      </c>
      <c r="C21">
        <v>0</v>
      </c>
      <c r="D21">
        <v>0</v>
      </c>
    </row>
    <row r="22" spans="1:4" ht="15" customHeight="1" x14ac:dyDescent="0.15"/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4" width="2.33203125" bestFit="1" customWidth="1"/>
    <col min="5" max="5" width="12.1640625" bestFit="1" customWidth="1"/>
  </cols>
  <sheetData>
    <row r="1" spans="1:4" s="99" customFormat="1" ht="112" x14ac:dyDescent="0.15">
      <c r="A1" s="5" t="s">
        <v>22</v>
      </c>
      <c r="B1" s="3" t="s">
        <v>0</v>
      </c>
      <c r="C1" s="160" t="s">
        <v>212</v>
      </c>
      <c r="D1" s="160" t="s">
        <v>216</v>
      </c>
    </row>
    <row r="2" spans="1:4" x14ac:dyDescent="0.15">
      <c r="A2">
        <v>1</v>
      </c>
      <c r="B2" s="159" t="s">
        <v>192</v>
      </c>
      <c r="C2">
        <v>0</v>
      </c>
      <c r="D2">
        <v>0</v>
      </c>
    </row>
    <row r="3" spans="1:4" x14ac:dyDescent="0.15">
      <c r="A3">
        <v>2</v>
      </c>
      <c r="B3" s="159" t="s">
        <v>193</v>
      </c>
      <c r="C3">
        <v>0</v>
      </c>
      <c r="D3">
        <v>0</v>
      </c>
    </row>
    <row r="4" spans="1:4" x14ac:dyDescent="0.15">
      <c r="A4">
        <v>3</v>
      </c>
      <c r="B4" s="159" t="s">
        <v>194</v>
      </c>
      <c r="C4">
        <v>0</v>
      </c>
      <c r="D4">
        <v>0</v>
      </c>
    </row>
    <row r="5" spans="1:4" x14ac:dyDescent="0.15">
      <c r="A5">
        <v>4</v>
      </c>
      <c r="B5" s="159" t="s">
        <v>195</v>
      </c>
      <c r="C5">
        <v>0</v>
      </c>
      <c r="D5">
        <v>0</v>
      </c>
    </row>
    <row r="6" spans="1:4" x14ac:dyDescent="0.15">
      <c r="A6">
        <v>5</v>
      </c>
      <c r="B6" s="159" t="s">
        <v>196</v>
      </c>
      <c r="C6">
        <v>0</v>
      </c>
      <c r="D6">
        <v>0</v>
      </c>
    </row>
    <row r="7" spans="1:4" x14ac:dyDescent="0.15">
      <c r="A7">
        <v>6</v>
      </c>
      <c r="B7" s="159" t="s">
        <v>197</v>
      </c>
      <c r="C7">
        <v>0</v>
      </c>
      <c r="D7">
        <v>0</v>
      </c>
    </row>
    <row r="8" spans="1:4" x14ac:dyDescent="0.15">
      <c r="A8">
        <v>7</v>
      </c>
      <c r="B8" s="159" t="s">
        <v>198</v>
      </c>
      <c r="C8">
        <v>0</v>
      </c>
      <c r="D8">
        <v>0</v>
      </c>
    </row>
    <row r="9" spans="1:4" x14ac:dyDescent="0.15">
      <c r="A9">
        <v>8</v>
      </c>
      <c r="B9" s="159" t="s">
        <v>199</v>
      </c>
      <c r="C9">
        <v>0</v>
      </c>
      <c r="D9">
        <v>0</v>
      </c>
    </row>
    <row r="10" spans="1:4" x14ac:dyDescent="0.15">
      <c r="A10">
        <v>9</v>
      </c>
      <c r="B10" s="159" t="s">
        <v>200</v>
      </c>
      <c r="C10">
        <v>0</v>
      </c>
      <c r="D10">
        <v>0</v>
      </c>
    </row>
    <row r="11" spans="1:4" x14ac:dyDescent="0.15">
      <c r="A11">
        <v>10</v>
      </c>
      <c r="B11" s="159" t="s">
        <v>201</v>
      </c>
      <c r="C11">
        <v>0</v>
      </c>
      <c r="D11">
        <v>0</v>
      </c>
    </row>
    <row r="12" spans="1:4" x14ac:dyDescent="0.15">
      <c r="A12">
        <v>11</v>
      </c>
      <c r="B12" s="159" t="s">
        <v>202</v>
      </c>
      <c r="C12">
        <v>0</v>
      </c>
      <c r="D12">
        <v>0</v>
      </c>
    </row>
    <row r="13" spans="1:4" x14ac:dyDescent="0.15">
      <c r="A13">
        <v>12</v>
      </c>
      <c r="B13" s="159" t="s">
        <v>203</v>
      </c>
      <c r="C13">
        <v>0</v>
      </c>
      <c r="D13">
        <v>0</v>
      </c>
    </row>
    <row r="14" spans="1:4" x14ac:dyDescent="0.15">
      <c r="A14">
        <v>13</v>
      </c>
      <c r="B14" s="159" t="s">
        <v>204</v>
      </c>
      <c r="C14">
        <v>0</v>
      </c>
      <c r="D14">
        <v>0</v>
      </c>
    </row>
    <row r="15" spans="1:4" x14ac:dyDescent="0.15">
      <c r="A15">
        <v>14</v>
      </c>
      <c r="B15" s="159" t="s">
        <v>205</v>
      </c>
      <c r="C15">
        <v>0</v>
      </c>
      <c r="D15">
        <v>0</v>
      </c>
    </row>
    <row r="16" spans="1:4" x14ac:dyDescent="0.15">
      <c r="A16">
        <v>15</v>
      </c>
      <c r="B16" s="159" t="s">
        <v>206</v>
      </c>
      <c r="C16">
        <v>0</v>
      </c>
      <c r="D16">
        <v>0</v>
      </c>
    </row>
    <row r="17" spans="1:4" x14ac:dyDescent="0.15">
      <c r="A17">
        <v>16</v>
      </c>
      <c r="B17" s="159" t="s">
        <v>207</v>
      </c>
      <c r="C17">
        <v>0</v>
      </c>
      <c r="D17">
        <v>0</v>
      </c>
    </row>
    <row r="18" spans="1:4" x14ac:dyDescent="0.15">
      <c r="A18">
        <v>17</v>
      </c>
      <c r="B18" s="159" t="s">
        <v>208</v>
      </c>
      <c r="C18">
        <v>0</v>
      </c>
      <c r="D18">
        <v>0</v>
      </c>
    </row>
    <row r="19" spans="1:4" x14ac:dyDescent="0.15">
      <c r="A19">
        <v>18</v>
      </c>
      <c r="B19" s="159" t="s">
        <v>209</v>
      </c>
      <c r="C19">
        <v>0</v>
      </c>
      <c r="D19">
        <v>0</v>
      </c>
    </row>
    <row r="20" spans="1:4" x14ac:dyDescent="0.15">
      <c r="A20">
        <v>19</v>
      </c>
      <c r="B20" s="159" t="s">
        <v>210</v>
      </c>
      <c r="C20">
        <v>0</v>
      </c>
      <c r="D20">
        <v>0</v>
      </c>
    </row>
    <row r="21" spans="1:4" x14ac:dyDescent="0.15">
      <c r="A21">
        <v>20</v>
      </c>
      <c r="B21" s="159" t="s">
        <v>211</v>
      </c>
      <c r="C21">
        <v>0</v>
      </c>
      <c r="D2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5" bestFit="1" customWidth="1"/>
    <col min="6" max="6" width="4.83203125" bestFit="1" customWidth="1"/>
    <col min="7" max="9" width="3.83203125" bestFit="1" customWidth="1"/>
    <col min="10" max="11" width="4.83203125" style="9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0" customFormat="1" ht="14" thickBot="1" x14ac:dyDescent="0.2">
      <c r="D1" s="101" t="s">
        <v>8</v>
      </c>
      <c r="E1" s="101" t="s">
        <v>0</v>
      </c>
      <c r="F1" s="102" t="s">
        <v>99</v>
      </c>
      <c r="G1" s="103" t="s">
        <v>84</v>
      </c>
      <c r="H1" s="103" t="s">
        <v>85</v>
      </c>
      <c r="I1" s="103" t="s">
        <v>86</v>
      </c>
      <c r="J1" s="103" t="s">
        <v>87</v>
      </c>
      <c r="K1" s="103" t="s">
        <v>88</v>
      </c>
      <c r="L1" s="104" t="s">
        <v>89</v>
      </c>
      <c r="M1" s="104" t="s">
        <v>93</v>
      </c>
      <c r="N1" s="104" t="s">
        <v>92</v>
      </c>
      <c r="O1" s="104" t="s">
        <v>90</v>
      </c>
      <c r="P1" s="104" t="s">
        <v>91</v>
      </c>
      <c r="Q1" s="105" t="s">
        <v>94</v>
      </c>
      <c r="R1" s="105" t="s">
        <v>95</v>
      </c>
      <c r="S1" s="105" t="s">
        <v>96</v>
      </c>
      <c r="T1" s="105" t="s">
        <v>97</v>
      </c>
      <c r="U1" s="105" t="s">
        <v>98</v>
      </c>
      <c r="V1" s="103" t="s">
        <v>100</v>
      </c>
      <c r="W1" s="103" t="s">
        <v>101</v>
      </c>
      <c r="X1" s="103" t="s">
        <v>102</v>
      </c>
      <c r="Y1" s="103" t="s">
        <v>134</v>
      </c>
      <c r="Z1" s="104" t="s">
        <v>103</v>
      </c>
      <c r="AA1" s="104" t="s">
        <v>104</v>
      </c>
      <c r="AB1" s="104" t="s">
        <v>105</v>
      </c>
      <c r="AC1" s="106" t="s">
        <v>135</v>
      </c>
      <c r="AD1" s="105" t="s">
        <v>106</v>
      </c>
      <c r="AE1" s="105" t="s">
        <v>107</v>
      </c>
      <c r="AF1" s="105" t="s">
        <v>108</v>
      </c>
      <c r="AG1" s="105" t="s">
        <v>136</v>
      </c>
      <c r="AH1" s="103" t="s">
        <v>109</v>
      </c>
      <c r="AI1" s="103" t="s">
        <v>111</v>
      </c>
      <c r="AJ1" s="103" t="s">
        <v>110</v>
      </c>
      <c r="AK1" s="104" t="s">
        <v>115</v>
      </c>
      <c r="AL1" s="104" t="s">
        <v>116</v>
      </c>
      <c r="AM1" s="104" t="s">
        <v>117</v>
      </c>
      <c r="AN1" s="105" t="s">
        <v>112</v>
      </c>
      <c r="AO1" s="105" t="s">
        <v>113</v>
      </c>
      <c r="AP1" s="105" t="s">
        <v>114</v>
      </c>
    </row>
    <row r="2" spans="1:42" x14ac:dyDescent="0.15">
      <c r="A2" s="107" t="s">
        <v>74</v>
      </c>
      <c r="B2" s="108">
        <v>1</v>
      </c>
      <c r="D2">
        <v>1</v>
      </c>
      <c r="E2" s="161" t="s">
        <v>192</v>
      </c>
      <c r="F2">
        <v>0.98</v>
      </c>
      <c r="G2">
        <v>0.8</v>
      </c>
      <c r="H2">
        <v>0.8</v>
      </c>
      <c r="I2">
        <v>0.8</v>
      </c>
      <c r="J2" s="98">
        <v>0.25</v>
      </c>
      <c r="K2" s="98">
        <v>0.05</v>
      </c>
    </row>
    <row r="3" spans="1:42" x14ac:dyDescent="0.15">
      <c r="A3" s="107" t="s">
        <v>75</v>
      </c>
      <c r="B3" s="109">
        <v>1</v>
      </c>
      <c r="D3">
        <v>2</v>
      </c>
      <c r="E3" s="161" t="s">
        <v>193</v>
      </c>
      <c r="F3">
        <v>0.98</v>
      </c>
      <c r="G3">
        <v>0.8</v>
      </c>
      <c r="H3">
        <v>0.8</v>
      </c>
      <c r="I3">
        <v>0.8</v>
      </c>
      <c r="J3" s="98">
        <v>0.25</v>
      </c>
      <c r="K3" s="98">
        <v>0.05</v>
      </c>
    </row>
    <row r="4" spans="1:42" x14ac:dyDescent="0.15">
      <c r="A4" s="107" t="s">
        <v>76</v>
      </c>
      <c r="B4" s="109">
        <v>1</v>
      </c>
      <c r="D4">
        <v>3</v>
      </c>
      <c r="E4" s="161" t="s">
        <v>194</v>
      </c>
      <c r="F4">
        <v>0.98</v>
      </c>
      <c r="G4">
        <v>0.8</v>
      </c>
      <c r="H4">
        <v>0.8</v>
      </c>
      <c r="I4">
        <v>0.8</v>
      </c>
      <c r="J4" s="98">
        <v>0.25</v>
      </c>
      <c r="K4" s="98">
        <v>0.05</v>
      </c>
    </row>
    <row r="5" spans="1:42" x14ac:dyDescent="0.15">
      <c r="A5" s="107" t="s">
        <v>77</v>
      </c>
      <c r="B5" s="109">
        <v>1</v>
      </c>
      <c r="D5">
        <v>4</v>
      </c>
      <c r="E5" s="161" t="s">
        <v>195</v>
      </c>
      <c r="F5">
        <v>0.98</v>
      </c>
      <c r="G5">
        <v>0.8</v>
      </c>
      <c r="H5">
        <v>0.8</v>
      </c>
      <c r="I5">
        <v>0.8</v>
      </c>
      <c r="J5" s="98">
        <v>0.25</v>
      </c>
      <c r="K5" s="98">
        <v>0.05</v>
      </c>
    </row>
    <row r="6" spans="1:42" x14ac:dyDescent="0.15">
      <c r="A6" s="107" t="s">
        <v>78</v>
      </c>
      <c r="B6" s="109">
        <v>1</v>
      </c>
      <c r="D6">
        <v>5</v>
      </c>
      <c r="E6" s="161" t="s">
        <v>196</v>
      </c>
      <c r="F6">
        <v>0.98</v>
      </c>
      <c r="G6">
        <v>0.8</v>
      </c>
      <c r="H6">
        <v>0.8</v>
      </c>
      <c r="I6">
        <v>0.8</v>
      </c>
      <c r="J6" s="98">
        <v>0.25</v>
      </c>
      <c r="K6" s="98">
        <v>0.05</v>
      </c>
    </row>
    <row r="7" spans="1:42" x14ac:dyDescent="0.15">
      <c r="A7" s="107" t="s">
        <v>79</v>
      </c>
      <c r="B7" s="109">
        <v>1</v>
      </c>
      <c r="D7">
        <v>6</v>
      </c>
      <c r="E7" s="161" t="s">
        <v>197</v>
      </c>
      <c r="F7">
        <v>0.98</v>
      </c>
      <c r="G7">
        <v>0.8</v>
      </c>
      <c r="H7">
        <v>0.8</v>
      </c>
      <c r="I7">
        <v>0.8</v>
      </c>
      <c r="J7" s="98">
        <v>0.25</v>
      </c>
      <c r="K7" s="98">
        <v>0.05</v>
      </c>
    </row>
    <row r="8" spans="1:42" x14ac:dyDescent="0.15">
      <c r="A8" s="107" t="s">
        <v>80</v>
      </c>
      <c r="B8" s="109">
        <v>1</v>
      </c>
      <c r="D8">
        <v>7</v>
      </c>
      <c r="E8" s="161" t="s">
        <v>198</v>
      </c>
      <c r="F8">
        <v>0.98</v>
      </c>
      <c r="G8">
        <v>0.8</v>
      </c>
      <c r="H8">
        <v>0.8</v>
      </c>
      <c r="I8">
        <v>0.8</v>
      </c>
      <c r="J8" s="98">
        <v>0.25</v>
      </c>
      <c r="K8" s="98">
        <v>0.05</v>
      </c>
    </row>
    <row r="9" spans="1:42" x14ac:dyDescent="0.15">
      <c r="A9" s="107" t="s">
        <v>81</v>
      </c>
      <c r="B9" s="109">
        <v>0.1</v>
      </c>
      <c r="C9" s="55" t="s">
        <v>150</v>
      </c>
      <c r="D9">
        <v>8</v>
      </c>
      <c r="E9" s="161" t="s">
        <v>199</v>
      </c>
      <c r="F9">
        <v>0.98</v>
      </c>
      <c r="G9">
        <v>0.8</v>
      </c>
      <c r="H9">
        <v>0.8</v>
      </c>
      <c r="I9">
        <v>0.8</v>
      </c>
      <c r="J9" s="98">
        <v>0.25</v>
      </c>
      <c r="K9" s="98">
        <v>0.05</v>
      </c>
    </row>
    <row r="10" spans="1:42" ht="14" thickBot="1" x14ac:dyDescent="0.2">
      <c r="A10" s="107" t="s">
        <v>149</v>
      </c>
      <c r="B10" s="110">
        <f>1/3</f>
        <v>0.33333333333333331</v>
      </c>
      <c r="C10" s="55" t="s">
        <v>150</v>
      </c>
      <c r="D10">
        <v>9</v>
      </c>
      <c r="E10" s="161" t="s">
        <v>200</v>
      </c>
      <c r="F10">
        <v>0.98</v>
      </c>
      <c r="G10">
        <v>0.8</v>
      </c>
      <c r="H10">
        <v>0.8</v>
      </c>
      <c r="I10">
        <v>0.8</v>
      </c>
      <c r="J10" s="98">
        <v>0.25</v>
      </c>
      <c r="K10" s="98">
        <v>0.05</v>
      </c>
    </row>
    <row r="11" spans="1:42" x14ac:dyDescent="0.15">
      <c r="D11">
        <v>10</v>
      </c>
      <c r="E11" s="161" t="s">
        <v>201</v>
      </c>
      <c r="F11">
        <v>0.98</v>
      </c>
      <c r="G11">
        <v>0.8</v>
      </c>
      <c r="H11">
        <v>0.8</v>
      </c>
      <c r="I11">
        <v>0.8</v>
      </c>
      <c r="J11" s="98">
        <v>0.25</v>
      </c>
      <c r="K11" s="98">
        <v>0.05</v>
      </c>
    </row>
    <row r="12" spans="1:42" x14ac:dyDescent="0.15">
      <c r="D12">
        <v>11</v>
      </c>
      <c r="E12" s="161" t="s">
        <v>202</v>
      </c>
      <c r="F12">
        <v>0.98</v>
      </c>
      <c r="G12">
        <v>0.8</v>
      </c>
      <c r="H12">
        <v>0.8</v>
      </c>
      <c r="I12">
        <v>0.8</v>
      </c>
      <c r="J12" s="98">
        <v>0.25</v>
      </c>
      <c r="K12" s="98">
        <v>0.05</v>
      </c>
    </row>
    <row r="13" spans="1:42" x14ac:dyDescent="0.15">
      <c r="D13">
        <v>12</v>
      </c>
      <c r="E13" s="161" t="s">
        <v>203</v>
      </c>
      <c r="F13">
        <v>0.98</v>
      </c>
      <c r="G13">
        <v>0.8</v>
      </c>
      <c r="H13">
        <v>0.8</v>
      </c>
      <c r="I13">
        <v>0.8</v>
      </c>
      <c r="J13" s="98">
        <v>0.25</v>
      </c>
      <c r="K13" s="98">
        <v>0.05</v>
      </c>
    </row>
    <row r="14" spans="1:42" x14ac:dyDescent="0.15">
      <c r="D14">
        <v>13</v>
      </c>
      <c r="E14" s="161" t="s">
        <v>204</v>
      </c>
      <c r="F14">
        <v>0.98</v>
      </c>
      <c r="G14">
        <v>0.8</v>
      </c>
      <c r="H14">
        <v>0.8</v>
      </c>
      <c r="I14">
        <v>0.8</v>
      </c>
      <c r="J14" s="98">
        <v>0.25</v>
      </c>
      <c r="K14" s="98">
        <v>0.05</v>
      </c>
    </row>
    <row r="15" spans="1:42" x14ac:dyDescent="0.15">
      <c r="D15">
        <v>14</v>
      </c>
      <c r="E15" s="161" t="s">
        <v>205</v>
      </c>
      <c r="F15">
        <v>0.98</v>
      </c>
      <c r="G15">
        <v>0.8</v>
      </c>
      <c r="H15">
        <v>0.8</v>
      </c>
      <c r="I15">
        <v>0.8</v>
      </c>
      <c r="J15" s="98">
        <v>0.25</v>
      </c>
      <c r="K15" s="98">
        <v>0.05</v>
      </c>
    </row>
    <row r="16" spans="1:42" x14ac:dyDescent="0.15">
      <c r="D16">
        <v>15</v>
      </c>
      <c r="E16" s="161" t="s">
        <v>206</v>
      </c>
      <c r="F16">
        <v>0.98</v>
      </c>
      <c r="G16">
        <v>0.8</v>
      </c>
      <c r="H16">
        <v>0.8</v>
      </c>
      <c r="I16">
        <v>0.8</v>
      </c>
      <c r="J16" s="98">
        <v>0.25</v>
      </c>
      <c r="K16" s="98">
        <v>0.05</v>
      </c>
    </row>
    <row r="17" spans="4:33" ht="15" customHeight="1" x14ac:dyDescent="0.15">
      <c r="D17">
        <v>16</v>
      </c>
      <c r="E17" s="161" t="s">
        <v>207</v>
      </c>
      <c r="F17">
        <v>0.98</v>
      </c>
      <c r="G17">
        <v>0.8</v>
      </c>
      <c r="H17">
        <v>0.8</v>
      </c>
      <c r="I17">
        <v>0.8</v>
      </c>
      <c r="J17" s="98">
        <v>0.25</v>
      </c>
      <c r="K17" s="98">
        <v>0.05</v>
      </c>
    </row>
    <row r="18" spans="4:33" ht="15" customHeight="1" x14ac:dyDescent="0.15">
      <c r="D18">
        <v>17</v>
      </c>
      <c r="E18" s="161" t="s">
        <v>208</v>
      </c>
      <c r="F18">
        <v>0.98</v>
      </c>
      <c r="G18">
        <v>0.8</v>
      </c>
      <c r="H18">
        <v>0.8</v>
      </c>
      <c r="I18">
        <v>0</v>
      </c>
      <c r="J18" s="98">
        <v>0</v>
      </c>
      <c r="K18" s="98">
        <v>0</v>
      </c>
    </row>
    <row r="19" spans="4:33" ht="15" customHeight="1" x14ac:dyDescent="0.15">
      <c r="D19">
        <v>18</v>
      </c>
      <c r="E19" s="161" t="s">
        <v>209</v>
      </c>
      <c r="F19">
        <v>0.98</v>
      </c>
      <c r="G19">
        <v>0.8</v>
      </c>
      <c r="H19">
        <v>0.8</v>
      </c>
      <c r="I19">
        <v>0</v>
      </c>
      <c r="J19" s="98">
        <v>0</v>
      </c>
      <c r="K19" s="98">
        <v>0</v>
      </c>
    </row>
    <row r="20" spans="4:33" ht="15" customHeight="1" x14ac:dyDescent="0.15">
      <c r="D20">
        <v>19</v>
      </c>
      <c r="E20" s="161" t="s">
        <v>210</v>
      </c>
      <c r="F20">
        <v>0.98</v>
      </c>
      <c r="G20">
        <v>0.8</v>
      </c>
      <c r="H20">
        <v>0</v>
      </c>
      <c r="I20">
        <v>0</v>
      </c>
      <c r="J20" s="98">
        <v>0</v>
      </c>
      <c r="K20" s="98">
        <v>0</v>
      </c>
    </row>
    <row r="21" spans="4:33" ht="15" customHeight="1" x14ac:dyDescent="0.15">
      <c r="D21">
        <v>20</v>
      </c>
      <c r="E21" s="161" t="s">
        <v>211</v>
      </c>
      <c r="F21">
        <v>0.98</v>
      </c>
      <c r="G21">
        <v>0.8</v>
      </c>
      <c r="H21">
        <v>0</v>
      </c>
      <c r="I21">
        <v>0</v>
      </c>
      <c r="J21" s="98">
        <v>0</v>
      </c>
      <c r="K21" s="98">
        <v>0</v>
      </c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6" bestFit="1" customWidth="1"/>
    <col min="2" max="17" width="3.83203125" style="96" customWidth="1"/>
    <col min="18" max="21" width="2.33203125" style="96" customWidth="1"/>
    <col min="22" max="16384" width="10.83203125" style="96"/>
  </cols>
  <sheetData>
    <row r="1" spans="1:30" x14ac:dyDescent="0.15">
      <c r="A1" s="57" t="s">
        <v>118</v>
      </c>
      <c r="B1" s="163" t="s">
        <v>192</v>
      </c>
      <c r="C1" s="163" t="s">
        <v>193</v>
      </c>
      <c r="D1" s="163" t="s">
        <v>194</v>
      </c>
      <c r="E1" s="163" t="s">
        <v>195</v>
      </c>
      <c r="F1" s="163" t="s">
        <v>196</v>
      </c>
      <c r="G1" s="163" t="s">
        <v>197</v>
      </c>
      <c r="H1" s="163" t="s">
        <v>198</v>
      </c>
      <c r="I1" s="163" t="s">
        <v>199</v>
      </c>
      <c r="J1" s="163" t="s">
        <v>200</v>
      </c>
      <c r="K1" s="163" t="s">
        <v>201</v>
      </c>
      <c r="L1" s="163" t="s">
        <v>202</v>
      </c>
      <c r="M1" s="163" t="s">
        <v>203</v>
      </c>
      <c r="N1" s="163" t="s">
        <v>204</v>
      </c>
      <c r="O1" s="163" t="s">
        <v>205</v>
      </c>
      <c r="P1" s="163" t="s">
        <v>206</v>
      </c>
      <c r="Q1" s="163" t="s">
        <v>207</v>
      </c>
      <c r="R1" s="163" t="s">
        <v>208</v>
      </c>
      <c r="S1" s="163" t="s">
        <v>209</v>
      </c>
      <c r="T1" s="163" t="s">
        <v>210</v>
      </c>
      <c r="U1" s="163" t="s">
        <v>211</v>
      </c>
      <c r="V1"/>
      <c r="W1"/>
      <c r="X1"/>
      <c r="Y1"/>
      <c r="Z1"/>
      <c r="AA1"/>
      <c r="AB1"/>
      <c r="AC1"/>
      <c r="AD1"/>
    </row>
    <row r="2" spans="1:30" customFormat="1" x14ac:dyDescent="0.15">
      <c r="A2" s="162" t="s">
        <v>192</v>
      </c>
      <c r="B2" s="96">
        <v>0</v>
      </c>
      <c r="C2" s="96">
        <v>0</v>
      </c>
      <c r="D2" s="96">
        <v>0</v>
      </c>
      <c r="E2" s="96">
        <v>0</v>
      </c>
      <c r="F2" s="96">
        <v>0</v>
      </c>
      <c r="G2" s="96">
        <v>0</v>
      </c>
      <c r="H2" s="96">
        <v>0</v>
      </c>
      <c r="I2" s="96">
        <v>0</v>
      </c>
      <c r="J2" s="96">
        <v>0.8</v>
      </c>
      <c r="K2" s="96">
        <v>0</v>
      </c>
      <c r="L2" s="96">
        <v>0</v>
      </c>
      <c r="M2" s="96">
        <v>0</v>
      </c>
      <c r="N2" s="96">
        <v>0</v>
      </c>
      <c r="O2" s="96">
        <v>0</v>
      </c>
      <c r="P2" s="96">
        <v>0</v>
      </c>
      <c r="Q2" s="96">
        <v>0</v>
      </c>
      <c r="R2" s="96">
        <v>0</v>
      </c>
      <c r="S2" s="96">
        <v>0</v>
      </c>
      <c r="T2" s="96">
        <v>0</v>
      </c>
      <c r="U2" s="96">
        <v>0</v>
      </c>
    </row>
    <row r="3" spans="1:30" customFormat="1" x14ac:dyDescent="0.15">
      <c r="A3" s="162" t="s">
        <v>193</v>
      </c>
      <c r="B3" s="96">
        <v>0</v>
      </c>
      <c r="C3" s="96">
        <v>0</v>
      </c>
      <c r="D3" s="96">
        <v>0</v>
      </c>
      <c r="E3" s="96">
        <v>0</v>
      </c>
      <c r="F3" s="96">
        <v>0</v>
      </c>
      <c r="G3" s="96">
        <v>0</v>
      </c>
      <c r="H3" s="96">
        <v>0</v>
      </c>
      <c r="I3" s="96">
        <v>0</v>
      </c>
      <c r="J3" s="96">
        <v>0</v>
      </c>
      <c r="K3" s="96">
        <v>0</v>
      </c>
      <c r="L3" s="96">
        <v>0</v>
      </c>
      <c r="M3" s="96">
        <v>0</v>
      </c>
      <c r="N3" s="96">
        <v>0</v>
      </c>
      <c r="O3" s="96">
        <v>0</v>
      </c>
      <c r="P3" s="96">
        <v>0</v>
      </c>
      <c r="Q3" s="96">
        <v>0</v>
      </c>
      <c r="R3" s="96">
        <v>0</v>
      </c>
      <c r="S3" s="96">
        <v>0</v>
      </c>
      <c r="T3" s="96">
        <v>0</v>
      </c>
      <c r="U3" s="96">
        <v>0</v>
      </c>
    </row>
    <row r="4" spans="1:30" customFormat="1" x14ac:dyDescent="0.15">
      <c r="A4" s="162" t="s">
        <v>194</v>
      </c>
      <c r="B4" s="96">
        <v>0</v>
      </c>
      <c r="C4" s="96">
        <v>0</v>
      </c>
      <c r="D4" s="96">
        <v>0</v>
      </c>
      <c r="E4" s="96">
        <v>0</v>
      </c>
      <c r="F4" s="96">
        <v>0</v>
      </c>
      <c r="G4" s="96">
        <v>0</v>
      </c>
      <c r="H4" s="96">
        <v>0</v>
      </c>
      <c r="I4" s="96">
        <v>0</v>
      </c>
      <c r="J4" s="96">
        <v>0.8</v>
      </c>
      <c r="K4" s="96">
        <v>0</v>
      </c>
      <c r="L4" s="96">
        <v>0</v>
      </c>
      <c r="M4" s="96">
        <v>0</v>
      </c>
      <c r="N4" s="96">
        <v>0</v>
      </c>
      <c r="O4" s="96">
        <v>0</v>
      </c>
      <c r="P4" s="96">
        <v>0</v>
      </c>
      <c r="Q4" s="96">
        <v>0</v>
      </c>
      <c r="R4" s="96">
        <v>0</v>
      </c>
      <c r="S4" s="96">
        <v>0</v>
      </c>
      <c r="T4" s="96">
        <v>0</v>
      </c>
      <c r="U4" s="96">
        <v>0</v>
      </c>
    </row>
    <row r="5" spans="1:30" customFormat="1" x14ac:dyDescent="0.15">
      <c r="A5" s="162" t="s">
        <v>195</v>
      </c>
      <c r="B5" s="96">
        <v>0</v>
      </c>
      <c r="C5" s="96">
        <v>0</v>
      </c>
      <c r="D5" s="96">
        <v>0</v>
      </c>
      <c r="E5" s="96">
        <v>0</v>
      </c>
      <c r="F5" s="96">
        <v>0</v>
      </c>
      <c r="G5" s="96">
        <v>0</v>
      </c>
      <c r="H5" s="96">
        <v>0</v>
      </c>
      <c r="I5" s="96">
        <v>0</v>
      </c>
      <c r="J5" s="96">
        <v>0.8</v>
      </c>
      <c r="K5" s="96">
        <v>0</v>
      </c>
      <c r="L5" s="96">
        <v>0</v>
      </c>
      <c r="M5" s="96">
        <v>0</v>
      </c>
      <c r="N5" s="96">
        <v>0</v>
      </c>
      <c r="O5" s="96">
        <v>0</v>
      </c>
      <c r="P5" s="96">
        <v>0</v>
      </c>
      <c r="Q5" s="96">
        <v>0</v>
      </c>
      <c r="R5" s="96">
        <v>0</v>
      </c>
      <c r="S5" s="96">
        <v>0</v>
      </c>
      <c r="T5" s="96">
        <v>0</v>
      </c>
      <c r="U5" s="96">
        <v>0</v>
      </c>
    </row>
    <row r="6" spans="1:30" customFormat="1" x14ac:dyDescent="0.15">
      <c r="A6" s="162" t="s">
        <v>196</v>
      </c>
      <c r="B6" s="96">
        <v>0</v>
      </c>
      <c r="C6" s="96">
        <v>0</v>
      </c>
      <c r="D6" s="96">
        <v>0</v>
      </c>
      <c r="E6" s="96">
        <v>0</v>
      </c>
      <c r="F6" s="96">
        <v>0</v>
      </c>
      <c r="G6" s="96">
        <v>0</v>
      </c>
      <c r="H6" s="96">
        <v>0</v>
      </c>
      <c r="I6" s="96">
        <v>0</v>
      </c>
      <c r="J6" s="96">
        <v>0</v>
      </c>
      <c r="K6" s="96">
        <v>0.8</v>
      </c>
      <c r="L6" s="96">
        <v>0</v>
      </c>
      <c r="M6" s="96">
        <v>0</v>
      </c>
      <c r="N6" s="96">
        <v>0</v>
      </c>
      <c r="O6" s="96">
        <v>0</v>
      </c>
      <c r="P6" s="96">
        <v>0</v>
      </c>
      <c r="Q6" s="96">
        <v>0</v>
      </c>
      <c r="R6" s="96">
        <v>0</v>
      </c>
      <c r="S6" s="96">
        <v>0</v>
      </c>
      <c r="T6" s="96">
        <v>0</v>
      </c>
      <c r="U6" s="96">
        <v>0</v>
      </c>
    </row>
    <row r="7" spans="1:30" customFormat="1" x14ac:dyDescent="0.15">
      <c r="A7" s="162" t="s">
        <v>197</v>
      </c>
      <c r="B7" s="96">
        <v>0</v>
      </c>
      <c r="C7" s="96">
        <v>0</v>
      </c>
      <c r="D7" s="96">
        <v>0</v>
      </c>
      <c r="E7" s="96">
        <v>0</v>
      </c>
      <c r="F7" s="96">
        <v>0</v>
      </c>
      <c r="G7" s="96">
        <v>0</v>
      </c>
      <c r="H7" s="96">
        <v>0</v>
      </c>
      <c r="I7" s="96">
        <v>0</v>
      </c>
      <c r="J7" s="96">
        <v>0.8</v>
      </c>
      <c r="K7" s="96">
        <v>0</v>
      </c>
      <c r="L7" s="96">
        <v>0</v>
      </c>
      <c r="M7" s="96">
        <v>0</v>
      </c>
      <c r="N7" s="96">
        <v>0</v>
      </c>
      <c r="O7" s="96">
        <v>0</v>
      </c>
      <c r="P7" s="96">
        <v>0</v>
      </c>
      <c r="Q7" s="96">
        <v>0</v>
      </c>
      <c r="R7" s="96">
        <v>0</v>
      </c>
      <c r="S7" s="96">
        <v>0</v>
      </c>
      <c r="T7" s="96">
        <v>0</v>
      </c>
      <c r="U7" s="96">
        <v>0</v>
      </c>
    </row>
    <row r="8" spans="1:30" customFormat="1" x14ac:dyDescent="0.15">
      <c r="A8" s="162" t="s">
        <v>198</v>
      </c>
      <c r="B8" s="96">
        <v>0</v>
      </c>
      <c r="C8" s="96">
        <v>0</v>
      </c>
      <c r="D8" s="96">
        <v>0</v>
      </c>
      <c r="E8" s="96">
        <v>0</v>
      </c>
      <c r="F8" s="96">
        <v>0</v>
      </c>
      <c r="G8" s="96">
        <v>0</v>
      </c>
      <c r="H8" s="96">
        <v>0</v>
      </c>
      <c r="I8" s="96">
        <v>0</v>
      </c>
      <c r="J8" s="96">
        <v>0.8</v>
      </c>
      <c r="K8" s="96">
        <v>0.8</v>
      </c>
      <c r="L8" s="96">
        <v>0</v>
      </c>
      <c r="M8" s="96">
        <v>0</v>
      </c>
      <c r="N8" s="96">
        <v>0</v>
      </c>
      <c r="O8" s="96">
        <v>0</v>
      </c>
      <c r="P8" s="96">
        <v>0</v>
      </c>
      <c r="Q8" s="96">
        <v>0</v>
      </c>
      <c r="R8" s="96">
        <v>0</v>
      </c>
      <c r="S8" s="96">
        <v>0</v>
      </c>
      <c r="T8" s="96">
        <v>0</v>
      </c>
      <c r="U8" s="96">
        <v>0</v>
      </c>
    </row>
    <row r="9" spans="1:30" customFormat="1" x14ac:dyDescent="0.15">
      <c r="A9" s="162" t="s">
        <v>199</v>
      </c>
      <c r="B9" s="96">
        <v>0</v>
      </c>
      <c r="C9" s="96">
        <v>0</v>
      </c>
      <c r="D9" s="96">
        <v>0</v>
      </c>
      <c r="E9" s="96">
        <v>0</v>
      </c>
      <c r="F9" s="96">
        <v>0</v>
      </c>
      <c r="G9" s="96">
        <v>0</v>
      </c>
      <c r="H9" s="96">
        <v>0</v>
      </c>
      <c r="I9" s="96">
        <v>0</v>
      </c>
      <c r="J9" s="96">
        <v>0.8</v>
      </c>
      <c r="K9" s="96">
        <v>0</v>
      </c>
      <c r="L9" s="96">
        <v>0</v>
      </c>
      <c r="M9" s="96">
        <v>0</v>
      </c>
      <c r="N9" s="96">
        <v>0</v>
      </c>
      <c r="O9" s="96">
        <v>0</v>
      </c>
      <c r="P9" s="96">
        <v>0</v>
      </c>
      <c r="Q9" s="96">
        <v>0</v>
      </c>
      <c r="R9" s="96">
        <v>0</v>
      </c>
      <c r="S9" s="96">
        <v>0</v>
      </c>
      <c r="T9" s="96">
        <v>0</v>
      </c>
      <c r="U9" s="96">
        <v>0</v>
      </c>
    </row>
    <row r="10" spans="1:30" customFormat="1" x14ac:dyDescent="0.15">
      <c r="A10" s="162" t="s">
        <v>200</v>
      </c>
      <c r="B10" s="96">
        <v>0</v>
      </c>
      <c r="C10" s="96">
        <v>0</v>
      </c>
      <c r="D10" s="96">
        <v>0</v>
      </c>
      <c r="E10" s="96">
        <v>0</v>
      </c>
      <c r="F10" s="96">
        <v>0</v>
      </c>
      <c r="G10" s="96">
        <v>0</v>
      </c>
      <c r="H10" s="96">
        <v>0</v>
      </c>
      <c r="I10" s="96">
        <v>0</v>
      </c>
      <c r="J10" s="96">
        <v>0.8</v>
      </c>
      <c r="K10" s="96">
        <v>0.8</v>
      </c>
      <c r="L10" s="96">
        <v>0</v>
      </c>
      <c r="M10" s="96">
        <v>0</v>
      </c>
      <c r="N10" s="96">
        <v>0</v>
      </c>
      <c r="O10" s="96">
        <v>0</v>
      </c>
      <c r="P10" s="96">
        <v>0</v>
      </c>
      <c r="Q10" s="96">
        <v>0</v>
      </c>
      <c r="R10" s="96">
        <v>0</v>
      </c>
      <c r="S10" s="96">
        <v>0</v>
      </c>
      <c r="T10" s="96">
        <v>0</v>
      </c>
      <c r="U10" s="96">
        <v>0</v>
      </c>
    </row>
    <row r="11" spans="1:30" customFormat="1" x14ac:dyDescent="0.15">
      <c r="A11" s="162" t="s">
        <v>201</v>
      </c>
      <c r="B11" s="96">
        <v>0</v>
      </c>
      <c r="C11" s="96">
        <v>0.8</v>
      </c>
      <c r="D11" s="96">
        <v>0.8</v>
      </c>
      <c r="E11" s="96">
        <v>0.8</v>
      </c>
      <c r="F11" s="96">
        <v>0</v>
      </c>
      <c r="G11" s="96">
        <v>0.8</v>
      </c>
      <c r="H11" s="96">
        <v>0.8</v>
      </c>
      <c r="I11" s="96">
        <v>0</v>
      </c>
      <c r="J11" s="96">
        <v>0.8</v>
      </c>
      <c r="K11" s="96">
        <v>0.8</v>
      </c>
      <c r="L11" s="96">
        <v>0</v>
      </c>
      <c r="M11" s="96">
        <v>0</v>
      </c>
      <c r="N11" s="96">
        <v>0</v>
      </c>
      <c r="O11" s="96">
        <v>0.8</v>
      </c>
      <c r="P11" s="96">
        <v>0</v>
      </c>
      <c r="Q11" s="96">
        <v>0</v>
      </c>
      <c r="R11" s="96">
        <v>0</v>
      </c>
      <c r="S11" s="96">
        <v>0</v>
      </c>
      <c r="T11" s="96">
        <v>0</v>
      </c>
      <c r="U11" s="96">
        <v>0</v>
      </c>
    </row>
    <row r="12" spans="1:30" customFormat="1" x14ac:dyDescent="0.15">
      <c r="A12" s="162" t="s">
        <v>202</v>
      </c>
      <c r="B12" s="96">
        <v>0.8</v>
      </c>
      <c r="C12" s="96">
        <v>0.8</v>
      </c>
      <c r="D12" s="96">
        <v>0.8</v>
      </c>
      <c r="E12" s="96">
        <v>0.8</v>
      </c>
      <c r="F12" s="96">
        <v>0.8</v>
      </c>
      <c r="G12" s="96">
        <v>0.8</v>
      </c>
      <c r="H12" s="96">
        <v>0.8</v>
      </c>
      <c r="I12" s="96">
        <v>0.8</v>
      </c>
      <c r="J12" s="96">
        <v>0.8</v>
      </c>
      <c r="K12" s="96">
        <v>0.8</v>
      </c>
      <c r="L12" s="96">
        <v>0.8</v>
      </c>
      <c r="M12" s="96">
        <v>0</v>
      </c>
      <c r="N12" s="96">
        <v>0</v>
      </c>
      <c r="O12" s="96">
        <v>0</v>
      </c>
      <c r="P12" s="96">
        <v>0.8</v>
      </c>
      <c r="Q12" s="96">
        <v>0</v>
      </c>
      <c r="R12" s="96">
        <v>0</v>
      </c>
      <c r="S12" s="96">
        <v>0</v>
      </c>
      <c r="T12" s="96">
        <v>0</v>
      </c>
      <c r="U12" s="96">
        <v>0</v>
      </c>
    </row>
    <row r="13" spans="1:30" customFormat="1" x14ac:dyDescent="0.15">
      <c r="A13" s="162" t="s">
        <v>203</v>
      </c>
      <c r="B13" s="96">
        <v>0</v>
      </c>
      <c r="C13" s="96">
        <v>0</v>
      </c>
      <c r="D13" s="96">
        <v>0.8</v>
      </c>
      <c r="E13" s="96">
        <v>0.8</v>
      </c>
      <c r="F13" s="96">
        <v>0</v>
      </c>
      <c r="G13" s="96">
        <v>0</v>
      </c>
      <c r="H13" s="96">
        <v>0.8</v>
      </c>
      <c r="I13" s="96">
        <v>0</v>
      </c>
      <c r="J13" s="96">
        <v>0.8</v>
      </c>
      <c r="K13" s="96">
        <v>0.8</v>
      </c>
      <c r="L13" s="96">
        <v>0</v>
      </c>
      <c r="M13" s="96">
        <v>0.8</v>
      </c>
      <c r="N13" s="96">
        <v>0</v>
      </c>
      <c r="O13" s="96">
        <v>0</v>
      </c>
      <c r="P13" s="96">
        <v>0</v>
      </c>
      <c r="Q13" s="96">
        <v>0</v>
      </c>
      <c r="R13" s="96">
        <v>0</v>
      </c>
      <c r="S13" s="96">
        <v>0</v>
      </c>
      <c r="T13" s="96">
        <v>0</v>
      </c>
      <c r="U13" s="96">
        <v>0</v>
      </c>
    </row>
    <row r="14" spans="1:30" customFormat="1" x14ac:dyDescent="0.15">
      <c r="A14" s="162" t="s">
        <v>204</v>
      </c>
      <c r="B14" s="96">
        <v>0.8</v>
      </c>
      <c r="C14" s="96">
        <v>0.8</v>
      </c>
      <c r="D14" s="96">
        <v>0.8</v>
      </c>
      <c r="E14" s="96">
        <v>0.8</v>
      </c>
      <c r="F14" s="96">
        <v>0.8</v>
      </c>
      <c r="G14" s="96">
        <v>0.8</v>
      </c>
      <c r="H14" s="96">
        <v>0.8</v>
      </c>
      <c r="I14" s="96">
        <v>0.8</v>
      </c>
      <c r="J14" s="96">
        <v>0.8</v>
      </c>
      <c r="K14" s="96">
        <v>0.8</v>
      </c>
      <c r="L14" s="96">
        <v>0</v>
      </c>
      <c r="M14" s="96">
        <v>0</v>
      </c>
      <c r="N14" s="96">
        <v>0</v>
      </c>
      <c r="O14" s="96">
        <v>0.8</v>
      </c>
      <c r="P14" s="96">
        <v>0</v>
      </c>
      <c r="Q14" s="96">
        <v>0</v>
      </c>
      <c r="R14" s="96">
        <v>0</v>
      </c>
      <c r="S14" s="96">
        <v>0</v>
      </c>
      <c r="T14" s="96">
        <v>0</v>
      </c>
      <c r="U14" s="96">
        <v>0</v>
      </c>
    </row>
    <row r="15" spans="1:30" customFormat="1" x14ac:dyDescent="0.15">
      <c r="A15" s="162" t="s">
        <v>205</v>
      </c>
      <c r="B15" s="96">
        <v>0.8</v>
      </c>
      <c r="C15" s="96">
        <v>0</v>
      </c>
      <c r="D15" s="96">
        <v>0</v>
      </c>
      <c r="E15" s="96">
        <v>0.8</v>
      </c>
      <c r="F15" s="96">
        <v>0</v>
      </c>
      <c r="G15" s="96">
        <v>0.8</v>
      </c>
      <c r="H15" s="96">
        <v>0.8</v>
      </c>
      <c r="I15" s="96">
        <v>0</v>
      </c>
      <c r="J15" s="96">
        <v>0.8</v>
      </c>
      <c r="K15" s="96">
        <v>0.8</v>
      </c>
      <c r="L15" s="96">
        <v>0</v>
      </c>
      <c r="M15" s="96">
        <v>0</v>
      </c>
      <c r="N15" s="96">
        <v>0</v>
      </c>
      <c r="O15" s="96">
        <v>0</v>
      </c>
      <c r="P15" s="96">
        <v>0</v>
      </c>
      <c r="Q15" s="96">
        <v>0</v>
      </c>
      <c r="R15" s="96">
        <v>0</v>
      </c>
      <c r="S15" s="96">
        <v>0</v>
      </c>
      <c r="T15" s="96">
        <v>0</v>
      </c>
      <c r="U15" s="96">
        <v>0</v>
      </c>
    </row>
    <row r="16" spans="1:30" customFormat="1" x14ac:dyDescent="0.15">
      <c r="A16" s="162" t="s">
        <v>206</v>
      </c>
      <c r="B16" s="96">
        <v>0</v>
      </c>
      <c r="C16" s="96">
        <v>0</v>
      </c>
      <c r="D16" s="96">
        <v>0</v>
      </c>
      <c r="E16" s="96">
        <v>0.8</v>
      </c>
      <c r="F16" s="96">
        <v>0</v>
      </c>
      <c r="G16" s="96">
        <v>0.8</v>
      </c>
      <c r="H16" s="96">
        <v>0</v>
      </c>
      <c r="I16" s="96">
        <v>0</v>
      </c>
      <c r="J16" s="96">
        <v>0</v>
      </c>
      <c r="K16" s="96">
        <v>0.8</v>
      </c>
      <c r="L16" s="96">
        <v>0</v>
      </c>
      <c r="M16" s="96">
        <v>0</v>
      </c>
      <c r="N16" s="96">
        <v>0</v>
      </c>
      <c r="O16" s="96">
        <v>0.8</v>
      </c>
      <c r="P16" s="96">
        <v>0</v>
      </c>
      <c r="Q16" s="96">
        <v>0</v>
      </c>
      <c r="R16" s="96">
        <v>0</v>
      </c>
      <c r="S16" s="96">
        <v>0</v>
      </c>
      <c r="T16" s="96">
        <v>0</v>
      </c>
      <c r="U16" s="96">
        <v>0</v>
      </c>
    </row>
    <row r="17" spans="1:21" customFormat="1" x14ac:dyDescent="0.15">
      <c r="A17" s="162" t="s">
        <v>207</v>
      </c>
      <c r="B17" s="96">
        <v>0.8</v>
      </c>
      <c r="C17" s="96">
        <v>0</v>
      </c>
      <c r="D17" s="96">
        <v>0</v>
      </c>
      <c r="E17" s="96">
        <v>0</v>
      </c>
      <c r="F17" s="96">
        <v>0.8</v>
      </c>
      <c r="G17" s="96">
        <v>0.8</v>
      </c>
      <c r="H17" s="96">
        <v>0.8</v>
      </c>
      <c r="I17" s="96">
        <v>0</v>
      </c>
      <c r="J17" s="96">
        <v>0.8</v>
      </c>
      <c r="K17" s="96">
        <v>0.8</v>
      </c>
      <c r="L17" s="96">
        <v>0</v>
      </c>
      <c r="M17" s="96">
        <v>0</v>
      </c>
      <c r="N17" s="96">
        <v>0.8</v>
      </c>
      <c r="O17" s="96">
        <v>0</v>
      </c>
      <c r="P17" s="96">
        <v>0</v>
      </c>
      <c r="Q17" s="96">
        <v>0</v>
      </c>
      <c r="R17" s="96">
        <v>0</v>
      </c>
      <c r="S17" s="96">
        <v>0</v>
      </c>
      <c r="T17" s="96">
        <v>0</v>
      </c>
      <c r="U17" s="96">
        <v>0</v>
      </c>
    </row>
    <row r="18" spans="1:21" customFormat="1" x14ac:dyDescent="0.15">
      <c r="A18" s="162" t="s">
        <v>208</v>
      </c>
      <c r="B18" s="96">
        <v>0.8</v>
      </c>
      <c r="C18" s="96">
        <v>0</v>
      </c>
      <c r="D18" s="96">
        <v>0.8</v>
      </c>
      <c r="E18" s="96">
        <v>0.8</v>
      </c>
      <c r="F18" s="96">
        <v>0</v>
      </c>
      <c r="G18" s="96">
        <v>0</v>
      </c>
      <c r="H18" s="96">
        <v>0.8</v>
      </c>
      <c r="I18" s="96">
        <v>0.8</v>
      </c>
      <c r="J18" s="96">
        <v>0</v>
      </c>
      <c r="K18" s="96">
        <v>0.8</v>
      </c>
      <c r="L18" s="96">
        <v>0.8</v>
      </c>
      <c r="M18" s="96">
        <v>0.8</v>
      </c>
      <c r="N18" s="96">
        <v>0.8</v>
      </c>
      <c r="O18" s="96">
        <v>0.8</v>
      </c>
      <c r="P18" s="96">
        <v>0.8</v>
      </c>
      <c r="Q18" s="96">
        <v>0.8</v>
      </c>
      <c r="R18" s="96">
        <v>0</v>
      </c>
      <c r="S18" s="96">
        <v>0</v>
      </c>
      <c r="T18" s="96">
        <v>0</v>
      </c>
      <c r="U18" s="96">
        <v>0</v>
      </c>
    </row>
    <row r="19" spans="1:21" customFormat="1" x14ac:dyDescent="0.15">
      <c r="A19" s="162" t="s">
        <v>209</v>
      </c>
      <c r="B19" s="96">
        <v>0.8</v>
      </c>
      <c r="C19" s="96">
        <v>0</v>
      </c>
      <c r="D19" s="96">
        <v>0.8</v>
      </c>
      <c r="E19" s="96">
        <v>0.8</v>
      </c>
      <c r="F19" s="96">
        <v>0.8</v>
      </c>
      <c r="G19" s="96">
        <v>0.8</v>
      </c>
      <c r="H19" s="96">
        <v>0.8</v>
      </c>
      <c r="I19" s="96">
        <v>0.8</v>
      </c>
      <c r="J19" s="96">
        <v>0.8</v>
      </c>
      <c r="K19" s="96">
        <v>0.8</v>
      </c>
      <c r="L19" s="96">
        <v>0</v>
      </c>
      <c r="M19" s="96">
        <v>0.8</v>
      </c>
      <c r="N19" s="96">
        <v>0</v>
      </c>
      <c r="O19" s="96">
        <v>0</v>
      </c>
      <c r="P19" s="96">
        <v>0.8</v>
      </c>
      <c r="Q19" s="96">
        <v>0.8</v>
      </c>
      <c r="R19" s="96">
        <v>0</v>
      </c>
      <c r="S19" s="96">
        <v>0</v>
      </c>
      <c r="T19" s="96">
        <v>0</v>
      </c>
      <c r="U19" s="96">
        <v>0</v>
      </c>
    </row>
    <row r="20" spans="1:21" customFormat="1" x14ac:dyDescent="0.15">
      <c r="A20" s="162" t="s">
        <v>210</v>
      </c>
      <c r="B20" s="96">
        <v>0</v>
      </c>
      <c r="C20" s="96">
        <v>0</v>
      </c>
      <c r="D20" s="96">
        <v>0</v>
      </c>
      <c r="E20" s="96">
        <v>0</v>
      </c>
      <c r="F20" s="96">
        <v>0</v>
      </c>
      <c r="G20" s="96">
        <v>0.8</v>
      </c>
      <c r="H20" s="96">
        <v>0</v>
      </c>
      <c r="I20" s="96">
        <v>0</v>
      </c>
      <c r="J20" s="96">
        <v>0</v>
      </c>
      <c r="K20" s="96">
        <v>0.8</v>
      </c>
      <c r="L20" s="96">
        <v>0.8</v>
      </c>
      <c r="M20" s="96">
        <v>0.8</v>
      </c>
      <c r="N20" s="96">
        <v>0.8</v>
      </c>
      <c r="O20" s="96">
        <v>0.8</v>
      </c>
      <c r="P20" s="96">
        <v>0.8</v>
      </c>
      <c r="Q20" s="96">
        <v>0.8</v>
      </c>
      <c r="R20" s="96">
        <v>0</v>
      </c>
      <c r="S20" s="96">
        <v>0</v>
      </c>
      <c r="T20" s="96">
        <v>0</v>
      </c>
      <c r="U20" s="96">
        <v>0</v>
      </c>
    </row>
    <row r="21" spans="1:21" customFormat="1" x14ac:dyDescent="0.15">
      <c r="A21" s="162" t="s">
        <v>211</v>
      </c>
      <c r="B21" s="96">
        <v>0</v>
      </c>
      <c r="C21" s="96">
        <v>0</v>
      </c>
      <c r="D21" s="96">
        <v>0</v>
      </c>
      <c r="E21" s="96">
        <v>0</v>
      </c>
      <c r="F21" s="96">
        <v>0</v>
      </c>
      <c r="G21" s="96">
        <v>0</v>
      </c>
      <c r="H21" s="96">
        <v>0</v>
      </c>
      <c r="I21" s="96">
        <v>0</v>
      </c>
      <c r="J21" s="96">
        <v>0</v>
      </c>
      <c r="K21" s="96">
        <v>0</v>
      </c>
      <c r="L21" s="96">
        <v>0</v>
      </c>
      <c r="M21" s="96">
        <v>0</v>
      </c>
      <c r="N21" s="96">
        <v>0</v>
      </c>
      <c r="O21" s="96">
        <v>0</v>
      </c>
      <c r="P21" s="96">
        <v>0</v>
      </c>
      <c r="Q21" s="96">
        <v>0</v>
      </c>
      <c r="R21" s="96">
        <v>0</v>
      </c>
      <c r="S21" s="96">
        <v>0</v>
      </c>
      <c r="T21" s="96">
        <v>0</v>
      </c>
      <c r="U21" s="96">
        <v>0</v>
      </c>
    </row>
    <row r="22" spans="1:21" customFormat="1" x14ac:dyDescent="0.15">
      <c r="A22" s="162" t="s">
        <v>213</v>
      </c>
      <c r="B22" s="96">
        <v>0</v>
      </c>
      <c r="C22" s="96">
        <v>0</v>
      </c>
      <c r="D22" s="96">
        <v>0</v>
      </c>
      <c r="E22" s="96">
        <v>0</v>
      </c>
      <c r="F22" s="96">
        <v>0</v>
      </c>
      <c r="G22" s="96">
        <v>0</v>
      </c>
      <c r="H22" s="96">
        <v>0</v>
      </c>
      <c r="I22" s="96">
        <v>0</v>
      </c>
      <c r="J22" s="96">
        <v>0</v>
      </c>
      <c r="K22" s="96">
        <v>0</v>
      </c>
      <c r="L22" s="96">
        <v>0</v>
      </c>
      <c r="M22" s="96">
        <v>0</v>
      </c>
      <c r="N22" s="96">
        <v>0</v>
      </c>
      <c r="O22" s="96">
        <v>0</v>
      </c>
      <c r="P22" s="96">
        <v>0</v>
      </c>
      <c r="Q22" s="96">
        <v>0</v>
      </c>
      <c r="R22" s="96">
        <v>0</v>
      </c>
      <c r="S22" s="96">
        <v>0</v>
      </c>
      <c r="T22" s="96">
        <v>0</v>
      </c>
      <c r="U22" s="96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6" bestFit="1" customWidth="1"/>
    <col min="2" max="21" width="2.33203125" style="96" customWidth="1"/>
    <col min="22" max="16384" width="10.83203125" style="96"/>
  </cols>
  <sheetData>
    <row r="1" spans="1:31" x14ac:dyDescent="0.15">
      <c r="A1" s="57" t="s">
        <v>139</v>
      </c>
      <c r="B1" s="165" t="s">
        <v>192</v>
      </c>
      <c r="C1" s="165" t="s">
        <v>193</v>
      </c>
      <c r="D1" s="165" t="s">
        <v>194</v>
      </c>
      <c r="E1" s="165" t="s">
        <v>195</v>
      </c>
      <c r="F1" s="165" t="s">
        <v>196</v>
      </c>
      <c r="G1" s="165" t="s">
        <v>197</v>
      </c>
      <c r="H1" s="165" t="s">
        <v>198</v>
      </c>
      <c r="I1" s="165" t="s">
        <v>199</v>
      </c>
      <c r="J1" s="165" t="s">
        <v>200</v>
      </c>
      <c r="K1" s="165" t="s">
        <v>201</v>
      </c>
      <c r="L1" s="165" t="s">
        <v>202</v>
      </c>
      <c r="M1" s="165" t="s">
        <v>203</v>
      </c>
      <c r="N1" s="165" t="s">
        <v>204</v>
      </c>
      <c r="O1" s="165" t="s">
        <v>205</v>
      </c>
      <c r="P1" s="165" t="s">
        <v>206</v>
      </c>
      <c r="Q1" s="165" t="s">
        <v>207</v>
      </c>
      <c r="R1" s="165" t="s">
        <v>208</v>
      </c>
      <c r="S1" s="165" t="s">
        <v>209</v>
      </c>
      <c r="T1" s="165" t="s">
        <v>210</v>
      </c>
      <c r="U1" s="165" t="s">
        <v>211</v>
      </c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64" t="s">
        <v>192</v>
      </c>
      <c r="B2" s="96">
        <v>0</v>
      </c>
      <c r="C2" s="96">
        <v>0</v>
      </c>
      <c r="D2" s="96">
        <v>0</v>
      </c>
      <c r="E2" s="96">
        <v>0</v>
      </c>
      <c r="F2" s="96">
        <v>0</v>
      </c>
      <c r="G2" s="96">
        <v>0</v>
      </c>
      <c r="H2" s="96">
        <v>0</v>
      </c>
      <c r="I2" s="96">
        <v>0</v>
      </c>
      <c r="J2" s="96">
        <v>1</v>
      </c>
      <c r="K2" s="96">
        <v>0</v>
      </c>
      <c r="L2" s="96">
        <v>0</v>
      </c>
      <c r="M2" s="96">
        <v>0</v>
      </c>
      <c r="N2" s="96">
        <v>0</v>
      </c>
      <c r="O2" s="96">
        <v>0</v>
      </c>
      <c r="P2" s="96">
        <v>0</v>
      </c>
      <c r="Q2" s="96">
        <v>0</v>
      </c>
      <c r="R2" s="96">
        <v>0</v>
      </c>
      <c r="S2" s="96">
        <v>0</v>
      </c>
      <c r="T2" s="96">
        <v>0</v>
      </c>
      <c r="U2" s="96">
        <v>0</v>
      </c>
    </row>
    <row r="3" spans="1:31" customFormat="1" x14ac:dyDescent="0.15">
      <c r="A3" s="164" t="s">
        <v>193</v>
      </c>
      <c r="B3" s="96">
        <v>0</v>
      </c>
      <c r="C3" s="96">
        <v>0</v>
      </c>
      <c r="D3" s="96">
        <v>0</v>
      </c>
      <c r="E3" s="96">
        <v>0</v>
      </c>
      <c r="F3" s="96">
        <v>0</v>
      </c>
      <c r="G3" s="96">
        <v>0</v>
      </c>
      <c r="H3" s="96">
        <v>0</v>
      </c>
      <c r="I3" s="96">
        <v>0</v>
      </c>
      <c r="J3" s="96">
        <v>0</v>
      </c>
      <c r="K3" s="96">
        <v>0</v>
      </c>
      <c r="L3" s="96">
        <v>0</v>
      </c>
      <c r="M3" s="96">
        <v>0</v>
      </c>
      <c r="N3" s="96">
        <v>0</v>
      </c>
      <c r="O3" s="96">
        <v>0</v>
      </c>
      <c r="P3" s="96">
        <v>0</v>
      </c>
      <c r="Q3" s="96">
        <v>0</v>
      </c>
      <c r="R3" s="96">
        <v>0</v>
      </c>
      <c r="S3" s="96">
        <v>0</v>
      </c>
      <c r="T3" s="96">
        <v>0</v>
      </c>
      <c r="U3" s="96">
        <v>0</v>
      </c>
    </row>
    <row r="4" spans="1:31" customFormat="1" x14ac:dyDescent="0.15">
      <c r="A4" s="164" t="s">
        <v>194</v>
      </c>
      <c r="B4" s="96">
        <v>0</v>
      </c>
      <c r="C4" s="96">
        <v>0</v>
      </c>
      <c r="D4" s="96">
        <v>0</v>
      </c>
      <c r="E4" s="96">
        <v>0</v>
      </c>
      <c r="F4" s="96">
        <v>0</v>
      </c>
      <c r="G4" s="96">
        <v>0</v>
      </c>
      <c r="H4" s="96">
        <v>0</v>
      </c>
      <c r="I4" s="96">
        <v>0</v>
      </c>
      <c r="J4" s="96">
        <v>1</v>
      </c>
      <c r="K4" s="96">
        <v>0</v>
      </c>
      <c r="L4" s="96">
        <v>0</v>
      </c>
      <c r="M4" s="96">
        <v>0</v>
      </c>
      <c r="N4" s="96">
        <v>0</v>
      </c>
      <c r="O4" s="96">
        <v>0</v>
      </c>
      <c r="P4" s="96">
        <v>0</v>
      </c>
      <c r="Q4" s="96">
        <v>0</v>
      </c>
      <c r="R4" s="96">
        <v>0</v>
      </c>
      <c r="S4" s="96">
        <v>0</v>
      </c>
      <c r="T4" s="96">
        <v>0</v>
      </c>
      <c r="U4" s="96">
        <v>0</v>
      </c>
    </row>
    <row r="5" spans="1:31" customFormat="1" x14ac:dyDescent="0.15">
      <c r="A5" s="164" t="s">
        <v>195</v>
      </c>
      <c r="B5" s="96">
        <v>0</v>
      </c>
      <c r="C5" s="96">
        <v>0</v>
      </c>
      <c r="D5" s="96">
        <v>0</v>
      </c>
      <c r="E5" s="96">
        <v>0</v>
      </c>
      <c r="F5" s="96">
        <v>0</v>
      </c>
      <c r="G5" s="96">
        <v>0</v>
      </c>
      <c r="H5" s="96">
        <v>0</v>
      </c>
      <c r="I5" s="96">
        <v>0</v>
      </c>
      <c r="J5" s="96">
        <v>1</v>
      </c>
      <c r="K5" s="96">
        <v>0</v>
      </c>
      <c r="L5" s="96">
        <v>0</v>
      </c>
      <c r="M5" s="96">
        <v>0</v>
      </c>
      <c r="N5" s="96">
        <v>0</v>
      </c>
      <c r="O5" s="96">
        <v>0</v>
      </c>
      <c r="P5" s="96">
        <v>0</v>
      </c>
      <c r="Q5" s="96">
        <v>0</v>
      </c>
      <c r="R5" s="96">
        <v>0</v>
      </c>
      <c r="S5" s="96">
        <v>0</v>
      </c>
      <c r="T5" s="96">
        <v>0</v>
      </c>
      <c r="U5" s="96">
        <v>0</v>
      </c>
    </row>
    <row r="6" spans="1:31" customFormat="1" x14ac:dyDescent="0.15">
      <c r="A6" s="164" t="s">
        <v>196</v>
      </c>
      <c r="B6" s="96">
        <v>0</v>
      </c>
      <c r="C6" s="96">
        <v>0</v>
      </c>
      <c r="D6" s="96">
        <v>0</v>
      </c>
      <c r="E6" s="96">
        <v>0</v>
      </c>
      <c r="F6" s="96">
        <v>0</v>
      </c>
      <c r="G6" s="96">
        <v>0</v>
      </c>
      <c r="H6" s="96">
        <v>0</v>
      </c>
      <c r="I6" s="96">
        <v>0</v>
      </c>
      <c r="J6" s="96">
        <v>0</v>
      </c>
      <c r="K6" s="96">
        <v>1</v>
      </c>
      <c r="L6" s="96">
        <v>0</v>
      </c>
      <c r="M6" s="96">
        <v>0</v>
      </c>
      <c r="N6" s="96">
        <v>0</v>
      </c>
      <c r="O6" s="96">
        <v>0</v>
      </c>
      <c r="P6" s="96">
        <v>0</v>
      </c>
      <c r="Q6" s="96">
        <v>0</v>
      </c>
      <c r="R6" s="96">
        <v>0</v>
      </c>
      <c r="S6" s="96">
        <v>0</v>
      </c>
      <c r="T6" s="96">
        <v>0</v>
      </c>
      <c r="U6" s="96">
        <v>0</v>
      </c>
    </row>
    <row r="7" spans="1:31" customFormat="1" x14ac:dyDescent="0.15">
      <c r="A7" s="164" t="s">
        <v>197</v>
      </c>
      <c r="B7" s="96">
        <v>0</v>
      </c>
      <c r="C7" s="96">
        <v>0</v>
      </c>
      <c r="D7" s="96">
        <v>0</v>
      </c>
      <c r="E7" s="96">
        <v>0</v>
      </c>
      <c r="F7" s="96">
        <v>0</v>
      </c>
      <c r="G7" s="96">
        <v>0</v>
      </c>
      <c r="H7" s="96">
        <v>0</v>
      </c>
      <c r="I7" s="96">
        <v>0</v>
      </c>
      <c r="J7" s="96">
        <v>1</v>
      </c>
      <c r="K7" s="96">
        <v>0</v>
      </c>
      <c r="L7" s="96">
        <v>0</v>
      </c>
      <c r="M7" s="96">
        <v>0</v>
      </c>
      <c r="N7" s="96">
        <v>0</v>
      </c>
      <c r="O7" s="96">
        <v>0</v>
      </c>
      <c r="P7" s="96">
        <v>0</v>
      </c>
      <c r="Q7" s="96">
        <v>0</v>
      </c>
      <c r="R7" s="96">
        <v>0</v>
      </c>
      <c r="S7" s="96">
        <v>0</v>
      </c>
      <c r="T7" s="96">
        <v>0</v>
      </c>
      <c r="U7" s="96">
        <v>0</v>
      </c>
    </row>
    <row r="8" spans="1:31" customFormat="1" x14ac:dyDescent="0.15">
      <c r="A8" s="164" t="s">
        <v>198</v>
      </c>
      <c r="B8" s="96">
        <v>0</v>
      </c>
      <c r="C8" s="96">
        <v>0</v>
      </c>
      <c r="D8" s="96">
        <v>0</v>
      </c>
      <c r="E8" s="96">
        <v>0</v>
      </c>
      <c r="F8" s="96">
        <v>0</v>
      </c>
      <c r="G8" s="96">
        <v>0</v>
      </c>
      <c r="H8" s="96">
        <v>0</v>
      </c>
      <c r="I8" s="96">
        <v>0</v>
      </c>
      <c r="J8" s="96">
        <v>1</v>
      </c>
      <c r="K8" s="96">
        <v>1</v>
      </c>
      <c r="L8" s="96">
        <v>0</v>
      </c>
      <c r="M8" s="96">
        <v>0</v>
      </c>
      <c r="N8" s="96">
        <v>0</v>
      </c>
      <c r="O8" s="96">
        <v>0</v>
      </c>
      <c r="P8" s="96">
        <v>0</v>
      </c>
      <c r="Q8" s="96">
        <v>0</v>
      </c>
      <c r="R8" s="96">
        <v>0</v>
      </c>
      <c r="S8" s="96">
        <v>0</v>
      </c>
      <c r="T8" s="96">
        <v>0</v>
      </c>
      <c r="U8" s="96">
        <v>0</v>
      </c>
    </row>
    <row r="9" spans="1:31" customFormat="1" x14ac:dyDescent="0.15">
      <c r="A9" s="164" t="s">
        <v>199</v>
      </c>
      <c r="B9" s="96">
        <v>0</v>
      </c>
      <c r="C9" s="96">
        <v>0</v>
      </c>
      <c r="D9" s="96">
        <v>0</v>
      </c>
      <c r="E9" s="96">
        <v>0</v>
      </c>
      <c r="F9" s="96">
        <v>0</v>
      </c>
      <c r="G9" s="96">
        <v>0</v>
      </c>
      <c r="H9" s="96">
        <v>0</v>
      </c>
      <c r="I9" s="96">
        <v>0</v>
      </c>
      <c r="J9" s="96">
        <v>1</v>
      </c>
      <c r="K9" s="96">
        <v>0</v>
      </c>
      <c r="L9" s="96">
        <v>0</v>
      </c>
      <c r="M9" s="96">
        <v>0</v>
      </c>
      <c r="N9" s="96">
        <v>0</v>
      </c>
      <c r="O9" s="96">
        <v>0</v>
      </c>
      <c r="P9" s="96">
        <v>0</v>
      </c>
      <c r="Q9" s="96">
        <v>0</v>
      </c>
      <c r="R9" s="96">
        <v>0</v>
      </c>
      <c r="S9" s="96">
        <v>0</v>
      </c>
      <c r="T9" s="96">
        <v>0</v>
      </c>
      <c r="U9" s="96">
        <v>0</v>
      </c>
    </row>
    <row r="10" spans="1:31" customFormat="1" x14ac:dyDescent="0.15">
      <c r="A10" s="164" t="s">
        <v>200</v>
      </c>
      <c r="B10" s="96">
        <v>0</v>
      </c>
      <c r="C10" s="96">
        <v>0</v>
      </c>
      <c r="D10" s="96">
        <v>0</v>
      </c>
      <c r="E10" s="96">
        <v>0</v>
      </c>
      <c r="F10" s="96">
        <v>0</v>
      </c>
      <c r="G10" s="96">
        <v>0</v>
      </c>
      <c r="H10" s="96">
        <v>0</v>
      </c>
      <c r="I10" s="96">
        <v>0</v>
      </c>
      <c r="J10" s="96">
        <v>1</v>
      </c>
      <c r="K10" s="96">
        <v>1</v>
      </c>
      <c r="L10" s="96">
        <v>0</v>
      </c>
      <c r="M10" s="96">
        <v>0</v>
      </c>
      <c r="N10" s="96">
        <v>0</v>
      </c>
      <c r="O10" s="96">
        <v>0</v>
      </c>
      <c r="P10" s="96">
        <v>0</v>
      </c>
      <c r="Q10" s="96">
        <v>0</v>
      </c>
      <c r="R10" s="96">
        <v>0</v>
      </c>
      <c r="S10" s="96">
        <v>0</v>
      </c>
      <c r="T10" s="96">
        <v>0</v>
      </c>
      <c r="U10" s="96">
        <v>0</v>
      </c>
    </row>
    <row r="11" spans="1:31" customFormat="1" x14ac:dyDescent="0.15">
      <c r="A11" s="164" t="s">
        <v>201</v>
      </c>
      <c r="B11" s="96">
        <v>0</v>
      </c>
      <c r="C11" s="96">
        <v>1</v>
      </c>
      <c r="D11" s="96">
        <v>1</v>
      </c>
      <c r="E11" s="96">
        <v>1</v>
      </c>
      <c r="F11" s="96">
        <v>0</v>
      </c>
      <c r="G11" s="96">
        <v>1</v>
      </c>
      <c r="H11" s="96">
        <v>1</v>
      </c>
      <c r="I11" s="96">
        <v>0</v>
      </c>
      <c r="J11" s="96">
        <v>1</v>
      </c>
      <c r="K11" s="96">
        <v>1</v>
      </c>
      <c r="L11" s="96">
        <v>0</v>
      </c>
      <c r="M11" s="96">
        <v>0</v>
      </c>
      <c r="N11" s="96">
        <v>0</v>
      </c>
      <c r="O11" s="96">
        <v>1</v>
      </c>
      <c r="P11" s="96">
        <v>0</v>
      </c>
      <c r="Q11" s="96">
        <v>0</v>
      </c>
      <c r="R11" s="96">
        <v>0</v>
      </c>
      <c r="S11" s="96">
        <v>0</v>
      </c>
      <c r="T11" s="96">
        <v>0</v>
      </c>
      <c r="U11" s="96">
        <v>0</v>
      </c>
    </row>
    <row r="12" spans="1:31" customFormat="1" x14ac:dyDescent="0.15">
      <c r="A12" s="164" t="s">
        <v>202</v>
      </c>
      <c r="B12" s="96">
        <v>1</v>
      </c>
      <c r="C12" s="96">
        <v>1</v>
      </c>
      <c r="D12" s="96">
        <v>1</v>
      </c>
      <c r="E12" s="96">
        <v>1</v>
      </c>
      <c r="F12" s="96">
        <v>1</v>
      </c>
      <c r="G12" s="96">
        <v>1</v>
      </c>
      <c r="H12" s="96">
        <v>1</v>
      </c>
      <c r="I12" s="96">
        <v>1</v>
      </c>
      <c r="J12" s="96">
        <v>1</v>
      </c>
      <c r="K12" s="96">
        <v>1</v>
      </c>
      <c r="L12" s="96">
        <v>1</v>
      </c>
      <c r="M12" s="96">
        <v>0</v>
      </c>
      <c r="N12" s="96">
        <v>0</v>
      </c>
      <c r="O12" s="96">
        <v>0</v>
      </c>
      <c r="P12" s="96">
        <v>1</v>
      </c>
      <c r="Q12" s="96">
        <v>0</v>
      </c>
      <c r="R12" s="96">
        <v>0</v>
      </c>
      <c r="S12" s="96">
        <v>0</v>
      </c>
      <c r="T12" s="96">
        <v>0</v>
      </c>
      <c r="U12" s="96">
        <v>0</v>
      </c>
    </row>
    <row r="13" spans="1:31" customFormat="1" x14ac:dyDescent="0.15">
      <c r="A13" s="164" t="s">
        <v>203</v>
      </c>
      <c r="B13" s="96">
        <v>0</v>
      </c>
      <c r="C13" s="96">
        <v>0</v>
      </c>
      <c r="D13" s="96">
        <v>1</v>
      </c>
      <c r="E13" s="96">
        <v>1</v>
      </c>
      <c r="F13" s="96">
        <v>0</v>
      </c>
      <c r="G13" s="96">
        <v>0</v>
      </c>
      <c r="H13" s="96">
        <v>1</v>
      </c>
      <c r="I13" s="96">
        <v>0</v>
      </c>
      <c r="J13" s="96">
        <v>1</v>
      </c>
      <c r="K13" s="96">
        <v>1</v>
      </c>
      <c r="L13" s="96">
        <v>0</v>
      </c>
      <c r="M13" s="96">
        <v>1</v>
      </c>
      <c r="N13" s="96">
        <v>0</v>
      </c>
      <c r="O13" s="96">
        <v>0</v>
      </c>
      <c r="P13" s="96">
        <v>0</v>
      </c>
      <c r="Q13" s="96">
        <v>0</v>
      </c>
      <c r="R13" s="96">
        <v>0</v>
      </c>
      <c r="S13" s="96">
        <v>0</v>
      </c>
      <c r="T13" s="96">
        <v>0</v>
      </c>
      <c r="U13" s="96">
        <v>0</v>
      </c>
    </row>
    <row r="14" spans="1:31" customFormat="1" x14ac:dyDescent="0.15">
      <c r="A14" s="164" t="s">
        <v>204</v>
      </c>
      <c r="B14" s="96">
        <v>1</v>
      </c>
      <c r="C14" s="96">
        <v>1</v>
      </c>
      <c r="D14" s="96">
        <v>1</v>
      </c>
      <c r="E14" s="96">
        <v>1</v>
      </c>
      <c r="F14" s="96">
        <v>1</v>
      </c>
      <c r="G14" s="96">
        <v>1</v>
      </c>
      <c r="H14" s="96">
        <v>1</v>
      </c>
      <c r="I14" s="96">
        <v>1</v>
      </c>
      <c r="J14" s="96">
        <v>1</v>
      </c>
      <c r="K14" s="96">
        <v>1</v>
      </c>
      <c r="L14" s="96">
        <v>0</v>
      </c>
      <c r="M14" s="96">
        <v>0</v>
      </c>
      <c r="N14" s="96">
        <v>0</v>
      </c>
      <c r="O14" s="96">
        <v>1</v>
      </c>
      <c r="P14" s="96">
        <v>0</v>
      </c>
      <c r="Q14" s="96">
        <v>0</v>
      </c>
      <c r="R14" s="96">
        <v>0</v>
      </c>
      <c r="S14" s="96">
        <v>0</v>
      </c>
      <c r="T14" s="96">
        <v>0</v>
      </c>
      <c r="U14" s="96">
        <v>0</v>
      </c>
    </row>
    <row r="15" spans="1:31" customFormat="1" x14ac:dyDescent="0.15">
      <c r="A15" s="164" t="s">
        <v>205</v>
      </c>
      <c r="B15" s="96">
        <v>1</v>
      </c>
      <c r="C15" s="96">
        <v>0</v>
      </c>
      <c r="D15" s="96">
        <v>0</v>
      </c>
      <c r="E15" s="96">
        <v>1</v>
      </c>
      <c r="F15" s="96">
        <v>0</v>
      </c>
      <c r="G15" s="96">
        <v>1</v>
      </c>
      <c r="H15" s="96">
        <v>1</v>
      </c>
      <c r="I15" s="96">
        <v>0</v>
      </c>
      <c r="J15" s="96">
        <v>1</v>
      </c>
      <c r="K15" s="96">
        <v>1</v>
      </c>
      <c r="L15" s="96">
        <v>0</v>
      </c>
      <c r="M15" s="96">
        <v>0</v>
      </c>
      <c r="N15" s="96">
        <v>0</v>
      </c>
      <c r="O15" s="96">
        <v>0</v>
      </c>
      <c r="P15" s="96">
        <v>0</v>
      </c>
      <c r="Q15" s="96">
        <v>0</v>
      </c>
      <c r="R15" s="96">
        <v>0</v>
      </c>
      <c r="S15" s="96">
        <v>0</v>
      </c>
      <c r="T15" s="96">
        <v>0</v>
      </c>
      <c r="U15" s="96">
        <v>0</v>
      </c>
    </row>
    <row r="16" spans="1:31" customFormat="1" x14ac:dyDescent="0.15">
      <c r="A16" s="164" t="s">
        <v>206</v>
      </c>
      <c r="B16" s="96">
        <v>0</v>
      </c>
      <c r="C16" s="96">
        <v>0</v>
      </c>
      <c r="D16" s="96">
        <v>0</v>
      </c>
      <c r="E16" s="96">
        <v>1</v>
      </c>
      <c r="F16" s="96">
        <v>0</v>
      </c>
      <c r="G16" s="96">
        <v>1</v>
      </c>
      <c r="H16" s="96">
        <v>0</v>
      </c>
      <c r="I16" s="96">
        <v>0</v>
      </c>
      <c r="J16" s="96">
        <v>0</v>
      </c>
      <c r="K16" s="96">
        <v>1</v>
      </c>
      <c r="L16" s="96">
        <v>0</v>
      </c>
      <c r="M16" s="96">
        <v>0</v>
      </c>
      <c r="N16" s="96">
        <v>0</v>
      </c>
      <c r="O16" s="96">
        <v>1</v>
      </c>
      <c r="P16" s="96">
        <v>0</v>
      </c>
      <c r="Q16" s="96">
        <v>0</v>
      </c>
      <c r="R16" s="96">
        <v>0</v>
      </c>
      <c r="S16" s="96">
        <v>0</v>
      </c>
      <c r="T16" s="96">
        <v>0</v>
      </c>
      <c r="U16" s="96">
        <v>0</v>
      </c>
    </row>
    <row r="17" spans="1:21" customFormat="1" x14ac:dyDescent="0.15">
      <c r="A17" s="164" t="s">
        <v>207</v>
      </c>
      <c r="B17" s="96">
        <v>1</v>
      </c>
      <c r="C17" s="96">
        <v>0</v>
      </c>
      <c r="D17" s="96">
        <v>0</v>
      </c>
      <c r="E17" s="96">
        <v>0</v>
      </c>
      <c r="F17" s="96">
        <v>1</v>
      </c>
      <c r="G17" s="96">
        <v>1</v>
      </c>
      <c r="H17" s="96">
        <v>1</v>
      </c>
      <c r="I17" s="96">
        <v>0</v>
      </c>
      <c r="J17" s="96">
        <v>1</v>
      </c>
      <c r="K17" s="96">
        <v>1</v>
      </c>
      <c r="L17" s="96">
        <v>0</v>
      </c>
      <c r="M17" s="96">
        <v>0</v>
      </c>
      <c r="N17" s="96">
        <v>1</v>
      </c>
      <c r="O17" s="96">
        <v>0</v>
      </c>
      <c r="P17" s="96">
        <v>0</v>
      </c>
      <c r="Q17" s="96">
        <v>0</v>
      </c>
      <c r="R17" s="96">
        <v>0</v>
      </c>
      <c r="S17" s="96">
        <v>0</v>
      </c>
      <c r="T17" s="96">
        <v>0</v>
      </c>
      <c r="U17" s="96">
        <v>0</v>
      </c>
    </row>
    <row r="18" spans="1:21" customFormat="1" x14ac:dyDescent="0.15">
      <c r="A18" s="164" t="s">
        <v>208</v>
      </c>
      <c r="B18" s="96">
        <v>1</v>
      </c>
      <c r="C18" s="96">
        <v>0</v>
      </c>
      <c r="D18" s="96">
        <v>1</v>
      </c>
      <c r="E18" s="96">
        <v>1</v>
      </c>
      <c r="F18" s="96">
        <v>0</v>
      </c>
      <c r="G18" s="96">
        <v>0</v>
      </c>
      <c r="H18" s="96">
        <v>1</v>
      </c>
      <c r="I18" s="96">
        <v>1</v>
      </c>
      <c r="J18" s="96">
        <v>0</v>
      </c>
      <c r="K18" s="96">
        <v>1</v>
      </c>
      <c r="L18" s="96">
        <v>1</v>
      </c>
      <c r="M18" s="96">
        <v>1</v>
      </c>
      <c r="N18" s="96">
        <v>1</v>
      </c>
      <c r="O18" s="96">
        <v>1</v>
      </c>
      <c r="P18" s="96">
        <v>1</v>
      </c>
      <c r="Q18" s="96">
        <v>1</v>
      </c>
      <c r="R18" s="96">
        <v>0</v>
      </c>
      <c r="S18" s="96">
        <v>0</v>
      </c>
      <c r="T18" s="96">
        <v>0</v>
      </c>
      <c r="U18" s="96">
        <v>0</v>
      </c>
    </row>
    <row r="19" spans="1:21" customFormat="1" x14ac:dyDescent="0.15">
      <c r="A19" s="164" t="s">
        <v>209</v>
      </c>
      <c r="B19" s="96">
        <v>1</v>
      </c>
      <c r="C19" s="96">
        <v>0</v>
      </c>
      <c r="D19" s="96">
        <v>1</v>
      </c>
      <c r="E19" s="96">
        <v>1</v>
      </c>
      <c r="F19" s="96">
        <v>1</v>
      </c>
      <c r="G19" s="96">
        <v>1</v>
      </c>
      <c r="H19" s="96">
        <v>1</v>
      </c>
      <c r="I19" s="96">
        <v>1</v>
      </c>
      <c r="J19" s="96">
        <v>1</v>
      </c>
      <c r="K19" s="96">
        <v>1</v>
      </c>
      <c r="L19" s="96">
        <v>0</v>
      </c>
      <c r="M19" s="96">
        <v>1</v>
      </c>
      <c r="N19" s="96">
        <v>0</v>
      </c>
      <c r="O19" s="96">
        <v>0</v>
      </c>
      <c r="P19" s="96">
        <v>1</v>
      </c>
      <c r="Q19" s="96">
        <v>1</v>
      </c>
      <c r="R19" s="96">
        <v>0</v>
      </c>
      <c r="S19" s="96">
        <v>0</v>
      </c>
      <c r="T19" s="96">
        <v>0</v>
      </c>
      <c r="U19" s="96">
        <v>0</v>
      </c>
    </row>
    <row r="20" spans="1:21" customFormat="1" x14ac:dyDescent="0.15">
      <c r="A20" s="164" t="s">
        <v>210</v>
      </c>
      <c r="B20" s="96">
        <v>0</v>
      </c>
      <c r="C20" s="96">
        <v>0</v>
      </c>
      <c r="D20" s="96">
        <v>0</v>
      </c>
      <c r="E20" s="96">
        <v>0</v>
      </c>
      <c r="F20" s="96">
        <v>0</v>
      </c>
      <c r="G20" s="96">
        <v>1</v>
      </c>
      <c r="H20" s="96">
        <v>0</v>
      </c>
      <c r="I20" s="96">
        <v>0</v>
      </c>
      <c r="J20" s="96">
        <v>0</v>
      </c>
      <c r="K20" s="96">
        <v>1</v>
      </c>
      <c r="L20" s="96">
        <v>1</v>
      </c>
      <c r="M20" s="96">
        <v>1</v>
      </c>
      <c r="N20" s="96">
        <v>1</v>
      </c>
      <c r="O20" s="96">
        <v>1</v>
      </c>
      <c r="P20" s="96">
        <v>1</v>
      </c>
      <c r="Q20" s="96">
        <v>1</v>
      </c>
      <c r="R20" s="96">
        <v>0</v>
      </c>
      <c r="S20" s="96">
        <v>0</v>
      </c>
      <c r="T20" s="96">
        <v>0</v>
      </c>
      <c r="U20" s="96">
        <v>0</v>
      </c>
    </row>
    <row r="21" spans="1:21" customFormat="1" x14ac:dyDescent="0.15">
      <c r="A21" s="164" t="s">
        <v>211</v>
      </c>
      <c r="B21" s="96">
        <v>0</v>
      </c>
      <c r="C21" s="96">
        <v>0</v>
      </c>
      <c r="D21" s="96">
        <v>0</v>
      </c>
      <c r="E21" s="96">
        <v>0</v>
      </c>
      <c r="F21" s="96">
        <v>0</v>
      </c>
      <c r="G21" s="96">
        <v>0</v>
      </c>
      <c r="H21" s="96">
        <v>0</v>
      </c>
      <c r="I21" s="96">
        <v>0</v>
      </c>
      <c r="J21" s="96">
        <v>0</v>
      </c>
      <c r="K21" s="96">
        <v>0</v>
      </c>
      <c r="L21" s="96">
        <v>0</v>
      </c>
      <c r="M21" s="96">
        <v>0</v>
      </c>
      <c r="N21" s="96">
        <v>0</v>
      </c>
      <c r="O21" s="96">
        <v>0</v>
      </c>
      <c r="P21" s="96">
        <v>0</v>
      </c>
      <c r="Q21" s="96">
        <v>0</v>
      </c>
      <c r="R21" s="96">
        <v>0</v>
      </c>
      <c r="S21" s="96">
        <v>0</v>
      </c>
      <c r="T21" s="96">
        <v>0</v>
      </c>
      <c r="U21" s="96">
        <v>0</v>
      </c>
    </row>
    <row r="22" spans="1:21" customFormat="1" x14ac:dyDescent="0.15">
      <c r="A22" s="164" t="s">
        <v>213</v>
      </c>
      <c r="B22" s="96">
        <v>0</v>
      </c>
      <c r="C22" s="96">
        <v>0</v>
      </c>
      <c r="D22" s="96">
        <v>0</v>
      </c>
      <c r="E22" s="96">
        <v>0</v>
      </c>
      <c r="F22" s="96">
        <v>0</v>
      </c>
      <c r="G22" s="96">
        <v>0</v>
      </c>
      <c r="H22" s="96">
        <v>0</v>
      </c>
      <c r="I22" s="96">
        <v>0</v>
      </c>
      <c r="J22" s="96">
        <v>0</v>
      </c>
      <c r="K22" s="96">
        <v>0</v>
      </c>
      <c r="L22" s="96">
        <v>0</v>
      </c>
      <c r="M22" s="96">
        <v>0</v>
      </c>
      <c r="N22" s="96">
        <v>0</v>
      </c>
      <c r="O22" s="96">
        <v>0</v>
      </c>
      <c r="P22" s="96">
        <v>0</v>
      </c>
      <c r="Q22" s="96">
        <v>0</v>
      </c>
      <c r="R22" s="96">
        <v>0</v>
      </c>
      <c r="S22" s="96">
        <v>0</v>
      </c>
      <c r="T22" s="96">
        <v>0</v>
      </c>
      <c r="U22" s="96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67" t="s">
        <v>212</v>
      </c>
    </row>
    <row r="2" spans="1:3" x14ac:dyDescent="0.15">
      <c r="A2">
        <v>1</v>
      </c>
      <c r="B2" s="166" t="s">
        <v>192</v>
      </c>
      <c r="C2">
        <v>0</v>
      </c>
    </row>
    <row r="3" spans="1:3" x14ac:dyDescent="0.15">
      <c r="A3">
        <v>2</v>
      </c>
      <c r="B3" s="166" t="s">
        <v>193</v>
      </c>
      <c r="C3">
        <v>0</v>
      </c>
    </row>
    <row r="4" spans="1:3" x14ac:dyDescent="0.15">
      <c r="A4">
        <v>3</v>
      </c>
      <c r="B4" s="166" t="s">
        <v>194</v>
      </c>
      <c r="C4">
        <v>0</v>
      </c>
    </row>
    <row r="5" spans="1:3" x14ac:dyDescent="0.15">
      <c r="A5">
        <v>4</v>
      </c>
      <c r="B5" s="166" t="s">
        <v>195</v>
      </c>
      <c r="C5">
        <v>0</v>
      </c>
    </row>
    <row r="6" spans="1:3" x14ac:dyDescent="0.15">
      <c r="A6">
        <v>5</v>
      </c>
      <c r="B6" s="166" t="s">
        <v>196</v>
      </c>
      <c r="C6">
        <v>0</v>
      </c>
    </row>
    <row r="7" spans="1:3" x14ac:dyDescent="0.15">
      <c r="A7">
        <v>6</v>
      </c>
      <c r="B7" s="166" t="s">
        <v>197</v>
      </c>
      <c r="C7">
        <v>0</v>
      </c>
    </row>
    <row r="8" spans="1:3" x14ac:dyDescent="0.15">
      <c r="A8">
        <v>7</v>
      </c>
      <c r="B8" s="166" t="s">
        <v>198</v>
      </c>
      <c r="C8">
        <v>0</v>
      </c>
    </row>
    <row r="9" spans="1:3" x14ac:dyDescent="0.15">
      <c r="A9">
        <v>8</v>
      </c>
      <c r="B9" s="166" t="s">
        <v>199</v>
      </c>
      <c r="C9">
        <v>0</v>
      </c>
    </row>
    <row r="10" spans="1:3" x14ac:dyDescent="0.15">
      <c r="A10">
        <v>9</v>
      </c>
      <c r="B10" s="166" t="s">
        <v>200</v>
      </c>
      <c r="C10">
        <v>0.8</v>
      </c>
    </row>
    <row r="11" spans="1:3" x14ac:dyDescent="0.15">
      <c r="A11">
        <v>10</v>
      </c>
      <c r="B11" s="166" t="s">
        <v>201</v>
      </c>
      <c r="C11">
        <v>0</v>
      </c>
    </row>
    <row r="12" spans="1:3" x14ac:dyDescent="0.15">
      <c r="A12">
        <v>11</v>
      </c>
      <c r="B12" s="166" t="s">
        <v>202</v>
      </c>
      <c r="C12">
        <v>0</v>
      </c>
    </row>
    <row r="13" spans="1:3" x14ac:dyDescent="0.15">
      <c r="A13">
        <v>12</v>
      </c>
      <c r="B13" s="166" t="s">
        <v>203</v>
      </c>
      <c r="C13">
        <v>0</v>
      </c>
    </row>
    <row r="14" spans="1:3" x14ac:dyDescent="0.15">
      <c r="A14">
        <v>13</v>
      </c>
      <c r="B14" s="166" t="s">
        <v>204</v>
      </c>
      <c r="C14">
        <v>0</v>
      </c>
    </row>
    <row r="15" spans="1:3" x14ac:dyDescent="0.15">
      <c r="A15">
        <v>14</v>
      </c>
      <c r="B15" s="166" t="s">
        <v>205</v>
      </c>
      <c r="C15">
        <v>0</v>
      </c>
    </row>
    <row r="16" spans="1:3" x14ac:dyDescent="0.15">
      <c r="A16">
        <v>15</v>
      </c>
      <c r="B16" s="166" t="s">
        <v>206</v>
      </c>
      <c r="C16">
        <v>0</v>
      </c>
    </row>
    <row r="17" spans="1:3" x14ac:dyDescent="0.15">
      <c r="A17">
        <v>16</v>
      </c>
      <c r="B17" s="166" t="s">
        <v>207</v>
      </c>
      <c r="C17">
        <v>0</v>
      </c>
    </row>
    <row r="18" spans="1:3" x14ac:dyDescent="0.15">
      <c r="A18">
        <v>17</v>
      </c>
      <c r="B18" s="166" t="s">
        <v>208</v>
      </c>
      <c r="C18">
        <v>0</v>
      </c>
    </row>
    <row r="19" spans="1:3" x14ac:dyDescent="0.15">
      <c r="A19">
        <v>18</v>
      </c>
      <c r="B19" s="166" t="s">
        <v>209</v>
      </c>
      <c r="C19">
        <v>0</v>
      </c>
    </row>
    <row r="20" spans="1:3" x14ac:dyDescent="0.15">
      <c r="A20">
        <v>19</v>
      </c>
      <c r="B20" s="166" t="s">
        <v>210</v>
      </c>
      <c r="C20">
        <v>0</v>
      </c>
    </row>
    <row r="21" spans="1:3" x14ac:dyDescent="0.15">
      <c r="A21">
        <v>20</v>
      </c>
      <c r="B21" s="166" t="s">
        <v>211</v>
      </c>
      <c r="C2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69" t="s">
        <v>212</v>
      </c>
    </row>
    <row r="2" spans="1:3" x14ac:dyDescent="0.15">
      <c r="A2">
        <v>1</v>
      </c>
      <c r="B2" s="168" t="s">
        <v>192</v>
      </c>
      <c r="C2">
        <v>0</v>
      </c>
    </row>
    <row r="3" spans="1:3" x14ac:dyDescent="0.15">
      <c r="A3">
        <v>2</v>
      </c>
      <c r="B3" s="168" t="s">
        <v>193</v>
      </c>
      <c r="C3">
        <v>0</v>
      </c>
    </row>
    <row r="4" spans="1:3" x14ac:dyDescent="0.15">
      <c r="A4">
        <v>3</v>
      </c>
      <c r="B4" s="168" t="s">
        <v>194</v>
      </c>
      <c r="C4">
        <v>0</v>
      </c>
    </row>
    <row r="5" spans="1:3" x14ac:dyDescent="0.15">
      <c r="A5">
        <v>4</v>
      </c>
      <c r="B5" s="168" t="s">
        <v>195</v>
      </c>
      <c r="C5">
        <v>0</v>
      </c>
    </row>
    <row r="6" spans="1:3" x14ac:dyDescent="0.15">
      <c r="A6">
        <v>5</v>
      </c>
      <c r="B6" s="168" t="s">
        <v>196</v>
      </c>
      <c r="C6">
        <v>0</v>
      </c>
    </row>
    <row r="7" spans="1:3" x14ac:dyDescent="0.15">
      <c r="A7">
        <v>6</v>
      </c>
      <c r="B7" s="168" t="s">
        <v>197</v>
      </c>
      <c r="C7">
        <v>0</v>
      </c>
    </row>
    <row r="8" spans="1:3" x14ac:dyDescent="0.15">
      <c r="A8">
        <v>7</v>
      </c>
      <c r="B8" s="168" t="s">
        <v>198</v>
      </c>
      <c r="C8">
        <v>0</v>
      </c>
    </row>
    <row r="9" spans="1:3" x14ac:dyDescent="0.15">
      <c r="A9">
        <v>8</v>
      </c>
      <c r="B9" s="168" t="s">
        <v>199</v>
      </c>
      <c r="C9">
        <v>0</v>
      </c>
    </row>
    <row r="10" spans="1:3" x14ac:dyDescent="0.15">
      <c r="A10">
        <v>9</v>
      </c>
      <c r="B10" s="168" t="s">
        <v>200</v>
      </c>
      <c r="C10">
        <v>0.8</v>
      </c>
    </row>
    <row r="11" spans="1:3" x14ac:dyDescent="0.15">
      <c r="A11">
        <v>10</v>
      </c>
      <c r="B11" s="168" t="s">
        <v>201</v>
      </c>
      <c r="C11">
        <v>0</v>
      </c>
    </row>
    <row r="12" spans="1:3" x14ac:dyDescent="0.15">
      <c r="A12">
        <v>11</v>
      </c>
      <c r="B12" s="168" t="s">
        <v>202</v>
      </c>
      <c r="C12">
        <v>0</v>
      </c>
    </row>
    <row r="13" spans="1:3" x14ac:dyDescent="0.15">
      <c r="A13">
        <v>12</v>
      </c>
      <c r="B13" s="168" t="s">
        <v>203</v>
      </c>
      <c r="C13">
        <v>0</v>
      </c>
    </row>
    <row r="14" spans="1:3" x14ac:dyDescent="0.15">
      <c r="A14">
        <v>13</v>
      </c>
      <c r="B14" s="168" t="s">
        <v>204</v>
      </c>
      <c r="C14">
        <v>0</v>
      </c>
    </row>
    <row r="15" spans="1:3" x14ac:dyDescent="0.15">
      <c r="A15">
        <v>14</v>
      </c>
      <c r="B15" s="168" t="s">
        <v>205</v>
      </c>
      <c r="C15">
        <v>0</v>
      </c>
    </row>
    <row r="16" spans="1:3" x14ac:dyDescent="0.15">
      <c r="A16">
        <v>15</v>
      </c>
      <c r="B16" s="168" t="s">
        <v>206</v>
      </c>
      <c r="C16">
        <v>0</v>
      </c>
    </row>
    <row r="17" spans="1:3" x14ac:dyDescent="0.15">
      <c r="A17">
        <v>16</v>
      </c>
      <c r="B17" s="168" t="s">
        <v>207</v>
      </c>
      <c r="C17">
        <v>0</v>
      </c>
    </row>
    <row r="18" spans="1:3" x14ac:dyDescent="0.15">
      <c r="A18">
        <v>17</v>
      </c>
      <c r="B18" s="168" t="s">
        <v>208</v>
      </c>
      <c r="C18">
        <v>0</v>
      </c>
    </row>
    <row r="19" spans="1:3" x14ac:dyDescent="0.15">
      <c r="A19">
        <v>18</v>
      </c>
      <c r="B19" s="168" t="s">
        <v>209</v>
      </c>
      <c r="C19">
        <v>0</v>
      </c>
    </row>
    <row r="20" spans="1:3" x14ac:dyDescent="0.15">
      <c r="A20">
        <v>19</v>
      </c>
      <c r="B20" s="168" t="s">
        <v>210</v>
      </c>
      <c r="C20">
        <v>0</v>
      </c>
    </row>
    <row r="21" spans="1:3" x14ac:dyDescent="0.15">
      <c r="A21">
        <v>20</v>
      </c>
      <c r="B21" s="168" t="s">
        <v>211</v>
      </c>
      <c r="C2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71"/>
    <col min="2" max="2" width="41.83203125" style="71" bestFit="1" customWidth="1"/>
    <col min="3" max="3" width="9.33203125" style="71" bestFit="1" customWidth="1"/>
    <col min="4" max="4" width="13" style="71" bestFit="1" customWidth="1"/>
    <col min="5" max="6" width="9.33203125" style="71" bestFit="1" customWidth="1"/>
    <col min="7" max="7" width="9.33203125" style="87" bestFit="1" customWidth="1"/>
    <col min="8" max="8" width="9.33203125" style="71" bestFit="1" customWidth="1"/>
    <col min="9" max="9" width="11" style="71" customWidth="1"/>
    <col min="10" max="10" width="8.83203125" style="71"/>
    <col min="15" max="16384" width="8.83203125" style="7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9" t="s">
        <v>14</v>
      </c>
      <c r="H1" s="1" t="s">
        <v>26</v>
      </c>
      <c r="I1" s="1" t="s">
        <v>24</v>
      </c>
    </row>
    <row r="2" spans="1:10" ht="15" customHeight="1" x14ac:dyDescent="0.15">
      <c r="A2" s="130">
        <v>1</v>
      </c>
      <c r="B2" s="130" t="s">
        <v>192</v>
      </c>
      <c r="C2" s="8">
        <v>2.4207205772399902</v>
      </c>
      <c r="D2" s="9">
        <v>0.5899999737739563</v>
      </c>
      <c r="E2" s="9">
        <v>2.619999885559082</v>
      </c>
      <c r="F2" s="9">
        <v>6.5499997138977051</v>
      </c>
      <c r="G2" s="9">
        <v>0.160877525806427</v>
      </c>
      <c r="H2" s="9">
        <v>0.40000000596046448</v>
      </c>
      <c r="I2">
        <v>0</v>
      </c>
      <c r="J2"/>
    </row>
    <row r="3" spans="1:10" ht="15" customHeight="1" x14ac:dyDescent="0.15">
      <c r="A3" s="131">
        <v>2</v>
      </c>
      <c r="B3" s="131" t="s">
        <v>193</v>
      </c>
      <c r="C3" s="8">
        <v>3.0843625068664551</v>
      </c>
      <c r="D3" s="9">
        <v>9.0000003576278687E-2</v>
      </c>
      <c r="E3" s="9">
        <v>3.7599999904632568</v>
      </c>
      <c r="F3" s="9">
        <v>8.5454549789428711</v>
      </c>
      <c r="G3" s="7">
        <v>0</v>
      </c>
      <c r="H3" s="9">
        <v>0.43999996781349182</v>
      </c>
      <c r="I3">
        <v>0</v>
      </c>
      <c r="J3"/>
    </row>
    <row r="4" spans="1:10" ht="15" customHeight="1" x14ac:dyDescent="0.15">
      <c r="A4" s="132">
        <v>3</v>
      </c>
      <c r="B4" s="132" t="s">
        <v>194</v>
      </c>
      <c r="C4" s="8">
        <v>2.8183493614196777</v>
      </c>
      <c r="D4" s="9">
        <v>0.2199999988079071</v>
      </c>
      <c r="E4" s="9">
        <v>2.5699999332427979</v>
      </c>
      <c r="F4" s="9">
        <v>8.5666656494140625</v>
      </c>
      <c r="G4" s="9">
        <v>0.43983811140060425</v>
      </c>
      <c r="H4" s="9">
        <v>0.30000004172325134</v>
      </c>
      <c r="I4">
        <v>0</v>
      </c>
      <c r="J4"/>
    </row>
    <row r="5" spans="1:10" ht="15" customHeight="1" x14ac:dyDescent="0.15">
      <c r="A5" s="133">
        <v>4</v>
      </c>
      <c r="B5" s="133" t="s">
        <v>195</v>
      </c>
      <c r="C5" s="8">
        <v>2.8828341960906982</v>
      </c>
      <c r="D5" s="9">
        <v>7.0100002288818359</v>
      </c>
      <c r="E5" s="9">
        <v>3.119999885559082</v>
      </c>
      <c r="F5" s="9">
        <v>7.4285712242126465</v>
      </c>
      <c r="G5" s="9">
        <v>0.12507449090480804</v>
      </c>
      <c r="H5" s="9">
        <v>0.41999998688697815</v>
      </c>
      <c r="I5">
        <v>0</v>
      </c>
      <c r="J5"/>
    </row>
    <row r="6" spans="1:10" ht="15" customHeight="1" x14ac:dyDescent="0.15">
      <c r="A6" s="134">
        <v>5</v>
      </c>
      <c r="B6" s="134" t="s">
        <v>196</v>
      </c>
      <c r="C6" s="8">
        <v>2.9983315467834473</v>
      </c>
      <c r="D6" s="9">
        <v>0.20000000298023224</v>
      </c>
      <c r="E6" s="9">
        <v>3.5899999141693115</v>
      </c>
      <c r="F6" s="9">
        <v>10.878787040710449</v>
      </c>
      <c r="G6" s="9">
        <v>0.85982441902160645</v>
      </c>
      <c r="H6" s="9">
        <v>0.33000001311302185</v>
      </c>
      <c r="I6">
        <v>0</v>
      </c>
      <c r="J6"/>
    </row>
    <row r="7" spans="1:10" ht="15" customHeight="1" x14ac:dyDescent="0.15">
      <c r="A7" s="135">
        <v>6</v>
      </c>
      <c r="B7" s="135" t="s">
        <v>197</v>
      </c>
      <c r="C7" s="8">
        <v>3.008082389831543</v>
      </c>
      <c r="D7" s="9">
        <v>6.369999885559082</v>
      </c>
      <c r="E7" s="9">
        <v>2.5199999809265137</v>
      </c>
      <c r="F7" s="9">
        <v>8.3999996185302734</v>
      </c>
      <c r="G7" s="9">
        <v>7.7460221946239471E-2</v>
      </c>
      <c r="H7" s="9">
        <v>0.30000001192092896</v>
      </c>
      <c r="I7">
        <v>0</v>
      </c>
      <c r="J7"/>
    </row>
    <row r="8" spans="1:10" ht="15" customHeight="1" x14ac:dyDescent="0.15">
      <c r="A8" s="136">
        <v>7</v>
      </c>
      <c r="B8" s="136" t="s">
        <v>198</v>
      </c>
      <c r="C8" s="8">
        <v>3.0924167633056641</v>
      </c>
      <c r="D8" s="9">
        <v>6.7300000190734863</v>
      </c>
      <c r="E8" s="9">
        <v>3.0899999141693115</v>
      </c>
      <c r="F8" s="9">
        <v>7.0227270126342773</v>
      </c>
      <c r="G8" s="9">
        <v>0.33976837992668152</v>
      </c>
      <c r="H8" s="9">
        <v>0.43999999761581421</v>
      </c>
      <c r="I8">
        <v>0</v>
      </c>
      <c r="J8"/>
    </row>
    <row r="9" spans="1:10" ht="15" customHeight="1" x14ac:dyDescent="0.15">
      <c r="A9" s="137">
        <v>8</v>
      </c>
      <c r="B9" s="137" t="s">
        <v>199</v>
      </c>
      <c r="C9" s="8">
        <v>2.4858100414276123</v>
      </c>
      <c r="D9" s="9">
        <v>0.37999999523162842</v>
      </c>
      <c r="E9" s="9">
        <v>3.059999942779541</v>
      </c>
      <c r="F9" s="9">
        <v>9</v>
      </c>
      <c r="G9" s="9">
        <v>0.42773386836051941</v>
      </c>
      <c r="H9" s="9">
        <v>0.34000000357627869</v>
      </c>
      <c r="I9">
        <v>0</v>
      </c>
      <c r="J9"/>
    </row>
    <row r="10" spans="1:10" ht="15" customHeight="1" x14ac:dyDescent="0.15">
      <c r="A10" s="138">
        <v>9</v>
      </c>
      <c r="B10" s="138" t="s">
        <v>200</v>
      </c>
      <c r="C10" s="8">
        <v>3.5588617324829102</v>
      </c>
      <c r="D10" s="9">
        <v>4.0399999618530273</v>
      </c>
      <c r="E10" s="9">
        <v>2.7699999809265137</v>
      </c>
      <c r="F10" s="9">
        <v>6.1555557250976562</v>
      </c>
      <c r="G10" s="9">
        <v>0.45461994409561157</v>
      </c>
      <c r="H10" s="9">
        <v>0.44999998807907104</v>
      </c>
      <c r="I10">
        <v>0.25999999046325684</v>
      </c>
      <c r="J10"/>
    </row>
    <row r="11" spans="1:10" ht="15" customHeight="1" x14ac:dyDescent="0.15">
      <c r="A11" s="139">
        <v>10</v>
      </c>
      <c r="B11" s="139" t="s">
        <v>201</v>
      </c>
      <c r="C11" s="8">
        <v>3.0239965915679932</v>
      </c>
      <c r="D11" s="9">
        <v>12.310000419616699</v>
      </c>
      <c r="E11" s="9">
        <v>3.3299999237060547</v>
      </c>
      <c r="F11" s="9">
        <v>8.3249998092651367</v>
      </c>
      <c r="G11" s="9">
        <v>0.70954251289367676</v>
      </c>
      <c r="H11" s="9">
        <v>0.40000000596046448</v>
      </c>
      <c r="I11">
        <v>0</v>
      </c>
      <c r="J11"/>
    </row>
    <row r="12" spans="1:10" ht="15" customHeight="1" x14ac:dyDescent="0.15">
      <c r="A12" s="140">
        <v>11</v>
      </c>
      <c r="B12" s="140" t="s">
        <v>202</v>
      </c>
      <c r="C12" s="8">
        <v>2.0101010799407959</v>
      </c>
      <c r="D12" s="9">
        <v>10.694574356079102</v>
      </c>
      <c r="E12" s="9">
        <v>13.75</v>
      </c>
      <c r="F12" s="9">
        <v>69.910003662109375</v>
      </c>
      <c r="G12" s="9">
        <v>0.62000000476837158</v>
      </c>
      <c r="H12" s="9">
        <v>0.1966814398765564</v>
      </c>
      <c r="I12">
        <v>0</v>
      </c>
      <c r="J12"/>
    </row>
    <row r="13" spans="1:10" ht="15" customHeight="1" x14ac:dyDescent="0.15">
      <c r="A13" s="141">
        <v>12</v>
      </c>
      <c r="B13" s="141" t="s">
        <v>203</v>
      </c>
      <c r="C13" s="8">
        <v>2.0101010799407959</v>
      </c>
      <c r="D13" s="9">
        <v>0.61000001430511475</v>
      </c>
      <c r="E13" s="9">
        <v>15.539999961853027</v>
      </c>
      <c r="F13" s="9">
        <v>51.930000305175781</v>
      </c>
      <c r="G13" s="9">
        <v>0.7373698353767395</v>
      </c>
      <c r="H13" s="9">
        <v>0.29924899339675903</v>
      </c>
      <c r="I13">
        <v>0</v>
      </c>
      <c r="J13"/>
    </row>
    <row r="14" spans="1:10" ht="15" customHeight="1" x14ac:dyDescent="0.15">
      <c r="A14" s="142">
        <v>13</v>
      </c>
      <c r="B14" s="142" t="s">
        <v>204</v>
      </c>
      <c r="C14" s="8">
        <v>2.0399999618530273</v>
      </c>
      <c r="D14" s="9">
        <v>8.6400003433227539</v>
      </c>
      <c r="E14" s="9">
        <v>15.75</v>
      </c>
      <c r="F14" s="9">
        <v>50.509998321533203</v>
      </c>
      <c r="G14" s="9">
        <v>0.92324328422546387</v>
      </c>
      <c r="H14" s="9">
        <v>0.31181946396827698</v>
      </c>
      <c r="I14">
        <v>0</v>
      </c>
      <c r="J14"/>
    </row>
    <row r="15" spans="1:10" ht="15" customHeight="1" x14ac:dyDescent="0.15">
      <c r="A15" s="143">
        <v>14</v>
      </c>
      <c r="B15" s="143" t="s">
        <v>205</v>
      </c>
      <c r="C15" s="8">
        <v>2.6006841659545898</v>
      </c>
      <c r="D15" s="9">
        <v>4.0500001907348633</v>
      </c>
      <c r="E15" s="9">
        <v>4.0100002288818359</v>
      </c>
      <c r="F15" s="9">
        <v>14.859999656677246</v>
      </c>
      <c r="G15" s="9">
        <v>0.83946818113327026</v>
      </c>
      <c r="H15" s="9">
        <v>0.26985198259353638</v>
      </c>
      <c r="I15">
        <v>0</v>
      </c>
      <c r="J15"/>
    </row>
    <row r="16" spans="1:10" ht="15" customHeight="1" x14ac:dyDescent="0.15">
      <c r="A16" s="144">
        <v>15</v>
      </c>
      <c r="B16" s="144" t="s">
        <v>206</v>
      </c>
      <c r="C16" s="8">
        <v>2.2222220897674561</v>
      </c>
      <c r="D16" s="9">
        <v>26.5</v>
      </c>
      <c r="E16" s="9">
        <v>1.8400000333786011</v>
      </c>
      <c r="F16" s="9">
        <v>9.5799999237060547</v>
      </c>
      <c r="G16" s="9">
        <v>0.8480800986289978</v>
      </c>
      <c r="H16" s="9">
        <v>0.19206680357456207</v>
      </c>
      <c r="I16">
        <v>0</v>
      </c>
      <c r="J16"/>
    </row>
    <row r="17" spans="1:10" ht="15" customHeight="1" x14ac:dyDescent="0.15">
      <c r="A17" s="145">
        <v>16</v>
      </c>
      <c r="B17" s="145" t="s">
        <v>207</v>
      </c>
      <c r="C17" s="8">
        <v>2</v>
      </c>
      <c r="D17" s="9">
        <v>9.75</v>
      </c>
      <c r="E17" s="9">
        <v>3.8399999141693115</v>
      </c>
      <c r="F17" s="9">
        <v>13.479999542236328</v>
      </c>
      <c r="G17" s="9">
        <v>0.59751987457275391</v>
      </c>
      <c r="H17" s="9">
        <v>0.28486648201942444</v>
      </c>
      <c r="I17">
        <v>0</v>
      </c>
      <c r="J17"/>
    </row>
    <row r="18" spans="1:10" ht="15" customHeight="1" x14ac:dyDescent="0.15">
      <c r="A18" s="146">
        <v>17</v>
      </c>
      <c r="B18" s="146" t="s">
        <v>208</v>
      </c>
      <c r="C18" s="8">
        <v>1</v>
      </c>
      <c r="D18" s="9">
        <v>7.25</v>
      </c>
      <c r="E18" s="9">
        <v>65.550003051757812</v>
      </c>
      <c r="F18" s="10"/>
      <c r="G18" s="9">
        <v>0.94969743490219116</v>
      </c>
      <c r="H18" s="10"/>
      <c r="I18">
        <v>0</v>
      </c>
      <c r="J18"/>
    </row>
    <row r="19" spans="1:10" ht="15" customHeight="1" x14ac:dyDescent="0.15">
      <c r="A19" s="147">
        <v>18</v>
      </c>
      <c r="B19" s="147" t="s">
        <v>209</v>
      </c>
      <c r="C19" s="8">
        <v>1</v>
      </c>
      <c r="D19" s="9">
        <v>153.41999816894531</v>
      </c>
      <c r="E19" s="9">
        <v>7.4499998092651367</v>
      </c>
      <c r="F19" s="10"/>
      <c r="G19" s="9">
        <v>9.6238523721694946E-2</v>
      </c>
      <c r="H19" s="10"/>
      <c r="I19">
        <v>0</v>
      </c>
      <c r="J19"/>
    </row>
    <row r="20" spans="1:10" ht="15" customHeight="1" x14ac:dyDescent="0.15">
      <c r="A20" s="148">
        <v>19</v>
      </c>
      <c r="B20" s="148" t="s">
        <v>210</v>
      </c>
      <c r="C20" s="8">
        <v>1</v>
      </c>
      <c r="D20" s="9">
        <v>2400</v>
      </c>
      <c r="E20" s="10"/>
      <c r="F20" s="10"/>
      <c r="G20" s="9">
        <v>0.6487882137298584</v>
      </c>
      <c r="H20" s="10"/>
      <c r="I20">
        <v>0</v>
      </c>
      <c r="J20"/>
    </row>
    <row r="21" spans="1:10" ht="15" customHeight="1" x14ac:dyDescent="0.15">
      <c r="A21" s="149">
        <v>20</v>
      </c>
      <c r="B21" s="149" t="s">
        <v>211</v>
      </c>
      <c r="C21" s="8">
        <v>1</v>
      </c>
      <c r="D21" s="9">
        <v>5</v>
      </c>
      <c r="E21" s="10"/>
      <c r="F21" s="10"/>
      <c r="G21" s="7">
        <v>0</v>
      </c>
      <c r="H21" s="10"/>
      <c r="I21">
        <v>0</v>
      </c>
      <c r="J21"/>
    </row>
    <row r="22" spans="1:10" ht="15" customHeight="1" x14ac:dyDescent="0.15">
      <c r="A22" s="150">
        <v>21</v>
      </c>
      <c r="B22" s="150" t="s">
        <v>212</v>
      </c>
      <c r="C22" s="8">
        <v>4.5588617324829102</v>
      </c>
      <c r="D22" s="10"/>
      <c r="E22" s="10"/>
      <c r="F22" s="10"/>
      <c r="G22" s="10"/>
      <c r="H22" s="10"/>
      <c r="I22">
        <v>0.25999999046325684</v>
      </c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1" bestFit="1" customWidth="1"/>
    <col min="2" max="4" width="9.5" style="71" bestFit="1" customWidth="1"/>
    <col min="5" max="7" width="9" style="71" bestFit="1" customWidth="1"/>
    <col min="8" max="16" width="12.6640625" style="71" bestFit="1" customWidth="1"/>
    <col min="17" max="17" width="12.33203125" style="71" bestFit="1" customWidth="1"/>
    <col min="18" max="18" width="8.83203125" style="71"/>
    <col min="19" max="21" width="9.33203125" style="71" bestFit="1" customWidth="1"/>
    <col min="22" max="23" width="8.83203125" style="71"/>
    <col min="24" max="24" width="9.33203125" style="71" bestFit="1" customWidth="1"/>
    <col min="25" max="27" width="8.83203125" style="71"/>
    <col min="28" max="58" width="9" style="71" bestFit="1" customWidth="1"/>
    <col min="59" max="59" width="12.33203125" style="71" bestFit="1" customWidth="1"/>
    <col min="60" max="60" width="9" style="71" bestFit="1" customWidth="1"/>
    <col min="61" max="61" width="11.33203125" style="71" bestFit="1" customWidth="1"/>
    <col min="62" max="77" width="9" style="71" bestFit="1" customWidth="1"/>
    <col min="78" max="78" width="12.33203125" style="71" bestFit="1" customWidth="1"/>
    <col min="79" max="79" width="9" style="71" bestFit="1" customWidth="1"/>
    <col min="80" max="80" width="12.33203125" style="71" bestFit="1" customWidth="1"/>
    <col min="81" max="107" width="9" style="71" bestFit="1" customWidth="1"/>
    <col min="108" max="108" width="11.33203125" style="71" bestFit="1" customWidth="1"/>
    <col min="109" max="124" width="9" style="71" bestFit="1" customWidth="1"/>
    <col min="125" max="125" width="10.33203125" style="71" bestFit="1" customWidth="1"/>
    <col min="126" max="129" width="9.33203125" style="71" bestFit="1" customWidth="1"/>
    <col min="130" max="130" width="9" style="71" bestFit="1" customWidth="1"/>
    <col min="131" max="134" width="9.33203125" style="71" bestFit="1" customWidth="1"/>
    <col min="135" max="165" width="9" style="71" bestFit="1" customWidth="1"/>
    <col min="166" max="166" width="12.33203125" style="71" bestFit="1" customWidth="1"/>
    <col min="167" max="170" width="9" style="71" bestFit="1" customWidth="1"/>
    <col min="171" max="176" width="8.83203125" style="71"/>
    <col min="177" max="177" width="13.83203125" style="71" bestFit="1" customWidth="1"/>
    <col min="178" max="16384" width="8.83203125" style="7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217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2.619999885559082</v>
      </c>
      <c r="C2">
        <v>2.1985008716583252</v>
      </c>
      <c r="D2"/>
      <c r="E2"/>
      <c r="F2"/>
      <c r="G2"/>
      <c r="H2"/>
      <c r="I2"/>
      <c r="J2"/>
      <c r="K2"/>
      <c r="L2"/>
      <c r="M2" s="179">
        <v>0.421499103307724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3.7599999904632568</v>
      </c>
      <c r="C3">
        <v>3.7599999904632568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2.5699999332427979</v>
      </c>
      <c r="C4">
        <v>1.4396159648895264</v>
      </c>
      <c r="D4"/>
      <c r="E4"/>
      <c r="F4"/>
      <c r="G4"/>
      <c r="H4"/>
      <c r="I4"/>
      <c r="J4"/>
      <c r="K4"/>
      <c r="L4"/>
      <c r="M4" s="180">
        <v>1.1303839683532715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3.119999885559082</v>
      </c>
      <c r="C5">
        <v>2.7297675609588623</v>
      </c>
      <c r="D5"/>
      <c r="E5"/>
      <c r="F5"/>
      <c r="G5"/>
      <c r="H5"/>
      <c r="I5"/>
      <c r="J5"/>
      <c r="K5"/>
      <c r="L5"/>
      <c r="M5" s="190">
        <v>0.3902323842048645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3.5899999141693115</v>
      </c>
      <c r="C6">
        <v>0.50323033332824707</v>
      </c>
      <c r="D6"/>
      <c r="E6"/>
      <c r="F6"/>
      <c r="G6"/>
      <c r="H6"/>
      <c r="I6"/>
      <c r="J6"/>
      <c r="K6"/>
      <c r="L6"/>
      <c r="M6"/>
      <c r="N6" s="185">
        <v>3.0867695808410645</v>
      </c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2.5199999809265137</v>
      </c>
      <c r="C7">
        <v>2.3248002529144287</v>
      </c>
      <c r="D7"/>
      <c r="E7"/>
      <c r="F7"/>
      <c r="G7"/>
      <c r="H7"/>
      <c r="I7"/>
      <c r="J7"/>
      <c r="K7"/>
      <c r="L7"/>
      <c r="M7" s="65">
        <v>0.19519975781440735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3.0899999141693115</v>
      </c>
      <c r="C8">
        <v>2.0401155948638916</v>
      </c>
      <c r="D8"/>
      <c r="E8"/>
      <c r="F8"/>
      <c r="G8"/>
      <c r="H8"/>
      <c r="I8"/>
      <c r="J8"/>
      <c r="K8"/>
      <c r="L8"/>
      <c r="M8" s="196">
        <v>0.59122604131698608</v>
      </c>
      <c r="N8" s="192">
        <v>0.45865818858146667</v>
      </c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3.059999942779541</v>
      </c>
      <c r="C9">
        <v>1.7511342763900757</v>
      </c>
      <c r="D9"/>
      <c r="E9"/>
      <c r="F9"/>
      <c r="G9"/>
      <c r="H9"/>
      <c r="I9"/>
      <c r="J9"/>
      <c r="K9"/>
      <c r="L9"/>
      <c r="M9" s="184">
        <v>1.3088656663894653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2.7699999809265137</v>
      </c>
      <c r="C10">
        <v>1.5107027292251587</v>
      </c>
      <c r="D10" s="178">
        <v>6.4356431365013123E-2</v>
      </c>
      <c r="E10"/>
      <c r="F10"/>
      <c r="G10"/>
      <c r="H10"/>
      <c r="I10"/>
      <c r="J10"/>
      <c r="K10"/>
      <c r="L10"/>
      <c r="M10" s="188">
        <v>0.43088895082473755</v>
      </c>
      <c r="N10" s="193">
        <v>0.76405185461044312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3.3299999237060547</v>
      </c>
      <c r="C11">
        <v>0.9672234058380127</v>
      </c>
      <c r="D11"/>
      <c r="E11"/>
      <c r="F11" s="13">
        <v>4.3733846396207809E-3</v>
      </c>
      <c r="G11" s="11">
        <v>1.5310043236240745E-3</v>
      </c>
      <c r="H11" s="22">
        <v>8.4604844450950623E-2</v>
      </c>
      <c r="I11"/>
      <c r="J11" s="186">
        <v>0.13040128350257874</v>
      </c>
      <c r="K11" s="194">
        <v>0.26875764131546021</v>
      </c>
      <c r="L11"/>
      <c r="M11" s="191">
        <v>0.24242189526557922</v>
      </c>
      <c r="N11" s="199">
        <v>1.3373492956161499</v>
      </c>
      <c r="O11"/>
      <c r="P11"/>
      <c r="Q11"/>
      <c r="R11" s="195">
        <v>0.29333710670471191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13.75</v>
      </c>
      <c r="C12">
        <v>5.2249999046325684</v>
      </c>
      <c r="D12"/>
      <c r="E12" s="13">
        <v>2.5294598191976547E-2</v>
      </c>
      <c r="F12" s="12">
        <v>5.8969579637050629E-2</v>
      </c>
      <c r="G12" s="11">
        <v>1.2335848994553089E-2</v>
      </c>
      <c r="H12" s="197">
        <v>1.1686139106750488</v>
      </c>
      <c r="I12" s="12">
        <v>6.3067950308322906E-2</v>
      </c>
      <c r="J12" s="12">
        <v>5.00328429043293E-2</v>
      </c>
      <c r="K12" s="19">
        <v>8.8386781513690948E-2</v>
      </c>
      <c r="L12" s="13">
        <v>3.1978834420442581E-2</v>
      </c>
      <c r="M12" s="12">
        <v>4.650665819644928E-2</v>
      </c>
      <c r="N12" s="23">
        <v>1.0583081245422363</v>
      </c>
      <c r="O12" s="61">
        <v>0.69910001754760742</v>
      </c>
      <c r="P12"/>
      <c r="Q12"/>
      <c r="R12"/>
      <c r="S12" s="206">
        <v>5.222404956817627</v>
      </c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15.539999961853027</v>
      </c>
      <c r="C13">
        <v>4.0812726020812988</v>
      </c>
      <c r="D13"/>
      <c r="E13"/>
      <c r="F13"/>
      <c r="G13" s="12">
        <v>6.1792340129613876E-2</v>
      </c>
      <c r="H13" s="58">
        <v>0.85367673635482788</v>
      </c>
      <c r="I13"/>
      <c r="J13"/>
      <c r="K13" s="182">
        <v>0.77480244636535645</v>
      </c>
      <c r="L13"/>
      <c r="M13" s="183">
        <v>0.81535887718200684</v>
      </c>
      <c r="N13" s="126">
        <v>8.4337968826293945</v>
      </c>
      <c r="O13"/>
      <c r="P13" s="181">
        <v>0.51929998397827148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15.75</v>
      </c>
      <c r="C14">
        <v>1.2089183330535889</v>
      </c>
      <c r="D14"/>
      <c r="E14" s="19">
        <v>8.945600688457489E-2</v>
      </c>
      <c r="F14" s="11">
        <v>9.7916675731539726E-3</v>
      </c>
      <c r="G14" s="14">
        <v>0.14833022654056549</v>
      </c>
      <c r="H14" s="204">
        <v>3.2546427249908447</v>
      </c>
      <c r="I14" s="14">
        <v>0.15864898264408112</v>
      </c>
      <c r="J14" s="125">
        <v>2.043708324432373</v>
      </c>
      <c r="K14" s="205">
        <v>4.1573891639709473</v>
      </c>
      <c r="L14" s="14">
        <v>0.14645832777023315</v>
      </c>
      <c r="M14" s="198">
        <v>0.71957314014434814</v>
      </c>
      <c r="N14" s="203">
        <v>2.977208137512207</v>
      </c>
      <c r="O14"/>
      <c r="P14"/>
      <c r="Q14"/>
      <c r="R14" s="183">
        <v>0.83587497472763062</v>
      </c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4.0100002288818359</v>
      </c>
      <c r="C15">
        <v>0.64373260736465454</v>
      </c>
      <c r="D15"/>
      <c r="E15" s="12">
        <v>1.9083946943283081E-2</v>
      </c>
      <c r="F15"/>
      <c r="G15"/>
      <c r="H15" s="21">
        <v>0.12857846915721893</v>
      </c>
      <c r="I15"/>
      <c r="J15" s="95">
        <v>1.1890666484832764</v>
      </c>
      <c r="K15" s="189">
        <v>0.58349323272705078</v>
      </c>
      <c r="L15"/>
      <c r="M15" s="187">
        <v>0.42982500791549683</v>
      </c>
      <c r="N15" s="129">
        <v>1.0162203311920166</v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1.8400000333786011</v>
      </c>
      <c r="C16">
        <v>0.27953261137008667</v>
      </c>
      <c r="D16"/>
      <c r="E16"/>
      <c r="F16"/>
      <c r="G16"/>
      <c r="H16" s="14">
        <v>1.9650673493742943E-2</v>
      </c>
      <c r="I16"/>
      <c r="J16" s="202">
        <v>0.72690117359161377</v>
      </c>
      <c r="K16"/>
      <c r="L16"/>
      <c r="M16"/>
      <c r="N16" s="197">
        <v>0.15530915558338165</v>
      </c>
      <c r="O16"/>
      <c r="P16"/>
      <c r="Q16"/>
      <c r="R16" s="200">
        <v>0.65860641002655029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3.8399999141693115</v>
      </c>
      <c r="C17">
        <v>1.5455236434936523</v>
      </c>
      <c r="D17"/>
      <c r="E17" s="16">
        <v>4.3599482625722885E-2</v>
      </c>
      <c r="F17"/>
      <c r="G17"/>
      <c r="H17"/>
      <c r="I17" s="13">
        <v>6.6946386359632015E-3</v>
      </c>
      <c r="J17" s="15">
        <v>5.4879996925592422E-2</v>
      </c>
      <c r="K17" s="60">
        <v>0.24237412214279175</v>
      </c>
      <c r="L17"/>
      <c r="M17" s="15">
        <v>5.1012199372053146E-2</v>
      </c>
      <c r="N17" s="20">
        <v>0.10553058236837387</v>
      </c>
      <c r="O17"/>
      <c r="P17"/>
      <c r="Q17" s="201">
        <v>1.7903851270675659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65.550003051757812</v>
      </c>
      <c r="C18">
        <v>3.2973332405090332</v>
      </c>
      <c r="D18"/>
      <c r="E18" s="12">
        <v>0.29849928617477417</v>
      </c>
      <c r="F18"/>
      <c r="G18" s="11">
        <v>4.9391254782676697E-2</v>
      </c>
      <c r="H18" s="17">
        <v>1.1492255926132202</v>
      </c>
      <c r="I18"/>
      <c r="J18"/>
      <c r="K18" s="13">
        <v>6.5190277993679047E-2</v>
      </c>
      <c r="L18" s="11">
        <v>3.7737928330898285E-2</v>
      </c>
      <c r="M18"/>
      <c r="N18" s="20">
        <v>1.8449656963348389</v>
      </c>
      <c r="O18" s="209">
        <v>28.875057220458984</v>
      </c>
      <c r="P18" s="14">
        <v>0.65539246797561646</v>
      </c>
      <c r="Q18" s="208">
        <v>16.252376556396484</v>
      </c>
      <c r="R18" s="15">
        <v>0.91312140226364136</v>
      </c>
      <c r="S18" s="207">
        <v>11.205295562744141</v>
      </c>
      <c r="T18" s="15">
        <v>0.90641379356384277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7.4499998092651367</v>
      </c>
      <c r="C19">
        <v>6.7330226898193359</v>
      </c>
      <c r="D19"/>
      <c r="E19" s="11">
        <v>1.0075608734041452E-3</v>
      </c>
      <c r="F19"/>
      <c r="G19" s="11">
        <v>3.6853077472187579E-4</v>
      </c>
      <c r="H19" s="11">
        <v>3.3942305017262697E-3</v>
      </c>
      <c r="I19" s="11">
        <v>4.2545123142190278E-4</v>
      </c>
      <c r="J19" s="13">
        <v>1.395072229206562E-2</v>
      </c>
      <c r="K19" s="13">
        <v>9.2418752610683441E-3</v>
      </c>
      <c r="L19" s="13">
        <v>1.0031286627054214E-2</v>
      </c>
      <c r="M19" s="13">
        <v>1.1346573941409588E-2</v>
      </c>
      <c r="N19" s="18">
        <v>5.3652621805667877E-2</v>
      </c>
      <c r="O19"/>
      <c r="P19" s="14">
        <v>7.0201292634010315E-2</v>
      </c>
      <c r="Q19"/>
      <c r="R19"/>
      <c r="S19" s="61">
        <v>0.38058990240097046</v>
      </c>
      <c r="T19" s="59">
        <v>0.16276690363883972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/>
      <c r="C20">
        <v>0.6487882137298584</v>
      </c>
      <c r="D20"/>
      <c r="E20"/>
      <c r="F20"/>
      <c r="G20"/>
      <c r="H20"/>
      <c r="I20"/>
      <c r="J20" s="9">
        <v>6.9560394287109375</v>
      </c>
      <c r="K20"/>
      <c r="L20"/>
      <c r="M20"/>
      <c r="N20" s="9">
        <v>6.1735391616821289</v>
      </c>
      <c r="O20" s="9">
        <v>530.83697509765625</v>
      </c>
      <c r="P20" s="9">
        <v>15.838650703430176</v>
      </c>
      <c r="Q20" s="9">
        <v>301.12042236328125</v>
      </c>
      <c r="R20" s="9">
        <v>25.276859283447266</v>
      </c>
      <c r="S20" s="9">
        <v>58.390102386474609</v>
      </c>
      <c r="T20" s="9">
        <v>99.886795043945312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/>
      <c r="C21">
        <v>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F32" sqref="F32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8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6" t="s">
        <v>166</v>
      </c>
    </row>
    <row r="2" spans="1:12" x14ac:dyDescent="0.15">
      <c r="A2" s="1" t="s">
        <v>37</v>
      </c>
      <c r="B2" s="33">
        <v>3</v>
      </c>
      <c r="C2" s="31"/>
      <c r="D2" t="s">
        <v>38</v>
      </c>
      <c r="E2">
        <v>1</v>
      </c>
      <c r="F2">
        <v>1</v>
      </c>
      <c r="G2">
        <v>1</v>
      </c>
      <c r="H2" t="s">
        <v>38</v>
      </c>
      <c r="J2" s="49"/>
      <c r="K2" s="50"/>
      <c r="L2" s="56" t="s">
        <v>167</v>
      </c>
    </row>
    <row r="3" spans="1:12" ht="14" thickBot="1" x14ac:dyDescent="0.2">
      <c r="A3" s="1" t="s">
        <v>39</v>
      </c>
      <c r="B3" s="34">
        <v>0</v>
      </c>
      <c r="C3" s="31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1"/>
      <c r="K3" s="52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1"/>
      <c r="K4" s="52"/>
    </row>
    <row r="5" spans="1:12" x14ac:dyDescent="0.15">
      <c r="D5" s="170" t="s">
        <v>192</v>
      </c>
      <c r="E5">
        <v>4</v>
      </c>
      <c r="F5">
        <v>3.1</v>
      </c>
      <c r="G5">
        <v>4</v>
      </c>
      <c r="H5" s="171" t="s">
        <v>192</v>
      </c>
      <c r="J5" s="51"/>
      <c r="K5" s="52"/>
    </row>
    <row r="6" spans="1:12" ht="14" thickBot="1" x14ac:dyDescent="0.2">
      <c r="A6" s="35" t="s">
        <v>121</v>
      </c>
      <c r="D6" s="170" t="s">
        <v>193</v>
      </c>
      <c r="E6">
        <v>5</v>
      </c>
      <c r="F6">
        <v>3.14</v>
      </c>
      <c r="G6">
        <v>5</v>
      </c>
      <c r="H6" s="171" t="s">
        <v>193</v>
      </c>
      <c r="J6" s="51"/>
      <c r="K6" s="52"/>
    </row>
    <row r="7" spans="1:12" x14ac:dyDescent="0.15">
      <c r="A7" s="30" t="s">
        <v>126</v>
      </c>
      <c r="B7" s="37">
        <v>1</v>
      </c>
      <c r="C7" s="32"/>
      <c r="D7" s="170" t="s">
        <v>194</v>
      </c>
      <c r="E7">
        <v>6</v>
      </c>
      <c r="F7">
        <v>3</v>
      </c>
      <c r="G7">
        <v>6</v>
      </c>
      <c r="H7" s="171" t="s">
        <v>194</v>
      </c>
      <c r="J7" s="51"/>
      <c r="K7" s="52"/>
    </row>
    <row r="8" spans="1:12" x14ac:dyDescent="0.15">
      <c r="A8" s="30" t="s">
        <v>38</v>
      </c>
      <c r="B8" s="38">
        <v>1</v>
      </c>
      <c r="C8" s="32"/>
      <c r="D8" s="170" t="s">
        <v>195</v>
      </c>
      <c r="E8">
        <v>7</v>
      </c>
      <c r="F8">
        <v>3.1110000000000002</v>
      </c>
      <c r="G8">
        <v>7</v>
      </c>
      <c r="H8" s="171" t="s">
        <v>195</v>
      </c>
      <c r="J8" s="51"/>
      <c r="K8" s="52"/>
    </row>
    <row r="9" spans="1:12" x14ac:dyDescent="0.15">
      <c r="A9" s="30" t="s">
        <v>40</v>
      </c>
      <c r="B9" s="38">
        <v>1.1000000000000001</v>
      </c>
      <c r="C9" s="32"/>
      <c r="D9" s="170" t="s">
        <v>196</v>
      </c>
      <c r="E9">
        <v>8</v>
      </c>
      <c r="F9">
        <v>3.1110000000000002</v>
      </c>
      <c r="G9">
        <v>8</v>
      </c>
      <c r="H9" s="171" t="s">
        <v>196</v>
      </c>
      <c r="J9" s="51"/>
      <c r="K9" s="52"/>
    </row>
    <row r="10" spans="1:12" x14ac:dyDescent="0.15">
      <c r="A10" s="30" t="s">
        <v>41</v>
      </c>
      <c r="B10" s="38">
        <v>1.2</v>
      </c>
      <c r="C10" s="32"/>
      <c r="D10" s="170" t="s">
        <v>197</v>
      </c>
      <c r="E10">
        <v>9</v>
      </c>
      <c r="F10">
        <v>3.1110000000000002</v>
      </c>
      <c r="G10">
        <v>9</v>
      </c>
      <c r="H10" s="171" t="s">
        <v>197</v>
      </c>
      <c r="J10" s="51"/>
      <c r="K10" s="52"/>
    </row>
    <row r="11" spans="1:12" ht="12" customHeight="1" x14ac:dyDescent="0.15">
      <c r="A11" s="36" t="s">
        <v>127</v>
      </c>
      <c r="B11" s="38">
        <v>2</v>
      </c>
      <c r="C11" s="32"/>
      <c r="D11" s="170" t="s">
        <v>198</v>
      </c>
      <c r="E11">
        <v>10</v>
      </c>
      <c r="F11">
        <v>3</v>
      </c>
      <c r="G11">
        <v>10</v>
      </c>
      <c r="H11" s="171" t="s">
        <v>198</v>
      </c>
      <c r="J11" s="51"/>
      <c r="K11" s="52"/>
    </row>
    <row r="12" spans="1:12" x14ac:dyDescent="0.15">
      <c r="A12" s="30" t="s">
        <v>42</v>
      </c>
      <c r="B12" s="38">
        <v>2.1</v>
      </c>
      <c r="C12" s="32"/>
      <c r="D12" s="170" t="s">
        <v>199</v>
      </c>
      <c r="E12">
        <v>11</v>
      </c>
      <c r="F12">
        <v>3</v>
      </c>
      <c r="G12">
        <v>11</v>
      </c>
      <c r="H12" s="171" t="s">
        <v>199</v>
      </c>
      <c r="J12" s="51"/>
      <c r="K12" s="52"/>
    </row>
    <row r="13" spans="1:12" x14ac:dyDescent="0.15">
      <c r="A13" s="30" t="s">
        <v>43</v>
      </c>
      <c r="B13" s="38">
        <v>2.2000000000000002</v>
      </c>
      <c r="C13" s="32"/>
      <c r="D13" s="170" t="s">
        <v>200</v>
      </c>
      <c r="E13">
        <v>12</v>
      </c>
      <c r="F13">
        <v>3</v>
      </c>
      <c r="G13">
        <v>12</v>
      </c>
      <c r="H13" s="171" t="s">
        <v>200</v>
      </c>
      <c r="J13" s="51"/>
      <c r="K13" s="52"/>
    </row>
    <row r="14" spans="1:12" x14ac:dyDescent="0.15">
      <c r="A14" s="30" t="s">
        <v>67</v>
      </c>
      <c r="B14" s="38">
        <v>2.2999999999999998</v>
      </c>
      <c r="C14" s="32"/>
      <c r="D14" s="170" t="s">
        <v>201</v>
      </c>
      <c r="E14">
        <v>13</v>
      </c>
      <c r="F14">
        <v>3.04</v>
      </c>
      <c r="G14">
        <v>13</v>
      </c>
      <c r="H14" s="171" t="s">
        <v>201</v>
      </c>
      <c r="J14" s="51"/>
      <c r="K14" s="52"/>
    </row>
    <row r="15" spans="1:12" x14ac:dyDescent="0.15">
      <c r="A15" s="36" t="s">
        <v>128</v>
      </c>
      <c r="B15" s="38">
        <v>3</v>
      </c>
      <c r="C15" s="32"/>
      <c r="D15" s="170" t="s">
        <v>202</v>
      </c>
      <c r="E15">
        <v>14</v>
      </c>
      <c r="F15">
        <v>3.11</v>
      </c>
      <c r="G15">
        <v>14</v>
      </c>
      <c r="H15" s="171" t="s">
        <v>202</v>
      </c>
      <c r="J15" s="51"/>
      <c r="K15" s="52"/>
    </row>
    <row r="16" spans="1:12" x14ac:dyDescent="0.15">
      <c r="A16" s="30" t="s">
        <v>62</v>
      </c>
      <c r="B16" s="38">
        <v>3.11</v>
      </c>
      <c r="C16" s="32"/>
      <c r="D16" s="170" t="s">
        <v>203</v>
      </c>
      <c r="E16">
        <v>15</v>
      </c>
      <c r="F16">
        <v>3.01</v>
      </c>
      <c r="G16">
        <v>15</v>
      </c>
      <c r="H16" s="171" t="s">
        <v>203</v>
      </c>
      <c r="J16" s="51"/>
      <c r="K16" s="52"/>
    </row>
    <row r="17" spans="1:12" x14ac:dyDescent="0.15">
      <c r="A17" s="30" t="s">
        <v>61</v>
      </c>
      <c r="B17" s="38">
        <v>3.12</v>
      </c>
      <c r="C17" s="32"/>
      <c r="D17" s="170" t="s">
        <v>204</v>
      </c>
      <c r="E17">
        <v>16</v>
      </c>
      <c r="F17">
        <v>3</v>
      </c>
      <c r="G17">
        <v>16</v>
      </c>
      <c r="H17" s="171" t="s">
        <v>204</v>
      </c>
      <c r="J17" s="51"/>
      <c r="K17" s="52"/>
    </row>
    <row r="18" spans="1:12" x14ac:dyDescent="0.15">
      <c r="A18" s="30" t="s">
        <v>68</v>
      </c>
      <c r="B18" s="38">
        <v>3.13</v>
      </c>
      <c r="C18" s="32"/>
      <c r="D18" s="170" t="s">
        <v>205</v>
      </c>
      <c r="E18">
        <v>17</v>
      </c>
      <c r="F18">
        <v>3.02</v>
      </c>
      <c r="G18">
        <v>17</v>
      </c>
      <c r="H18" s="171" t="s">
        <v>205</v>
      </c>
      <c r="J18" s="51"/>
      <c r="K18" s="52"/>
    </row>
    <row r="19" spans="1:12" x14ac:dyDescent="0.15">
      <c r="A19" s="30" t="s">
        <v>66</v>
      </c>
      <c r="B19" s="38">
        <v>3.21</v>
      </c>
      <c r="C19" s="32"/>
      <c r="D19" s="170" t="s">
        <v>206</v>
      </c>
      <c r="E19">
        <v>18</v>
      </c>
      <c r="F19">
        <v>3.01</v>
      </c>
      <c r="G19">
        <v>18</v>
      </c>
      <c r="H19" s="171" t="s">
        <v>206</v>
      </c>
      <c r="J19" s="51"/>
      <c r="K19" s="52"/>
    </row>
    <row r="20" spans="1:12" x14ac:dyDescent="0.15">
      <c r="A20" s="30" t="s">
        <v>63</v>
      </c>
      <c r="B20" s="38">
        <v>3.22</v>
      </c>
      <c r="C20" s="32"/>
      <c r="D20" s="170" t="s">
        <v>207</v>
      </c>
      <c r="E20">
        <v>19</v>
      </c>
      <c r="F20">
        <v>3.21</v>
      </c>
      <c r="G20">
        <v>19</v>
      </c>
      <c r="H20" s="171" t="s">
        <v>207</v>
      </c>
      <c r="J20" s="51"/>
      <c r="K20" s="52"/>
    </row>
    <row r="21" spans="1:12" ht="14" thickBot="1" x14ac:dyDescent="0.2">
      <c r="A21" s="30" t="s">
        <v>69</v>
      </c>
      <c r="B21" s="38">
        <v>3.23</v>
      </c>
      <c r="C21" s="32"/>
      <c r="D21" s="170" t="s">
        <v>208</v>
      </c>
      <c r="E21">
        <v>20</v>
      </c>
      <c r="F21">
        <v>2</v>
      </c>
      <c r="G21">
        <v>20</v>
      </c>
      <c r="H21" s="171" t="s">
        <v>208</v>
      </c>
      <c r="J21" s="53"/>
      <c r="K21" s="54"/>
      <c r="L21" s="56" t="s">
        <v>152</v>
      </c>
    </row>
    <row r="22" spans="1:12" x14ac:dyDescent="0.15">
      <c r="A22" s="30" t="s">
        <v>64</v>
      </c>
      <c r="B22" s="38">
        <v>8</v>
      </c>
      <c r="C22" s="32"/>
      <c r="D22" s="170" t="s">
        <v>209</v>
      </c>
      <c r="E22">
        <v>21</v>
      </c>
      <c r="F22">
        <v>2</v>
      </c>
      <c r="G22">
        <v>21</v>
      </c>
      <c r="H22" s="171" t="s">
        <v>209</v>
      </c>
    </row>
    <row r="23" spans="1:12" x14ac:dyDescent="0.15">
      <c r="A23" s="30" t="s">
        <v>129</v>
      </c>
      <c r="B23" s="38">
        <v>4</v>
      </c>
      <c r="C23" s="32"/>
      <c r="D23" s="170" t="s">
        <v>210</v>
      </c>
      <c r="E23">
        <v>22</v>
      </c>
      <c r="F23">
        <v>4.0999999999999996</v>
      </c>
      <c r="G23">
        <v>22</v>
      </c>
      <c r="H23" s="171" t="s">
        <v>210</v>
      </c>
    </row>
    <row r="24" spans="1:12" x14ac:dyDescent="0.15">
      <c r="A24" s="30" t="s">
        <v>122</v>
      </c>
      <c r="B24" s="38">
        <v>4.0999999999999996</v>
      </c>
      <c r="C24" s="32"/>
      <c r="D24" s="170" t="s">
        <v>211</v>
      </c>
      <c r="E24">
        <v>23</v>
      </c>
      <c r="F24">
        <v>4.3</v>
      </c>
      <c r="G24">
        <v>23</v>
      </c>
      <c r="H24" s="171" t="s">
        <v>211</v>
      </c>
    </row>
    <row r="25" spans="1:12" x14ac:dyDescent="0.15">
      <c r="A25" s="30" t="s">
        <v>70</v>
      </c>
      <c r="B25" s="38">
        <v>4.2</v>
      </c>
      <c r="C25" s="32"/>
      <c r="D25" s="170" t="s">
        <v>212</v>
      </c>
      <c r="E25">
        <v>24</v>
      </c>
      <c r="F25">
        <v>5</v>
      </c>
      <c r="G25">
        <v>24</v>
      </c>
      <c r="H25" s="171" t="s">
        <v>212</v>
      </c>
    </row>
    <row r="26" spans="1:12" x14ac:dyDescent="0.15">
      <c r="A26" s="30" t="s">
        <v>123</v>
      </c>
      <c r="B26" s="38">
        <v>4.3</v>
      </c>
      <c r="C26" s="32"/>
      <c r="D26" s="170" t="s">
        <v>138</v>
      </c>
      <c r="E26">
        <v>25</v>
      </c>
      <c r="F26">
        <v>6.1</v>
      </c>
      <c r="G26">
        <v>25</v>
      </c>
      <c r="H26" s="171" t="s">
        <v>138</v>
      </c>
    </row>
    <row r="27" spans="1:12" x14ac:dyDescent="0.15">
      <c r="A27" s="30" t="s">
        <v>125</v>
      </c>
      <c r="B27" s="38">
        <v>6.1</v>
      </c>
      <c r="D27" s="170" t="s">
        <v>45</v>
      </c>
      <c r="E27">
        <v>26</v>
      </c>
      <c r="F27">
        <v>6.2</v>
      </c>
      <c r="G27">
        <v>26</v>
      </c>
      <c r="H27" s="171" t="s">
        <v>45</v>
      </c>
    </row>
    <row r="28" spans="1:12" x14ac:dyDescent="0.15">
      <c r="A28" s="30" t="s">
        <v>124</v>
      </c>
      <c r="B28" s="38">
        <v>6.2</v>
      </c>
    </row>
    <row r="29" spans="1:12" x14ac:dyDescent="0.15">
      <c r="A29" s="30" t="s">
        <v>44</v>
      </c>
      <c r="B29" s="38">
        <v>5</v>
      </c>
    </row>
    <row r="30" spans="1:12" x14ac:dyDescent="0.15">
      <c r="A30" s="30" t="s">
        <v>73</v>
      </c>
      <c r="B30" s="38">
        <v>7</v>
      </c>
    </row>
    <row r="31" spans="1:12" x14ac:dyDescent="0.15">
      <c r="A31" s="30" t="s">
        <v>169</v>
      </c>
      <c r="B31" s="38">
        <v>3.14</v>
      </c>
    </row>
    <row r="32" spans="1:12" ht="12" customHeight="1" thickBot="1" x14ac:dyDescent="0.2">
      <c r="A32" s="36" t="s">
        <v>170</v>
      </c>
      <c r="B32" s="39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workbookViewId="0">
      <pane ySplit="2" topLeftCell="A4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1.5" style="72" bestFit="1" customWidth="1"/>
    <col min="2" max="2" width="12.83203125" style="71" customWidth="1"/>
    <col min="3" max="3" width="11.5" style="71" customWidth="1"/>
    <col min="4" max="4" width="8.83203125" style="71" customWidth="1"/>
    <col min="5" max="5" width="12.83203125" style="71" customWidth="1"/>
    <col min="6" max="6" width="21.6640625" style="71" bestFit="1" customWidth="1"/>
    <col min="7" max="9" width="2.33203125" style="71" customWidth="1"/>
    <col min="10" max="10" width="2.33203125" style="71" bestFit="1" customWidth="1"/>
    <col min="11" max="15" width="2.33203125" style="71" customWidth="1"/>
    <col min="16" max="16" width="2.33203125" style="63" customWidth="1"/>
    <col min="17" max="17" width="2.33203125" style="71" customWidth="1"/>
    <col min="18" max="18" width="2.33203125" style="64" customWidth="1"/>
    <col min="19" max="16384" width="11.5" style="71"/>
  </cols>
  <sheetData>
    <row r="1" spans="1:23" ht="15" customHeight="1" thickBot="1" x14ac:dyDescent="0.2">
      <c r="F1" s="1"/>
      <c r="G1" s="62" t="s">
        <v>46</v>
      </c>
      <c r="H1" s="62" t="s">
        <v>47</v>
      </c>
      <c r="I1" s="62" t="s">
        <v>120</v>
      </c>
      <c r="J1" s="62" t="s">
        <v>132</v>
      </c>
      <c r="K1" s="73" t="s">
        <v>48</v>
      </c>
      <c r="L1" s="64"/>
      <c r="M1" s="73" t="s">
        <v>119</v>
      </c>
      <c r="N1" s="64"/>
      <c r="O1" s="73" t="s">
        <v>49</v>
      </c>
      <c r="P1" s="66"/>
      <c r="Q1" s="73" t="s">
        <v>50</v>
      </c>
      <c r="R1" s="62" t="s">
        <v>154</v>
      </c>
    </row>
    <row r="2" spans="1:23" ht="15" customHeight="1" x14ac:dyDescent="0.15">
      <c r="A2" s="73" t="s">
        <v>51</v>
      </c>
      <c r="B2" s="74">
        <v>0.5</v>
      </c>
      <c r="C2" s="72" t="s">
        <v>52</v>
      </c>
      <c r="D2" s="75"/>
      <c r="F2" s="1"/>
      <c r="G2" s="76"/>
      <c r="H2" s="76"/>
      <c r="I2" s="76" t="s">
        <v>133</v>
      </c>
      <c r="J2" s="76" t="s">
        <v>133</v>
      </c>
      <c r="K2" s="76" t="s">
        <v>52</v>
      </c>
      <c r="L2" s="76" t="s">
        <v>53</v>
      </c>
      <c r="M2" s="76" t="s">
        <v>52</v>
      </c>
      <c r="N2" s="76" t="s">
        <v>53</v>
      </c>
      <c r="O2" s="76" t="s">
        <v>52</v>
      </c>
      <c r="P2" s="77" t="s">
        <v>53</v>
      </c>
      <c r="Q2" s="76"/>
      <c r="R2" s="78" t="s">
        <v>155</v>
      </c>
    </row>
    <row r="3" spans="1:23" ht="15" customHeight="1" thickBot="1" x14ac:dyDescent="0.2">
      <c r="A3" s="73" t="s">
        <v>54</v>
      </c>
      <c r="B3" s="79">
        <v>0.5</v>
      </c>
      <c r="C3" s="72" t="s">
        <v>53</v>
      </c>
      <c r="D3" s="7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4">
        <v>0</v>
      </c>
      <c r="R3" s="32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4">
        <v>0</v>
      </c>
      <c r="R4" s="97">
        <v>0</v>
      </c>
    </row>
    <row r="5" spans="1:23" ht="15" customHeight="1" x14ac:dyDescent="0.15">
      <c r="A5" s="73" t="s">
        <v>55</v>
      </c>
      <c r="B5" s="80">
        <v>0.5</v>
      </c>
      <c r="C5" s="72" t="s">
        <v>52</v>
      </c>
      <c r="D5" s="7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4">
        <v>0</v>
      </c>
      <c r="R5" s="97">
        <v>0</v>
      </c>
    </row>
    <row r="6" spans="1:23" ht="15" customHeight="1" thickBot="1" x14ac:dyDescent="0.2">
      <c r="A6" s="73"/>
      <c r="B6" s="81">
        <v>0.5</v>
      </c>
      <c r="C6" s="72" t="s">
        <v>53</v>
      </c>
      <c r="D6" s="75"/>
      <c r="F6" s="172" t="s">
        <v>192</v>
      </c>
      <c r="G6" s="71">
        <v>0</v>
      </c>
      <c r="H6" s="71">
        <v>0</v>
      </c>
      <c r="I6" s="71">
        <v>0</v>
      </c>
      <c r="J6" s="71">
        <v>0</v>
      </c>
      <c r="K6" s="71">
        <v>1</v>
      </c>
      <c r="L6" s="71">
        <v>0</v>
      </c>
      <c r="M6" s="71">
        <v>1</v>
      </c>
      <c r="N6" s="71">
        <v>0</v>
      </c>
      <c r="O6" s="71">
        <v>1</v>
      </c>
      <c r="P6" s="63">
        <v>0</v>
      </c>
      <c r="Q6" s="71">
        <v>0</v>
      </c>
      <c r="R6" s="64">
        <v>1</v>
      </c>
      <c r="S6"/>
      <c r="T6"/>
    </row>
    <row r="7" spans="1:23" ht="15" customHeight="1" thickBot="1" x14ac:dyDescent="0.2">
      <c r="F7" s="172" t="s">
        <v>193</v>
      </c>
      <c r="G7" s="71">
        <v>0</v>
      </c>
      <c r="H7" s="71">
        <v>0</v>
      </c>
      <c r="I7" s="71">
        <v>0</v>
      </c>
      <c r="J7" s="71">
        <v>0</v>
      </c>
      <c r="K7" s="71">
        <v>1</v>
      </c>
      <c r="L7" s="71">
        <v>0</v>
      </c>
      <c r="M7" s="71">
        <v>1</v>
      </c>
      <c r="N7" s="71">
        <v>0</v>
      </c>
      <c r="O7" s="71">
        <v>1</v>
      </c>
      <c r="P7" s="63">
        <v>0</v>
      </c>
      <c r="Q7" s="71">
        <v>0</v>
      </c>
      <c r="R7" s="64">
        <v>1</v>
      </c>
      <c r="S7"/>
      <c r="T7"/>
    </row>
    <row r="8" spans="1:23" ht="15" customHeight="1" x14ac:dyDescent="0.15">
      <c r="A8" s="73" t="s">
        <v>56</v>
      </c>
      <c r="B8" s="80">
        <v>0.29367980118853065</v>
      </c>
      <c r="C8" s="173" t="s">
        <v>208</v>
      </c>
      <c r="D8" s="75" t="s">
        <v>160</v>
      </c>
      <c r="F8" s="172" t="s">
        <v>194</v>
      </c>
      <c r="G8" s="71">
        <v>0</v>
      </c>
      <c r="H8" s="71">
        <v>0</v>
      </c>
      <c r="I8" s="71">
        <v>0</v>
      </c>
      <c r="J8" s="71">
        <v>0</v>
      </c>
      <c r="K8" s="71">
        <v>1</v>
      </c>
      <c r="L8" s="71">
        <v>0</v>
      </c>
      <c r="M8" s="71">
        <v>1</v>
      </c>
      <c r="N8" s="71">
        <v>0</v>
      </c>
      <c r="O8" s="71">
        <v>1</v>
      </c>
      <c r="P8" s="63">
        <v>0</v>
      </c>
      <c r="Q8" s="71">
        <v>0</v>
      </c>
      <c r="R8" s="64">
        <v>1</v>
      </c>
      <c r="S8"/>
      <c r="T8"/>
      <c r="W8"/>
    </row>
    <row r="9" spans="1:23" ht="15" customHeight="1" x14ac:dyDescent="0.15">
      <c r="A9" s="111" t="s">
        <v>168</v>
      </c>
      <c r="B9" s="82">
        <v>0.70632019881146935</v>
      </c>
      <c r="C9" s="173" t="s">
        <v>209</v>
      </c>
      <c r="D9" s="75" t="s">
        <v>160</v>
      </c>
      <c r="F9" s="172" t="s">
        <v>195</v>
      </c>
      <c r="G9" s="71">
        <v>0</v>
      </c>
      <c r="H9" s="71">
        <v>0</v>
      </c>
      <c r="I9" s="71">
        <v>0</v>
      </c>
      <c r="J9" s="71">
        <v>0</v>
      </c>
      <c r="K9" s="71">
        <v>1</v>
      </c>
      <c r="L9" s="71">
        <v>0</v>
      </c>
      <c r="M9" s="71">
        <v>1</v>
      </c>
      <c r="N9" s="71">
        <v>0</v>
      </c>
      <c r="O9" s="71">
        <v>1</v>
      </c>
      <c r="P9" s="63">
        <v>0</v>
      </c>
      <c r="Q9" s="71">
        <v>0</v>
      </c>
      <c r="R9" s="64">
        <v>1</v>
      </c>
      <c r="S9"/>
      <c r="T9"/>
      <c r="W9"/>
    </row>
    <row r="10" spans="1:23" ht="15" customHeight="1" x14ac:dyDescent="0.15">
      <c r="B10" s="82"/>
      <c r="C10" s="70"/>
      <c r="D10" s="75" t="s">
        <v>160</v>
      </c>
      <c r="F10" s="172" t="s">
        <v>196</v>
      </c>
      <c r="G10" s="71">
        <v>0</v>
      </c>
      <c r="H10" s="71">
        <v>0</v>
      </c>
      <c r="I10" s="71">
        <v>0</v>
      </c>
      <c r="J10" s="71">
        <v>0</v>
      </c>
      <c r="K10" s="71">
        <v>1</v>
      </c>
      <c r="L10" s="71">
        <v>0</v>
      </c>
      <c r="M10" s="71">
        <v>1</v>
      </c>
      <c r="N10" s="71">
        <v>0</v>
      </c>
      <c r="O10" s="71">
        <v>1</v>
      </c>
      <c r="P10" s="63">
        <v>0</v>
      </c>
      <c r="Q10" s="71">
        <v>0</v>
      </c>
      <c r="R10" s="64">
        <v>1</v>
      </c>
      <c r="S10"/>
      <c r="T10"/>
      <c r="W10"/>
    </row>
    <row r="11" spans="1:23" ht="15" customHeight="1" x14ac:dyDescent="0.15">
      <c r="A11" s="73"/>
      <c r="B11" s="82"/>
      <c r="C11" s="85"/>
      <c r="D11" s="75" t="s">
        <v>160</v>
      </c>
      <c r="F11" s="172" t="s">
        <v>197</v>
      </c>
      <c r="G11" s="71">
        <v>0</v>
      </c>
      <c r="H11" s="71">
        <v>0</v>
      </c>
      <c r="I11" s="71">
        <v>0</v>
      </c>
      <c r="J11" s="71">
        <v>0</v>
      </c>
      <c r="K11" s="71">
        <v>1</v>
      </c>
      <c r="L11" s="71">
        <v>0</v>
      </c>
      <c r="M11" s="71">
        <v>1</v>
      </c>
      <c r="N11" s="71">
        <v>0</v>
      </c>
      <c r="O11" s="71">
        <v>1</v>
      </c>
      <c r="P11" s="63">
        <v>0</v>
      </c>
      <c r="Q11" s="71">
        <v>0</v>
      </c>
      <c r="R11" s="64">
        <v>1</v>
      </c>
      <c r="S11"/>
      <c r="T11"/>
      <c r="W11"/>
    </row>
    <row r="12" spans="1:23" ht="15" customHeight="1" x14ac:dyDescent="0.15">
      <c r="B12" s="82"/>
      <c r="C12" s="86"/>
      <c r="D12" s="75" t="s">
        <v>160</v>
      </c>
      <c r="F12" s="172" t="s">
        <v>198</v>
      </c>
      <c r="G12" s="71">
        <v>0</v>
      </c>
      <c r="H12" s="71">
        <v>0</v>
      </c>
      <c r="I12" s="71">
        <v>0</v>
      </c>
      <c r="J12" s="71">
        <v>0</v>
      </c>
      <c r="K12" s="71">
        <v>1</v>
      </c>
      <c r="L12" s="71">
        <v>0</v>
      </c>
      <c r="M12" s="71">
        <v>1</v>
      </c>
      <c r="N12" s="71">
        <v>0</v>
      </c>
      <c r="O12" s="71">
        <v>1</v>
      </c>
      <c r="P12" s="63">
        <v>0</v>
      </c>
      <c r="Q12" s="71">
        <v>0</v>
      </c>
      <c r="R12" s="64">
        <v>1</v>
      </c>
      <c r="S12"/>
      <c r="T12"/>
      <c r="W12"/>
    </row>
    <row r="13" spans="1:23" ht="15" customHeight="1" x14ac:dyDescent="0.15">
      <c r="B13" s="82"/>
      <c r="C13" s="86"/>
      <c r="D13" s="75" t="s">
        <v>160</v>
      </c>
      <c r="F13" s="172" t="s">
        <v>199</v>
      </c>
      <c r="G13" s="71">
        <v>0</v>
      </c>
      <c r="H13" s="71">
        <v>0</v>
      </c>
      <c r="I13" s="71">
        <v>0</v>
      </c>
      <c r="J13" s="71">
        <v>0</v>
      </c>
      <c r="K13" s="71">
        <v>1</v>
      </c>
      <c r="L13" s="71">
        <v>0</v>
      </c>
      <c r="M13" s="71">
        <v>1</v>
      </c>
      <c r="N13" s="71">
        <v>0</v>
      </c>
      <c r="O13" s="71">
        <v>1</v>
      </c>
      <c r="P13" s="63">
        <v>0</v>
      </c>
      <c r="Q13" s="71">
        <v>0</v>
      </c>
      <c r="R13" s="64">
        <v>1</v>
      </c>
      <c r="S13"/>
      <c r="T13"/>
      <c r="W13"/>
    </row>
    <row r="14" spans="1:23" ht="15" customHeight="1" x14ac:dyDescent="0.15">
      <c r="B14" s="82"/>
      <c r="C14" s="70"/>
      <c r="D14" s="75" t="s">
        <v>160</v>
      </c>
      <c r="F14" s="172" t="s">
        <v>200</v>
      </c>
      <c r="G14" s="71">
        <v>0</v>
      </c>
      <c r="H14" s="71">
        <v>0</v>
      </c>
      <c r="I14" s="71">
        <v>0</v>
      </c>
      <c r="J14" s="71">
        <v>0</v>
      </c>
      <c r="K14" s="71">
        <v>1</v>
      </c>
      <c r="L14" s="71">
        <v>0</v>
      </c>
      <c r="M14" s="71">
        <v>1</v>
      </c>
      <c r="N14" s="71">
        <v>0</v>
      </c>
      <c r="O14" s="71">
        <v>1</v>
      </c>
      <c r="P14" s="63">
        <v>0</v>
      </c>
      <c r="Q14" s="71">
        <v>0</v>
      </c>
      <c r="R14" s="64">
        <v>1</v>
      </c>
      <c r="S14"/>
      <c r="T14"/>
      <c r="W14"/>
    </row>
    <row r="15" spans="1:23" ht="15" customHeight="1" x14ac:dyDescent="0.15">
      <c r="B15" s="82"/>
      <c r="C15" s="70"/>
      <c r="D15" s="75" t="s">
        <v>160</v>
      </c>
      <c r="F15" s="172" t="s">
        <v>201</v>
      </c>
      <c r="G15" s="71">
        <v>0</v>
      </c>
      <c r="H15" s="71">
        <v>0</v>
      </c>
      <c r="I15" s="71">
        <v>0</v>
      </c>
      <c r="J15" s="71">
        <v>0</v>
      </c>
      <c r="K15" s="71">
        <v>1</v>
      </c>
      <c r="L15" s="71">
        <v>0</v>
      </c>
      <c r="M15" s="71">
        <v>1</v>
      </c>
      <c r="N15" s="71">
        <v>0</v>
      </c>
      <c r="O15" s="71">
        <v>1</v>
      </c>
      <c r="P15" s="63">
        <v>0</v>
      </c>
      <c r="Q15" s="71">
        <v>0</v>
      </c>
      <c r="R15" s="64">
        <v>1</v>
      </c>
      <c r="S15"/>
      <c r="T15"/>
      <c r="W15"/>
    </row>
    <row r="16" spans="1:23" ht="15" customHeight="1" x14ac:dyDescent="0.15">
      <c r="B16" s="82"/>
      <c r="C16" s="70"/>
      <c r="D16" s="75" t="s">
        <v>160</v>
      </c>
      <c r="F16" s="172" t="s">
        <v>202</v>
      </c>
      <c r="G16" s="71">
        <v>0</v>
      </c>
      <c r="H16" s="71">
        <v>0</v>
      </c>
      <c r="I16" s="71">
        <v>0</v>
      </c>
      <c r="J16" s="71">
        <v>0</v>
      </c>
      <c r="K16" s="71">
        <v>1</v>
      </c>
      <c r="L16" s="71">
        <v>0</v>
      </c>
      <c r="M16" s="71">
        <v>1</v>
      </c>
      <c r="N16" s="71">
        <v>0</v>
      </c>
      <c r="O16" s="71">
        <v>1</v>
      </c>
      <c r="P16" s="63">
        <v>0</v>
      </c>
      <c r="Q16" s="71">
        <v>0</v>
      </c>
      <c r="R16" s="64">
        <v>1</v>
      </c>
      <c r="S16"/>
      <c r="T16"/>
    </row>
    <row r="17" spans="1:20" ht="15" customHeight="1" thickBot="1" x14ac:dyDescent="0.2">
      <c r="B17" s="81"/>
      <c r="C17" s="70"/>
      <c r="D17" s="75" t="s">
        <v>160</v>
      </c>
      <c r="F17" s="172" t="s">
        <v>203</v>
      </c>
      <c r="G17" s="71">
        <v>0</v>
      </c>
      <c r="H17" s="71">
        <v>0</v>
      </c>
      <c r="I17" s="71">
        <v>0</v>
      </c>
      <c r="J17" s="71">
        <v>0</v>
      </c>
      <c r="K17" s="71">
        <v>1</v>
      </c>
      <c r="L17" s="71">
        <v>0</v>
      </c>
      <c r="M17" s="71">
        <v>1</v>
      </c>
      <c r="N17" s="71">
        <v>0</v>
      </c>
      <c r="O17" s="71">
        <v>1</v>
      </c>
      <c r="P17" s="63">
        <v>0</v>
      </c>
      <c r="Q17" s="71">
        <v>0</v>
      </c>
      <c r="R17" s="64">
        <v>1</v>
      </c>
      <c r="S17"/>
      <c r="T17"/>
    </row>
    <row r="18" spans="1:20" ht="15" customHeight="1" thickBot="1" x14ac:dyDescent="0.2">
      <c r="B18" s="83"/>
      <c r="F18" s="172" t="s">
        <v>204</v>
      </c>
      <c r="G18" s="71">
        <v>0</v>
      </c>
      <c r="H18" s="71">
        <v>0</v>
      </c>
      <c r="I18" s="71">
        <v>0</v>
      </c>
      <c r="J18" s="71">
        <v>0</v>
      </c>
      <c r="K18" s="71">
        <v>1</v>
      </c>
      <c r="L18" s="71">
        <v>0</v>
      </c>
      <c r="M18" s="71">
        <v>1</v>
      </c>
      <c r="N18" s="71">
        <v>0</v>
      </c>
      <c r="O18" s="71">
        <v>1</v>
      </c>
      <c r="P18" s="63">
        <v>0</v>
      </c>
      <c r="Q18" s="71">
        <v>0</v>
      </c>
      <c r="R18" s="64">
        <v>1</v>
      </c>
      <c r="S18"/>
      <c r="T18"/>
    </row>
    <row r="19" spans="1:20" ht="15" customHeight="1" x14ac:dyDescent="0.15">
      <c r="A19" s="73" t="s">
        <v>57</v>
      </c>
      <c r="B19" s="80">
        <v>0.29367980118853065</v>
      </c>
      <c r="C19" s="174" t="s">
        <v>208</v>
      </c>
      <c r="D19" s="75" t="s">
        <v>160</v>
      </c>
      <c r="F19" s="172" t="s">
        <v>205</v>
      </c>
      <c r="G19" s="71">
        <v>0</v>
      </c>
      <c r="H19" s="71">
        <v>0</v>
      </c>
      <c r="I19" s="71">
        <v>0</v>
      </c>
      <c r="J19" s="71">
        <v>0</v>
      </c>
      <c r="K19" s="71">
        <v>1</v>
      </c>
      <c r="L19" s="71">
        <v>0</v>
      </c>
      <c r="M19" s="71">
        <v>1</v>
      </c>
      <c r="N19" s="71">
        <v>0</v>
      </c>
      <c r="O19" s="71">
        <v>1</v>
      </c>
      <c r="P19" s="63">
        <v>0</v>
      </c>
      <c r="Q19" s="71">
        <v>0</v>
      </c>
      <c r="R19" s="64">
        <v>1</v>
      </c>
      <c r="S19"/>
      <c r="T19"/>
    </row>
    <row r="20" spans="1:20" ht="15" customHeight="1" x14ac:dyDescent="0.15">
      <c r="A20" s="111" t="s">
        <v>168</v>
      </c>
      <c r="B20" s="82">
        <v>0.70632019881146935</v>
      </c>
      <c r="C20" s="174" t="s">
        <v>209</v>
      </c>
      <c r="D20" s="75" t="s">
        <v>160</v>
      </c>
      <c r="F20" s="172" t="s">
        <v>206</v>
      </c>
      <c r="G20" s="71">
        <v>0</v>
      </c>
      <c r="H20" s="71">
        <v>0</v>
      </c>
      <c r="I20" s="71">
        <v>0</v>
      </c>
      <c r="J20" s="71">
        <v>0</v>
      </c>
      <c r="K20" s="71">
        <v>1</v>
      </c>
      <c r="L20" s="71">
        <v>0</v>
      </c>
      <c r="M20" s="71">
        <v>1</v>
      </c>
      <c r="N20" s="71">
        <v>0</v>
      </c>
      <c r="O20" s="71">
        <v>1</v>
      </c>
      <c r="P20" s="63">
        <v>0</v>
      </c>
      <c r="Q20" s="71">
        <v>0</v>
      </c>
      <c r="R20" s="64">
        <v>1</v>
      </c>
      <c r="S20"/>
      <c r="T20"/>
    </row>
    <row r="21" spans="1:20" ht="15" customHeight="1" x14ac:dyDescent="0.15">
      <c r="B21" s="82"/>
      <c r="C21" s="70"/>
      <c r="D21" s="75" t="s">
        <v>160</v>
      </c>
      <c r="F21" s="172" t="s">
        <v>207</v>
      </c>
      <c r="G21" s="71">
        <v>0</v>
      </c>
      <c r="H21" s="71">
        <v>0</v>
      </c>
      <c r="I21" s="71">
        <v>0</v>
      </c>
      <c r="J21" s="71">
        <v>0</v>
      </c>
      <c r="K21" s="71">
        <v>1</v>
      </c>
      <c r="L21" s="71">
        <v>0</v>
      </c>
      <c r="M21" s="71">
        <v>1</v>
      </c>
      <c r="N21" s="71">
        <v>0</v>
      </c>
      <c r="O21" s="71">
        <v>1</v>
      </c>
      <c r="P21" s="63">
        <v>0</v>
      </c>
      <c r="Q21" s="71">
        <v>0</v>
      </c>
      <c r="R21" s="64">
        <v>1</v>
      </c>
      <c r="S21"/>
      <c r="T21"/>
    </row>
    <row r="22" spans="1:20" ht="15" customHeight="1" x14ac:dyDescent="0.15">
      <c r="A22" s="71"/>
      <c r="B22" s="82"/>
      <c r="C22" s="85"/>
      <c r="D22" s="75" t="s">
        <v>160</v>
      </c>
      <c r="F22" s="172" t="s">
        <v>208</v>
      </c>
      <c r="G22" s="71">
        <v>0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  <c r="M22" s="71">
        <v>1</v>
      </c>
      <c r="N22" s="71">
        <v>0</v>
      </c>
      <c r="O22" s="71">
        <v>0</v>
      </c>
      <c r="P22" s="63">
        <v>0</v>
      </c>
      <c r="Q22" s="71">
        <v>0</v>
      </c>
      <c r="R22" s="64">
        <v>1</v>
      </c>
      <c r="S22"/>
      <c r="T22"/>
    </row>
    <row r="23" spans="1:20" ht="15" customHeight="1" x14ac:dyDescent="0.15">
      <c r="A23" s="71"/>
      <c r="B23" s="82"/>
      <c r="C23" s="86"/>
      <c r="D23" s="75" t="s">
        <v>160</v>
      </c>
      <c r="F23" s="172" t="s">
        <v>209</v>
      </c>
      <c r="G23" s="71">
        <v>0</v>
      </c>
      <c r="H23" s="71">
        <v>0</v>
      </c>
      <c r="I23" s="71">
        <v>0</v>
      </c>
      <c r="J23" s="71">
        <v>0</v>
      </c>
      <c r="K23" s="71">
        <v>0</v>
      </c>
      <c r="L23" s="71">
        <v>0</v>
      </c>
      <c r="M23" s="71">
        <v>1</v>
      </c>
      <c r="N23" s="71">
        <v>0</v>
      </c>
      <c r="O23" s="71">
        <v>0</v>
      </c>
      <c r="P23" s="63">
        <v>0</v>
      </c>
      <c r="Q23" s="71">
        <v>0</v>
      </c>
      <c r="R23" s="64">
        <v>1</v>
      </c>
      <c r="S23"/>
      <c r="T23"/>
    </row>
    <row r="24" spans="1:20" ht="15" customHeight="1" x14ac:dyDescent="0.15">
      <c r="A24" s="71"/>
      <c r="B24" s="82"/>
      <c r="C24" s="86"/>
      <c r="D24" s="75" t="s">
        <v>160</v>
      </c>
      <c r="F24" s="172" t="s">
        <v>210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1</v>
      </c>
      <c r="M24" s="71">
        <v>0</v>
      </c>
      <c r="N24" s="71">
        <v>1</v>
      </c>
      <c r="O24" s="71">
        <v>0</v>
      </c>
      <c r="P24" s="63">
        <v>1</v>
      </c>
      <c r="Q24" s="71">
        <v>0</v>
      </c>
      <c r="R24" s="64">
        <v>1</v>
      </c>
      <c r="S24"/>
      <c r="T24"/>
    </row>
    <row r="25" spans="1:20" ht="15" customHeight="1" x14ac:dyDescent="0.15">
      <c r="A25" s="71"/>
      <c r="B25" s="82"/>
      <c r="C25" s="70"/>
      <c r="D25" s="75" t="s">
        <v>160</v>
      </c>
      <c r="F25" s="172" t="s">
        <v>211</v>
      </c>
      <c r="G25" s="71">
        <v>0</v>
      </c>
      <c r="H25" s="71">
        <v>0</v>
      </c>
      <c r="I25" s="71">
        <v>0</v>
      </c>
      <c r="J25" s="71">
        <v>0</v>
      </c>
      <c r="K25" s="71">
        <v>0</v>
      </c>
      <c r="L25" s="71">
        <v>1</v>
      </c>
      <c r="M25" s="71">
        <v>0</v>
      </c>
      <c r="N25" s="71">
        <v>1</v>
      </c>
      <c r="O25" s="71">
        <v>0</v>
      </c>
      <c r="P25" s="63">
        <v>1</v>
      </c>
      <c r="Q25" s="71">
        <v>0</v>
      </c>
      <c r="R25" s="64">
        <v>1</v>
      </c>
      <c r="S25"/>
      <c r="T25"/>
    </row>
    <row r="26" spans="1:20" ht="15" customHeight="1" x14ac:dyDescent="0.15">
      <c r="B26" s="82"/>
      <c r="C26" s="70"/>
      <c r="D26" s="75" t="s">
        <v>160</v>
      </c>
      <c r="F26" s="172" t="s">
        <v>212</v>
      </c>
      <c r="G26" s="71">
        <v>0</v>
      </c>
      <c r="H26" s="71">
        <v>0</v>
      </c>
      <c r="I26" s="71">
        <v>0</v>
      </c>
      <c r="J26" s="71">
        <v>0</v>
      </c>
      <c r="K26" s="71">
        <v>0</v>
      </c>
      <c r="L26" s="71">
        <v>1</v>
      </c>
      <c r="M26" s="71">
        <v>0</v>
      </c>
      <c r="N26" s="71">
        <v>0</v>
      </c>
      <c r="O26" s="71">
        <v>0</v>
      </c>
      <c r="P26" s="63">
        <v>0</v>
      </c>
      <c r="Q26" s="71">
        <v>0</v>
      </c>
      <c r="R26" s="64">
        <v>1</v>
      </c>
      <c r="S26"/>
      <c r="T26"/>
    </row>
    <row r="27" spans="1:20" ht="15" customHeight="1" x14ac:dyDescent="0.15">
      <c r="B27" s="82"/>
      <c r="C27" s="70"/>
      <c r="D27" s="75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81"/>
      <c r="C28" s="70"/>
      <c r="D28" s="75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2"/>
      <c r="B31" s="122" t="s">
        <v>17</v>
      </c>
      <c r="C31" s="122" t="s">
        <v>1</v>
      </c>
      <c r="D31" s="122" t="s">
        <v>161</v>
      </c>
      <c r="E31" s="123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5" t="s">
        <v>208</v>
      </c>
      <c r="B32" s="83">
        <v>7.25</v>
      </c>
      <c r="C32" s="83">
        <v>65.55</v>
      </c>
      <c r="D32" s="83">
        <v>475.23749999999995</v>
      </c>
      <c r="E32" s="113">
        <v>0.29367980118853065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75" t="s">
        <v>209</v>
      </c>
      <c r="B33" s="83">
        <v>153.41999999999999</v>
      </c>
      <c r="C33" s="83">
        <v>7.45</v>
      </c>
      <c r="D33" s="83">
        <v>1142.979</v>
      </c>
      <c r="E33" s="113">
        <v>0.70632019881146935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4"/>
      <c r="B34" s="83"/>
      <c r="C34" s="83"/>
      <c r="D34" s="83"/>
      <c r="E34" s="113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5"/>
      <c r="B35" s="83"/>
      <c r="C35" s="83"/>
      <c r="D35" s="83"/>
      <c r="E35" s="113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6"/>
      <c r="B36" s="83"/>
      <c r="C36" s="83"/>
      <c r="D36" s="83"/>
      <c r="E36" s="113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6"/>
      <c r="B37" s="83"/>
      <c r="C37" s="83"/>
      <c r="D37" s="83"/>
      <c r="E37" s="113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7"/>
      <c r="B38" s="83"/>
      <c r="C38" s="83"/>
      <c r="D38" s="83"/>
      <c r="E38" s="113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7"/>
      <c r="B39" s="83"/>
      <c r="C39" s="83"/>
      <c r="D39" s="83"/>
      <c r="E39" s="113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7"/>
      <c r="B40" s="83"/>
      <c r="C40" s="83"/>
      <c r="D40" s="83"/>
      <c r="E40" s="113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7"/>
      <c r="B41" s="83"/>
      <c r="C41" s="83"/>
      <c r="D41" s="84"/>
      <c r="E41" s="118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9"/>
      <c r="B42" s="120"/>
      <c r="C42" s="120" t="s">
        <v>162</v>
      </c>
      <c r="D42" s="120">
        <f>SUM(D32:D41)</f>
        <v>1618.2165</v>
      </c>
      <c r="E42" s="121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1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1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1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7" customWidth="1"/>
    <col min="3" max="5" width="7.83203125" style="97" customWidth="1"/>
    <col min="6" max="8" width="8.83203125" style="6"/>
    <col min="9" max="9" width="13.5" style="6" customWidth="1"/>
    <col min="10" max="10" width="14.6640625" style="6" customWidth="1"/>
    <col min="11" max="11" width="13.5" style="6" customWidth="1"/>
    <col min="12" max="12" width="13.6640625" style="6" customWidth="1"/>
    <col min="13" max="13" width="14.6640625" style="6" customWidth="1"/>
    <col min="14" max="14" width="14.83203125" style="6" customWidth="1"/>
    <col min="15" max="15" width="14.5" style="6" customWidth="1"/>
    <col min="16" max="16" width="10" style="6" customWidth="1"/>
    <col min="17" max="17" width="9.6640625" style="6" customWidth="1"/>
    <col min="18" max="18" width="11.5" style="6" customWidth="1"/>
    <col min="19" max="19" width="11.33203125" style="6" customWidth="1"/>
    <col min="20" max="20" width="8.33203125" style="6" customWidth="1"/>
    <col min="21" max="21" width="15" style="6" customWidth="1"/>
    <col min="22" max="22" width="15.5" style="6" customWidth="1"/>
    <col min="23" max="23" width="9.33203125" style="6" customWidth="1"/>
    <col min="24" max="24" width="10" style="6" customWidth="1"/>
    <col min="25" max="25" width="11.5" style="6" customWidth="1"/>
    <col min="26" max="26" width="9.83203125" style="6" customWidth="1"/>
    <col min="27" max="27" width="7.6640625" style="6" customWidth="1"/>
    <col min="28" max="28" width="21.6640625" style="6" customWidth="1"/>
    <col min="29" max="29" width="6.5" style="6" customWidth="1"/>
    <col min="30" max="38" width="8.83203125" style="6"/>
    <col min="81" max="81" width="22.1640625" bestFit="1" customWidth="1"/>
  </cols>
  <sheetData>
    <row r="1" spans="1:38" x14ac:dyDescent="0.15">
      <c r="A1" s="4" t="s">
        <v>156</v>
      </c>
      <c r="B1" s="31" t="s">
        <v>157</v>
      </c>
      <c r="C1" s="31" t="s">
        <v>17</v>
      </c>
      <c r="D1" s="31" t="s">
        <v>158</v>
      </c>
      <c r="E1" s="31" t="s">
        <v>159</v>
      </c>
      <c r="F1" t="s">
        <v>38</v>
      </c>
      <c r="G1" t="s">
        <v>40</v>
      </c>
      <c r="H1" t="s">
        <v>41</v>
      </c>
      <c r="I1" s="177" t="s">
        <v>192</v>
      </c>
      <c r="J1" s="177" t="s">
        <v>193</v>
      </c>
      <c r="K1" s="177" t="s">
        <v>194</v>
      </c>
      <c r="L1" s="177" t="s">
        <v>195</v>
      </c>
      <c r="M1" s="177" t="s">
        <v>196</v>
      </c>
      <c r="N1" s="177" t="s">
        <v>197</v>
      </c>
      <c r="O1" s="177" t="s">
        <v>198</v>
      </c>
      <c r="P1" s="177" t="s">
        <v>199</v>
      </c>
      <c r="Q1" s="177" t="s">
        <v>200</v>
      </c>
      <c r="R1" s="177" t="s">
        <v>201</v>
      </c>
      <c r="S1" s="177" t="s">
        <v>202</v>
      </c>
      <c r="T1" s="177" t="s">
        <v>203</v>
      </c>
      <c r="U1" s="177" t="s">
        <v>204</v>
      </c>
      <c r="V1" s="177" t="s">
        <v>205</v>
      </c>
      <c r="W1" s="177" t="s">
        <v>206</v>
      </c>
      <c r="X1" s="177" t="s">
        <v>207</v>
      </c>
      <c r="Y1" s="177" t="s">
        <v>208</v>
      </c>
      <c r="Z1" s="177" t="s">
        <v>209</v>
      </c>
      <c r="AA1" s="177" t="s">
        <v>210</v>
      </c>
      <c r="AB1" s="177" t="s">
        <v>211</v>
      </c>
      <c r="AC1" s="177" t="s">
        <v>212</v>
      </c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6" t="s">
        <v>192</v>
      </c>
      <c r="B5" s="9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6" t="s">
        <v>193</v>
      </c>
      <c r="B6" s="9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6" t="s">
        <v>194</v>
      </c>
      <c r="B7" s="9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6" t="s">
        <v>195</v>
      </c>
      <c r="B8" s="9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6" t="s">
        <v>196</v>
      </c>
      <c r="B9" s="9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6" t="s">
        <v>197</v>
      </c>
      <c r="B10" s="9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6" t="s">
        <v>198</v>
      </c>
      <c r="B11" s="9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6" t="s">
        <v>199</v>
      </c>
      <c r="B12" s="9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6" t="s">
        <v>200</v>
      </c>
      <c r="B13" s="9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6" t="s">
        <v>201</v>
      </c>
      <c r="B14" s="9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6" t="s">
        <v>202</v>
      </c>
      <c r="B15" s="9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6" t="s">
        <v>203</v>
      </c>
      <c r="B16" s="9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6" t="s">
        <v>204</v>
      </c>
      <c r="B17" s="9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6" t="s">
        <v>205</v>
      </c>
      <c r="B18" s="9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6" t="s">
        <v>206</v>
      </c>
      <c r="B19" s="9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6" t="s">
        <v>207</v>
      </c>
      <c r="B20" s="9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6" t="s">
        <v>208</v>
      </c>
      <c r="B21" s="9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6" t="s">
        <v>209</v>
      </c>
      <c r="B22" s="9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6" t="s">
        <v>210</v>
      </c>
      <c r="B23" s="9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6" t="s">
        <v>211</v>
      </c>
      <c r="B24" s="9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6" t="s">
        <v>212</v>
      </c>
      <c r="B25" s="9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2022-10-25T03:59:32Z</dcterms:modified>
</cp:coreProperties>
</file>