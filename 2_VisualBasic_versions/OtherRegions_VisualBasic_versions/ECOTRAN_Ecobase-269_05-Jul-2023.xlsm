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65D9F2E6-8C19-FE44-9492-58431F8EA301}" xr6:coauthVersionLast="45" xr6:coauthVersionMax="45" xr10:uidLastSave="{00000000-0000-0000-0000-000000000000}"/>
  <bookViews>
    <workbookView xWindow="0" yWindow="46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<sst xmlns="http://schemas.openxmlformats.org/spreadsheetml/2006/main" count="744" uniqueCount="220">
  <si>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</si>
  <si>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</si>
  <si>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</si>
  <si>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</si>
  <si>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</si>
  <si>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</si>
  <si>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</si>
  <si>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</si>
  <si>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</si>
  <si>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</si>
  <si>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</si>
  <si>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</si>
  <si>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</si>
  <si>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</si>
  <si>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</si>
  <si>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</si>
  <si>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</si>
  <si>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</si>
  <si>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</si>
  <si>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</si>
  <si>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</si>
  <si>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</si>
  <si>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</si>
  <si>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</si>
  <si>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</si>
  <si>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</si>
  <si>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</si>
  <si>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</si>
  <si>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</si>
  <si>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</si>
  <si>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</si>
  <si>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</si>
  <si>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</si>
  <si>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</si>
  <si>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</si>
  <si>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</si>
  <si>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</si>
  <si>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</si>
  <si>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</si>
  <si>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</si>
  <si>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</si>
  <si>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</si>
  <si>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</si>
  <si>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</si>
  <si>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</si>
  <si>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</si>
  <si>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</si>
  <si>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</si>
  <si>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</si>
  <si>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</si>
  <si>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</si>
  <si>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</si>
  <si>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</si>
  <si>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</si>
  <si>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</si>
  <si>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</si>
  <si>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</si>
  <si>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</si>
  <si>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</si>
  <si>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</si>
  <si>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</si>
  <si>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</si>
  <si>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</si>
  <si>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</si>
  <si>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</si>
  <si>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</si>
  <si>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</si>
  <si>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</si>
  <si>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</si>
  <si>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</si>
  <si>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</si>
  <si>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</si>
  <si>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</si>
  <si>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</si>
  <si>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</si>
  <si>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</si>
  <si>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</si>
  <si>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</si>
  <si>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</si>
  <si>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</si>
  <si>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</si>
  <si>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</si>
  <si>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</si>
  <si>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</si>
  <si>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</si>
  <si>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</si>
  <si>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</si>
  <si>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</si>
  <si>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</si>
  <si>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</si>
  <si>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</si>
  <si>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</si>
  <si>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</si>
  <si>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</si>
  <si>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</si>
  <si>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</si>
  <si>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</si>
  <si>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</si>
  <si>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</si>
  <si>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</si>
  <si>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</si>
  <si>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</si>
  <si>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</si>
  <si>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</si>
  <si>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</si>
  <si>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</si>
  <si>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</si>
  <si>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</si>
  <si>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</si>
  <si>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</si>
  <si>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</si>
  <si>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</si>
  <si>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</si>
  <si>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</si>
  <si>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</si>
  <si>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</si>
  <si>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</si>
  <si>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</si>
  <si>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</si>
  <si>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</si>
  <si>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</si>
  <si>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</si>
  <si>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</si>
  <si>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</si>
  <si>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</si>
  <si>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</si>
  <si>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</si>
  <si>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</si>
  <si>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</si>
  <si>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</si>
  <si>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</si>
  <si>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</si>
  <si>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</si>
  <si>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</si>
  <si>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</si>
  <si>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</si>
  <si>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</si>
  <si>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</si>
  <si>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</si>
  <si>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</si>
  <si>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</si>
  <si>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</si>
  <si>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</si>
  <si>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</si>
  <si>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</si>
  <si>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</si>
  <si>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</si>
  <si>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</si>
  <si>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</si>
  <si>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</si>
  <si>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</si>
  <si>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</si>
  <si>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</si>
  <si>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</si>
  <si>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</si>
  <si>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</si>
  <si>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</si>
  <si>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</si>
  <si>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</si>
  <si>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</si>
  <si>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</si>
  <si>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</si>
  <si>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</si>
  <si>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</si>
  <si>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</si>
  <si>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</si>
  <si>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</si>
  <si>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</si>
  <si>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</si>
  <si>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</si>
  <si>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</si>
  <si>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</si>
  <si>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</si>
  <si>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</si>
  <si>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</si>
  <si>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</si>
  <si>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</si>
  <si>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</si>
  <si>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</si>
  <si>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</si>
  <si>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</si>
  <si>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</si>
  <si>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</si>
  <si>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</si>
  <si>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</si>
  <si>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Looe Key National Marine Sanctuary</t>
  </si>
  <si>
    <t>United States of America</t>
  </si>
  <si>
    <t>BOX(-81.417 24.517,-81.367 24.55)</t>
  </si>
  <si>
    <t>coral reef</t>
  </si>
  <si>
    <t>WetWeight</t>
  </si>
  <si>
    <t>Looe Key National Marine Sanctuary, Florida.  Area approximately 30 km^2.   Details for this model can be found in Venier &amp;amp; Pauly (in press).  Fish groups aggregated according to weights specified in Table 1 in Opitz (1993).  Other groups aggregated as in text of Opitz (1993)..; 06/03/2006 01:01:17 a.m.; 08/04/2006 11:16:57 p.m.; 09/04/2006 12:59:14 a.m.; 31/01/2007 11:29:09 p.m.; 29/08/2007 02:58:16 a.m.</t>
  </si>
  <si>
    <t xml:space="preserve">McCormick Venier J.(1997). Seasonal ecosystem models of the Looe Key National Marine Sanctuary, Florida </t>
  </si>
  <si>
    <t>Sharks/Rays</t>
  </si>
  <si>
    <t>Midwater Pisc.</t>
  </si>
  <si>
    <t>Large Planktiv.</t>
  </si>
  <si>
    <t>LgReefCarnivore</t>
  </si>
  <si>
    <t>Sm.Planktivores</t>
  </si>
  <si>
    <t>SmReefCarnivore</t>
  </si>
  <si>
    <t>Lg.Groupers</t>
  </si>
  <si>
    <t>SmReefHerbivore</t>
  </si>
  <si>
    <t>LgReefHerbivore</t>
  </si>
  <si>
    <t>Sea Turtles</t>
  </si>
  <si>
    <t>Echinoderms</t>
  </si>
  <si>
    <t>Crustaceans</t>
  </si>
  <si>
    <t>Worms/Molluscs</t>
  </si>
  <si>
    <t>Sessile Animals</t>
  </si>
  <si>
    <t>Zooplankton</t>
  </si>
  <si>
    <t>Decomp/Microf</t>
  </si>
  <si>
    <t>Phytoplankton</t>
  </si>
  <si>
    <t>Benthic prod.</t>
  </si>
  <si>
    <t>Detritus</t>
  </si>
  <si>
    <t>detritus_TerminalBenthic</t>
  </si>
  <si>
    <t>Import</t>
  </si>
  <si>
    <t>export</t>
  </si>
  <si>
    <t>sum</t>
  </si>
  <si>
    <t>TOTAL</t>
  </si>
  <si>
    <t>dummy fleet</t>
  </si>
  <si>
    <t>&lt;&lt;--no fleet in model; Jruz added dummy model</t>
  </si>
  <si>
    <t>F dummy fleet</t>
  </si>
  <si>
    <t>Cephalopods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</si>
</sst>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10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72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2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3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2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2" borderId="3" xfId="0" applyNumberFormat="1" applyFont="1" applyFill="1" applyBorder="1"/>
    <xf numFmtId="0" fontId="0" fillId="32" borderId="2" xfId="0" applyFont="1" applyFill="1" applyBorder="1"/>
    <xf numFmtId="0" fontId="0" fillId="32" borderId="3" xfId="0" applyFont="1" applyFill="1" applyBorder="1"/>
    <xf numFmtId="0" fontId="0" fillId="32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4" borderId="0" xfId="0" applyFill="1"/>
    <xf numFmtId="0" fontId="0" fillId="3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0" fontId="0" fillId="0" borderId="52" xfId="0" applyFont="1" applyFill="1" applyBorder="1"/>
    <xf numFmtId="49" fontId="0" fillId="0" borderId="52" xfId="0" applyNumberFormat="1" applyFont="1" applyFill="1" applyBorder="1"/>
    <xf numFmtId="49" fontId="13" fillId="0" borderId="52" xfId="0" applyNumberFormat="1" applyFont="1" applyBorder="1"/>
    <xf numFmtId="0" fontId="13" fillId="0" borderId="0" xfId="0" applyFont="1" applyAlignment="1">
      <alignment wrapText="1"/>
    </xf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49" fontId="13" fillId="0" borderId="28" xfId="0" applyNumberFormat="1" applyFont="1" applyBorder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topLeftCell="A43" zoomScale="125" zoomScaleNormal="125" zoomScalePageLayoutView="125" workbookViewId="0">
      <selection activeCell="C67" sqref="C67"/>
    </sheetView>
  </sheetViews>
  <sheetFormatPr baseColWidth="10" defaultColWidth="8.83203125" defaultRowHeight="13" x14ac:dyDescent="0.15"/>
  <cols>
    <col min="2" max="2" width="16" customWidth="1"/>
    <col min="3" max="3" width="345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3" x14ac:dyDescent="0.15">
      <c r="B49" s="45" t="s">
        <v>44</v>
      </c>
      <c r="C49" s="29">
        <v>5</v>
      </c>
    </row>
    <row r="50" spans="2:3" x14ac:dyDescent="0.15">
      <c r="B50" s="45"/>
      <c r="C50" s="29"/>
    </row>
    <row r="51" spans="2:3" ht="14" thickBot="1" x14ac:dyDescent="0.2">
      <c r="B51" s="46" t="s">
        <v>73</v>
      </c>
      <c r="C51" s="30">
        <v>7</v>
      </c>
    </row>
    <row r="53" spans="2:3" x14ac:dyDescent="0.15">
      <c r="B53" s="156" t="s">
        <v>171</v>
      </c>
      <c r="C53">
        <v>269</v>
      </c>
    </row>
    <row r="54" spans="2:3" x14ac:dyDescent="0.15">
      <c r="B54" s="156" t="s">
        <v>172</v>
      </c>
      <c r="C54" s="156" t="s">
        <v>185</v>
      </c>
    </row>
    <row r="55" spans="2:3" x14ac:dyDescent="0.15">
      <c r="B55" s="156" t="s">
        <v>173</v>
      </c>
      <c r="C55" s="156" t="s">
        <v>186</v>
      </c>
    </row>
    <row r="56" spans="2:3" x14ac:dyDescent="0.15">
      <c r="B56" s="156" t="s">
        <v>174</v>
      </c>
      <c r="C56">
        <v>30</v>
      </c>
    </row>
    <row r="57" spans="2:3" x14ac:dyDescent="0.15">
      <c r="B57" s="156" t="s">
        <v>175</v>
      </c>
      <c r="C57" s="156" t="s">
        <v>187</v>
      </c>
    </row>
    <row r="58" spans="2:3" x14ac:dyDescent="0.15">
      <c r="B58" s="156" t="s">
        <v>176</v>
      </c>
      <c r="C58" s="156" t="s">
        <v>188</v>
      </c>
    </row>
    <row r="59" spans="2:3" x14ac:dyDescent="0.15">
      <c r="B59" s="156" t="s">
        <v>177</v>
      </c>
      <c r="C59" s="156" t="s">
        <v>189</v>
      </c>
    </row>
    <row r="60" spans="2:3" x14ac:dyDescent="0.15">
      <c r="B60" s="156" t="s">
        <v>178</v>
      </c>
      <c r="C60" s="156" t="s">
        <v>190</v>
      </c>
    </row>
    <row r="61" spans="2:3" x14ac:dyDescent="0.15">
      <c r="B61" s="156" t="s">
        <v>179</v>
      </c>
      <c r="C61">
        <v>20</v>
      </c>
    </row>
    <row r="62" spans="2:3" x14ac:dyDescent="0.15">
      <c r="B62" s="156" t="s">
        <v>180</v>
      </c>
      <c r="C62">
        <v>0</v>
      </c>
    </row>
    <row r="63" spans="2:3" x14ac:dyDescent="0.15">
      <c r="B63" s="156" t="s">
        <v>181</v>
      </c>
      <c r="C63">
        <v>1980</v>
      </c>
    </row>
    <row r="64" spans="2:3" x14ac:dyDescent="0.15">
      <c r="B64" s="156" t="s">
        <v>182</v>
      </c>
      <c r="C64">
        <v>9</v>
      </c>
    </row>
    <row r="65" spans="2:3" x14ac:dyDescent="0.15">
      <c r="B65" s="156" t="s">
        <v>183</v>
      </c>
      <c r="C65" s="156" t="s">
        <v>191</v>
      </c>
    </row>
    <row r="66" spans="2:3" x14ac:dyDescent="0.15">
      <c r="B66" s="156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E27" sqref="E27"/>
    </sheetView>
  </sheetViews>
  <sheetFormatPr baseColWidth="10" defaultColWidth="8.83203125" defaultRowHeight="15" customHeight="1" x14ac:dyDescent="0.15"/>
  <cols>
    <col min="1" max="1" width="22.5" style="74" customWidth="1"/>
    <col min="2" max="3" width="13" style="74" customWidth="1"/>
    <col min="4" max="4" width="14.33203125" style="74" customWidth="1"/>
    <col min="5" max="5" width="28.1640625" style="74" customWidth="1"/>
    <col min="6" max="6" width="2.33203125" style="74" bestFit="1" customWidth="1"/>
    <col min="7" max="7" width="10.83203125" style="74" bestFit="1" customWidth="1"/>
    <col min="8" max="9" width="5.83203125" style="74" customWidth="1"/>
    <col min="10" max="10" width="11.83203125" style="74" customWidth="1"/>
    <col min="11" max="11" width="12.83203125" style="74" customWidth="1"/>
    <col min="12" max="12" width="14.5" style="74" customWidth="1"/>
    <col min="13" max="13" width="4.83203125" style="74" customWidth="1"/>
    <col min="14" max="14" width="6.33203125" style="74" customWidth="1"/>
    <col min="16" max="25" width="8.83203125" style="7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4"/>
  </cols>
  <sheetData>
    <row r="1" spans="1:46" s="91" customFormat="1" ht="15" customHeight="1" x14ac:dyDescent="0.15">
      <c r="A1" s="70" t="s">
        <v>18</v>
      </c>
      <c r="C1" s="71" t="s">
        <v>8</v>
      </c>
      <c r="D1" s="70" t="s">
        <v>23</v>
      </c>
      <c r="E1" s="70" t="s">
        <v>0</v>
      </c>
      <c r="F1" s="70" t="s">
        <v>7</v>
      </c>
      <c r="G1" s="72" t="s">
        <v>13</v>
      </c>
      <c r="H1" s="70" t="s">
        <v>1</v>
      </c>
      <c r="I1" s="70" t="s">
        <v>2</v>
      </c>
      <c r="J1" s="70" t="s">
        <v>14</v>
      </c>
      <c r="K1" s="70" t="s">
        <v>3</v>
      </c>
      <c r="L1" s="70" t="s">
        <v>4</v>
      </c>
      <c r="M1" s="70" t="s">
        <v>5</v>
      </c>
      <c r="N1" s="7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1">
        <v>1</v>
      </c>
      <c r="D2"/>
      <c r="E2" s="157" t="s">
        <v>192</v>
      </c>
      <c r="F2" s="74">
        <v>0</v>
      </c>
      <c r="G2" s="74">
        <v>1.75</v>
      </c>
      <c r="H2" s="74">
        <v>0.18</v>
      </c>
      <c r="I2" s="6">
        <v>4.9000000000000004</v>
      </c>
      <c r="J2" s="6">
        <v>0.46788191800000001</v>
      </c>
      <c r="K2" s="6">
        <v>3.6734696499999997E-2</v>
      </c>
      <c r="L2" s="6">
        <v>0</v>
      </c>
      <c r="M2" s="74">
        <v>0.2</v>
      </c>
      <c r="N2" s="74">
        <v>-99</v>
      </c>
    </row>
    <row r="3" spans="1:46" ht="15" customHeight="1" x14ac:dyDescent="0.15">
      <c r="A3" s="1" t="s">
        <v>9</v>
      </c>
      <c r="B3" s="4">
        <v>19</v>
      </c>
      <c r="C3" s="74">
        <v>2</v>
      </c>
      <c r="D3"/>
      <c r="E3" s="157" t="s">
        <v>193</v>
      </c>
      <c r="F3" s="74">
        <v>0</v>
      </c>
      <c r="G3" s="74">
        <v>85</v>
      </c>
      <c r="H3" s="74">
        <v>1</v>
      </c>
      <c r="I3" s="74">
        <v>8.9</v>
      </c>
      <c r="J3" s="74">
        <v>0.92046249999999996</v>
      </c>
      <c r="K3" s="74">
        <v>0.112359554</v>
      </c>
      <c r="L3" s="74">
        <v>0</v>
      </c>
      <c r="M3" s="74">
        <v>0.2</v>
      </c>
      <c r="N3" s="74">
        <v>-99</v>
      </c>
    </row>
    <row r="4" spans="1:46" ht="15" customHeight="1" x14ac:dyDescent="0.15">
      <c r="A4" s="1" t="s">
        <v>10</v>
      </c>
      <c r="B4" s="4">
        <v>2</v>
      </c>
      <c r="C4" s="74">
        <v>3</v>
      </c>
      <c r="D4"/>
      <c r="E4" s="157" t="s">
        <v>194</v>
      </c>
      <c r="F4" s="74">
        <v>0</v>
      </c>
      <c r="G4" s="74">
        <v>91.672520000000006</v>
      </c>
      <c r="H4" s="74">
        <v>1.4</v>
      </c>
      <c r="I4" s="74">
        <v>10</v>
      </c>
      <c r="J4" s="74">
        <v>0.92</v>
      </c>
      <c r="K4" s="74">
        <v>0.14000000000000001</v>
      </c>
      <c r="L4" s="74">
        <v>0</v>
      </c>
      <c r="M4" s="74">
        <v>0.2</v>
      </c>
      <c r="N4" s="74">
        <v>-99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4">
        <v>4</v>
      </c>
      <c r="D5"/>
      <c r="E5" s="157" t="s">
        <v>195</v>
      </c>
      <c r="F5" s="74">
        <v>0</v>
      </c>
      <c r="G5" s="74">
        <v>237.234848</v>
      </c>
      <c r="H5" s="74">
        <v>0.95</v>
      </c>
      <c r="I5" s="74">
        <v>7.3</v>
      </c>
      <c r="J5" s="74">
        <v>0.95</v>
      </c>
      <c r="K5" s="74">
        <v>0.13013698200000001</v>
      </c>
      <c r="L5" s="74">
        <v>0</v>
      </c>
      <c r="M5" s="74">
        <v>0.2</v>
      </c>
      <c r="N5" s="74">
        <v>-99</v>
      </c>
      <c r="P5" s="66"/>
      <c r="Q5" s="66"/>
      <c r="R5" s="66"/>
    </row>
    <row r="6" spans="1:46" ht="15" customHeight="1" thickBot="1" x14ac:dyDescent="0.2">
      <c r="B6" s="1"/>
      <c r="C6" s="74">
        <v>5</v>
      </c>
      <c r="D6"/>
      <c r="E6" s="157" t="s">
        <v>196</v>
      </c>
      <c r="F6" s="74">
        <v>0</v>
      </c>
      <c r="G6" s="74">
        <v>76.375785800000003</v>
      </c>
      <c r="H6" s="74">
        <v>2.6</v>
      </c>
      <c r="I6" s="74">
        <v>10</v>
      </c>
      <c r="J6" s="74">
        <v>0.98</v>
      </c>
      <c r="K6" s="74">
        <v>0.26</v>
      </c>
      <c r="L6" s="74">
        <v>0</v>
      </c>
      <c r="M6" s="74">
        <v>0.2</v>
      </c>
      <c r="N6" s="74">
        <v>-99</v>
      </c>
      <c r="P6" s="66"/>
      <c r="Q6" s="66"/>
      <c r="R6" s="66"/>
      <c r="W6" s="32" t="s">
        <v>31</v>
      </c>
      <c r="X6" s="48">
        <f>MAX(MainOutputs!G:G)</f>
        <v>0.9850001335144043</v>
      </c>
    </row>
    <row r="7" spans="1:46" ht="15" customHeight="1" x14ac:dyDescent="0.15">
      <c r="A7" s="2" t="s">
        <v>27</v>
      </c>
      <c r="B7" s="74">
        <f ca="1">COUNTIF(OFFSET(cornerDiets,1,1,NumLiving+NumDead+1,NumLiving+NumDead),"&gt;0")+NumLiving+NumDead+1</f>
        <v>147</v>
      </c>
      <c r="C7" s="74">
        <v>6</v>
      </c>
      <c r="D7"/>
      <c r="E7" s="157" t="s">
        <v>197</v>
      </c>
      <c r="F7" s="74">
        <v>0</v>
      </c>
      <c r="G7" s="74">
        <v>129.16849999999999</v>
      </c>
      <c r="H7" s="74">
        <v>1.6</v>
      </c>
      <c r="I7" s="74">
        <v>12.8</v>
      </c>
      <c r="J7" s="74">
        <v>0.98</v>
      </c>
      <c r="K7" s="74">
        <v>0.125</v>
      </c>
      <c r="L7" s="74">
        <v>0</v>
      </c>
      <c r="M7" s="74">
        <v>0.2</v>
      </c>
      <c r="N7" s="74">
        <v>-99</v>
      </c>
      <c r="P7" s="66"/>
      <c r="Q7" s="66"/>
      <c r="R7" s="66"/>
    </row>
    <row r="8" spans="1:46" ht="15" customHeight="1" x14ac:dyDescent="0.15">
      <c r="A8" s="2" t="s">
        <v>28</v>
      </c>
      <c r="B8" s="74">
        <f ca="1">COUNTIF(OFFSET(cornerFishing,1,2,NumLiving+NumDead,NumGears),"&gt;0")+NumDead*COUNTIF(OFFSET(cornerDiscards,1,2,NumLiving+NumDead,NumGears),"&gt;0")+NumLiving+NumDead+1</f>
        <v>22</v>
      </c>
      <c r="C8" s="74">
        <v>7</v>
      </c>
      <c r="D8"/>
      <c r="E8" s="157" t="s">
        <v>198</v>
      </c>
      <c r="F8" s="74">
        <v>0</v>
      </c>
      <c r="G8" s="74">
        <v>2.6796875</v>
      </c>
      <c r="H8" s="74">
        <v>0.4</v>
      </c>
      <c r="I8" s="74">
        <v>2.2999999999999998</v>
      </c>
      <c r="J8" s="74">
        <v>0.2</v>
      </c>
      <c r="K8" s="74">
        <v>0.17391304699999999</v>
      </c>
      <c r="L8" s="74">
        <v>0</v>
      </c>
      <c r="M8" s="74">
        <v>0.2</v>
      </c>
      <c r="N8" s="74">
        <v>-99</v>
      </c>
      <c r="P8" s="66"/>
      <c r="Q8" s="66"/>
      <c r="R8" s="66"/>
    </row>
    <row r="9" spans="1:46" ht="15" customHeight="1" x14ac:dyDescent="0.15">
      <c r="B9" s="1"/>
      <c r="C9" s="74">
        <v>8</v>
      </c>
      <c r="D9"/>
      <c r="E9" s="157" t="s">
        <v>199</v>
      </c>
      <c r="F9" s="74">
        <v>0</v>
      </c>
      <c r="G9" s="74">
        <v>69.734954799999997</v>
      </c>
      <c r="H9" s="74">
        <v>1.9</v>
      </c>
      <c r="I9" s="74">
        <v>37.450000000000003</v>
      </c>
      <c r="J9" s="74">
        <v>0.98</v>
      </c>
      <c r="K9" s="74">
        <v>5.0734309999999998E-2</v>
      </c>
      <c r="L9" s="74">
        <v>0</v>
      </c>
      <c r="M9" s="74">
        <v>0.2</v>
      </c>
      <c r="N9" s="74">
        <v>-99</v>
      </c>
      <c r="P9" s="66"/>
      <c r="Q9" s="66"/>
      <c r="R9" s="66"/>
    </row>
    <row r="10" spans="1:46" ht="15" customHeight="1" x14ac:dyDescent="0.15">
      <c r="B10" s="1"/>
      <c r="C10" s="74">
        <v>9</v>
      </c>
      <c r="D10"/>
      <c r="E10" s="157" t="s">
        <v>200</v>
      </c>
      <c r="F10" s="74">
        <v>0</v>
      </c>
      <c r="G10" s="74">
        <v>94.134513900000002</v>
      </c>
      <c r="H10" s="74">
        <v>1.55</v>
      </c>
      <c r="I10" s="74">
        <v>22.8</v>
      </c>
      <c r="J10" s="74">
        <v>0.96</v>
      </c>
      <c r="K10" s="74">
        <v>6.7982459999999995E-2</v>
      </c>
      <c r="L10" s="74">
        <v>0</v>
      </c>
      <c r="M10" s="74">
        <v>0.2</v>
      </c>
      <c r="N10" s="74">
        <v>-99</v>
      </c>
    </row>
    <row r="11" spans="1:46" ht="15" customHeight="1" x14ac:dyDescent="0.15">
      <c r="C11" s="74">
        <v>10</v>
      </c>
      <c r="D11"/>
      <c r="E11" s="157" t="s">
        <v>201</v>
      </c>
      <c r="F11" s="74">
        <v>0</v>
      </c>
      <c r="G11" s="74">
        <v>1.4999999999999999E-2</v>
      </c>
      <c r="H11" s="74">
        <v>0.15</v>
      </c>
      <c r="I11" s="74">
        <v>3.5</v>
      </c>
      <c r="J11" s="74">
        <v>0</v>
      </c>
      <c r="K11" s="74">
        <v>4.2857144E-2</v>
      </c>
      <c r="L11" s="74">
        <v>0</v>
      </c>
      <c r="M11" s="74">
        <v>0.2</v>
      </c>
      <c r="N11" s="74">
        <v>-99</v>
      </c>
    </row>
    <row r="12" spans="1:46" ht="15" customHeight="1" x14ac:dyDescent="0.15">
      <c r="C12" s="74">
        <v>11</v>
      </c>
      <c r="D12"/>
      <c r="E12" s="225" t="s">
        <v>219</v>
      </c>
      <c r="F12" s="74">
        <v>0</v>
      </c>
      <c r="G12" s="74">
        <v>16.551723500000001</v>
      </c>
      <c r="H12" s="74">
        <v>3.5</v>
      </c>
      <c r="I12" s="74">
        <v>11.7</v>
      </c>
      <c r="J12" s="74">
        <v>0.95</v>
      </c>
      <c r="K12" s="74">
        <v>0.2991453</v>
      </c>
      <c r="L12" s="74">
        <v>0</v>
      </c>
      <c r="M12" s="74">
        <v>0.2</v>
      </c>
      <c r="N12" s="74">
        <v>-99</v>
      </c>
    </row>
    <row r="13" spans="1:46" ht="15" customHeight="1" x14ac:dyDescent="0.15">
      <c r="C13" s="74">
        <v>12</v>
      </c>
      <c r="D13"/>
      <c r="E13" s="157" t="s">
        <v>202</v>
      </c>
      <c r="F13" s="74">
        <v>0</v>
      </c>
      <c r="G13" s="74">
        <v>475</v>
      </c>
      <c r="H13" s="74">
        <v>1.5</v>
      </c>
      <c r="I13" s="74">
        <v>4</v>
      </c>
      <c r="J13" s="74">
        <v>0.93051150000000005</v>
      </c>
      <c r="K13" s="74">
        <v>0.375</v>
      </c>
      <c r="L13" s="74">
        <v>0</v>
      </c>
      <c r="M13" s="74">
        <v>0.2</v>
      </c>
      <c r="N13" s="74">
        <v>-99</v>
      </c>
    </row>
    <row r="14" spans="1:46" ht="15" customHeight="1" x14ac:dyDescent="0.15">
      <c r="C14" s="74">
        <v>13</v>
      </c>
      <c r="D14"/>
      <c r="E14" s="157" t="s">
        <v>203</v>
      </c>
      <c r="F14" s="74">
        <v>0</v>
      </c>
      <c r="G14" s="74">
        <v>200.24733000000001</v>
      </c>
      <c r="H14" s="74">
        <v>2.75</v>
      </c>
      <c r="I14" s="74">
        <v>10</v>
      </c>
      <c r="J14" s="74">
        <v>0.98499999999999999</v>
      </c>
      <c r="K14" s="74">
        <v>0.27500000000000002</v>
      </c>
      <c r="L14" s="74">
        <v>0</v>
      </c>
      <c r="M14" s="74">
        <v>0.2</v>
      </c>
      <c r="N14" s="74">
        <v>-99</v>
      </c>
    </row>
    <row r="15" spans="1:46" ht="15" customHeight="1" x14ac:dyDescent="0.15">
      <c r="C15" s="74">
        <v>14</v>
      </c>
      <c r="D15"/>
      <c r="E15" s="157" t="s">
        <v>204</v>
      </c>
      <c r="F15" s="74">
        <v>0</v>
      </c>
      <c r="G15" s="74">
        <v>633.00329999999997</v>
      </c>
      <c r="H15" s="74">
        <v>3.6</v>
      </c>
      <c r="I15" s="74">
        <v>7</v>
      </c>
      <c r="J15" s="74">
        <v>0.96</v>
      </c>
      <c r="K15" s="74">
        <v>0.51428569999999996</v>
      </c>
      <c r="L15" s="74">
        <v>0</v>
      </c>
      <c r="M15" s="74">
        <v>0.2</v>
      </c>
      <c r="N15" s="74">
        <v>-99</v>
      </c>
    </row>
    <row r="16" spans="1:46" ht="15" customHeight="1" x14ac:dyDescent="0.15">
      <c r="C16" s="74">
        <v>15</v>
      </c>
      <c r="D16"/>
      <c r="E16" s="157" t="s">
        <v>205</v>
      </c>
      <c r="F16" s="74">
        <v>0</v>
      </c>
      <c r="G16" s="74">
        <v>1673.58</v>
      </c>
      <c r="H16" s="74">
        <v>0.8</v>
      </c>
      <c r="I16" s="74">
        <v>9</v>
      </c>
      <c r="J16" s="74">
        <v>0.81691329999999995</v>
      </c>
      <c r="K16" s="74">
        <v>8.8888889999999998E-2</v>
      </c>
      <c r="L16" s="74">
        <v>0</v>
      </c>
      <c r="M16" s="74">
        <v>0.2</v>
      </c>
      <c r="N16" s="74">
        <v>-99</v>
      </c>
    </row>
    <row r="17" spans="1:22" ht="15" customHeight="1" x14ac:dyDescent="0.15">
      <c r="C17" s="74">
        <v>16</v>
      </c>
      <c r="D17"/>
      <c r="E17" s="157" t="s">
        <v>206</v>
      </c>
      <c r="F17" s="74">
        <v>0</v>
      </c>
      <c r="G17" s="74">
        <v>40</v>
      </c>
      <c r="H17" s="74">
        <v>65</v>
      </c>
      <c r="I17" s="74">
        <v>165</v>
      </c>
      <c r="J17" s="74">
        <v>0.95825099999999996</v>
      </c>
      <c r="K17" s="74">
        <v>0.3939394</v>
      </c>
      <c r="L17" s="74">
        <v>0</v>
      </c>
      <c r="M17" s="74">
        <v>0.35</v>
      </c>
      <c r="N17" s="74">
        <v>-99</v>
      </c>
      <c r="V17" s="1" t="s">
        <v>30</v>
      </c>
    </row>
    <row r="18" spans="1:22" ht="15" customHeight="1" x14ac:dyDescent="0.15">
      <c r="C18" s="74">
        <v>17</v>
      </c>
      <c r="D18"/>
      <c r="E18" s="157" t="s">
        <v>207</v>
      </c>
      <c r="F18" s="74">
        <v>0</v>
      </c>
      <c r="G18" s="74">
        <v>50.769109999999998</v>
      </c>
      <c r="H18" s="74">
        <v>134</v>
      </c>
      <c r="I18" s="74">
        <v>215</v>
      </c>
      <c r="J18" s="74">
        <v>0.95</v>
      </c>
      <c r="K18" s="74">
        <v>0.62325580000000003</v>
      </c>
      <c r="L18" s="74">
        <v>0</v>
      </c>
      <c r="M18" s="74">
        <v>0.2</v>
      </c>
      <c r="N18" s="74">
        <v>-99</v>
      </c>
      <c r="V18" s="1"/>
    </row>
    <row r="19" spans="1:22" ht="15" customHeight="1" x14ac:dyDescent="0.15">
      <c r="C19" s="74">
        <v>18</v>
      </c>
      <c r="D19"/>
      <c r="E19" s="157" t="s">
        <v>208</v>
      </c>
      <c r="F19" s="74">
        <v>1</v>
      </c>
      <c r="G19" s="74">
        <v>30</v>
      </c>
      <c r="H19" s="74">
        <v>70</v>
      </c>
      <c r="I19" s="74">
        <v>0</v>
      </c>
      <c r="J19" s="74">
        <v>0.89291920000000002</v>
      </c>
      <c r="K19" s="74">
        <v>0</v>
      </c>
      <c r="L19" s="74">
        <v>0</v>
      </c>
      <c r="M19" s="74">
        <v>0</v>
      </c>
      <c r="N19" s="74">
        <v>-99</v>
      </c>
    </row>
    <row r="20" spans="1:22" ht="15" customHeight="1" thickBot="1" x14ac:dyDescent="0.2">
      <c r="C20" s="74">
        <v>19</v>
      </c>
      <c r="D20"/>
      <c r="E20" s="157" t="s">
        <v>209</v>
      </c>
      <c r="F20" s="74">
        <v>1</v>
      </c>
      <c r="G20" s="74">
        <v>2115</v>
      </c>
      <c r="H20" s="74">
        <v>13.25</v>
      </c>
      <c r="I20" s="74">
        <v>0</v>
      </c>
      <c r="J20" s="74">
        <v>0.30521282599999999</v>
      </c>
      <c r="K20" s="74">
        <v>0</v>
      </c>
      <c r="L20" s="74">
        <v>0</v>
      </c>
      <c r="M20" s="74">
        <v>0</v>
      </c>
      <c r="N20" s="74">
        <v>-99</v>
      </c>
    </row>
    <row r="21" spans="1:22" ht="15" customHeight="1" thickBot="1" x14ac:dyDescent="0.2">
      <c r="A21" s="43" t="s">
        <v>137</v>
      </c>
      <c r="B21" s="92"/>
      <c r="C21" s="74">
        <v>20</v>
      </c>
      <c r="D21"/>
      <c r="E21" s="157" t="s">
        <v>210</v>
      </c>
      <c r="F21" s="74">
        <v>2</v>
      </c>
      <c r="G21" s="74">
        <v>3400</v>
      </c>
      <c r="H21" s="74">
        <v>0</v>
      </c>
      <c r="I21" s="74">
        <v>0</v>
      </c>
      <c r="J21" s="74">
        <v>0.45390263199999997</v>
      </c>
      <c r="K21" s="74">
        <v>0</v>
      </c>
      <c r="L21" s="74">
        <v>-2.6470588100000001E-3</v>
      </c>
      <c r="M21" s="74">
        <v>0</v>
      </c>
      <c r="N21" s="74">
        <v>26900</v>
      </c>
    </row>
    <row r="22" spans="1:22" ht="15" customHeight="1" x14ac:dyDescent="0.15">
      <c r="A22" s="93" t="s">
        <v>58</v>
      </c>
      <c r="B22" s="94">
        <v>0</v>
      </c>
      <c r="C22" s="74">
        <v>21</v>
      </c>
      <c r="D22"/>
      <c r="E22" s="157" t="s">
        <v>211</v>
      </c>
      <c r="F22" s="74">
        <v>2</v>
      </c>
      <c r="G22" s="74">
        <v>5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</row>
    <row r="23" spans="1:22" ht="15" customHeight="1" x14ac:dyDescent="0.15">
      <c r="A23" s="93" t="s">
        <v>59</v>
      </c>
      <c r="B23" s="94">
        <v>1</v>
      </c>
      <c r="C23" s="182">
        <v>22</v>
      </c>
      <c r="D23"/>
      <c r="E23" s="181" t="s">
        <v>216</v>
      </c>
      <c r="F23">
        <v>3</v>
      </c>
      <c r="G23"/>
      <c r="H23"/>
      <c r="I23"/>
      <c r="J23"/>
      <c r="K23"/>
      <c r="L23"/>
      <c r="M23"/>
      <c r="N23"/>
      <c r="P23" s="57" t="s">
        <v>217</v>
      </c>
    </row>
    <row r="24" spans="1:22" ht="15" customHeight="1" x14ac:dyDescent="0.15">
      <c r="A24" s="93" t="s">
        <v>60</v>
      </c>
      <c r="B24" s="94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5" t="s">
        <v>44</v>
      </c>
      <c r="B25" s="96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7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9" sqref="B29"/>
    </sheetView>
  </sheetViews>
  <sheetFormatPr baseColWidth="10" defaultColWidth="8.83203125" defaultRowHeight="13" x14ac:dyDescent="0.15"/>
  <cols>
    <col min="1" max="1" width="21.6640625" style="131" bestFit="1" customWidth="1"/>
    <col min="2" max="22" width="12.1640625" style="131" customWidth="1"/>
    <col min="23" max="29" width="9" style="131" bestFit="1" customWidth="1"/>
    <col min="30" max="16384" width="8.83203125" style="131"/>
  </cols>
  <sheetData>
    <row r="1" spans="1:34" x14ac:dyDescent="0.15">
      <c r="A1" s="130" t="s">
        <v>19</v>
      </c>
      <c r="B1" s="159" t="s">
        <v>192</v>
      </c>
      <c r="C1" s="159" t="s">
        <v>193</v>
      </c>
      <c r="D1" s="159" t="s">
        <v>194</v>
      </c>
      <c r="E1" s="159" t="s">
        <v>195</v>
      </c>
      <c r="F1" s="159" t="s">
        <v>196</v>
      </c>
      <c r="G1" s="159" t="s">
        <v>197</v>
      </c>
      <c r="H1" s="159" t="s">
        <v>198</v>
      </c>
      <c r="I1" s="159" t="s">
        <v>199</v>
      </c>
      <c r="J1" s="159" t="s">
        <v>200</v>
      </c>
      <c r="K1" s="159" t="s">
        <v>201</v>
      </c>
      <c r="L1" s="159" t="s">
        <v>219</v>
      </c>
      <c r="M1" s="159" t="s">
        <v>202</v>
      </c>
      <c r="N1" s="159" t="s">
        <v>203</v>
      </c>
      <c r="O1" s="159" t="s">
        <v>204</v>
      </c>
      <c r="P1" s="159" t="s">
        <v>205</v>
      </c>
      <c r="Q1" s="159" t="s">
        <v>206</v>
      </c>
      <c r="R1" s="159" t="s">
        <v>207</v>
      </c>
      <c r="S1" s="159" t="s">
        <v>208</v>
      </c>
      <c r="T1" s="159" t="s">
        <v>209</v>
      </c>
      <c r="U1" s="159" t="s">
        <v>210</v>
      </c>
      <c r="V1" s="159" t="s">
        <v>211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8" t="s">
        <v>192</v>
      </c>
      <c r="B2" s="131">
        <v>0.01</v>
      </c>
      <c r="C2" s="131">
        <v>0</v>
      </c>
      <c r="D2" s="131">
        <v>0</v>
      </c>
      <c r="E2" s="131">
        <v>0</v>
      </c>
      <c r="F2" s="131">
        <v>0</v>
      </c>
      <c r="G2" s="131">
        <v>0</v>
      </c>
      <c r="H2" s="131">
        <v>0.01</v>
      </c>
      <c r="I2" s="131">
        <v>0</v>
      </c>
      <c r="J2" s="131">
        <v>0</v>
      </c>
      <c r="K2" s="131">
        <v>0</v>
      </c>
      <c r="L2" s="131">
        <v>0</v>
      </c>
      <c r="M2" s="131">
        <v>0</v>
      </c>
      <c r="N2" s="131">
        <v>0</v>
      </c>
      <c r="O2" s="131">
        <v>0</v>
      </c>
      <c r="P2" s="131">
        <v>0</v>
      </c>
      <c r="Q2" s="131">
        <v>0</v>
      </c>
      <c r="R2" s="131">
        <v>0</v>
      </c>
      <c r="S2" s="131">
        <v>0</v>
      </c>
      <c r="T2" s="131">
        <v>0</v>
      </c>
      <c r="U2" s="131">
        <v>0</v>
      </c>
      <c r="V2" s="131">
        <v>0</v>
      </c>
    </row>
    <row r="3" spans="1:34" customFormat="1" x14ac:dyDescent="0.15">
      <c r="A3" s="158" t="s">
        <v>193</v>
      </c>
      <c r="B3" s="131">
        <v>0.1</v>
      </c>
      <c r="C3" s="131">
        <v>0.1</v>
      </c>
      <c r="D3" s="131">
        <v>0</v>
      </c>
      <c r="E3" s="131">
        <v>9.999999999999998E-4</v>
      </c>
      <c r="F3" s="131">
        <v>0</v>
      </c>
      <c r="G3" s="131">
        <v>0</v>
      </c>
      <c r="H3" s="131">
        <v>0</v>
      </c>
      <c r="I3" s="131">
        <v>0</v>
      </c>
      <c r="J3" s="131">
        <v>0</v>
      </c>
      <c r="K3" s="131">
        <v>0</v>
      </c>
      <c r="L3" s="131">
        <v>0</v>
      </c>
      <c r="M3" s="131">
        <v>0</v>
      </c>
      <c r="N3" s="131">
        <v>0</v>
      </c>
      <c r="O3" s="131">
        <v>0</v>
      </c>
      <c r="P3" s="131">
        <v>0</v>
      </c>
      <c r="Q3" s="131">
        <v>0</v>
      </c>
      <c r="R3" s="131">
        <v>0</v>
      </c>
      <c r="S3" s="131">
        <v>0</v>
      </c>
      <c r="T3" s="131">
        <v>0</v>
      </c>
      <c r="U3" s="131">
        <v>0</v>
      </c>
      <c r="V3" s="131">
        <v>0</v>
      </c>
    </row>
    <row r="4" spans="1:34" customFormat="1" x14ac:dyDescent="0.15">
      <c r="A4" s="158" t="s">
        <v>194</v>
      </c>
      <c r="B4" s="131">
        <v>2.5000000000000001E-2</v>
      </c>
      <c r="C4" s="131">
        <v>0.13</v>
      </c>
      <c r="D4" s="131">
        <v>0</v>
      </c>
      <c r="E4" s="131">
        <v>3.9999999999999992E-3</v>
      </c>
      <c r="F4" s="131">
        <v>0</v>
      </c>
      <c r="G4" s="131">
        <v>0</v>
      </c>
      <c r="H4" s="131">
        <v>0</v>
      </c>
      <c r="I4" s="131">
        <v>0</v>
      </c>
      <c r="J4" s="131">
        <v>0</v>
      </c>
      <c r="K4" s="131">
        <v>0</v>
      </c>
      <c r="L4" s="131">
        <v>6.5000000000000002E-2</v>
      </c>
      <c r="M4" s="131">
        <v>0</v>
      </c>
      <c r="N4" s="131">
        <v>0</v>
      </c>
      <c r="O4" s="131">
        <v>0</v>
      </c>
      <c r="P4" s="131">
        <v>0</v>
      </c>
      <c r="Q4" s="131">
        <v>0</v>
      </c>
      <c r="R4" s="131">
        <v>0</v>
      </c>
      <c r="S4" s="131">
        <v>0</v>
      </c>
      <c r="T4" s="131">
        <v>0</v>
      </c>
      <c r="U4" s="131">
        <v>0</v>
      </c>
      <c r="V4" s="131">
        <v>0</v>
      </c>
    </row>
    <row r="5" spans="1:34" customFormat="1" x14ac:dyDescent="0.15">
      <c r="A5" s="158" t="s">
        <v>195</v>
      </c>
      <c r="B5" s="131">
        <v>0.01</v>
      </c>
      <c r="C5" s="131">
        <v>0.13</v>
      </c>
      <c r="D5" s="131">
        <v>0</v>
      </c>
      <c r="E5" s="131">
        <v>4.9999999999999989E-2</v>
      </c>
      <c r="F5" s="131">
        <v>0</v>
      </c>
      <c r="G5" s="131">
        <v>7.0000000000000001E-3</v>
      </c>
      <c r="H5" s="131">
        <v>0.58799999999999997</v>
      </c>
      <c r="I5" s="131">
        <v>0</v>
      </c>
      <c r="J5" s="131">
        <v>0</v>
      </c>
      <c r="K5" s="131">
        <v>0</v>
      </c>
      <c r="L5" s="131">
        <v>0.02</v>
      </c>
      <c r="M5" s="131">
        <v>0</v>
      </c>
      <c r="N5" s="131">
        <v>4.9999999999999992E-3</v>
      </c>
      <c r="O5" s="131">
        <v>0</v>
      </c>
      <c r="P5" s="131">
        <v>0</v>
      </c>
      <c r="Q5" s="131">
        <v>0</v>
      </c>
      <c r="R5" s="131">
        <v>0</v>
      </c>
      <c r="S5" s="131">
        <v>0</v>
      </c>
      <c r="T5" s="131">
        <v>0</v>
      </c>
      <c r="U5" s="131">
        <v>0</v>
      </c>
      <c r="V5" s="131">
        <v>0</v>
      </c>
    </row>
    <row r="6" spans="1:34" customFormat="1" x14ac:dyDescent="0.15">
      <c r="A6" s="158" t="s">
        <v>196</v>
      </c>
      <c r="B6" s="131">
        <v>2.5000000000000001E-2</v>
      </c>
      <c r="C6" s="131">
        <v>0.15</v>
      </c>
      <c r="D6" s="131">
        <v>0</v>
      </c>
      <c r="E6" s="131">
        <v>2.9999999999999992E-2</v>
      </c>
      <c r="F6" s="131">
        <v>4.0000000000000001E-3</v>
      </c>
      <c r="G6" s="131">
        <v>2E-3</v>
      </c>
      <c r="H6" s="131">
        <v>0</v>
      </c>
      <c r="I6" s="131">
        <v>0</v>
      </c>
      <c r="J6" s="131">
        <v>0</v>
      </c>
      <c r="K6" s="131">
        <v>0</v>
      </c>
      <c r="L6" s="131">
        <v>6.5000000000000002E-2</v>
      </c>
      <c r="M6" s="131">
        <v>0</v>
      </c>
      <c r="N6" s="131">
        <v>4.9999999999999992E-3</v>
      </c>
      <c r="O6" s="131">
        <v>0</v>
      </c>
      <c r="P6" s="131">
        <v>0</v>
      </c>
      <c r="Q6" s="131">
        <v>0</v>
      </c>
      <c r="R6" s="131">
        <v>0</v>
      </c>
      <c r="S6" s="131">
        <v>0</v>
      </c>
      <c r="T6" s="131">
        <v>0</v>
      </c>
      <c r="U6" s="131">
        <v>0</v>
      </c>
      <c r="V6" s="131">
        <v>0</v>
      </c>
    </row>
    <row r="7" spans="1:34" customFormat="1" x14ac:dyDescent="0.15">
      <c r="A7" s="158" t="s">
        <v>197</v>
      </c>
      <c r="B7" s="131">
        <v>0.08</v>
      </c>
      <c r="C7" s="131">
        <v>0.1</v>
      </c>
      <c r="D7" s="131">
        <v>0</v>
      </c>
      <c r="E7" s="131">
        <v>6.9999999999999993E-2</v>
      </c>
      <c r="F7" s="131">
        <v>0</v>
      </c>
      <c r="G7" s="131">
        <v>0</v>
      </c>
      <c r="H7" s="131">
        <v>0</v>
      </c>
      <c r="I7" s="131">
        <v>0</v>
      </c>
      <c r="J7" s="131">
        <v>0</v>
      </c>
      <c r="K7" s="131">
        <v>0</v>
      </c>
      <c r="L7" s="131">
        <v>5.0000000000000001E-3</v>
      </c>
      <c r="M7" s="131">
        <v>0</v>
      </c>
      <c r="N7" s="131">
        <v>1.9999999999999996E-3</v>
      </c>
      <c r="O7" s="131">
        <v>0</v>
      </c>
      <c r="P7" s="131">
        <v>0</v>
      </c>
      <c r="Q7" s="131">
        <v>0</v>
      </c>
      <c r="R7" s="131">
        <v>0</v>
      </c>
      <c r="S7" s="131">
        <v>0</v>
      </c>
      <c r="T7" s="131">
        <v>0</v>
      </c>
      <c r="U7" s="131">
        <v>0</v>
      </c>
      <c r="V7" s="131">
        <v>0</v>
      </c>
    </row>
    <row r="8" spans="1:34" customFormat="1" x14ac:dyDescent="0.15">
      <c r="A8" s="158" t="s">
        <v>198</v>
      </c>
      <c r="B8" s="131">
        <v>2.5000000000000001E-2</v>
      </c>
      <c r="C8" s="131">
        <v>0</v>
      </c>
      <c r="D8" s="131">
        <v>0</v>
      </c>
      <c r="E8" s="131">
        <v>0</v>
      </c>
      <c r="F8" s="131">
        <v>0</v>
      </c>
      <c r="G8" s="131">
        <v>0</v>
      </c>
      <c r="H8" s="131">
        <v>0</v>
      </c>
      <c r="I8" s="131">
        <v>0</v>
      </c>
      <c r="J8" s="131">
        <v>0</v>
      </c>
      <c r="K8" s="131">
        <v>0</v>
      </c>
      <c r="L8" s="131">
        <v>0</v>
      </c>
      <c r="M8" s="131">
        <v>0</v>
      </c>
      <c r="N8" s="131">
        <v>0</v>
      </c>
      <c r="O8" s="131">
        <v>0</v>
      </c>
      <c r="P8" s="131">
        <v>0</v>
      </c>
      <c r="Q8" s="131">
        <v>0</v>
      </c>
      <c r="R8" s="131">
        <v>0</v>
      </c>
      <c r="S8" s="131">
        <v>0</v>
      </c>
      <c r="T8" s="131">
        <v>0</v>
      </c>
      <c r="U8" s="131">
        <v>0</v>
      </c>
      <c r="V8" s="131">
        <v>0</v>
      </c>
    </row>
    <row r="9" spans="1:34" customFormat="1" x14ac:dyDescent="0.15">
      <c r="A9" s="158" t="s">
        <v>199</v>
      </c>
      <c r="B9" s="131">
        <v>0.06</v>
      </c>
      <c r="C9" s="131">
        <v>0.15</v>
      </c>
      <c r="D9" s="131">
        <v>0</v>
      </c>
      <c r="E9" s="131">
        <v>7.9999999999999984E-3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0</v>
      </c>
      <c r="L9" s="131">
        <v>0</v>
      </c>
      <c r="M9" s="131">
        <v>0</v>
      </c>
      <c r="N9" s="131">
        <v>9.999999999999998E-4</v>
      </c>
      <c r="O9" s="131">
        <v>0</v>
      </c>
      <c r="P9" s="131">
        <v>0</v>
      </c>
      <c r="Q9" s="131">
        <v>0</v>
      </c>
      <c r="R9" s="131">
        <v>0</v>
      </c>
      <c r="S9" s="131">
        <v>0</v>
      </c>
      <c r="T9" s="131">
        <v>0</v>
      </c>
      <c r="U9" s="131">
        <v>0</v>
      </c>
      <c r="V9" s="131">
        <v>0</v>
      </c>
    </row>
    <row r="10" spans="1:34" customFormat="1" x14ac:dyDescent="0.15">
      <c r="A10" s="158" t="s">
        <v>200</v>
      </c>
      <c r="B10" s="131">
        <v>0.04</v>
      </c>
      <c r="C10" s="131">
        <v>0.1</v>
      </c>
      <c r="D10" s="131">
        <v>0</v>
      </c>
      <c r="E10" s="131">
        <v>0</v>
      </c>
      <c r="F10" s="131">
        <v>0</v>
      </c>
      <c r="G10" s="131">
        <v>0</v>
      </c>
      <c r="H10" s="131">
        <v>0</v>
      </c>
      <c r="I10" s="131">
        <v>0</v>
      </c>
      <c r="J10" s="131">
        <v>0</v>
      </c>
      <c r="K10" s="131">
        <v>0</v>
      </c>
      <c r="L10" s="131">
        <v>0</v>
      </c>
      <c r="M10" s="131">
        <v>0</v>
      </c>
      <c r="N10" s="131">
        <v>3.1999999999999994E-2</v>
      </c>
      <c r="O10" s="131">
        <v>0</v>
      </c>
      <c r="P10" s="131">
        <v>0</v>
      </c>
      <c r="Q10" s="131">
        <v>0</v>
      </c>
      <c r="R10" s="131">
        <v>0</v>
      </c>
      <c r="S10" s="131">
        <v>0</v>
      </c>
      <c r="T10" s="131">
        <v>0</v>
      </c>
      <c r="U10" s="131">
        <v>0</v>
      </c>
      <c r="V10" s="131">
        <v>0</v>
      </c>
    </row>
    <row r="11" spans="1:34" customFormat="1" x14ac:dyDescent="0.15">
      <c r="A11" s="158" t="s">
        <v>201</v>
      </c>
      <c r="B11" s="131">
        <v>0</v>
      </c>
      <c r="C11" s="131">
        <v>0</v>
      </c>
      <c r="D11" s="131">
        <v>0</v>
      </c>
      <c r="E11" s="131">
        <v>0</v>
      </c>
      <c r="F11" s="131">
        <v>0</v>
      </c>
      <c r="G11" s="131">
        <v>0</v>
      </c>
      <c r="H11" s="131">
        <v>0</v>
      </c>
      <c r="I11" s="131">
        <v>0</v>
      </c>
      <c r="J11" s="131">
        <v>0</v>
      </c>
      <c r="K11" s="131">
        <v>0</v>
      </c>
      <c r="L11" s="131">
        <v>0</v>
      </c>
      <c r="M11" s="131">
        <v>0</v>
      </c>
      <c r="N11" s="131">
        <v>0</v>
      </c>
      <c r="O11" s="131">
        <v>0</v>
      </c>
      <c r="P11" s="131">
        <v>0</v>
      </c>
      <c r="Q11" s="131">
        <v>0</v>
      </c>
      <c r="R11" s="131">
        <v>0</v>
      </c>
      <c r="S11" s="131">
        <v>0</v>
      </c>
      <c r="T11" s="131">
        <v>0</v>
      </c>
      <c r="U11" s="131">
        <v>0</v>
      </c>
      <c r="V11" s="131">
        <v>0</v>
      </c>
    </row>
    <row r="12" spans="1:34" customFormat="1" x14ac:dyDescent="0.15">
      <c r="A12" s="158" t="s">
        <v>219</v>
      </c>
      <c r="B12" s="131">
        <v>8.5000000000000006E-2</v>
      </c>
      <c r="C12" s="131">
        <v>1.7999999999999999E-2</v>
      </c>
      <c r="D12" s="131">
        <v>0</v>
      </c>
      <c r="E12" s="131">
        <v>9.9999999999999985E-3</v>
      </c>
      <c r="F12" s="131">
        <v>0</v>
      </c>
      <c r="G12" s="131">
        <v>0</v>
      </c>
      <c r="H12" s="131">
        <v>0</v>
      </c>
      <c r="I12" s="131">
        <v>0</v>
      </c>
      <c r="J12" s="131">
        <v>0</v>
      </c>
      <c r="K12" s="131">
        <v>0</v>
      </c>
      <c r="L12" s="131">
        <v>0.1</v>
      </c>
      <c r="M12" s="131">
        <v>0</v>
      </c>
      <c r="N12" s="131">
        <v>1.9999999999999996E-3</v>
      </c>
      <c r="O12" s="131">
        <v>0</v>
      </c>
      <c r="P12" s="131">
        <v>0</v>
      </c>
      <c r="Q12" s="131">
        <v>0</v>
      </c>
      <c r="R12" s="131">
        <v>0</v>
      </c>
      <c r="S12" s="131">
        <v>0</v>
      </c>
      <c r="T12" s="131">
        <v>0</v>
      </c>
      <c r="U12" s="131">
        <v>0</v>
      </c>
      <c r="V12" s="131">
        <v>0</v>
      </c>
    </row>
    <row r="13" spans="1:34" customFormat="1" x14ac:dyDescent="0.15">
      <c r="A13" s="158" t="s">
        <v>202</v>
      </c>
      <c r="B13" s="131">
        <v>2.1000000000000001E-2</v>
      </c>
      <c r="C13" s="131">
        <v>0</v>
      </c>
      <c r="D13" s="131">
        <v>0</v>
      </c>
      <c r="E13" s="131">
        <v>0.11999999999999997</v>
      </c>
      <c r="F13" s="131">
        <v>0</v>
      </c>
      <c r="G13" s="131">
        <v>4.2999999999999997E-2</v>
      </c>
      <c r="H13" s="131">
        <v>0</v>
      </c>
      <c r="I13" s="131">
        <v>1E-3</v>
      </c>
      <c r="J13" s="131">
        <v>0</v>
      </c>
      <c r="K13" s="131">
        <v>0.04</v>
      </c>
      <c r="L13" s="131">
        <v>0</v>
      </c>
      <c r="M13" s="131">
        <v>5.8999999999999997E-2</v>
      </c>
      <c r="N13" s="131">
        <v>0.12999999999999998</v>
      </c>
      <c r="O13" s="131">
        <v>2E-3</v>
      </c>
      <c r="P13" s="131">
        <v>0</v>
      </c>
      <c r="Q13" s="131">
        <v>0</v>
      </c>
      <c r="R13" s="131">
        <v>0</v>
      </c>
      <c r="S13" s="131">
        <v>0</v>
      </c>
      <c r="T13" s="131">
        <v>0</v>
      </c>
      <c r="U13" s="131">
        <v>0</v>
      </c>
      <c r="V13" s="131">
        <v>0</v>
      </c>
    </row>
    <row r="14" spans="1:34" customFormat="1" x14ac:dyDescent="0.15">
      <c r="A14" s="158" t="s">
        <v>203</v>
      </c>
      <c r="B14" s="131">
        <v>0.22500000000000001</v>
      </c>
      <c r="C14" s="131">
        <v>0.04</v>
      </c>
      <c r="D14" s="131">
        <v>0.04</v>
      </c>
      <c r="E14" s="131">
        <v>9.9999999999999978E-2</v>
      </c>
      <c r="F14" s="131">
        <v>1.2E-2</v>
      </c>
      <c r="G14" s="131">
        <v>0.08</v>
      </c>
      <c r="H14" s="131">
        <v>0.40200000000000002</v>
      </c>
      <c r="I14" s="131">
        <v>0</v>
      </c>
      <c r="J14" s="131">
        <v>1E-3</v>
      </c>
      <c r="K14" s="131">
        <v>0.125</v>
      </c>
      <c r="L14" s="131">
        <v>0.125</v>
      </c>
      <c r="M14" s="131">
        <v>3.0000000000000001E-3</v>
      </c>
      <c r="N14" s="131">
        <v>3.9999999999999994E-2</v>
      </c>
      <c r="O14" s="131">
        <v>0.01</v>
      </c>
      <c r="P14" s="131">
        <v>0</v>
      </c>
      <c r="Q14" s="131">
        <v>0</v>
      </c>
      <c r="R14" s="131">
        <v>0</v>
      </c>
      <c r="S14" s="131">
        <v>0</v>
      </c>
      <c r="T14" s="131">
        <v>0</v>
      </c>
      <c r="U14" s="131">
        <v>0</v>
      </c>
      <c r="V14" s="131">
        <v>0</v>
      </c>
    </row>
    <row r="15" spans="1:34" customFormat="1" x14ac:dyDescent="0.15">
      <c r="A15" s="158" t="s">
        <v>204</v>
      </c>
      <c r="B15" s="131">
        <v>0.26700000000000002</v>
      </c>
      <c r="C15" s="131">
        <v>6.2E-2</v>
      </c>
      <c r="D15" s="131">
        <v>0.1</v>
      </c>
      <c r="E15" s="131">
        <v>0.32999999999999996</v>
      </c>
      <c r="F15" s="131">
        <v>0</v>
      </c>
      <c r="G15" s="131">
        <v>0.22</v>
      </c>
      <c r="H15" s="131">
        <v>0</v>
      </c>
      <c r="I15" s="131">
        <v>1E-3</v>
      </c>
      <c r="J15" s="131">
        <v>0</v>
      </c>
      <c r="K15" s="131">
        <v>4.4999999999999998E-2</v>
      </c>
      <c r="L15" s="131">
        <v>0.42</v>
      </c>
      <c r="M15" s="131">
        <v>5.1999999999999998E-2</v>
      </c>
      <c r="N15" s="131">
        <v>0.31999999999999995</v>
      </c>
      <c r="O15" s="131">
        <v>6.5000000000000002E-2</v>
      </c>
      <c r="P15" s="131">
        <v>0</v>
      </c>
      <c r="Q15" s="131">
        <v>0</v>
      </c>
      <c r="R15" s="131">
        <v>0</v>
      </c>
      <c r="S15" s="131">
        <v>0</v>
      </c>
      <c r="T15" s="131">
        <v>0</v>
      </c>
      <c r="U15" s="131">
        <v>0</v>
      </c>
      <c r="V15" s="131">
        <v>0</v>
      </c>
    </row>
    <row r="16" spans="1:34" customFormat="1" x14ac:dyDescent="0.15">
      <c r="A16" s="158" t="s">
        <v>205</v>
      </c>
      <c r="B16" s="131">
        <v>1.0999999999999999E-2</v>
      </c>
      <c r="C16" s="131">
        <v>0</v>
      </c>
      <c r="D16" s="131">
        <v>0.128</v>
      </c>
      <c r="E16" s="131">
        <v>6.9999999999999993E-2</v>
      </c>
      <c r="F16" s="131">
        <v>6.0000000000000001E-3</v>
      </c>
      <c r="G16" s="131">
        <v>8.1000000000000003E-2</v>
      </c>
      <c r="H16" s="131">
        <v>0</v>
      </c>
      <c r="I16" s="131">
        <v>0</v>
      </c>
      <c r="J16" s="131">
        <v>5.0000000000000001E-3</v>
      </c>
      <c r="K16" s="131">
        <v>0.4</v>
      </c>
      <c r="L16" s="131">
        <v>0</v>
      </c>
      <c r="M16" s="131">
        <v>0.19700000000000001</v>
      </c>
      <c r="N16" s="131">
        <v>3.4999999999999996E-2</v>
      </c>
      <c r="O16" s="131">
        <v>5.8999999999999997E-2</v>
      </c>
      <c r="P16" s="131">
        <v>0</v>
      </c>
      <c r="Q16" s="131">
        <v>0</v>
      </c>
      <c r="R16" s="131">
        <v>0</v>
      </c>
      <c r="S16" s="131">
        <v>0</v>
      </c>
      <c r="T16" s="131">
        <v>0</v>
      </c>
      <c r="U16" s="131">
        <v>0</v>
      </c>
      <c r="V16" s="131">
        <v>0</v>
      </c>
    </row>
    <row r="17" spans="1:22" customFormat="1" x14ac:dyDescent="0.15">
      <c r="A17" s="158" t="s">
        <v>206</v>
      </c>
      <c r="B17" s="131">
        <v>0</v>
      </c>
      <c r="C17" s="131">
        <v>0.02</v>
      </c>
      <c r="D17" s="131">
        <v>0.72199999999999998</v>
      </c>
      <c r="E17" s="131">
        <v>0.11999999999999997</v>
      </c>
      <c r="F17" s="131">
        <v>0.97399999999999998</v>
      </c>
      <c r="G17" s="131">
        <v>0.16</v>
      </c>
      <c r="H17" s="131">
        <v>0</v>
      </c>
      <c r="I17" s="131">
        <v>4.0000000000000001E-3</v>
      </c>
      <c r="J17" s="131">
        <v>0</v>
      </c>
      <c r="K17" s="131">
        <v>0</v>
      </c>
      <c r="L17" s="131">
        <v>0.2</v>
      </c>
      <c r="M17" s="131">
        <v>3.0000000000000001E-3</v>
      </c>
      <c r="N17" s="131">
        <v>6.9999999999999993E-2</v>
      </c>
      <c r="O17" s="131">
        <v>6.0000000000000001E-3</v>
      </c>
      <c r="P17" s="131">
        <v>2.5000000000000001E-2</v>
      </c>
      <c r="Q17" s="131">
        <v>0</v>
      </c>
      <c r="R17" s="131">
        <v>0</v>
      </c>
      <c r="S17" s="131">
        <v>0</v>
      </c>
      <c r="T17" s="131">
        <v>0</v>
      </c>
      <c r="U17" s="131">
        <v>0</v>
      </c>
      <c r="V17" s="131">
        <v>0</v>
      </c>
    </row>
    <row r="18" spans="1:22" customFormat="1" x14ac:dyDescent="0.15">
      <c r="A18" s="158" t="s">
        <v>207</v>
      </c>
      <c r="B18" s="131">
        <v>0</v>
      </c>
      <c r="C18" s="131">
        <v>0</v>
      </c>
      <c r="D18" s="131">
        <v>0</v>
      </c>
      <c r="E18" s="131">
        <v>0</v>
      </c>
      <c r="F18" s="131">
        <v>2E-3</v>
      </c>
      <c r="G18" s="131">
        <v>0</v>
      </c>
      <c r="H18" s="131">
        <v>0</v>
      </c>
      <c r="I18" s="131">
        <v>0</v>
      </c>
      <c r="J18" s="131">
        <v>0</v>
      </c>
      <c r="K18" s="131">
        <v>0</v>
      </c>
      <c r="L18" s="131">
        <v>0</v>
      </c>
      <c r="M18" s="131">
        <v>2.1999999999999999E-2</v>
      </c>
      <c r="N18" s="131">
        <v>4.9999999999999989E-2</v>
      </c>
      <c r="O18" s="131">
        <v>0.17</v>
      </c>
      <c r="P18" s="131">
        <v>1.9E-2</v>
      </c>
      <c r="Q18" s="131">
        <v>0.8</v>
      </c>
      <c r="R18" s="131">
        <v>0</v>
      </c>
      <c r="S18" s="131">
        <v>0</v>
      </c>
      <c r="T18" s="131">
        <v>0</v>
      </c>
      <c r="U18" s="131">
        <v>0</v>
      </c>
      <c r="V18" s="131">
        <v>0</v>
      </c>
    </row>
    <row r="19" spans="1:22" customFormat="1" x14ac:dyDescent="0.15">
      <c r="A19" s="158" t="s">
        <v>208</v>
      </c>
      <c r="B19" s="131">
        <v>0</v>
      </c>
      <c r="C19" s="131">
        <v>0</v>
      </c>
      <c r="D19" s="131">
        <v>0</v>
      </c>
      <c r="E19" s="131">
        <v>0</v>
      </c>
      <c r="F19" s="131">
        <v>2E-3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3.0000000000000001E-3</v>
      </c>
      <c r="N19" s="131">
        <v>4.9999999999999992E-3</v>
      </c>
      <c r="O19" s="131">
        <v>8.4000000000000005E-2</v>
      </c>
      <c r="P19" s="131">
        <v>1.0999999999999999E-2</v>
      </c>
      <c r="Q19" s="131">
        <v>0.2</v>
      </c>
      <c r="R19" s="131">
        <v>0</v>
      </c>
      <c r="S19" s="131">
        <v>0</v>
      </c>
      <c r="T19" s="131">
        <v>0</v>
      </c>
      <c r="U19" s="131">
        <v>0</v>
      </c>
      <c r="V19" s="131">
        <v>0</v>
      </c>
    </row>
    <row r="20" spans="1:22" customFormat="1" x14ac:dyDescent="0.15">
      <c r="A20" s="158" t="s">
        <v>209</v>
      </c>
      <c r="B20" s="131">
        <v>0</v>
      </c>
      <c r="C20" s="131">
        <v>0</v>
      </c>
      <c r="D20" s="131">
        <v>0.01</v>
      </c>
      <c r="E20" s="131">
        <v>8.699999999999998E-2</v>
      </c>
      <c r="F20" s="131">
        <v>0</v>
      </c>
      <c r="G20" s="131">
        <v>0.216</v>
      </c>
      <c r="H20" s="131">
        <v>0</v>
      </c>
      <c r="I20" s="131">
        <v>0.98799999999999999</v>
      </c>
      <c r="J20" s="131">
        <v>0.90600000000000003</v>
      </c>
      <c r="K20" s="131">
        <v>0.39</v>
      </c>
      <c r="L20" s="131">
        <v>0</v>
      </c>
      <c r="M20" s="131">
        <v>0.55400000000000005</v>
      </c>
      <c r="N20" s="131">
        <v>0.19999999999999996</v>
      </c>
      <c r="O20" s="131">
        <v>0.17899999999999999</v>
      </c>
      <c r="P20" s="131">
        <v>8.4000000000000005E-2</v>
      </c>
      <c r="Q20" s="131">
        <v>0</v>
      </c>
      <c r="R20" s="131">
        <v>0</v>
      </c>
      <c r="S20" s="131">
        <v>0</v>
      </c>
      <c r="T20" s="131">
        <v>0</v>
      </c>
      <c r="U20" s="131">
        <v>0</v>
      </c>
      <c r="V20" s="131">
        <v>0</v>
      </c>
    </row>
    <row r="21" spans="1:22" customFormat="1" x14ac:dyDescent="0.15">
      <c r="A21" s="158" t="s">
        <v>210</v>
      </c>
      <c r="B21" s="131">
        <v>1.6E-2</v>
      </c>
      <c r="C21" s="131">
        <v>0</v>
      </c>
      <c r="D21" s="131">
        <v>0</v>
      </c>
      <c r="E21" s="131">
        <v>0</v>
      </c>
      <c r="F21" s="131">
        <v>0</v>
      </c>
      <c r="G21" s="131">
        <v>0.191</v>
      </c>
      <c r="H21" s="131">
        <v>0</v>
      </c>
      <c r="I21" s="131">
        <v>6.0000000000000001E-3</v>
      </c>
      <c r="J21" s="131">
        <v>8.7999999999999995E-2</v>
      </c>
      <c r="K21" s="131">
        <v>0</v>
      </c>
      <c r="L21" s="131">
        <v>0</v>
      </c>
      <c r="M21" s="131">
        <v>0.107</v>
      </c>
      <c r="N21" s="131">
        <v>0.10299999999999997</v>
      </c>
      <c r="O21" s="131">
        <v>0.42499999999999999</v>
      </c>
      <c r="P21" s="131">
        <v>0.86099999999999999</v>
      </c>
      <c r="Q21" s="131">
        <v>0</v>
      </c>
      <c r="R21" s="131">
        <v>1</v>
      </c>
      <c r="S21" s="131">
        <v>0</v>
      </c>
      <c r="T21" s="131">
        <v>0</v>
      </c>
      <c r="U21" s="131">
        <v>0</v>
      </c>
      <c r="V21" s="131">
        <v>0</v>
      </c>
    </row>
    <row r="22" spans="1:22" customFormat="1" x14ac:dyDescent="0.15">
      <c r="A22" s="158" t="s">
        <v>211</v>
      </c>
      <c r="B22" s="131">
        <v>0</v>
      </c>
      <c r="C22" s="131">
        <v>0</v>
      </c>
      <c r="D22" s="131">
        <v>0</v>
      </c>
      <c r="E22" s="131">
        <v>0</v>
      </c>
      <c r="F22" s="131">
        <v>0</v>
      </c>
      <c r="G22" s="131">
        <v>0</v>
      </c>
      <c r="H22" s="131">
        <v>0</v>
      </c>
      <c r="I22" s="131">
        <v>0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  <c r="V22" s="131">
        <v>0</v>
      </c>
    </row>
    <row r="23" spans="1:22" customFormat="1" x14ac:dyDescent="0.15">
      <c r="A23" s="158" t="s">
        <v>212</v>
      </c>
      <c r="B23" s="131">
        <v>0</v>
      </c>
      <c r="C23" s="131">
        <v>0</v>
      </c>
      <c r="D23" s="131">
        <v>0</v>
      </c>
      <c r="E23" s="131">
        <v>0</v>
      </c>
      <c r="F23" s="131">
        <v>0</v>
      </c>
      <c r="G23" s="131">
        <v>0</v>
      </c>
      <c r="H23" s="131">
        <v>0</v>
      </c>
      <c r="I23" s="131">
        <v>0</v>
      </c>
      <c r="J23" s="131">
        <v>0</v>
      </c>
      <c r="K23" s="131">
        <v>0</v>
      </c>
      <c r="L23" s="131">
        <v>0</v>
      </c>
      <c r="M23" s="131">
        <v>0</v>
      </c>
      <c r="N23" s="131">
        <v>0</v>
      </c>
      <c r="O23" s="131">
        <v>0</v>
      </c>
      <c r="P23" s="131">
        <v>0</v>
      </c>
      <c r="Q23" s="131">
        <v>0</v>
      </c>
      <c r="R23" s="131">
        <v>0</v>
      </c>
      <c r="S23" s="131">
        <v>0</v>
      </c>
      <c r="T23" s="131">
        <v>0</v>
      </c>
      <c r="U23" s="131">
        <v>0</v>
      </c>
      <c r="V23" s="13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2" sqref="B12"/>
    </sheetView>
  </sheetViews>
  <sheetFormatPr baseColWidth="10" defaultColWidth="8.83203125" defaultRowHeight="13" x14ac:dyDescent="0.15"/>
  <cols>
    <col min="1" max="1" width="3.33203125" customWidth="1"/>
    <col min="2" max="2" width="15.5" customWidth="1"/>
    <col min="3" max="4" width="16" style="102" customWidth="1"/>
    <col min="5" max="6" width="16" style="101" customWidth="1"/>
    <col min="7" max="8" width="8.83203125" style="102"/>
  </cols>
  <sheetData>
    <row r="1" spans="1:8" ht="70" x14ac:dyDescent="0.15">
      <c r="A1" s="5" t="s">
        <v>20</v>
      </c>
      <c r="B1" s="1" t="s">
        <v>0</v>
      </c>
      <c r="C1" s="161" t="s">
        <v>210</v>
      </c>
      <c r="D1" s="161" t="s">
        <v>211</v>
      </c>
      <c r="E1" s="161" t="s">
        <v>213</v>
      </c>
      <c r="F1" s="161" t="s">
        <v>214</v>
      </c>
      <c r="G1"/>
      <c r="H1"/>
    </row>
    <row r="2" spans="1:8" x14ac:dyDescent="0.15">
      <c r="A2">
        <v>1</v>
      </c>
      <c r="B2" s="160" t="s">
        <v>192</v>
      </c>
      <c r="C2" s="102">
        <v>1</v>
      </c>
      <c r="D2" s="102">
        <v>0</v>
      </c>
      <c r="E2" s="101">
        <v>0</v>
      </c>
      <c r="F2" s="101">
        <f>SUM(C2:E2)</f>
        <v>1</v>
      </c>
      <c r="G2"/>
      <c r="H2"/>
    </row>
    <row r="3" spans="1:8" x14ac:dyDescent="0.15">
      <c r="A3">
        <v>2</v>
      </c>
      <c r="B3" s="160" t="s">
        <v>193</v>
      </c>
      <c r="C3" s="102">
        <v>1</v>
      </c>
      <c r="D3" s="102">
        <v>0</v>
      </c>
      <c r="E3" s="101">
        <v>0</v>
      </c>
      <c r="F3" s="101">
        <f t="shared" ref="F3:F23" si="0">SUM(C3:E3)</f>
        <v>1</v>
      </c>
      <c r="G3"/>
      <c r="H3"/>
    </row>
    <row r="4" spans="1:8" x14ac:dyDescent="0.15">
      <c r="A4">
        <v>3</v>
      </c>
      <c r="B4" s="160" t="s">
        <v>194</v>
      </c>
      <c r="C4" s="102">
        <v>1</v>
      </c>
      <c r="D4" s="102">
        <v>0</v>
      </c>
      <c r="E4" s="101">
        <v>0</v>
      </c>
      <c r="F4" s="101">
        <f t="shared" si="0"/>
        <v>1</v>
      </c>
      <c r="G4"/>
      <c r="H4"/>
    </row>
    <row r="5" spans="1:8" x14ac:dyDescent="0.15">
      <c r="A5">
        <v>4</v>
      </c>
      <c r="B5" s="160" t="s">
        <v>195</v>
      </c>
      <c r="C5" s="102">
        <v>1</v>
      </c>
      <c r="D5" s="102">
        <v>0</v>
      </c>
      <c r="E5" s="101">
        <v>0</v>
      </c>
      <c r="F5" s="101">
        <f t="shared" si="0"/>
        <v>1</v>
      </c>
      <c r="G5"/>
      <c r="H5"/>
    </row>
    <row r="6" spans="1:8" x14ac:dyDescent="0.15">
      <c r="A6">
        <v>5</v>
      </c>
      <c r="B6" s="160" t="s">
        <v>196</v>
      </c>
      <c r="C6" s="102">
        <v>1</v>
      </c>
      <c r="D6" s="102">
        <v>0</v>
      </c>
      <c r="E6" s="101">
        <v>0</v>
      </c>
      <c r="F6" s="101">
        <f t="shared" si="0"/>
        <v>1</v>
      </c>
      <c r="G6"/>
      <c r="H6"/>
    </row>
    <row r="7" spans="1:8" x14ac:dyDescent="0.15">
      <c r="A7">
        <v>6</v>
      </c>
      <c r="B7" s="160" t="s">
        <v>197</v>
      </c>
      <c r="C7" s="102">
        <v>1</v>
      </c>
      <c r="D7" s="102">
        <v>0</v>
      </c>
      <c r="E7" s="101">
        <v>0</v>
      </c>
      <c r="F7" s="101">
        <f t="shared" si="0"/>
        <v>1</v>
      </c>
      <c r="G7"/>
      <c r="H7"/>
    </row>
    <row r="8" spans="1:8" x14ac:dyDescent="0.15">
      <c r="A8">
        <v>7</v>
      </c>
      <c r="B8" s="160" t="s">
        <v>198</v>
      </c>
      <c r="C8" s="102">
        <v>1</v>
      </c>
      <c r="D8" s="102">
        <v>0</v>
      </c>
      <c r="E8" s="101">
        <v>0</v>
      </c>
      <c r="F8" s="101">
        <f t="shared" si="0"/>
        <v>1</v>
      </c>
      <c r="G8"/>
      <c r="H8"/>
    </row>
    <row r="9" spans="1:8" x14ac:dyDescent="0.15">
      <c r="A9">
        <v>8</v>
      </c>
      <c r="B9" s="160" t="s">
        <v>199</v>
      </c>
      <c r="C9" s="102">
        <v>1</v>
      </c>
      <c r="D9" s="102">
        <v>0</v>
      </c>
      <c r="E9" s="101">
        <v>0</v>
      </c>
      <c r="F9" s="101">
        <f t="shared" si="0"/>
        <v>1</v>
      </c>
      <c r="G9"/>
      <c r="H9"/>
    </row>
    <row r="10" spans="1:8" x14ac:dyDescent="0.15">
      <c r="A10">
        <v>9</v>
      </c>
      <c r="B10" s="160" t="s">
        <v>200</v>
      </c>
      <c r="C10" s="102">
        <v>1</v>
      </c>
      <c r="D10" s="102">
        <v>0</v>
      </c>
      <c r="E10" s="101">
        <v>0</v>
      </c>
      <c r="F10" s="101">
        <f t="shared" si="0"/>
        <v>1</v>
      </c>
      <c r="G10"/>
      <c r="H10"/>
    </row>
    <row r="11" spans="1:8" x14ac:dyDescent="0.15">
      <c r="A11">
        <v>10</v>
      </c>
      <c r="B11" s="160" t="s">
        <v>201</v>
      </c>
      <c r="C11" s="102">
        <v>1</v>
      </c>
      <c r="D11" s="102">
        <v>0</v>
      </c>
      <c r="E11" s="101">
        <v>0</v>
      </c>
      <c r="F11" s="101">
        <f t="shared" si="0"/>
        <v>1</v>
      </c>
      <c r="G11"/>
      <c r="H11"/>
    </row>
    <row r="12" spans="1:8" x14ac:dyDescent="0.15">
      <c r="A12">
        <v>11</v>
      </c>
      <c r="B12" s="160" t="s">
        <v>219</v>
      </c>
      <c r="C12" s="102">
        <v>1</v>
      </c>
      <c r="D12" s="102">
        <v>0</v>
      </c>
      <c r="E12" s="101">
        <v>0</v>
      </c>
      <c r="F12" s="101">
        <f t="shared" si="0"/>
        <v>1</v>
      </c>
      <c r="G12"/>
      <c r="H12"/>
    </row>
    <row r="13" spans="1:8" x14ac:dyDescent="0.15">
      <c r="A13">
        <v>12</v>
      </c>
      <c r="B13" s="160" t="s">
        <v>202</v>
      </c>
      <c r="C13" s="102">
        <v>1</v>
      </c>
      <c r="D13" s="102">
        <v>0</v>
      </c>
      <c r="E13" s="101">
        <v>0</v>
      </c>
      <c r="F13" s="101">
        <f t="shared" si="0"/>
        <v>1</v>
      </c>
      <c r="G13"/>
      <c r="H13"/>
    </row>
    <row r="14" spans="1:8" x14ac:dyDescent="0.15">
      <c r="A14">
        <v>13</v>
      </c>
      <c r="B14" s="160" t="s">
        <v>203</v>
      </c>
      <c r="C14" s="102">
        <v>1</v>
      </c>
      <c r="D14" s="102">
        <v>0</v>
      </c>
      <c r="E14" s="101">
        <v>0</v>
      </c>
      <c r="F14" s="101">
        <f t="shared" si="0"/>
        <v>1</v>
      </c>
      <c r="G14"/>
      <c r="H14"/>
    </row>
    <row r="15" spans="1:8" x14ac:dyDescent="0.15">
      <c r="A15">
        <v>14</v>
      </c>
      <c r="B15" s="160" t="s">
        <v>204</v>
      </c>
      <c r="C15" s="102">
        <v>1</v>
      </c>
      <c r="D15" s="102">
        <v>0</v>
      </c>
      <c r="E15" s="101">
        <v>0</v>
      </c>
      <c r="F15" s="101">
        <f t="shared" si="0"/>
        <v>1</v>
      </c>
      <c r="G15"/>
      <c r="H15"/>
    </row>
    <row r="16" spans="1:8" x14ac:dyDescent="0.15">
      <c r="A16">
        <v>15</v>
      </c>
      <c r="B16" s="160" t="s">
        <v>205</v>
      </c>
      <c r="C16" s="102">
        <v>1</v>
      </c>
      <c r="D16" s="102">
        <v>0</v>
      </c>
      <c r="E16" s="101">
        <v>0</v>
      </c>
      <c r="F16" s="101">
        <f t="shared" si="0"/>
        <v>1</v>
      </c>
      <c r="G16"/>
      <c r="H16"/>
    </row>
    <row r="17" spans="1:8" ht="15" customHeight="1" x14ac:dyDescent="0.15">
      <c r="A17">
        <v>16</v>
      </c>
      <c r="B17" s="160" t="s">
        <v>206</v>
      </c>
      <c r="C17" s="102">
        <v>1</v>
      </c>
      <c r="D17" s="102">
        <v>0</v>
      </c>
      <c r="E17" s="101">
        <v>0</v>
      </c>
      <c r="F17" s="101">
        <f t="shared" si="0"/>
        <v>1</v>
      </c>
      <c r="G17"/>
      <c r="H17"/>
    </row>
    <row r="18" spans="1:8" ht="15" customHeight="1" x14ac:dyDescent="0.15">
      <c r="A18">
        <v>17</v>
      </c>
      <c r="B18" s="160" t="s">
        <v>207</v>
      </c>
      <c r="C18" s="102">
        <v>1</v>
      </c>
      <c r="D18" s="102">
        <v>0</v>
      </c>
      <c r="E18" s="101">
        <v>0</v>
      </c>
      <c r="F18" s="101">
        <f t="shared" si="0"/>
        <v>1</v>
      </c>
      <c r="G18"/>
      <c r="H18"/>
    </row>
    <row r="19" spans="1:8" ht="15" customHeight="1" x14ac:dyDescent="0.15">
      <c r="A19">
        <v>18</v>
      </c>
      <c r="B19" s="160" t="s">
        <v>208</v>
      </c>
      <c r="C19" s="102">
        <v>1</v>
      </c>
      <c r="D19" s="102">
        <v>0</v>
      </c>
      <c r="E19" s="101">
        <v>0</v>
      </c>
      <c r="F19" s="101">
        <f t="shared" si="0"/>
        <v>1</v>
      </c>
      <c r="G19"/>
      <c r="H19"/>
    </row>
    <row r="20" spans="1:8" ht="15" customHeight="1" x14ac:dyDescent="0.15">
      <c r="A20">
        <v>19</v>
      </c>
      <c r="B20" s="160" t="s">
        <v>209</v>
      </c>
      <c r="C20" s="102">
        <v>1</v>
      </c>
      <c r="D20" s="102">
        <v>0</v>
      </c>
      <c r="E20" s="101">
        <v>0</v>
      </c>
      <c r="F20" s="101">
        <f t="shared" si="0"/>
        <v>1</v>
      </c>
      <c r="G20"/>
      <c r="H20"/>
    </row>
    <row r="21" spans="1:8" ht="15" customHeight="1" x14ac:dyDescent="0.15">
      <c r="A21">
        <v>20</v>
      </c>
      <c r="B21" s="160" t="s">
        <v>210</v>
      </c>
      <c r="C21" s="102">
        <v>0</v>
      </c>
      <c r="D21" s="102">
        <v>1</v>
      </c>
      <c r="E21" s="101">
        <v>0</v>
      </c>
      <c r="F21" s="101">
        <f t="shared" si="0"/>
        <v>1</v>
      </c>
      <c r="G21"/>
      <c r="H21"/>
    </row>
    <row r="22" spans="1:8" ht="15" customHeight="1" x14ac:dyDescent="0.15">
      <c r="A22">
        <v>21</v>
      </c>
      <c r="B22" s="160" t="s">
        <v>211</v>
      </c>
      <c r="C22" s="102">
        <v>0</v>
      </c>
      <c r="D22" s="102">
        <v>0</v>
      </c>
      <c r="E22" s="101">
        <v>1</v>
      </c>
      <c r="F22" s="101">
        <f t="shared" si="0"/>
        <v>1</v>
      </c>
      <c r="G22"/>
      <c r="H22"/>
    </row>
    <row r="23" spans="1:8" ht="15" customHeight="1" x14ac:dyDescent="0.15">
      <c r="A23">
        <v>22</v>
      </c>
      <c r="B23" s="183" t="s">
        <v>216</v>
      </c>
      <c r="C23" s="102">
        <v>1</v>
      </c>
      <c r="D23" s="102">
        <v>0</v>
      </c>
      <c r="E23" s="101">
        <v>0</v>
      </c>
      <c r="F23" s="101">
        <f t="shared" si="0"/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2"/>
      <c r="F36" s="102"/>
      <c r="G36"/>
      <c r="H36"/>
    </row>
    <row r="37" spans="3:8" ht="15" customHeight="1" x14ac:dyDescent="0.15">
      <c r="C37"/>
      <c r="D37"/>
      <c r="E37" s="102"/>
      <c r="F37" s="102"/>
      <c r="G37"/>
      <c r="H37"/>
    </row>
    <row r="38" spans="3:8" ht="15" customHeight="1" x14ac:dyDescent="0.15">
      <c r="C38"/>
      <c r="D38"/>
      <c r="E38" s="102"/>
      <c r="F38" s="102"/>
      <c r="G38"/>
      <c r="H38"/>
    </row>
    <row r="39" spans="3:8" ht="15" customHeight="1" x14ac:dyDescent="0.15">
      <c r="C39"/>
      <c r="D39"/>
      <c r="E39" s="102"/>
      <c r="F39" s="102"/>
      <c r="G39"/>
      <c r="H39"/>
    </row>
    <row r="40" spans="3:8" ht="15" customHeight="1" x14ac:dyDescent="0.15">
      <c r="C40"/>
      <c r="D40"/>
      <c r="E40" s="102"/>
      <c r="F40" s="102"/>
      <c r="G40"/>
      <c r="H40"/>
    </row>
    <row r="41" spans="3:8" ht="15" customHeight="1" x14ac:dyDescent="0.15">
      <c r="C41"/>
      <c r="D41"/>
      <c r="E41" s="102"/>
      <c r="F41" s="102"/>
      <c r="G41"/>
      <c r="H41"/>
    </row>
    <row r="42" spans="3:8" ht="15" customHeight="1" x14ac:dyDescent="0.15">
      <c r="C42"/>
      <c r="D42"/>
      <c r="E42" s="102"/>
      <c r="F42" s="102"/>
      <c r="G42"/>
      <c r="H42"/>
    </row>
    <row r="43" spans="3:8" ht="15" customHeight="1" x14ac:dyDescent="0.15">
      <c r="C43"/>
      <c r="D43"/>
      <c r="E43" s="102"/>
      <c r="F43" s="102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2"/>
      <c r="F46" s="102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2" sqref="B12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14.6640625" customWidth="1"/>
    <col min="5" max="5" width="12.1640625" bestFit="1" customWidth="1"/>
  </cols>
  <sheetData>
    <row r="1" spans="1:5" s="103" customFormat="1" ht="112" x14ac:dyDescent="0.15">
      <c r="A1" s="5" t="s">
        <v>21</v>
      </c>
      <c r="B1" s="3" t="s">
        <v>0</v>
      </c>
      <c r="C1" s="185" t="s">
        <v>216</v>
      </c>
      <c r="D1" s="163" t="s">
        <v>215</v>
      </c>
      <c r="E1"/>
    </row>
    <row r="2" spans="1:5" ht="15" customHeight="1" x14ac:dyDescent="0.15">
      <c r="A2">
        <v>1</v>
      </c>
      <c r="B2" s="162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62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62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62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62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62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62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62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62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62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62" t="s">
        <v>219</v>
      </c>
      <c r="C12">
        <v>0</v>
      </c>
      <c r="D12">
        <v>0</v>
      </c>
    </row>
    <row r="13" spans="1:5" ht="15" customHeight="1" x14ac:dyDescent="0.15">
      <c r="A13">
        <v>12</v>
      </c>
      <c r="B13" s="162" t="s">
        <v>202</v>
      </c>
      <c r="C13">
        <v>0</v>
      </c>
      <c r="D13">
        <v>0</v>
      </c>
    </row>
    <row r="14" spans="1:5" ht="15" customHeight="1" x14ac:dyDescent="0.15">
      <c r="A14">
        <v>13</v>
      </c>
      <c r="B14" s="162" t="s">
        <v>203</v>
      </c>
      <c r="C14">
        <v>0</v>
      </c>
      <c r="D14">
        <v>0</v>
      </c>
    </row>
    <row r="15" spans="1:5" ht="15" customHeight="1" x14ac:dyDescent="0.15">
      <c r="A15">
        <v>14</v>
      </c>
      <c r="B15" s="162" t="s">
        <v>204</v>
      </c>
      <c r="C15">
        <v>0</v>
      </c>
      <c r="D15">
        <v>0</v>
      </c>
    </row>
    <row r="16" spans="1:5" ht="15" customHeight="1" x14ac:dyDescent="0.15">
      <c r="A16">
        <v>15</v>
      </c>
      <c r="B16" s="162" t="s">
        <v>205</v>
      </c>
      <c r="C16">
        <v>0</v>
      </c>
      <c r="D16">
        <v>0</v>
      </c>
    </row>
    <row r="17" spans="1:4" ht="15" customHeight="1" x14ac:dyDescent="0.15">
      <c r="A17">
        <v>16</v>
      </c>
      <c r="B17" s="162" t="s">
        <v>206</v>
      </c>
      <c r="C17">
        <v>0</v>
      </c>
      <c r="D17">
        <v>0</v>
      </c>
    </row>
    <row r="18" spans="1:4" ht="15" customHeight="1" x14ac:dyDescent="0.15">
      <c r="A18">
        <v>17</v>
      </c>
      <c r="B18" s="162" t="s">
        <v>207</v>
      </c>
      <c r="C18">
        <v>0</v>
      </c>
      <c r="D18">
        <v>0</v>
      </c>
    </row>
    <row r="19" spans="1:4" ht="15" customHeight="1" x14ac:dyDescent="0.15">
      <c r="A19">
        <v>18</v>
      </c>
      <c r="B19" s="162" t="s">
        <v>208</v>
      </c>
      <c r="C19">
        <v>0</v>
      </c>
      <c r="D19">
        <v>0</v>
      </c>
    </row>
    <row r="20" spans="1:4" ht="15" customHeight="1" x14ac:dyDescent="0.15">
      <c r="A20">
        <v>19</v>
      </c>
      <c r="B20" s="162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62" t="s">
        <v>210</v>
      </c>
      <c r="C21">
        <v>0</v>
      </c>
      <c r="D21">
        <v>0</v>
      </c>
    </row>
    <row r="22" spans="1:4" ht="15" customHeight="1" x14ac:dyDescent="0.15">
      <c r="A22">
        <v>21</v>
      </c>
      <c r="B22" s="162" t="s">
        <v>211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2" sqref="B12"/>
    </sheetView>
  </sheetViews>
  <sheetFormatPr baseColWidth="10" defaultColWidth="8.83203125" defaultRowHeight="13" x14ac:dyDescent="0.15"/>
  <cols>
    <col min="1" max="1" width="3.33203125" customWidth="1"/>
    <col min="2" max="2" width="15.5" bestFit="1" customWidth="1"/>
    <col min="3" max="4" width="18.33203125" customWidth="1"/>
    <col min="5" max="5" width="12.1640625" bestFit="1" customWidth="1"/>
  </cols>
  <sheetData>
    <row r="1" spans="1:4" s="103" customFormat="1" ht="112" x14ac:dyDescent="0.15">
      <c r="A1" s="5" t="s">
        <v>22</v>
      </c>
      <c r="B1" s="3" t="s">
        <v>0</v>
      </c>
      <c r="C1" s="185" t="s">
        <v>216</v>
      </c>
      <c r="D1" s="165" t="s">
        <v>215</v>
      </c>
    </row>
    <row r="2" spans="1:4" x14ac:dyDescent="0.15">
      <c r="A2">
        <v>1</v>
      </c>
      <c r="B2" s="164" t="s">
        <v>192</v>
      </c>
      <c r="C2">
        <v>0</v>
      </c>
      <c r="D2">
        <v>0</v>
      </c>
    </row>
    <row r="3" spans="1:4" x14ac:dyDescent="0.15">
      <c r="A3">
        <v>2</v>
      </c>
      <c r="B3" s="164" t="s">
        <v>193</v>
      </c>
      <c r="C3">
        <v>0</v>
      </c>
      <c r="D3">
        <v>0</v>
      </c>
    </row>
    <row r="4" spans="1:4" x14ac:dyDescent="0.15">
      <c r="A4">
        <v>3</v>
      </c>
      <c r="B4" s="164" t="s">
        <v>194</v>
      </c>
      <c r="C4">
        <v>0</v>
      </c>
      <c r="D4">
        <v>0</v>
      </c>
    </row>
    <row r="5" spans="1:4" x14ac:dyDescent="0.15">
      <c r="A5">
        <v>4</v>
      </c>
      <c r="B5" s="164" t="s">
        <v>195</v>
      </c>
      <c r="C5">
        <v>0</v>
      </c>
      <c r="D5">
        <v>0</v>
      </c>
    </row>
    <row r="6" spans="1:4" x14ac:dyDescent="0.15">
      <c r="A6">
        <v>5</v>
      </c>
      <c r="B6" s="164" t="s">
        <v>196</v>
      </c>
      <c r="C6">
        <v>0</v>
      </c>
      <c r="D6">
        <v>0</v>
      </c>
    </row>
    <row r="7" spans="1:4" x14ac:dyDescent="0.15">
      <c r="A7">
        <v>6</v>
      </c>
      <c r="B7" s="164" t="s">
        <v>197</v>
      </c>
      <c r="C7">
        <v>0</v>
      </c>
      <c r="D7">
        <v>0</v>
      </c>
    </row>
    <row r="8" spans="1:4" x14ac:dyDescent="0.15">
      <c r="A8">
        <v>7</v>
      </c>
      <c r="B8" s="164" t="s">
        <v>198</v>
      </c>
      <c r="C8">
        <v>0</v>
      </c>
      <c r="D8">
        <v>0</v>
      </c>
    </row>
    <row r="9" spans="1:4" x14ac:dyDescent="0.15">
      <c r="A9">
        <v>8</v>
      </c>
      <c r="B9" s="164" t="s">
        <v>199</v>
      </c>
      <c r="C9">
        <v>0</v>
      </c>
      <c r="D9">
        <v>0</v>
      </c>
    </row>
    <row r="10" spans="1:4" x14ac:dyDescent="0.15">
      <c r="A10">
        <v>9</v>
      </c>
      <c r="B10" s="164" t="s">
        <v>200</v>
      </c>
      <c r="C10">
        <v>0</v>
      </c>
      <c r="D10">
        <v>0</v>
      </c>
    </row>
    <row r="11" spans="1:4" x14ac:dyDescent="0.15">
      <c r="A11">
        <v>10</v>
      </c>
      <c r="B11" s="164" t="s">
        <v>201</v>
      </c>
      <c r="C11">
        <v>0</v>
      </c>
      <c r="D11">
        <v>0</v>
      </c>
    </row>
    <row r="12" spans="1:4" x14ac:dyDescent="0.15">
      <c r="A12">
        <v>11</v>
      </c>
      <c r="B12" s="164" t="s">
        <v>219</v>
      </c>
      <c r="C12">
        <v>0</v>
      </c>
      <c r="D12">
        <v>0</v>
      </c>
    </row>
    <row r="13" spans="1:4" x14ac:dyDescent="0.15">
      <c r="A13">
        <v>12</v>
      </c>
      <c r="B13" s="164" t="s">
        <v>202</v>
      </c>
      <c r="C13">
        <v>0</v>
      </c>
      <c r="D13">
        <v>0</v>
      </c>
    </row>
    <row r="14" spans="1:4" x14ac:dyDescent="0.15">
      <c r="A14">
        <v>13</v>
      </c>
      <c r="B14" s="164" t="s">
        <v>203</v>
      </c>
      <c r="C14">
        <v>0</v>
      </c>
      <c r="D14">
        <v>0</v>
      </c>
    </row>
    <row r="15" spans="1:4" x14ac:dyDescent="0.15">
      <c r="A15">
        <v>14</v>
      </c>
      <c r="B15" s="164" t="s">
        <v>204</v>
      </c>
      <c r="C15">
        <v>0</v>
      </c>
      <c r="D15">
        <v>0</v>
      </c>
    </row>
    <row r="16" spans="1:4" x14ac:dyDescent="0.15">
      <c r="A16">
        <v>15</v>
      </c>
      <c r="B16" s="164" t="s">
        <v>205</v>
      </c>
      <c r="C16">
        <v>0</v>
      </c>
      <c r="D16">
        <v>0</v>
      </c>
    </row>
    <row r="17" spans="1:4" x14ac:dyDescent="0.15">
      <c r="A17">
        <v>16</v>
      </c>
      <c r="B17" s="164" t="s">
        <v>206</v>
      </c>
      <c r="C17">
        <v>0</v>
      </c>
      <c r="D17">
        <v>0</v>
      </c>
    </row>
    <row r="18" spans="1:4" x14ac:dyDescent="0.15">
      <c r="A18">
        <v>17</v>
      </c>
      <c r="B18" s="164" t="s">
        <v>207</v>
      </c>
      <c r="C18">
        <v>0</v>
      </c>
      <c r="D18">
        <v>0</v>
      </c>
    </row>
    <row r="19" spans="1:4" x14ac:dyDescent="0.15">
      <c r="A19">
        <v>18</v>
      </c>
      <c r="B19" s="164" t="s">
        <v>208</v>
      </c>
      <c r="C19">
        <v>0</v>
      </c>
      <c r="D19">
        <v>0</v>
      </c>
    </row>
    <row r="20" spans="1:4" x14ac:dyDescent="0.15">
      <c r="A20">
        <v>19</v>
      </c>
      <c r="B20" s="164" t="s">
        <v>209</v>
      </c>
      <c r="C20">
        <v>0</v>
      </c>
      <c r="D20">
        <v>0</v>
      </c>
    </row>
    <row r="21" spans="1:4" x14ac:dyDescent="0.15">
      <c r="A21">
        <v>20</v>
      </c>
      <c r="B21" s="164" t="s">
        <v>210</v>
      </c>
      <c r="C21">
        <v>0</v>
      </c>
      <c r="D21">
        <v>0</v>
      </c>
    </row>
    <row r="22" spans="1:4" x14ac:dyDescent="0.15">
      <c r="A22">
        <v>21</v>
      </c>
      <c r="B22" s="164" t="s">
        <v>211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E12" sqref="E1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5" bestFit="1" customWidth="1"/>
    <col min="6" max="6" width="4.83203125" bestFit="1" customWidth="1"/>
    <col min="7" max="9" width="3.83203125" bestFit="1" customWidth="1"/>
    <col min="10" max="11" width="4.83203125" style="10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4" customFormat="1" ht="14" thickBot="1" x14ac:dyDescent="0.2">
      <c r="D1" s="105" t="s">
        <v>8</v>
      </c>
      <c r="E1" s="105" t="s">
        <v>0</v>
      </c>
      <c r="F1" s="106" t="s">
        <v>99</v>
      </c>
      <c r="G1" s="107" t="s">
        <v>84</v>
      </c>
      <c r="H1" s="107" t="s">
        <v>85</v>
      </c>
      <c r="I1" s="107" t="s">
        <v>86</v>
      </c>
      <c r="J1" s="107" t="s">
        <v>87</v>
      </c>
      <c r="K1" s="107" t="s">
        <v>88</v>
      </c>
      <c r="L1" s="108" t="s">
        <v>89</v>
      </c>
      <c r="M1" s="108" t="s">
        <v>93</v>
      </c>
      <c r="N1" s="108" t="s">
        <v>92</v>
      </c>
      <c r="O1" s="108" t="s">
        <v>90</v>
      </c>
      <c r="P1" s="108" t="s">
        <v>91</v>
      </c>
      <c r="Q1" s="109" t="s">
        <v>94</v>
      </c>
      <c r="R1" s="109" t="s">
        <v>95</v>
      </c>
      <c r="S1" s="109" t="s">
        <v>96</v>
      </c>
      <c r="T1" s="109" t="s">
        <v>97</v>
      </c>
      <c r="U1" s="109" t="s">
        <v>98</v>
      </c>
      <c r="V1" s="107" t="s">
        <v>100</v>
      </c>
      <c r="W1" s="107" t="s">
        <v>101</v>
      </c>
      <c r="X1" s="107" t="s">
        <v>102</v>
      </c>
      <c r="Y1" s="107" t="s">
        <v>134</v>
      </c>
      <c r="Z1" s="108" t="s">
        <v>103</v>
      </c>
      <c r="AA1" s="108" t="s">
        <v>104</v>
      </c>
      <c r="AB1" s="108" t="s">
        <v>105</v>
      </c>
      <c r="AC1" s="110" t="s">
        <v>135</v>
      </c>
      <c r="AD1" s="109" t="s">
        <v>106</v>
      </c>
      <c r="AE1" s="109" t="s">
        <v>107</v>
      </c>
      <c r="AF1" s="109" t="s">
        <v>108</v>
      </c>
      <c r="AG1" s="109" t="s">
        <v>136</v>
      </c>
      <c r="AH1" s="107" t="s">
        <v>109</v>
      </c>
      <c r="AI1" s="107" t="s">
        <v>111</v>
      </c>
      <c r="AJ1" s="107" t="s">
        <v>110</v>
      </c>
      <c r="AK1" s="108" t="s">
        <v>115</v>
      </c>
      <c r="AL1" s="108" t="s">
        <v>116</v>
      </c>
      <c r="AM1" s="108" t="s">
        <v>117</v>
      </c>
      <c r="AN1" s="109" t="s">
        <v>112</v>
      </c>
      <c r="AO1" s="109" t="s">
        <v>113</v>
      </c>
      <c r="AP1" s="109" t="s">
        <v>114</v>
      </c>
    </row>
    <row r="2" spans="1:42" x14ac:dyDescent="0.15">
      <c r="A2" s="111" t="s">
        <v>74</v>
      </c>
      <c r="B2" s="112">
        <v>1</v>
      </c>
      <c r="D2">
        <v>1</v>
      </c>
      <c r="E2" s="166" t="s">
        <v>192</v>
      </c>
      <c r="F2">
        <v>0.98</v>
      </c>
      <c r="G2">
        <v>0.8</v>
      </c>
      <c r="H2">
        <v>0.8</v>
      </c>
      <c r="I2">
        <v>0.8</v>
      </c>
      <c r="J2" s="102">
        <v>0.25</v>
      </c>
      <c r="K2" s="102">
        <v>0.05</v>
      </c>
    </row>
    <row r="3" spans="1:42" x14ac:dyDescent="0.15">
      <c r="A3" s="111" t="s">
        <v>75</v>
      </c>
      <c r="B3" s="113">
        <v>1</v>
      </c>
      <c r="D3">
        <v>2</v>
      </c>
      <c r="E3" s="166" t="s">
        <v>193</v>
      </c>
      <c r="F3">
        <v>0.98</v>
      </c>
      <c r="G3">
        <v>0.8</v>
      </c>
      <c r="H3">
        <v>0.8</v>
      </c>
      <c r="I3">
        <v>0.8</v>
      </c>
      <c r="J3" s="102">
        <v>0.25</v>
      </c>
      <c r="K3" s="102">
        <v>0.05</v>
      </c>
    </row>
    <row r="4" spans="1:42" x14ac:dyDescent="0.15">
      <c r="A4" s="111" t="s">
        <v>76</v>
      </c>
      <c r="B4" s="113">
        <v>1</v>
      </c>
      <c r="D4">
        <v>3</v>
      </c>
      <c r="E4" s="166" t="s">
        <v>194</v>
      </c>
      <c r="F4">
        <v>0.98</v>
      </c>
      <c r="G4">
        <v>0.8</v>
      </c>
      <c r="H4">
        <v>0.8</v>
      </c>
      <c r="I4">
        <v>0.8</v>
      </c>
      <c r="J4" s="102">
        <v>0.25</v>
      </c>
      <c r="K4" s="102">
        <v>0.05</v>
      </c>
    </row>
    <row r="5" spans="1:42" x14ac:dyDescent="0.15">
      <c r="A5" s="111" t="s">
        <v>77</v>
      </c>
      <c r="B5" s="113">
        <v>1</v>
      </c>
      <c r="D5">
        <v>4</v>
      </c>
      <c r="E5" s="166" t="s">
        <v>195</v>
      </c>
      <c r="F5">
        <v>0.98</v>
      </c>
      <c r="G5">
        <v>0.8</v>
      </c>
      <c r="H5">
        <v>0.8</v>
      </c>
      <c r="I5">
        <v>0.8</v>
      </c>
      <c r="J5" s="102">
        <v>0.25</v>
      </c>
      <c r="K5" s="102">
        <v>0.05</v>
      </c>
    </row>
    <row r="6" spans="1:42" x14ac:dyDescent="0.15">
      <c r="A6" s="111" t="s">
        <v>78</v>
      </c>
      <c r="B6" s="113">
        <v>1</v>
      </c>
      <c r="D6">
        <v>5</v>
      </c>
      <c r="E6" s="166" t="s">
        <v>196</v>
      </c>
      <c r="F6">
        <v>0.98</v>
      </c>
      <c r="G6">
        <v>0.8</v>
      </c>
      <c r="H6">
        <v>0.8</v>
      </c>
      <c r="I6">
        <v>0.8</v>
      </c>
      <c r="J6" s="102">
        <v>0.25</v>
      </c>
      <c r="K6" s="102">
        <v>0.05</v>
      </c>
    </row>
    <row r="7" spans="1:42" x14ac:dyDescent="0.15">
      <c r="A7" s="111" t="s">
        <v>79</v>
      </c>
      <c r="B7" s="113">
        <v>1</v>
      </c>
      <c r="D7">
        <v>6</v>
      </c>
      <c r="E7" s="166" t="s">
        <v>197</v>
      </c>
      <c r="F7">
        <v>0.98</v>
      </c>
      <c r="G7">
        <v>0.8</v>
      </c>
      <c r="H7">
        <v>0.8</v>
      </c>
      <c r="I7">
        <v>0.8</v>
      </c>
      <c r="J7" s="102">
        <v>0.25</v>
      </c>
      <c r="K7" s="102">
        <v>0.05</v>
      </c>
    </row>
    <row r="8" spans="1:42" x14ac:dyDescent="0.15">
      <c r="A8" s="111" t="s">
        <v>80</v>
      </c>
      <c r="B8" s="113">
        <v>1</v>
      </c>
      <c r="D8">
        <v>7</v>
      </c>
      <c r="E8" s="166" t="s">
        <v>198</v>
      </c>
      <c r="F8">
        <v>0.98</v>
      </c>
      <c r="G8">
        <v>0.8</v>
      </c>
      <c r="H8">
        <v>0.8</v>
      </c>
      <c r="I8">
        <v>0.8</v>
      </c>
      <c r="J8" s="102">
        <v>0.25</v>
      </c>
      <c r="K8" s="102">
        <v>0.05</v>
      </c>
    </row>
    <row r="9" spans="1:42" x14ac:dyDescent="0.15">
      <c r="A9" s="111" t="s">
        <v>81</v>
      </c>
      <c r="B9" s="113">
        <v>0.1</v>
      </c>
      <c r="C9" s="57" t="s">
        <v>150</v>
      </c>
      <c r="D9">
        <v>8</v>
      </c>
      <c r="E9" s="166" t="s">
        <v>199</v>
      </c>
      <c r="F9">
        <v>0.98</v>
      </c>
      <c r="G9">
        <v>0.8</v>
      </c>
      <c r="H9">
        <v>0.8</v>
      </c>
      <c r="I9">
        <v>0.8</v>
      </c>
      <c r="J9" s="102">
        <v>0.25</v>
      </c>
      <c r="K9" s="102">
        <v>0.05</v>
      </c>
    </row>
    <row r="10" spans="1:42" ht="14" thickBot="1" x14ac:dyDescent="0.2">
      <c r="A10" s="111" t="s">
        <v>149</v>
      </c>
      <c r="B10" s="114">
        <f>1/3</f>
        <v>0.33333333333333331</v>
      </c>
      <c r="C10" s="57" t="s">
        <v>150</v>
      </c>
      <c r="D10">
        <v>9</v>
      </c>
      <c r="E10" s="166" t="s">
        <v>200</v>
      </c>
      <c r="F10">
        <v>0.98</v>
      </c>
      <c r="G10">
        <v>0.8</v>
      </c>
      <c r="H10">
        <v>0.8</v>
      </c>
      <c r="I10">
        <v>0.8</v>
      </c>
      <c r="J10" s="102">
        <v>0.25</v>
      </c>
      <c r="K10" s="102">
        <v>0.05</v>
      </c>
    </row>
    <row r="11" spans="1:42" x14ac:dyDescent="0.15">
      <c r="D11">
        <v>10</v>
      </c>
      <c r="E11" s="166" t="s">
        <v>201</v>
      </c>
      <c r="F11">
        <v>0.98</v>
      </c>
      <c r="G11">
        <v>0.8</v>
      </c>
      <c r="H11">
        <v>0.8</v>
      </c>
      <c r="I11">
        <v>0.8</v>
      </c>
      <c r="J11" s="102">
        <v>0.25</v>
      </c>
      <c r="K11" s="102">
        <v>0.05</v>
      </c>
    </row>
    <row r="12" spans="1:42" x14ac:dyDescent="0.15">
      <c r="D12">
        <v>11</v>
      </c>
      <c r="E12" s="166" t="s">
        <v>219</v>
      </c>
      <c r="F12">
        <v>0.98</v>
      </c>
      <c r="G12">
        <v>0.8</v>
      </c>
      <c r="H12">
        <v>0.8</v>
      </c>
      <c r="I12">
        <v>0.8</v>
      </c>
      <c r="J12" s="102">
        <v>0.25</v>
      </c>
      <c r="K12" s="102">
        <v>0.05</v>
      </c>
    </row>
    <row r="13" spans="1:42" x14ac:dyDescent="0.15">
      <c r="D13">
        <v>12</v>
      </c>
      <c r="E13" s="166" t="s">
        <v>202</v>
      </c>
      <c r="F13">
        <v>0.98</v>
      </c>
      <c r="G13">
        <v>0.8</v>
      </c>
      <c r="H13">
        <v>0.8</v>
      </c>
      <c r="I13">
        <v>0.8</v>
      </c>
      <c r="J13" s="102">
        <v>0.25</v>
      </c>
      <c r="K13" s="102">
        <v>0.05</v>
      </c>
    </row>
    <row r="14" spans="1:42" x14ac:dyDescent="0.15">
      <c r="D14">
        <v>13</v>
      </c>
      <c r="E14" s="166" t="s">
        <v>203</v>
      </c>
      <c r="F14">
        <v>0.98</v>
      </c>
      <c r="G14">
        <v>0.8</v>
      </c>
      <c r="H14">
        <v>0.8</v>
      </c>
      <c r="I14">
        <v>0.8</v>
      </c>
      <c r="J14" s="102">
        <v>0.25</v>
      </c>
      <c r="K14" s="102">
        <v>0.05</v>
      </c>
    </row>
    <row r="15" spans="1:42" x14ac:dyDescent="0.15">
      <c r="D15">
        <v>14</v>
      </c>
      <c r="E15" s="166" t="s">
        <v>204</v>
      </c>
      <c r="F15">
        <v>0.98</v>
      </c>
      <c r="G15">
        <v>0.8</v>
      </c>
      <c r="H15">
        <v>0.8</v>
      </c>
      <c r="I15">
        <v>0.8</v>
      </c>
      <c r="J15" s="102">
        <v>0.25</v>
      </c>
      <c r="K15" s="102">
        <v>0.05</v>
      </c>
    </row>
    <row r="16" spans="1:42" x14ac:dyDescent="0.15">
      <c r="D16">
        <v>15</v>
      </c>
      <c r="E16" s="166" t="s">
        <v>205</v>
      </c>
      <c r="F16">
        <v>0.98</v>
      </c>
      <c r="G16">
        <v>0.8</v>
      </c>
      <c r="H16">
        <v>0.8</v>
      </c>
      <c r="I16">
        <v>0.8</v>
      </c>
      <c r="J16" s="102">
        <v>0.25</v>
      </c>
      <c r="K16" s="102">
        <v>0.05</v>
      </c>
    </row>
    <row r="17" spans="4:33" ht="15" customHeight="1" x14ac:dyDescent="0.15">
      <c r="D17">
        <v>16</v>
      </c>
      <c r="E17" s="166" t="s">
        <v>206</v>
      </c>
      <c r="F17">
        <v>0.98</v>
      </c>
      <c r="G17">
        <v>0.8</v>
      </c>
      <c r="H17">
        <v>0.8</v>
      </c>
      <c r="I17">
        <v>0.8</v>
      </c>
      <c r="J17" s="102">
        <v>0.25</v>
      </c>
      <c r="K17" s="102">
        <v>0.05</v>
      </c>
    </row>
    <row r="18" spans="4:33" ht="15" customHeight="1" x14ac:dyDescent="0.15">
      <c r="D18">
        <v>17</v>
      </c>
      <c r="E18" s="166" t="s">
        <v>207</v>
      </c>
      <c r="F18">
        <v>0.98</v>
      </c>
      <c r="G18">
        <v>0.8</v>
      </c>
      <c r="H18">
        <v>0.8</v>
      </c>
      <c r="I18">
        <v>0.8</v>
      </c>
      <c r="J18" s="102">
        <v>0.25</v>
      </c>
      <c r="K18" s="102">
        <v>0.05</v>
      </c>
    </row>
    <row r="19" spans="4:33" ht="15" customHeight="1" x14ac:dyDescent="0.15">
      <c r="D19">
        <v>18</v>
      </c>
      <c r="E19" s="166" t="s">
        <v>208</v>
      </c>
      <c r="F19">
        <v>0.98</v>
      </c>
      <c r="G19">
        <v>0.8</v>
      </c>
      <c r="H19">
        <v>0.8</v>
      </c>
      <c r="I19">
        <v>0</v>
      </c>
      <c r="J19" s="102">
        <v>0</v>
      </c>
      <c r="K19" s="102">
        <v>0</v>
      </c>
    </row>
    <row r="20" spans="4:33" ht="15" customHeight="1" x14ac:dyDescent="0.15">
      <c r="D20">
        <v>19</v>
      </c>
      <c r="E20" s="166" t="s">
        <v>209</v>
      </c>
      <c r="F20">
        <v>0.98</v>
      </c>
      <c r="G20">
        <v>0.8</v>
      </c>
      <c r="H20">
        <v>0.8</v>
      </c>
      <c r="I20">
        <v>0</v>
      </c>
      <c r="J20" s="102">
        <v>0</v>
      </c>
      <c r="K20" s="102">
        <v>0</v>
      </c>
    </row>
    <row r="21" spans="4:33" ht="15" customHeight="1" x14ac:dyDescent="0.15">
      <c r="D21">
        <v>20</v>
      </c>
      <c r="E21" s="166" t="s">
        <v>210</v>
      </c>
      <c r="F21">
        <v>0.98</v>
      </c>
      <c r="G21">
        <v>0.8</v>
      </c>
      <c r="H21">
        <v>0</v>
      </c>
      <c r="I21">
        <v>0</v>
      </c>
      <c r="J21" s="102">
        <v>0</v>
      </c>
      <c r="K21" s="102">
        <v>0</v>
      </c>
    </row>
    <row r="22" spans="4:33" ht="15" customHeight="1" x14ac:dyDescent="0.15">
      <c r="D22">
        <v>21</v>
      </c>
      <c r="E22" s="166" t="s">
        <v>211</v>
      </c>
      <c r="F22">
        <v>0.98</v>
      </c>
      <c r="G22">
        <v>0.8</v>
      </c>
      <c r="H22">
        <v>0</v>
      </c>
      <c r="I22">
        <v>0</v>
      </c>
      <c r="J22" s="102">
        <v>0</v>
      </c>
      <c r="K22" s="102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12" sqref="A12"/>
    </sheetView>
  </sheetViews>
  <sheetFormatPr baseColWidth="10" defaultRowHeight="13" x14ac:dyDescent="0.15"/>
  <cols>
    <col min="1" max="1" width="21.6640625" style="100" bestFit="1" customWidth="1"/>
    <col min="2" max="18" width="3.83203125" style="100" customWidth="1"/>
    <col min="19" max="22" width="2.33203125" style="100" customWidth="1"/>
    <col min="23" max="16384" width="10.83203125" style="100"/>
  </cols>
  <sheetData>
    <row r="1" spans="1:30" x14ac:dyDescent="0.15">
      <c r="A1" s="59" t="s">
        <v>118</v>
      </c>
      <c r="B1" s="168" t="s">
        <v>192</v>
      </c>
      <c r="C1" s="168" t="s">
        <v>193</v>
      </c>
      <c r="D1" s="168" t="s">
        <v>194</v>
      </c>
      <c r="E1" s="168" t="s">
        <v>195</v>
      </c>
      <c r="F1" s="168" t="s">
        <v>196</v>
      </c>
      <c r="G1" s="168" t="s">
        <v>197</v>
      </c>
      <c r="H1" s="168" t="s">
        <v>198</v>
      </c>
      <c r="I1" s="168" t="s">
        <v>199</v>
      </c>
      <c r="J1" s="168" t="s">
        <v>200</v>
      </c>
      <c r="K1" s="168" t="s">
        <v>201</v>
      </c>
      <c r="L1" s="168" t="s">
        <v>219</v>
      </c>
      <c r="M1" s="168" t="s">
        <v>202</v>
      </c>
      <c r="N1" s="168" t="s">
        <v>203</v>
      </c>
      <c r="O1" s="168" t="s">
        <v>204</v>
      </c>
      <c r="P1" s="168" t="s">
        <v>205</v>
      </c>
      <c r="Q1" s="168" t="s">
        <v>206</v>
      </c>
      <c r="R1" s="168" t="s">
        <v>207</v>
      </c>
      <c r="S1" s="168" t="s">
        <v>208</v>
      </c>
      <c r="T1" s="168" t="s">
        <v>209</v>
      </c>
      <c r="U1" s="168" t="s">
        <v>210</v>
      </c>
      <c r="V1" s="168" t="s">
        <v>211</v>
      </c>
      <c r="W1"/>
      <c r="X1"/>
      <c r="Y1"/>
      <c r="Z1"/>
      <c r="AA1"/>
      <c r="AB1"/>
      <c r="AC1"/>
      <c r="AD1"/>
    </row>
    <row r="2" spans="1:30" customFormat="1" x14ac:dyDescent="0.15">
      <c r="A2" s="167" t="s">
        <v>192</v>
      </c>
      <c r="B2" s="100">
        <v>0.8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0.8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</row>
    <row r="3" spans="1:30" customFormat="1" x14ac:dyDescent="0.15">
      <c r="A3" s="167" t="s">
        <v>193</v>
      </c>
      <c r="B3" s="100">
        <v>0.8</v>
      </c>
      <c r="C3" s="100">
        <v>0.8</v>
      </c>
      <c r="D3" s="100">
        <v>0</v>
      </c>
      <c r="E3" s="100">
        <v>0.8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  <c r="V3" s="100">
        <v>0</v>
      </c>
    </row>
    <row r="4" spans="1:30" customFormat="1" x14ac:dyDescent="0.15">
      <c r="A4" s="167" t="s">
        <v>194</v>
      </c>
      <c r="B4" s="100">
        <v>0.8</v>
      </c>
      <c r="C4" s="100">
        <v>0.8</v>
      </c>
      <c r="D4" s="100">
        <v>0</v>
      </c>
      <c r="E4" s="100">
        <v>0.8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  <c r="L4" s="100">
        <v>0.8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</row>
    <row r="5" spans="1:30" customFormat="1" x14ac:dyDescent="0.15">
      <c r="A5" s="167" t="s">
        <v>195</v>
      </c>
      <c r="B5" s="100">
        <v>0.8</v>
      </c>
      <c r="C5" s="100">
        <v>0.8</v>
      </c>
      <c r="D5" s="100">
        <v>0</v>
      </c>
      <c r="E5" s="100">
        <v>0.8</v>
      </c>
      <c r="F5" s="100">
        <v>0</v>
      </c>
      <c r="G5" s="100">
        <v>0.8</v>
      </c>
      <c r="H5" s="100">
        <v>0.8</v>
      </c>
      <c r="I5" s="100">
        <v>0</v>
      </c>
      <c r="J5" s="100">
        <v>0</v>
      </c>
      <c r="K5" s="100">
        <v>0</v>
      </c>
      <c r="L5" s="100">
        <v>0.8</v>
      </c>
      <c r="M5" s="100">
        <v>0</v>
      </c>
      <c r="N5" s="100">
        <v>0.8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</row>
    <row r="6" spans="1:30" customFormat="1" x14ac:dyDescent="0.15">
      <c r="A6" s="167" t="s">
        <v>196</v>
      </c>
      <c r="B6" s="100">
        <v>0.8</v>
      </c>
      <c r="C6" s="100">
        <v>0.8</v>
      </c>
      <c r="D6" s="100">
        <v>0</v>
      </c>
      <c r="E6" s="100">
        <v>0.8</v>
      </c>
      <c r="F6" s="100">
        <v>0.8</v>
      </c>
      <c r="G6" s="100">
        <v>0.8</v>
      </c>
      <c r="H6" s="100">
        <v>0</v>
      </c>
      <c r="I6" s="100">
        <v>0</v>
      </c>
      <c r="J6" s="100">
        <v>0</v>
      </c>
      <c r="K6" s="100">
        <v>0</v>
      </c>
      <c r="L6" s="100">
        <v>0.8</v>
      </c>
      <c r="M6" s="100">
        <v>0</v>
      </c>
      <c r="N6" s="100">
        <v>0.8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</row>
    <row r="7" spans="1:30" customFormat="1" x14ac:dyDescent="0.15">
      <c r="A7" s="167" t="s">
        <v>197</v>
      </c>
      <c r="B7" s="100">
        <v>0.8</v>
      </c>
      <c r="C7" s="100">
        <v>0.8</v>
      </c>
      <c r="D7" s="100">
        <v>0</v>
      </c>
      <c r="E7" s="100">
        <v>0.8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  <c r="L7" s="100">
        <v>0.8</v>
      </c>
      <c r="M7" s="100">
        <v>0</v>
      </c>
      <c r="N7" s="100">
        <v>0.8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  <c r="U7" s="100">
        <v>0</v>
      </c>
      <c r="V7" s="100">
        <v>0</v>
      </c>
    </row>
    <row r="8" spans="1:30" customFormat="1" x14ac:dyDescent="0.15">
      <c r="A8" s="167" t="s">
        <v>198</v>
      </c>
      <c r="B8" s="100">
        <v>0.8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0</v>
      </c>
      <c r="K8" s="100">
        <v>0</v>
      </c>
      <c r="L8" s="100">
        <v>0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  <c r="U8" s="100">
        <v>0</v>
      </c>
      <c r="V8" s="100">
        <v>0</v>
      </c>
    </row>
    <row r="9" spans="1:30" customFormat="1" x14ac:dyDescent="0.15">
      <c r="A9" s="167" t="s">
        <v>199</v>
      </c>
      <c r="B9" s="100">
        <v>0.8</v>
      </c>
      <c r="C9" s="100">
        <v>0.8</v>
      </c>
      <c r="D9" s="100">
        <v>0</v>
      </c>
      <c r="E9" s="100">
        <v>0.8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  <c r="L9" s="100">
        <v>0</v>
      </c>
      <c r="M9" s="100">
        <v>0</v>
      </c>
      <c r="N9" s="100">
        <v>0.8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  <c r="V9" s="100">
        <v>0</v>
      </c>
    </row>
    <row r="10" spans="1:30" customFormat="1" x14ac:dyDescent="0.15">
      <c r="A10" s="167" t="s">
        <v>200</v>
      </c>
      <c r="B10" s="100">
        <v>0.8</v>
      </c>
      <c r="C10" s="100">
        <v>0.8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0.8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  <c r="V10" s="100">
        <v>0</v>
      </c>
    </row>
    <row r="11" spans="1:30" customFormat="1" x14ac:dyDescent="0.15">
      <c r="A11" s="167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</row>
    <row r="12" spans="1:30" customFormat="1" x14ac:dyDescent="0.15">
      <c r="A12" s="167" t="s">
        <v>219</v>
      </c>
      <c r="B12" s="100">
        <v>0.8</v>
      </c>
      <c r="C12" s="100">
        <v>0.8</v>
      </c>
      <c r="D12" s="100">
        <v>0</v>
      </c>
      <c r="E12" s="100">
        <v>0.8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0.8</v>
      </c>
      <c r="M12" s="100">
        <v>0</v>
      </c>
      <c r="N12" s="100">
        <v>0.8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</row>
    <row r="13" spans="1:30" customFormat="1" x14ac:dyDescent="0.15">
      <c r="A13" s="167" t="s">
        <v>202</v>
      </c>
      <c r="B13" s="100">
        <v>0.8</v>
      </c>
      <c r="C13" s="100">
        <v>0</v>
      </c>
      <c r="D13" s="100">
        <v>0</v>
      </c>
      <c r="E13" s="100">
        <v>0.8</v>
      </c>
      <c r="F13" s="100">
        <v>0</v>
      </c>
      <c r="G13" s="100">
        <v>0.8</v>
      </c>
      <c r="H13" s="100">
        <v>0</v>
      </c>
      <c r="I13" s="100">
        <v>0.8</v>
      </c>
      <c r="J13" s="100">
        <v>0</v>
      </c>
      <c r="K13" s="100">
        <v>0.8</v>
      </c>
      <c r="L13" s="100">
        <v>0</v>
      </c>
      <c r="M13" s="100">
        <v>0.8</v>
      </c>
      <c r="N13" s="100">
        <v>0.8</v>
      </c>
      <c r="O13" s="100">
        <v>0.8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</row>
    <row r="14" spans="1:30" customFormat="1" x14ac:dyDescent="0.15">
      <c r="A14" s="167" t="s">
        <v>203</v>
      </c>
      <c r="B14" s="100">
        <v>0.8</v>
      </c>
      <c r="C14" s="100">
        <v>0.8</v>
      </c>
      <c r="D14" s="100">
        <v>0.8</v>
      </c>
      <c r="E14" s="100">
        <v>0.8</v>
      </c>
      <c r="F14" s="100">
        <v>0.8</v>
      </c>
      <c r="G14" s="100">
        <v>0.8</v>
      </c>
      <c r="H14" s="100">
        <v>0.8</v>
      </c>
      <c r="I14" s="100">
        <v>0</v>
      </c>
      <c r="J14" s="100">
        <v>0.8</v>
      </c>
      <c r="K14" s="100">
        <v>0.8</v>
      </c>
      <c r="L14" s="100">
        <v>0.8</v>
      </c>
      <c r="M14" s="100">
        <v>0.8</v>
      </c>
      <c r="N14" s="100">
        <v>0.8</v>
      </c>
      <c r="O14" s="100">
        <v>0.8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</row>
    <row r="15" spans="1:30" customFormat="1" x14ac:dyDescent="0.15">
      <c r="A15" s="167" t="s">
        <v>204</v>
      </c>
      <c r="B15" s="100">
        <v>0.8</v>
      </c>
      <c r="C15" s="100">
        <v>0.8</v>
      </c>
      <c r="D15" s="100">
        <v>0.8</v>
      </c>
      <c r="E15" s="100">
        <v>0.8</v>
      </c>
      <c r="F15" s="100">
        <v>0</v>
      </c>
      <c r="G15" s="100">
        <v>0.8</v>
      </c>
      <c r="H15" s="100">
        <v>0</v>
      </c>
      <c r="I15" s="100">
        <v>0.8</v>
      </c>
      <c r="J15" s="100">
        <v>0</v>
      </c>
      <c r="K15" s="100">
        <v>0.8</v>
      </c>
      <c r="L15" s="100">
        <v>0.8</v>
      </c>
      <c r="M15" s="100">
        <v>0.8</v>
      </c>
      <c r="N15" s="100">
        <v>0.8</v>
      </c>
      <c r="O15" s="100">
        <v>0.8</v>
      </c>
      <c r="P15" s="100">
        <v>0</v>
      </c>
      <c r="Q15" s="100">
        <v>0</v>
      </c>
      <c r="R15" s="100">
        <v>0</v>
      </c>
      <c r="S15" s="100">
        <v>0</v>
      </c>
      <c r="T15" s="100">
        <v>0</v>
      </c>
      <c r="U15" s="100">
        <v>0</v>
      </c>
      <c r="V15" s="100">
        <v>0</v>
      </c>
    </row>
    <row r="16" spans="1:30" customFormat="1" x14ac:dyDescent="0.15">
      <c r="A16" s="167" t="s">
        <v>205</v>
      </c>
      <c r="B16" s="100">
        <v>0.8</v>
      </c>
      <c r="C16" s="100">
        <v>0</v>
      </c>
      <c r="D16" s="100">
        <v>0.8</v>
      </c>
      <c r="E16" s="100">
        <v>0.8</v>
      </c>
      <c r="F16" s="100">
        <v>0.8</v>
      </c>
      <c r="G16" s="100">
        <v>0.8</v>
      </c>
      <c r="H16" s="100">
        <v>0</v>
      </c>
      <c r="I16" s="100">
        <v>0</v>
      </c>
      <c r="J16" s="100">
        <v>0.8</v>
      </c>
      <c r="K16" s="100">
        <v>0.8</v>
      </c>
      <c r="L16" s="100">
        <v>0</v>
      </c>
      <c r="M16" s="100">
        <v>0.8</v>
      </c>
      <c r="N16" s="100">
        <v>0.8</v>
      </c>
      <c r="O16" s="100">
        <v>0.8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  <c r="V16" s="100">
        <v>0</v>
      </c>
    </row>
    <row r="17" spans="1:22" customFormat="1" x14ac:dyDescent="0.15">
      <c r="A17" s="167" t="s">
        <v>206</v>
      </c>
      <c r="B17" s="100">
        <v>0</v>
      </c>
      <c r="C17" s="100">
        <v>0.8</v>
      </c>
      <c r="D17" s="100">
        <v>0.8</v>
      </c>
      <c r="E17" s="100">
        <v>0.8</v>
      </c>
      <c r="F17" s="100">
        <v>0.8</v>
      </c>
      <c r="G17" s="100">
        <v>0.8</v>
      </c>
      <c r="H17" s="100">
        <v>0</v>
      </c>
      <c r="I17" s="100">
        <v>0.8</v>
      </c>
      <c r="J17" s="100">
        <v>0</v>
      </c>
      <c r="K17" s="100">
        <v>0</v>
      </c>
      <c r="L17" s="100">
        <v>0.8</v>
      </c>
      <c r="M17" s="100">
        <v>0.8</v>
      </c>
      <c r="N17" s="100">
        <v>0.8</v>
      </c>
      <c r="O17" s="100">
        <v>0.8</v>
      </c>
      <c r="P17" s="100">
        <v>0.8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  <c r="V17" s="100">
        <v>0</v>
      </c>
    </row>
    <row r="18" spans="1:22" customFormat="1" x14ac:dyDescent="0.15">
      <c r="A18" s="167" t="s">
        <v>207</v>
      </c>
      <c r="B18" s="100">
        <v>0</v>
      </c>
      <c r="C18" s="100">
        <v>0</v>
      </c>
      <c r="D18" s="100">
        <v>0</v>
      </c>
      <c r="E18" s="100">
        <v>0</v>
      </c>
      <c r="F18" s="100">
        <v>0.8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0.8</v>
      </c>
      <c r="N18" s="100">
        <v>0.8</v>
      </c>
      <c r="O18" s="100">
        <v>0.8</v>
      </c>
      <c r="P18" s="100">
        <v>0.8</v>
      </c>
      <c r="Q18" s="100">
        <v>0.8</v>
      </c>
      <c r="R18" s="100">
        <v>0</v>
      </c>
      <c r="S18" s="100">
        <v>0</v>
      </c>
      <c r="T18" s="100">
        <v>0</v>
      </c>
      <c r="U18" s="100">
        <v>0</v>
      </c>
      <c r="V18" s="100">
        <v>0</v>
      </c>
    </row>
    <row r="19" spans="1:22" customFormat="1" x14ac:dyDescent="0.15">
      <c r="A19" s="167" t="s">
        <v>208</v>
      </c>
      <c r="B19" s="100">
        <v>0</v>
      </c>
      <c r="C19" s="100">
        <v>0</v>
      </c>
      <c r="D19" s="100">
        <v>0</v>
      </c>
      <c r="E19" s="100">
        <v>0</v>
      </c>
      <c r="F19" s="100">
        <v>0.8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0.8</v>
      </c>
      <c r="N19" s="100">
        <v>0.8</v>
      </c>
      <c r="O19" s="100">
        <v>0.8</v>
      </c>
      <c r="P19" s="100">
        <v>0.8</v>
      </c>
      <c r="Q19" s="100">
        <v>0.8</v>
      </c>
      <c r="R19" s="100">
        <v>0</v>
      </c>
      <c r="S19" s="100">
        <v>0</v>
      </c>
      <c r="T19" s="100">
        <v>0</v>
      </c>
      <c r="U19" s="100">
        <v>0</v>
      </c>
      <c r="V19" s="100">
        <v>0</v>
      </c>
    </row>
    <row r="20" spans="1:22" customFormat="1" x14ac:dyDescent="0.15">
      <c r="A20" s="167" t="s">
        <v>209</v>
      </c>
      <c r="B20" s="100">
        <v>0</v>
      </c>
      <c r="C20" s="100">
        <v>0</v>
      </c>
      <c r="D20" s="100">
        <v>0.8</v>
      </c>
      <c r="E20" s="100">
        <v>0.8</v>
      </c>
      <c r="F20" s="100">
        <v>0</v>
      </c>
      <c r="G20" s="100">
        <v>0.8</v>
      </c>
      <c r="H20" s="100">
        <v>0</v>
      </c>
      <c r="I20" s="100">
        <v>0.8</v>
      </c>
      <c r="J20" s="100">
        <v>0.8</v>
      </c>
      <c r="K20" s="100">
        <v>0.8</v>
      </c>
      <c r="L20" s="100">
        <v>0</v>
      </c>
      <c r="M20" s="100">
        <v>0.8</v>
      </c>
      <c r="N20" s="100">
        <v>0.8</v>
      </c>
      <c r="O20" s="100">
        <v>0.8</v>
      </c>
      <c r="P20" s="100">
        <v>0.8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</row>
    <row r="21" spans="1:22" customFormat="1" x14ac:dyDescent="0.15">
      <c r="A21" s="167" t="s">
        <v>210</v>
      </c>
      <c r="B21" s="100">
        <v>0.8</v>
      </c>
      <c r="C21" s="100">
        <v>0</v>
      </c>
      <c r="D21" s="100">
        <v>0</v>
      </c>
      <c r="E21" s="100">
        <v>0</v>
      </c>
      <c r="F21" s="100">
        <v>0</v>
      </c>
      <c r="G21" s="100">
        <v>0.8</v>
      </c>
      <c r="H21" s="100">
        <v>0</v>
      </c>
      <c r="I21" s="100">
        <v>0.8</v>
      </c>
      <c r="J21" s="100">
        <v>0.8</v>
      </c>
      <c r="K21" s="100">
        <v>0</v>
      </c>
      <c r="L21" s="100">
        <v>0</v>
      </c>
      <c r="M21" s="100">
        <v>0.8</v>
      </c>
      <c r="N21" s="100">
        <v>0.8</v>
      </c>
      <c r="O21" s="100">
        <v>0.8</v>
      </c>
      <c r="P21" s="100">
        <v>0.8</v>
      </c>
      <c r="Q21" s="100">
        <v>0</v>
      </c>
      <c r="R21" s="100">
        <v>0.8</v>
      </c>
      <c r="S21" s="100">
        <v>0</v>
      </c>
      <c r="T21" s="100">
        <v>0</v>
      </c>
      <c r="U21" s="100">
        <v>0</v>
      </c>
      <c r="V21" s="100">
        <v>0</v>
      </c>
    </row>
    <row r="22" spans="1:22" customFormat="1" x14ac:dyDescent="0.15">
      <c r="A22" s="167" t="s">
        <v>211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</row>
    <row r="23" spans="1:22" customFormat="1" x14ac:dyDescent="0.15">
      <c r="A23" s="167" t="s">
        <v>212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0">
        <v>0</v>
      </c>
      <c r="L23" s="100">
        <v>0</v>
      </c>
      <c r="M23" s="100">
        <v>0</v>
      </c>
      <c r="N23" s="100">
        <v>0</v>
      </c>
      <c r="O23" s="100">
        <v>0</v>
      </c>
      <c r="P23" s="100">
        <v>0</v>
      </c>
      <c r="Q23" s="100">
        <v>0</v>
      </c>
      <c r="R23" s="100">
        <v>0</v>
      </c>
      <c r="S23" s="100">
        <v>0</v>
      </c>
      <c r="T23" s="100">
        <v>0</v>
      </c>
      <c r="U23" s="100">
        <v>0</v>
      </c>
      <c r="V23" s="100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12" sqref="A12"/>
    </sheetView>
  </sheetViews>
  <sheetFormatPr baseColWidth="10" defaultRowHeight="13" x14ac:dyDescent="0.15"/>
  <cols>
    <col min="1" max="1" width="21.6640625" style="100" bestFit="1" customWidth="1"/>
    <col min="2" max="22" width="2.33203125" style="100" customWidth="1"/>
    <col min="23" max="16384" width="10.83203125" style="100"/>
  </cols>
  <sheetData>
    <row r="1" spans="1:31" x14ac:dyDescent="0.15">
      <c r="A1" s="59" t="s">
        <v>139</v>
      </c>
      <c r="B1" s="170" t="s">
        <v>192</v>
      </c>
      <c r="C1" s="170" t="s">
        <v>193</v>
      </c>
      <c r="D1" s="170" t="s">
        <v>194</v>
      </c>
      <c r="E1" s="170" t="s">
        <v>195</v>
      </c>
      <c r="F1" s="170" t="s">
        <v>196</v>
      </c>
      <c r="G1" s="170" t="s">
        <v>197</v>
      </c>
      <c r="H1" s="170" t="s">
        <v>198</v>
      </c>
      <c r="I1" s="170" t="s">
        <v>199</v>
      </c>
      <c r="J1" s="170" t="s">
        <v>200</v>
      </c>
      <c r="K1" s="170" t="s">
        <v>201</v>
      </c>
      <c r="L1" s="170" t="s">
        <v>219</v>
      </c>
      <c r="M1" s="170" t="s">
        <v>202</v>
      </c>
      <c r="N1" s="170" t="s">
        <v>203</v>
      </c>
      <c r="O1" s="170" t="s">
        <v>204</v>
      </c>
      <c r="P1" s="170" t="s">
        <v>205</v>
      </c>
      <c r="Q1" s="170" t="s">
        <v>206</v>
      </c>
      <c r="R1" s="170" t="s">
        <v>207</v>
      </c>
      <c r="S1" s="170" t="s">
        <v>208</v>
      </c>
      <c r="T1" s="170" t="s">
        <v>209</v>
      </c>
      <c r="U1" s="170" t="s">
        <v>210</v>
      </c>
      <c r="V1" s="170" t="s">
        <v>211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69" t="s">
        <v>192</v>
      </c>
      <c r="B2" s="100">
        <v>1</v>
      </c>
      <c r="C2" s="100">
        <v>0</v>
      </c>
      <c r="D2" s="100">
        <v>0</v>
      </c>
      <c r="E2" s="100">
        <v>0</v>
      </c>
      <c r="F2" s="100">
        <v>0</v>
      </c>
      <c r="G2" s="100">
        <v>0</v>
      </c>
      <c r="H2" s="100">
        <v>1</v>
      </c>
      <c r="I2" s="100">
        <v>0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</row>
    <row r="3" spans="1:31" customFormat="1" x14ac:dyDescent="0.15">
      <c r="A3" s="169" t="s">
        <v>193</v>
      </c>
      <c r="B3" s="100">
        <v>1</v>
      </c>
      <c r="C3" s="100">
        <v>1</v>
      </c>
      <c r="D3" s="100">
        <v>0</v>
      </c>
      <c r="E3" s="100">
        <v>1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  <c r="V3" s="100">
        <v>0</v>
      </c>
    </row>
    <row r="4" spans="1:31" customFormat="1" x14ac:dyDescent="0.15">
      <c r="A4" s="169" t="s">
        <v>194</v>
      </c>
      <c r="B4" s="100">
        <v>1</v>
      </c>
      <c r="C4" s="100">
        <v>1</v>
      </c>
      <c r="D4" s="100">
        <v>0</v>
      </c>
      <c r="E4" s="100">
        <v>1</v>
      </c>
      <c r="F4" s="100">
        <v>0</v>
      </c>
      <c r="G4" s="100">
        <v>0</v>
      </c>
      <c r="H4" s="100">
        <v>0</v>
      </c>
      <c r="I4" s="100">
        <v>0</v>
      </c>
      <c r="J4" s="100">
        <v>0</v>
      </c>
      <c r="K4" s="100">
        <v>0</v>
      </c>
      <c r="L4" s="100">
        <v>1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</row>
    <row r="5" spans="1:31" customFormat="1" x14ac:dyDescent="0.15">
      <c r="A5" s="169" t="s">
        <v>195</v>
      </c>
      <c r="B5" s="100">
        <v>1</v>
      </c>
      <c r="C5" s="100">
        <v>1</v>
      </c>
      <c r="D5" s="100">
        <v>0</v>
      </c>
      <c r="E5" s="100">
        <v>1</v>
      </c>
      <c r="F5" s="100">
        <v>0</v>
      </c>
      <c r="G5" s="100">
        <v>1</v>
      </c>
      <c r="H5" s="100">
        <v>1</v>
      </c>
      <c r="I5" s="100">
        <v>0</v>
      </c>
      <c r="J5" s="100">
        <v>0</v>
      </c>
      <c r="K5" s="100">
        <v>0</v>
      </c>
      <c r="L5" s="100">
        <v>1</v>
      </c>
      <c r="M5" s="100">
        <v>0</v>
      </c>
      <c r="N5" s="100">
        <v>1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</row>
    <row r="6" spans="1:31" customFormat="1" x14ac:dyDescent="0.15">
      <c r="A6" s="169" t="s">
        <v>196</v>
      </c>
      <c r="B6" s="100">
        <v>1</v>
      </c>
      <c r="C6" s="100">
        <v>1</v>
      </c>
      <c r="D6" s="100">
        <v>0</v>
      </c>
      <c r="E6" s="100">
        <v>1</v>
      </c>
      <c r="F6" s="100">
        <v>1</v>
      </c>
      <c r="G6" s="100">
        <v>1</v>
      </c>
      <c r="H6" s="100">
        <v>0</v>
      </c>
      <c r="I6" s="100">
        <v>0</v>
      </c>
      <c r="J6" s="100">
        <v>0</v>
      </c>
      <c r="K6" s="100">
        <v>0</v>
      </c>
      <c r="L6" s="100">
        <v>1</v>
      </c>
      <c r="M6" s="100">
        <v>0</v>
      </c>
      <c r="N6" s="100">
        <v>1</v>
      </c>
      <c r="O6" s="100">
        <v>0</v>
      </c>
      <c r="P6" s="100">
        <v>0</v>
      </c>
      <c r="Q6" s="100">
        <v>0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</row>
    <row r="7" spans="1:31" customFormat="1" x14ac:dyDescent="0.15">
      <c r="A7" s="169" t="s">
        <v>197</v>
      </c>
      <c r="B7" s="100">
        <v>1</v>
      </c>
      <c r="C7" s="100">
        <v>1</v>
      </c>
      <c r="D7" s="100">
        <v>0</v>
      </c>
      <c r="E7" s="100">
        <v>1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  <c r="L7" s="100">
        <v>1</v>
      </c>
      <c r="M7" s="100">
        <v>0</v>
      </c>
      <c r="N7" s="100">
        <v>1</v>
      </c>
      <c r="O7" s="100">
        <v>0</v>
      </c>
      <c r="P7" s="100">
        <v>0</v>
      </c>
      <c r="Q7" s="100">
        <v>0</v>
      </c>
      <c r="R7" s="100">
        <v>0</v>
      </c>
      <c r="S7" s="100">
        <v>0</v>
      </c>
      <c r="T7" s="100">
        <v>0</v>
      </c>
      <c r="U7" s="100">
        <v>0</v>
      </c>
      <c r="V7" s="100">
        <v>0</v>
      </c>
    </row>
    <row r="8" spans="1:31" customFormat="1" x14ac:dyDescent="0.15">
      <c r="A8" s="169" t="s">
        <v>198</v>
      </c>
      <c r="B8" s="100">
        <v>1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0</v>
      </c>
      <c r="K8" s="100">
        <v>0</v>
      </c>
      <c r="L8" s="100">
        <v>0</v>
      </c>
      <c r="M8" s="100">
        <v>0</v>
      </c>
      <c r="N8" s="100">
        <v>0</v>
      </c>
      <c r="O8" s="100">
        <v>0</v>
      </c>
      <c r="P8" s="100">
        <v>0</v>
      </c>
      <c r="Q8" s="100">
        <v>0</v>
      </c>
      <c r="R8" s="100">
        <v>0</v>
      </c>
      <c r="S8" s="100">
        <v>0</v>
      </c>
      <c r="T8" s="100">
        <v>0</v>
      </c>
      <c r="U8" s="100">
        <v>0</v>
      </c>
      <c r="V8" s="100">
        <v>0</v>
      </c>
    </row>
    <row r="9" spans="1:31" customFormat="1" x14ac:dyDescent="0.15">
      <c r="A9" s="169" t="s">
        <v>199</v>
      </c>
      <c r="B9" s="100">
        <v>1</v>
      </c>
      <c r="C9" s="100">
        <v>1</v>
      </c>
      <c r="D9" s="100">
        <v>0</v>
      </c>
      <c r="E9" s="100">
        <v>1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0">
        <v>0</v>
      </c>
      <c r="L9" s="100">
        <v>0</v>
      </c>
      <c r="M9" s="100">
        <v>0</v>
      </c>
      <c r="N9" s="100">
        <v>1</v>
      </c>
      <c r="O9" s="100">
        <v>0</v>
      </c>
      <c r="P9" s="100">
        <v>0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  <c r="V9" s="100">
        <v>0</v>
      </c>
    </row>
    <row r="10" spans="1:31" customFormat="1" x14ac:dyDescent="0.15">
      <c r="A10" s="169" t="s">
        <v>200</v>
      </c>
      <c r="B10" s="100">
        <v>1</v>
      </c>
      <c r="C10" s="100">
        <v>1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</v>
      </c>
      <c r="N10" s="100">
        <v>1</v>
      </c>
      <c r="O10" s="100">
        <v>0</v>
      </c>
      <c r="P10" s="100">
        <v>0</v>
      </c>
      <c r="Q10" s="100">
        <v>0</v>
      </c>
      <c r="R10" s="100">
        <v>0</v>
      </c>
      <c r="S10" s="100">
        <v>0</v>
      </c>
      <c r="T10" s="100">
        <v>0</v>
      </c>
      <c r="U10" s="100">
        <v>0</v>
      </c>
      <c r="V10" s="100">
        <v>0</v>
      </c>
    </row>
    <row r="11" spans="1:31" customFormat="1" x14ac:dyDescent="0.15">
      <c r="A11" s="169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</row>
    <row r="12" spans="1:31" customFormat="1" x14ac:dyDescent="0.15">
      <c r="A12" s="169" t="s">
        <v>219</v>
      </c>
      <c r="B12" s="100">
        <v>1</v>
      </c>
      <c r="C12" s="100">
        <v>1</v>
      </c>
      <c r="D12" s="100">
        <v>0</v>
      </c>
      <c r="E12" s="100">
        <v>1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1</v>
      </c>
      <c r="M12" s="100">
        <v>0</v>
      </c>
      <c r="N12" s="100">
        <v>1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</row>
    <row r="13" spans="1:31" customFormat="1" x14ac:dyDescent="0.15">
      <c r="A13" s="169" t="s">
        <v>202</v>
      </c>
      <c r="B13" s="100">
        <v>1</v>
      </c>
      <c r="C13" s="100">
        <v>0</v>
      </c>
      <c r="D13" s="100">
        <v>0</v>
      </c>
      <c r="E13" s="100">
        <v>1</v>
      </c>
      <c r="F13" s="100">
        <v>0</v>
      </c>
      <c r="G13" s="100">
        <v>1</v>
      </c>
      <c r="H13" s="100">
        <v>0</v>
      </c>
      <c r="I13" s="100">
        <v>1</v>
      </c>
      <c r="J13" s="100">
        <v>0</v>
      </c>
      <c r="K13" s="100">
        <v>1</v>
      </c>
      <c r="L13" s="100">
        <v>0</v>
      </c>
      <c r="M13" s="100">
        <v>1</v>
      </c>
      <c r="N13" s="100">
        <v>1</v>
      </c>
      <c r="O13" s="100">
        <v>1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</row>
    <row r="14" spans="1:31" customFormat="1" x14ac:dyDescent="0.15">
      <c r="A14" s="169" t="s">
        <v>203</v>
      </c>
      <c r="B14" s="100">
        <v>1</v>
      </c>
      <c r="C14" s="100">
        <v>1</v>
      </c>
      <c r="D14" s="100">
        <v>1</v>
      </c>
      <c r="E14" s="100">
        <v>1</v>
      </c>
      <c r="F14" s="100">
        <v>1</v>
      </c>
      <c r="G14" s="100">
        <v>1</v>
      </c>
      <c r="H14" s="100">
        <v>1</v>
      </c>
      <c r="I14" s="100">
        <v>0</v>
      </c>
      <c r="J14" s="100">
        <v>1</v>
      </c>
      <c r="K14" s="100">
        <v>1</v>
      </c>
      <c r="L14" s="100">
        <v>1</v>
      </c>
      <c r="M14" s="100">
        <v>1</v>
      </c>
      <c r="N14" s="100">
        <v>1</v>
      </c>
      <c r="O14" s="100">
        <v>1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</row>
    <row r="15" spans="1:31" customFormat="1" x14ac:dyDescent="0.15">
      <c r="A15" s="169" t="s">
        <v>204</v>
      </c>
      <c r="B15" s="100">
        <v>1</v>
      </c>
      <c r="C15" s="100">
        <v>1</v>
      </c>
      <c r="D15" s="100">
        <v>1</v>
      </c>
      <c r="E15" s="100">
        <v>1</v>
      </c>
      <c r="F15" s="100">
        <v>0</v>
      </c>
      <c r="G15" s="100">
        <v>1</v>
      </c>
      <c r="H15" s="100">
        <v>0</v>
      </c>
      <c r="I15" s="100">
        <v>1</v>
      </c>
      <c r="J15" s="100">
        <v>0</v>
      </c>
      <c r="K15" s="100">
        <v>1</v>
      </c>
      <c r="L15" s="100">
        <v>1</v>
      </c>
      <c r="M15" s="100">
        <v>1</v>
      </c>
      <c r="N15" s="100">
        <v>1</v>
      </c>
      <c r="O15" s="100">
        <v>1</v>
      </c>
      <c r="P15" s="100">
        <v>0</v>
      </c>
      <c r="Q15" s="100">
        <v>0</v>
      </c>
      <c r="R15" s="100">
        <v>0</v>
      </c>
      <c r="S15" s="100">
        <v>0</v>
      </c>
      <c r="T15" s="100">
        <v>0</v>
      </c>
      <c r="U15" s="100">
        <v>0</v>
      </c>
      <c r="V15" s="100">
        <v>0</v>
      </c>
    </row>
    <row r="16" spans="1:31" customFormat="1" x14ac:dyDescent="0.15">
      <c r="A16" s="169" t="s">
        <v>205</v>
      </c>
      <c r="B16" s="100">
        <v>1</v>
      </c>
      <c r="C16" s="100">
        <v>0</v>
      </c>
      <c r="D16" s="100">
        <v>1</v>
      </c>
      <c r="E16" s="100">
        <v>1</v>
      </c>
      <c r="F16" s="100">
        <v>1</v>
      </c>
      <c r="G16" s="100">
        <v>1</v>
      </c>
      <c r="H16" s="100">
        <v>0</v>
      </c>
      <c r="I16" s="100">
        <v>0</v>
      </c>
      <c r="J16" s="100">
        <v>1</v>
      </c>
      <c r="K16" s="100">
        <v>1</v>
      </c>
      <c r="L16" s="100">
        <v>0</v>
      </c>
      <c r="M16" s="100">
        <v>1</v>
      </c>
      <c r="N16" s="100">
        <v>1</v>
      </c>
      <c r="O16" s="100">
        <v>1</v>
      </c>
      <c r="P16" s="100">
        <v>0</v>
      </c>
      <c r="Q16" s="100">
        <v>0</v>
      </c>
      <c r="R16" s="100">
        <v>0</v>
      </c>
      <c r="S16" s="100">
        <v>0</v>
      </c>
      <c r="T16" s="100">
        <v>0</v>
      </c>
      <c r="U16" s="100">
        <v>0</v>
      </c>
      <c r="V16" s="100">
        <v>0</v>
      </c>
    </row>
    <row r="17" spans="1:22" customFormat="1" x14ac:dyDescent="0.15">
      <c r="A17" s="169" t="s">
        <v>206</v>
      </c>
      <c r="B17" s="100">
        <v>0</v>
      </c>
      <c r="C17" s="100">
        <v>1</v>
      </c>
      <c r="D17" s="100">
        <v>1</v>
      </c>
      <c r="E17" s="100">
        <v>1</v>
      </c>
      <c r="F17" s="100">
        <v>1</v>
      </c>
      <c r="G17" s="100">
        <v>1</v>
      </c>
      <c r="H17" s="100">
        <v>0</v>
      </c>
      <c r="I17" s="100">
        <v>1</v>
      </c>
      <c r="J17" s="100">
        <v>0</v>
      </c>
      <c r="K17" s="100">
        <v>0</v>
      </c>
      <c r="L17" s="100">
        <v>1</v>
      </c>
      <c r="M17" s="100">
        <v>1</v>
      </c>
      <c r="N17" s="100">
        <v>1</v>
      </c>
      <c r="O17" s="100">
        <v>1</v>
      </c>
      <c r="P17" s="100">
        <v>1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  <c r="V17" s="100">
        <v>0</v>
      </c>
    </row>
    <row r="18" spans="1:22" customFormat="1" x14ac:dyDescent="0.15">
      <c r="A18" s="169" t="s">
        <v>207</v>
      </c>
      <c r="B18" s="100">
        <v>0</v>
      </c>
      <c r="C18" s="100">
        <v>0</v>
      </c>
      <c r="D18" s="100">
        <v>0</v>
      </c>
      <c r="E18" s="100">
        <v>0</v>
      </c>
      <c r="F18" s="100">
        <v>1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1</v>
      </c>
      <c r="N18" s="100">
        <v>1</v>
      </c>
      <c r="O18" s="100">
        <v>1</v>
      </c>
      <c r="P18" s="100">
        <v>1</v>
      </c>
      <c r="Q18" s="100">
        <v>1</v>
      </c>
      <c r="R18" s="100">
        <v>0</v>
      </c>
      <c r="S18" s="100">
        <v>0</v>
      </c>
      <c r="T18" s="100">
        <v>0</v>
      </c>
      <c r="U18" s="100">
        <v>0</v>
      </c>
      <c r="V18" s="100">
        <v>0</v>
      </c>
    </row>
    <row r="19" spans="1:22" customFormat="1" x14ac:dyDescent="0.15">
      <c r="A19" s="169" t="s">
        <v>208</v>
      </c>
      <c r="B19" s="100">
        <v>0</v>
      </c>
      <c r="C19" s="100">
        <v>0</v>
      </c>
      <c r="D19" s="100">
        <v>0</v>
      </c>
      <c r="E19" s="100">
        <v>0</v>
      </c>
      <c r="F19" s="100">
        <v>1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1</v>
      </c>
      <c r="N19" s="100">
        <v>1</v>
      </c>
      <c r="O19" s="100">
        <v>1</v>
      </c>
      <c r="P19" s="100">
        <v>1</v>
      </c>
      <c r="Q19" s="100">
        <v>1</v>
      </c>
      <c r="R19" s="100">
        <v>0</v>
      </c>
      <c r="S19" s="100">
        <v>0</v>
      </c>
      <c r="T19" s="100">
        <v>0</v>
      </c>
      <c r="U19" s="100">
        <v>0</v>
      </c>
      <c r="V19" s="100">
        <v>0</v>
      </c>
    </row>
    <row r="20" spans="1:22" customFormat="1" x14ac:dyDescent="0.15">
      <c r="A20" s="169" t="s">
        <v>209</v>
      </c>
      <c r="B20" s="100">
        <v>0</v>
      </c>
      <c r="C20" s="100">
        <v>0</v>
      </c>
      <c r="D20" s="100">
        <v>1</v>
      </c>
      <c r="E20" s="100">
        <v>1</v>
      </c>
      <c r="F20" s="100">
        <v>0</v>
      </c>
      <c r="G20" s="100">
        <v>1</v>
      </c>
      <c r="H20" s="100">
        <v>0</v>
      </c>
      <c r="I20" s="100">
        <v>1</v>
      </c>
      <c r="J20" s="100">
        <v>1</v>
      </c>
      <c r="K20" s="100">
        <v>1</v>
      </c>
      <c r="L20" s="100">
        <v>0</v>
      </c>
      <c r="M20" s="100">
        <v>1</v>
      </c>
      <c r="N20" s="100">
        <v>1</v>
      </c>
      <c r="O20" s="100">
        <v>1</v>
      </c>
      <c r="P20" s="100">
        <v>1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</row>
    <row r="21" spans="1:22" customFormat="1" x14ac:dyDescent="0.15">
      <c r="A21" s="169" t="s">
        <v>210</v>
      </c>
      <c r="B21" s="100">
        <v>1</v>
      </c>
      <c r="C21" s="100">
        <v>0</v>
      </c>
      <c r="D21" s="100">
        <v>0</v>
      </c>
      <c r="E21" s="100">
        <v>0</v>
      </c>
      <c r="F21" s="100">
        <v>0</v>
      </c>
      <c r="G21" s="100">
        <v>1</v>
      </c>
      <c r="H21" s="100">
        <v>0</v>
      </c>
      <c r="I21" s="100">
        <v>1</v>
      </c>
      <c r="J21" s="100">
        <v>1</v>
      </c>
      <c r="K21" s="100">
        <v>0</v>
      </c>
      <c r="L21" s="100">
        <v>0</v>
      </c>
      <c r="M21" s="100">
        <v>1</v>
      </c>
      <c r="N21" s="100">
        <v>1</v>
      </c>
      <c r="O21" s="100">
        <v>1</v>
      </c>
      <c r="P21" s="100">
        <v>1</v>
      </c>
      <c r="Q21" s="100">
        <v>0</v>
      </c>
      <c r="R21" s="100">
        <v>1</v>
      </c>
      <c r="S21" s="100">
        <v>0</v>
      </c>
      <c r="T21" s="100">
        <v>0</v>
      </c>
      <c r="U21" s="100">
        <v>0</v>
      </c>
      <c r="V21" s="100">
        <v>0</v>
      </c>
    </row>
    <row r="22" spans="1:22" customFormat="1" x14ac:dyDescent="0.15">
      <c r="A22" s="169" t="s">
        <v>211</v>
      </c>
      <c r="B22" s="100">
        <v>0</v>
      </c>
      <c r="C22" s="100">
        <v>0</v>
      </c>
      <c r="D22" s="100">
        <v>0</v>
      </c>
      <c r="E22" s="100">
        <v>0</v>
      </c>
      <c r="F22" s="100">
        <v>0</v>
      </c>
      <c r="G22" s="100">
        <v>0</v>
      </c>
      <c r="H22" s="100">
        <v>0</v>
      </c>
      <c r="I22" s="100">
        <v>0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</row>
    <row r="23" spans="1:22" customFormat="1" x14ac:dyDescent="0.15">
      <c r="A23" s="169" t="s">
        <v>212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0">
        <v>0</v>
      </c>
      <c r="L23" s="100">
        <v>0</v>
      </c>
      <c r="M23" s="100">
        <v>0</v>
      </c>
      <c r="N23" s="100">
        <v>0</v>
      </c>
      <c r="O23" s="100">
        <v>0</v>
      </c>
      <c r="P23" s="100">
        <v>0</v>
      </c>
      <c r="Q23" s="100">
        <v>0</v>
      </c>
      <c r="R23" s="100">
        <v>0</v>
      </c>
      <c r="S23" s="100">
        <v>0</v>
      </c>
      <c r="T23" s="100">
        <v>0</v>
      </c>
      <c r="U23" s="100">
        <v>0</v>
      </c>
      <c r="V23" s="100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B12" sqref="B12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3" t="s">
        <v>216</v>
      </c>
    </row>
    <row r="2" spans="1:3" x14ac:dyDescent="0.15">
      <c r="A2">
        <v>1</v>
      </c>
      <c r="B2" s="171" t="s">
        <v>192</v>
      </c>
      <c r="C2">
        <v>0</v>
      </c>
    </row>
    <row r="3" spans="1:3" x14ac:dyDescent="0.15">
      <c r="A3">
        <v>2</v>
      </c>
      <c r="B3" s="171" t="s">
        <v>193</v>
      </c>
      <c r="C3">
        <v>0</v>
      </c>
    </row>
    <row r="4" spans="1:3" x14ac:dyDescent="0.15">
      <c r="A4">
        <v>3</v>
      </c>
      <c r="B4" s="171" t="s">
        <v>194</v>
      </c>
      <c r="C4">
        <v>0</v>
      </c>
    </row>
    <row r="5" spans="1:3" x14ac:dyDescent="0.15">
      <c r="A5">
        <v>4</v>
      </c>
      <c r="B5" s="171" t="s">
        <v>195</v>
      </c>
      <c r="C5">
        <v>0</v>
      </c>
    </row>
    <row r="6" spans="1:3" x14ac:dyDescent="0.15">
      <c r="A6">
        <v>5</v>
      </c>
      <c r="B6" s="171" t="s">
        <v>196</v>
      </c>
      <c r="C6">
        <v>0</v>
      </c>
    </row>
    <row r="7" spans="1:3" x14ac:dyDescent="0.15">
      <c r="A7">
        <v>6</v>
      </c>
      <c r="B7" s="171" t="s">
        <v>197</v>
      </c>
      <c r="C7">
        <v>0</v>
      </c>
    </row>
    <row r="8" spans="1:3" x14ac:dyDescent="0.15">
      <c r="A8">
        <v>7</v>
      </c>
      <c r="B8" s="171" t="s">
        <v>198</v>
      </c>
      <c r="C8">
        <v>0</v>
      </c>
    </row>
    <row r="9" spans="1:3" x14ac:dyDescent="0.15">
      <c r="A9">
        <v>8</v>
      </c>
      <c r="B9" s="171" t="s">
        <v>199</v>
      </c>
      <c r="C9">
        <v>0</v>
      </c>
    </row>
    <row r="10" spans="1:3" x14ac:dyDescent="0.15">
      <c r="A10">
        <v>9</v>
      </c>
      <c r="B10" s="171" t="s">
        <v>200</v>
      </c>
      <c r="C10">
        <v>0</v>
      </c>
    </row>
    <row r="11" spans="1:3" x14ac:dyDescent="0.15">
      <c r="A11">
        <v>10</v>
      </c>
      <c r="B11" s="171" t="s">
        <v>201</v>
      </c>
      <c r="C11">
        <v>0</v>
      </c>
    </row>
    <row r="12" spans="1:3" x14ac:dyDescent="0.15">
      <c r="A12">
        <v>11</v>
      </c>
      <c r="B12" s="171" t="s">
        <v>219</v>
      </c>
      <c r="C12">
        <v>0</v>
      </c>
    </row>
    <row r="13" spans="1:3" x14ac:dyDescent="0.15">
      <c r="A13">
        <v>12</v>
      </c>
      <c r="B13" s="171" t="s">
        <v>202</v>
      </c>
      <c r="C13">
        <v>0</v>
      </c>
    </row>
    <row r="14" spans="1:3" x14ac:dyDescent="0.15">
      <c r="A14">
        <v>13</v>
      </c>
      <c r="B14" s="171" t="s">
        <v>203</v>
      </c>
      <c r="C14">
        <v>0</v>
      </c>
    </row>
    <row r="15" spans="1:3" x14ac:dyDescent="0.15">
      <c r="A15">
        <v>14</v>
      </c>
      <c r="B15" s="171" t="s">
        <v>204</v>
      </c>
      <c r="C15">
        <v>0</v>
      </c>
    </row>
    <row r="16" spans="1:3" x14ac:dyDescent="0.15">
      <c r="A16">
        <v>15</v>
      </c>
      <c r="B16" s="171" t="s">
        <v>205</v>
      </c>
      <c r="C16">
        <v>0</v>
      </c>
    </row>
    <row r="17" spans="1:3" x14ac:dyDescent="0.15">
      <c r="A17">
        <v>16</v>
      </c>
      <c r="B17" s="171" t="s">
        <v>206</v>
      </c>
      <c r="C17">
        <v>0</v>
      </c>
    </row>
    <row r="18" spans="1:3" x14ac:dyDescent="0.15">
      <c r="A18">
        <v>17</v>
      </c>
      <c r="B18" s="171" t="s">
        <v>207</v>
      </c>
      <c r="C18">
        <v>0</v>
      </c>
    </row>
    <row r="19" spans="1:3" x14ac:dyDescent="0.15">
      <c r="A19">
        <v>18</v>
      </c>
      <c r="B19" s="171" t="s">
        <v>208</v>
      </c>
      <c r="C19">
        <v>0</v>
      </c>
    </row>
    <row r="20" spans="1:3" x14ac:dyDescent="0.15">
      <c r="A20">
        <v>19</v>
      </c>
      <c r="B20" s="171" t="s">
        <v>209</v>
      </c>
      <c r="C20">
        <v>0</v>
      </c>
    </row>
    <row r="21" spans="1:3" x14ac:dyDescent="0.15">
      <c r="A21">
        <v>20</v>
      </c>
      <c r="B21" s="171" t="s">
        <v>210</v>
      </c>
      <c r="C21">
        <v>0</v>
      </c>
    </row>
    <row r="22" spans="1:3" x14ac:dyDescent="0.15">
      <c r="A22">
        <v>21</v>
      </c>
      <c r="B22" s="171" t="s">
        <v>211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B12" sqref="B12"/>
    </sheetView>
  </sheetViews>
  <sheetFormatPr baseColWidth="10" defaultRowHeight="13" x14ac:dyDescent="0.15"/>
  <cols>
    <col min="1" max="1" width="3.33203125" customWidth="1"/>
    <col min="2" max="2" width="15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3" t="s">
        <v>216</v>
      </c>
    </row>
    <row r="2" spans="1:3" x14ac:dyDescent="0.15">
      <c r="A2">
        <v>1</v>
      </c>
      <c r="B2" s="172" t="s">
        <v>192</v>
      </c>
      <c r="C2">
        <v>0</v>
      </c>
    </row>
    <row r="3" spans="1:3" x14ac:dyDescent="0.15">
      <c r="A3">
        <v>2</v>
      </c>
      <c r="B3" s="172" t="s">
        <v>193</v>
      </c>
      <c r="C3">
        <v>0</v>
      </c>
    </row>
    <row r="4" spans="1:3" x14ac:dyDescent="0.15">
      <c r="A4">
        <v>3</v>
      </c>
      <c r="B4" s="172" t="s">
        <v>194</v>
      </c>
      <c r="C4">
        <v>0</v>
      </c>
    </row>
    <row r="5" spans="1:3" x14ac:dyDescent="0.15">
      <c r="A5">
        <v>4</v>
      </c>
      <c r="B5" s="172" t="s">
        <v>195</v>
      </c>
      <c r="C5">
        <v>0</v>
      </c>
    </row>
    <row r="6" spans="1:3" x14ac:dyDescent="0.15">
      <c r="A6">
        <v>5</v>
      </c>
      <c r="B6" s="172" t="s">
        <v>196</v>
      </c>
      <c r="C6">
        <v>0</v>
      </c>
    </row>
    <row r="7" spans="1:3" x14ac:dyDescent="0.15">
      <c r="A7">
        <v>6</v>
      </c>
      <c r="B7" s="172" t="s">
        <v>197</v>
      </c>
      <c r="C7">
        <v>0</v>
      </c>
    </row>
    <row r="8" spans="1:3" x14ac:dyDescent="0.15">
      <c r="A8">
        <v>7</v>
      </c>
      <c r="B8" s="172" t="s">
        <v>198</v>
      </c>
      <c r="C8">
        <v>0</v>
      </c>
    </row>
    <row r="9" spans="1:3" x14ac:dyDescent="0.15">
      <c r="A9">
        <v>8</v>
      </c>
      <c r="B9" s="172" t="s">
        <v>199</v>
      </c>
      <c r="C9">
        <v>0</v>
      </c>
    </row>
    <row r="10" spans="1:3" x14ac:dyDescent="0.15">
      <c r="A10">
        <v>9</v>
      </c>
      <c r="B10" s="172" t="s">
        <v>200</v>
      </c>
      <c r="C10">
        <v>0</v>
      </c>
    </row>
    <row r="11" spans="1:3" x14ac:dyDescent="0.15">
      <c r="A11">
        <v>10</v>
      </c>
      <c r="B11" s="172" t="s">
        <v>201</v>
      </c>
      <c r="C11">
        <v>0</v>
      </c>
    </row>
    <row r="12" spans="1:3" x14ac:dyDescent="0.15">
      <c r="A12">
        <v>11</v>
      </c>
      <c r="B12" s="172" t="s">
        <v>219</v>
      </c>
      <c r="C12">
        <v>0</v>
      </c>
    </row>
    <row r="13" spans="1:3" x14ac:dyDescent="0.15">
      <c r="A13">
        <v>12</v>
      </c>
      <c r="B13" s="172" t="s">
        <v>202</v>
      </c>
      <c r="C13">
        <v>0</v>
      </c>
    </row>
    <row r="14" spans="1:3" x14ac:dyDescent="0.15">
      <c r="A14">
        <v>13</v>
      </c>
      <c r="B14" s="172" t="s">
        <v>203</v>
      </c>
      <c r="C14">
        <v>0</v>
      </c>
    </row>
    <row r="15" spans="1:3" x14ac:dyDescent="0.15">
      <c r="A15">
        <v>14</v>
      </c>
      <c r="B15" s="172" t="s">
        <v>204</v>
      </c>
      <c r="C15">
        <v>0</v>
      </c>
    </row>
    <row r="16" spans="1:3" x14ac:dyDescent="0.15">
      <c r="A16">
        <v>15</v>
      </c>
      <c r="B16" s="172" t="s">
        <v>205</v>
      </c>
      <c r="C16">
        <v>0</v>
      </c>
    </row>
    <row r="17" spans="1:3" x14ac:dyDescent="0.15">
      <c r="A17">
        <v>16</v>
      </c>
      <c r="B17" s="172" t="s">
        <v>206</v>
      </c>
      <c r="C17">
        <v>0</v>
      </c>
    </row>
    <row r="18" spans="1:3" x14ac:dyDescent="0.15">
      <c r="A18">
        <v>17</v>
      </c>
      <c r="B18" s="172" t="s">
        <v>207</v>
      </c>
      <c r="C18">
        <v>0</v>
      </c>
    </row>
    <row r="19" spans="1:3" x14ac:dyDescent="0.15">
      <c r="A19">
        <v>18</v>
      </c>
      <c r="B19" s="172" t="s">
        <v>208</v>
      </c>
      <c r="C19">
        <v>0</v>
      </c>
    </row>
    <row r="20" spans="1:3" x14ac:dyDescent="0.15">
      <c r="A20">
        <v>19</v>
      </c>
      <c r="B20" s="172" t="s">
        <v>209</v>
      </c>
      <c r="C20">
        <v>0</v>
      </c>
    </row>
    <row r="21" spans="1:3" x14ac:dyDescent="0.15">
      <c r="A21">
        <v>20</v>
      </c>
      <c r="B21" s="172" t="s">
        <v>210</v>
      </c>
      <c r="C21">
        <v>0</v>
      </c>
    </row>
    <row r="22" spans="1:3" x14ac:dyDescent="0.15">
      <c r="A22">
        <v>21</v>
      </c>
      <c r="B22" s="172" t="s">
        <v>211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12" sqref="B12"/>
    </sheetView>
  </sheetViews>
  <sheetFormatPr baseColWidth="10" defaultColWidth="8.83203125" defaultRowHeight="15" customHeight="1" x14ac:dyDescent="0.15"/>
  <cols>
    <col min="1" max="1" width="8.83203125" style="74"/>
    <col min="2" max="2" width="41.83203125" style="74" bestFit="1" customWidth="1"/>
    <col min="3" max="3" width="9.33203125" style="74" bestFit="1" customWidth="1"/>
    <col min="4" max="4" width="13" style="74" bestFit="1" customWidth="1"/>
    <col min="5" max="6" width="9.33203125" style="74" bestFit="1" customWidth="1"/>
    <col min="7" max="7" width="9.33203125" style="90" bestFit="1" customWidth="1"/>
    <col min="8" max="8" width="9.33203125" style="74" bestFit="1" customWidth="1"/>
    <col min="9" max="9" width="11" style="74" customWidth="1"/>
    <col min="10" max="10" width="8.83203125" style="74"/>
    <col min="15" max="16384" width="8.83203125" style="7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34">
        <v>1</v>
      </c>
      <c r="B2" s="134" t="s">
        <v>192</v>
      </c>
      <c r="C2" s="8">
        <v>3.927626371383667</v>
      </c>
      <c r="D2" s="9">
        <v>1.75</v>
      </c>
      <c r="E2" s="9">
        <v>0.18000000715255737</v>
      </c>
      <c r="F2" s="9">
        <v>4.9000000953674316</v>
      </c>
      <c r="G2" s="9">
        <v>0.46788191795349121</v>
      </c>
      <c r="H2" s="9">
        <v>3.6734696477651596E-2</v>
      </c>
      <c r="I2">
        <v>0</v>
      </c>
      <c r="J2"/>
    </row>
    <row r="3" spans="1:10" ht="15" customHeight="1" x14ac:dyDescent="0.15">
      <c r="A3" s="135">
        <v>2</v>
      </c>
      <c r="B3" s="135" t="s">
        <v>193</v>
      </c>
      <c r="C3" s="8">
        <v>4.0919828414916992</v>
      </c>
      <c r="D3" s="9">
        <v>85</v>
      </c>
      <c r="E3" s="9">
        <v>1</v>
      </c>
      <c r="F3" s="9">
        <v>8.8999996185302734</v>
      </c>
      <c r="G3" s="9">
        <v>0.92046248912811279</v>
      </c>
      <c r="H3" s="9">
        <v>0.11235955357551575</v>
      </c>
      <c r="I3">
        <v>0</v>
      </c>
      <c r="J3"/>
    </row>
    <row r="4" spans="1:10" ht="15" customHeight="1" x14ac:dyDescent="0.15">
      <c r="A4" s="136">
        <v>3</v>
      </c>
      <c r="B4" s="136" t="s">
        <v>194</v>
      </c>
      <c r="C4" s="8">
        <v>3.6502609252929688</v>
      </c>
      <c r="D4" s="9">
        <v>91.672523498535156</v>
      </c>
      <c r="E4" s="9">
        <v>1.3999999761581421</v>
      </c>
      <c r="F4" s="9">
        <v>10</v>
      </c>
      <c r="G4" s="9">
        <v>0.92000001668930054</v>
      </c>
      <c r="H4" s="9">
        <v>0.14000000059604645</v>
      </c>
      <c r="I4">
        <v>0</v>
      </c>
      <c r="J4"/>
    </row>
    <row r="5" spans="1:10" ht="15" customHeight="1" x14ac:dyDescent="0.15">
      <c r="A5" s="137">
        <v>4</v>
      </c>
      <c r="B5" s="137" t="s">
        <v>195</v>
      </c>
      <c r="C5" s="8">
        <v>3.4956164360046387</v>
      </c>
      <c r="D5" s="9">
        <v>237.23484802246094</v>
      </c>
      <c r="E5" s="9">
        <v>0.94999998807907104</v>
      </c>
      <c r="F5" s="9">
        <v>7.3000001907348633</v>
      </c>
      <c r="G5" s="9">
        <v>0.94999998807907104</v>
      </c>
      <c r="H5" s="9">
        <v>0.13013698160648346</v>
      </c>
      <c r="I5">
        <v>0</v>
      </c>
      <c r="J5"/>
    </row>
    <row r="6" spans="1:10" ht="15" customHeight="1" x14ac:dyDescent="0.15">
      <c r="A6" s="138">
        <v>5</v>
      </c>
      <c r="B6" s="138" t="s">
        <v>196</v>
      </c>
      <c r="C6" s="8">
        <v>3.7964863777160645</v>
      </c>
      <c r="D6" s="9">
        <v>76.375785827636719</v>
      </c>
      <c r="E6" s="9">
        <v>2.5999999046325684</v>
      </c>
      <c r="F6" s="9">
        <v>10</v>
      </c>
      <c r="G6" s="9">
        <v>0.9800000786781311</v>
      </c>
      <c r="H6" s="9">
        <v>0.25999999046325684</v>
      </c>
      <c r="I6">
        <v>0</v>
      </c>
      <c r="J6"/>
    </row>
    <row r="7" spans="1:10" ht="15" customHeight="1" x14ac:dyDescent="0.15">
      <c r="A7" s="139">
        <v>6</v>
      </c>
      <c r="B7" s="139" t="s">
        <v>197</v>
      </c>
      <c r="C7" s="8">
        <v>2.9132823944091797</v>
      </c>
      <c r="D7" s="9">
        <v>129.16850280761719</v>
      </c>
      <c r="E7" s="9">
        <v>1.6000000238418579</v>
      </c>
      <c r="F7" s="9">
        <v>12.800000190734863</v>
      </c>
      <c r="G7" s="9">
        <v>0.98000001907348633</v>
      </c>
      <c r="H7" s="9">
        <v>0.125</v>
      </c>
      <c r="I7">
        <v>0</v>
      </c>
      <c r="J7"/>
    </row>
    <row r="8" spans="1:10" ht="15" customHeight="1" x14ac:dyDescent="0.15">
      <c r="A8" s="140">
        <v>7</v>
      </c>
      <c r="B8" s="140" t="s">
        <v>198</v>
      </c>
      <c r="C8" s="8">
        <v>4.2911906242370605</v>
      </c>
      <c r="D8" s="9">
        <v>2.6796875</v>
      </c>
      <c r="E8" s="9">
        <v>0.40000000596046448</v>
      </c>
      <c r="F8" s="9">
        <v>2.2999999523162842</v>
      </c>
      <c r="G8" s="9">
        <v>0.20000000298023224</v>
      </c>
      <c r="H8" s="9">
        <v>0.17391304671764374</v>
      </c>
      <c r="I8">
        <v>0</v>
      </c>
      <c r="J8"/>
    </row>
    <row r="9" spans="1:10" ht="15" customHeight="1" x14ac:dyDescent="0.15">
      <c r="A9" s="141">
        <v>8</v>
      </c>
      <c r="B9" s="141" t="s">
        <v>199</v>
      </c>
      <c r="C9" s="8">
        <v>2.0099499225616455</v>
      </c>
      <c r="D9" s="9">
        <v>69.734954833984375</v>
      </c>
      <c r="E9" s="9">
        <v>1.8999999761581421</v>
      </c>
      <c r="F9" s="9">
        <v>37.450000762939453</v>
      </c>
      <c r="G9" s="9">
        <v>0.9800000786781311</v>
      </c>
      <c r="H9" s="9">
        <v>5.073431134223938E-2</v>
      </c>
      <c r="I9">
        <v>0</v>
      </c>
      <c r="J9"/>
    </row>
    <row r="10" spans="1:10" ht="15" customHeight="1" x14ac:dyDescent="0.15">
      <c r="A10" s="142">
        <v>9</v>
      </c>
      <c r="B10" s="142" t="s">
        <v>200</v>
      </c>
      <c r="C10" s="8">
        <v>2.0072963237762451</v>
      </c>
      <c r="D10" s="9">
        <v>94.134513854980469</v>
      </c>
      <c r="E10" s="9">
        <v>1.5499999523162842</v>
      </c>
      <c r="F10" s="9">
        <v>22.799999237060547</v>
      </c>
      <c r="G10" s="9">
        <v>0.95999991893768311</v>
      </c>
      <c r="H10" s="9">
        <v>6.798245757818222E-2</v>
      </c>
      <c r="I10">
        <v>0</v>
      </c>
      <c r="J10"/>
    </row>
    <row r="11" spans="1:10" ht="15" customHeight="1" x14ac:dyDescent="0.15">
      <c r="A11" s="143">
        <v>10</v>
      </c>
      <c r="B11" s="143" t="s">
        <v>201</v>
      </c>
      <c r="C11" s="8">
        <v>2.7894082069396973</v>
      </c>
      <c r="D11" s="9">
        <v>1.4999999664723873E-2</v>
      </c>
      <c r="E11" s="9">
        <v>0.15000000596046448</v>
      </c>
      <c r="F11" s="9">
        <v>3.5</v>
      </c>
      <c r="G11" s="7">
        <v>0</v>
      </c>
      <c r="H11" s="9">
        <v>4.285714402794838E-2</v>
      </c>
      <c r="I11">
        <v>0</v>
      </c>
      <c r="J11"/>
    </row>
    <row r="12" spans="1:10" ht="15" customHeight="1" x14ac:dyDescent="0.15">
      <c r="A12" s="144">
        <v>11</v>
      </c>
      <c r="B12" s="144" t="s">
        <v>219</v>
      </c>
      <c r="C12" s="8">
        <v>3.8770051002502441</v>
      </c>
      <c r="D12" s="9">
        <v>16.551723480224609</v>
      </c>
      <c r="E12" s="9">
        <v>3.5</v>
      </c>
      <c r="F12" s="9">
        <v>11.699999809265137</v>
      </c>
      <c r="G12" s="9">
        <v>0.95000004768371582</v>
      </c>
      <c r="H12" s="9">
        <v>0.29914531111717224</v>
      </c>
      <c r="I12">
        <v>0</v>
      </c>
      <c r="J12"/>
    </row>
    <row r="13" spans="1:10" ht="15" customHeight="1" x14ac:dyDescent="0.15">
      <c r="A13" s="145">
        <v>12</v>
      </c>
      <c r="B13" s="145" t="s">
        <v>202</v>
      </c>
      <c r="C13" s="8">
        <v>2.3956990242004395</v>
      </c>
      <c r="D13" s="9">
        <v>475</v>
      </c>
      <c r="E13" s="9">
        <v>1.5</v>
      </c>
      <c r="F13" s="9">
        <v>4</v>
      </c>
      <c r="G13" s="9">
        <v>0.930511474609375</v>
      </c>
      <c r="H13" s="9">
        <v>0.375</v>
      </c>
      <c r="I13">
        <v>0</v>
      </c>
      <c r="J13"/>
    </row>
    <row r="14" spans="1:10" ht="15" customHeight="1" x14ac:dyDescent="0.15">
      <c r="A14" s="146">
        <v>13</v>
      </c>
      <c r="B14" s="146" t="s">
        <v>203</v>
      </c>
      <c r="C14" s="8">
        <v>2.9763476848602295</v>
      </c>
      <c r="D14" s="9">
        <v>200.24732971191406</v>
      </c>
      <c r="E14" s="9">
        <v>2.75</v>
      </c>
      <c r="F14" s="9">
        <v>10</v>
      </c>
      <c r="G14" s="9">
        <v>0.9850001335144043</v>
      </c>
      <c r="H14" s="9">
        <v>0.27500000596046448</v>
      </c>
      <c r="I14">
        <v>0</v>
      </c>
      <c r="J14"/>
    </row>
    <row r="15" spans="1:10" ht="15" customHeight="1" x14ac:dyDescent="0.15">
      <c r="A15" s="147">
        <v>14</v>
      </c>
      <c r="B15" s="147" t="s">
        <v>204</v>
      </c>
      <c r="C15" s="8">
        <v>2.3541507720947266</v>
      </c>
      <c r="D15" s="9">
        <v>633.0032958984375</v>
      </c>
      <c r="E15" s="9">
        <v>3.5999999046325684</v>
      </c>
      <c r="F15" s="9">
        <v>7</v>
      </c>
      <c r="G15" s="9">
        <v>0.96000003814697266</v>
      </c>
      <c r="H15" s="9">
        <v>0.51428568363189697</v>
      </c>
      <c r="I15">
        <v>0</v>
      </c>
      <c r="J15"/>
    </row>
    <row r="16" spans="1:10" ht="15" customHeight="1" x14ac:dyDescent="0.15">
      <c r="A16" s="148">
        <v>15</v>
      </c>
      <c r="B16" s="148" t="s">
        <v>205</v>
      </c>
      <c r="C16" s="8">
        <v>2.064000129699707</v>
      </c>
      <c r="D16" s="9">
        <v>1673.5799560546875</v>
      </c>
      <c r="E16" s="9">
        <v>0.80000001192092896</v>
      </c>
      <c r="F16" s="9">
        <v>9</v>
      </c>
      <c r="G16" s="9">
        <v>0.81691330671310425</v>
      </c>
      <c r="H16" s="9">
        <v>8.8888891041278839E-2</v>
      </c>
      <c r="I16">
        <v>0</v>
      </c>
      <c r="J16"/>
    </row>
    <row r="17" spans="1:10" ht="15" customHeight="1" x14ac:dyDescent="0.15">
      <c r="A17" s="149">
        <v>16</v>
      </c>
      <c r="B17" s="149" t="s">
        <v>206</v>
      </c>
      <c r="C17" s="8">
        <v>2.8000001907348633</v>
      </c>
      <c r="D17" s="9">
        <v>40</v>
      </c>
      <c r="E17" s="9">
        <v>65</v>
      </c>
      <c r="F17" s="9">
        <v>165</v>
      </c>
      <c r="G17" s="9">
        <v>0.95825099945068359</v>
      </c>
      <c r="H17" s="9">
        <v>0.39393940567970276</v>
      </c>
      <c r="I17">
        <v>0</v>
      </c>
      <c r="J17"/>
    </row>
    <row r="18" spans="1:10" ht="15" customHeight="1" x14ac:dyDescent="0.15">
      <c r="A18" s="150">
        <v>17</v>
      </c>
      <c r="B18" s="150" t="s">
        <v>207</v>
      </c>
      <c r="C18" s="8">
        <v>2</v>
      </c>
      <c r="D18" s="9">
        <v>50.769111633300781</v>
      </c>
      <c r="E18" s="9">
        <v>134</v>
      </c>
      <c r="F18" s="9">
        <v>215</v>
      </c>
      <c r="G18" s="9">
        <v>0.94999992847442627</v>
      </c>
      <c r="H18" s="9">
        <v>0.62325578927993774</v>
      </c>
      <c r="I18">
        <v>0</v>
      </c>
      <c r="J18"/>
    </row>
    <row r="19" spans="1:10" ht="15" customHeight="1" x14ac:dyDescent="0.15">
      <c r="A19" s="151">
        <v>18</v>
      </c>
      <c r="B19" s="151" t="s">
        <v>208</v>
      </c>
      <c r="C19" s="8">
        <v>1</v>
      </c>
      <c r="D19" s="9">
        <v>30</v>
      </c>
      <c r="E19" s="9">
        <v>70</v>
      </c>
      <c r="F19" s="10"/>
      <c r="G19" s="9">
        <v>0.89291918277740479</v>
      </c>
      <c r="H19" s="10"/>
      <c r="I19">
        <v>0</v>
      </c>
      <c r="J19"/>
    </row>
    <row r="20" spans="1:10" ht="15" customHeight="1" x14ac:dyDescent="0.15">
      <c r="A20" s="152">
        <v>19</v>
      </c>
      <c r="B20" s="152" t="s">
        <v>209</v>
      </c>
      <c r="C20" s="8">
        <v>1</v>
      </c>
      <c r="D20" s="9">
        <v>2115</v>
      </c>
      <c r="E20" s="9">
        <v>13.25</v>
      </c>
      <c r="F20" s="10"/>
      <c r="G20" s="9">
        <v>0.30521282553672791</v>
      </c>
      <c r="H20" s="10"/>
      <c r="I20">
        <v>0</v>
      </c>
      <c r="J20"/>
    </row>
    <row r="21" spans="1:10" ht="15" customHeight="1" x14ac:dyDescent="0.15">
      <c r="A21" s="153">
        <v>20</v>
      </c>
      <c r="B21" s="153" t="s">
        <v>210</v>
      </c>
      <c r="C21" s="8">
        <v>1</v>
      </c>
      <c r="D21" s="9">
        <v>3400</v>
      </c>
      <c r="E21" s="10"/>
      <c r="F21" s="10"/>
      <c r="G21" s="9">
        <v>0.45390269160270691</v>
      </c>
      <c r="H21" s="10"/>
      <c r="I21">
        <v>0</v>
      </c>
      <c r="J21"/>
    </row>
    <row r="22" spans="1:10" ht="15" customHeight="1" x14ac:dyDescent="0.15">
      <c r="A22" s="154">
        <v>21</v>
      </c>
      <c r="B22" s="154" t="s">
        <v>211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55">
        <v>22</v>
      </c>
      <c r="B23" s="155" t="s">
        <v>216</v>
      </c>
      <c r="C23" s="8">
        <v>1</v>
      </c>
      <c r="D23" s="10"/>
      <c r="E23" s="10"/>
      <c r="F23" s="10"/>
      <c r="G23" s="10"/>
      <c r="H23" s="10"/>
      <c r="I23">
        <v>0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K2" activePane="bottomRight" state="frozen"/>
      <selection pane="topRight" activeCell="D1" sqref="D1"/>
      <selection pane="bottomLeft" activeCell="A2" sqref="A2"/>
      <selection pane="bottomRight" activeCell="A12" sqref="A12"/>
    </sheetView>
  </sheetViews>
  <sheetFormatPr baseColWidth="10" defaultColWidth="8.83203125" defaultRowHeight="15" customHeight="1" x14ac:dyDescent="0.15"/>
  <cols>
    <col min="1" max="1" width="40.33203125" style="74" bestFit="1" customWidth="1"/>
    <col min="2" max="4" width="9.5" style="74" bestFit="1" customWidth="1"/>
    <col min="5" max="7" width="9" style="74" bestFit="1" customWidth="1"/>
    <col min="8" max="16" width="12.6640625" style="74" bestFit="1" customWidth="1"/>
    <col min="17" max="17" width="12.33203125" style="74" bestFit="1" customWidth="1"/>
    <col min="18" max="18" width="8.83203125" style="74"/>
    <col min="19" max="21" width="9.33203125" style="74" bestFit="1" customWidth="1"/>
    <col min="22" max="23" width="8.83203125" style="74"/>
    <col min="24" max="24" width="9.33203125" style="74" bestFit="1" customWidth="1"/>
    <col min="25" max="27" width="8.83203125" style="74"/>
    <col min="28" max="58" width="9" style="74" bestFit="1" customWidth="1"/>
    <col min="59" max="59" width="12.33203125" style="74" bestFit="1" customWidth="1"/>
    <col min="60" max="60" width="9" style="74" bestFit="1" customWidth="1"/>
    <col min="61" max="61" width="11.33203125" style="74" bestFit="1" customWidth="1"/>
    <col min="62" max="77" width="9" style="74" bestFit="1" customWidth="1"/>
    <col min="78" max="78" width="12.33203125" style="74" bestFit="1" customWidth="1"/>
    <col min="79" max="79" width="9" style="74" bestFit="1" customWidth="1"/>
    <col min="80" max="80" width="12.33203125" style="74" bestFit="1" customWidth="1"/>
    <col min="81" max="107" width="9" style="74" bestFit="1" customWidth="1"/>
    <col min="108" max="108" width="11.33203125" style="74" bestFit="1" customWidth="1"/>
    <col min="109" max="124" width="9" style="74" bestFit="1" customWidth="1"/>
    <col min="125" max="125" width="10.33203125" style="74" bestFit="1" customWidth="1"/>
    <col min="126" max="129" width="9.33203125" style="74" bestFit="1" customWidth="1"/>
    <col min="130" max="130" width="9" style="74" bestFit="1" customWidth="1"/>
    <col min="131" max="134" width="9.33203125" style="74" bestFit="1" customWidth="1"/>
    <col min="135" max="165" width="9" style="74" bestFit="1" customWidth="1"/>
    <col min="166" max="166" width="12.33203125" style="74" bestFit="1" customWidth="1"/>
    <col min="167" max="170" width="9" style="74" bestFit="1" customWidth="1"/>
    <col min="171" max="176" width="8.83203125" style="74"/>
    <col min="177" max="177" width="13.83203125" style="74" bestFit="1" customWidth="1"/>
    <col min="178" max="16384" width="8.83203125" style="7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218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219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0.18000000715255737</v>
      </c>
      <c r="C2">
        <v>9.578125923871994E-2</v>
      </c>
      <c r="D2"/>
      <c r="E2" s="187">
        <v>4.8999998718500137E-2</v>
      </c>
      <c r="F2"/>
      <c r="G2"/>
      <c r="H2"/>
      <c r="I2"/>
      <c r="J2"/>
      <c r="K2" s="186">
        <v>3.5218749195337296E-2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</v>
      </c>
      <c r="C3">
        <v>7.9537510871887207E-2</v>
      </c>
      <c r="D3"/>
      <c r="E3" s="15">
        <v>1.0088235139846802E-2</v>
      </c>
      <c r="F3" s="202">
        <v>0.89000004529953003</v>
      </c>
      <c r="G3"/>
      <c r="H3" s="21">
        <v>2.0374288782477379E-2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1.3999999761581421</v>
      </c>
      <c r="C4">
        <v>0.11199997365474701</v>
      </c>
      <c r="D4"/>
      <c r="E4" s="14">
        <v>2.3384869564324617E-3</v>
      </c>
      <c r="F4" s="205">
        <v>1.0727859735488892</v>
      </c>
      <c r="G4"/>
      <c r="H4" s="60">
        <v>7.5565256178379059E-2</v>
      </c>
      <c r="I4"/>
      <c r="J4"/>
      <c r="K4"/>
      <c r="L4"/>
      <c r="M4"/>
      <c r="N4"/>
      <c r="O4" s="191">
        <v>0.13731035590171814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0.94999998807907104</v>
      </c>
      <c r="C5">
        <v>4.7500010579824448E-2</v>
      </c>
      <c r="D5"/>
      <c r="E5" s="11">
        <v>3.6145615740679204E-4</v>
      </c>
      <c r="F5" s="206">
        <v>0.41454699635505676</v>
      </c>
      <c r="G5"/>
      <c r="H5" s="204">
        <v>0.36500000953674316</v>
      </c>
      <c r="I5"/>
      <c r="J5" s="64">
        <v>4.8784986138343811E-2</v>
      </c>
      <c r="K5" s="16">
        <v>1.5276041813194752E-2</v>
      </c>
      <c r="L5"/>
      <c r="M5"/>
      <c r="N5"/>
      <c r="O5" s="19">
        <v>1.6326030716300011E-2</v>
      </c>
      <c r="P5"/>
      <c r="Q5" s="190">
        <v>4.2204450815916061E-2</v>
      </c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2.5999999046325684</v>
      </c>
      <c r="C6">
        <v>5.1999792456626892E-2</v>
      </c>
      <c r="D6"/>
      <c r="E6" s="14">
        <v>2.8068451210856438E-3</v>
      </c>
      <c r="F6" s="207">
        <v>1.4857457876205444</v>
      </c>
      <c r="G6"/>
      <c r="H6" s="197">
        <v>0.68024742603302002</v>
      </c>
      <c r="I6" s="16">
        <v>4.0000006556510925E-2</v>
      </c>
      <c r="J6" s="16">
        <v>4.3295316398143768E-2</v>
      </c>
      <c r="K6"/>
      <c r="L6"/>
      <c r="M6"/>
      <c r="N6"/>
      <c r="O6" s="62">
        <v>0.16481122374534607</v>
      </c>
      <c r="P6"/>
      <c r="Q6" s="64">
        <v>0.13109345734119415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1.6000000238418579</v>
      </c>
      <c r="C7">
        <v>3.1999971717596054E-2</v>
      </c>
      <c r="D7"/>
      <c r="E7" s="12">
        <v>5.3108921274542809E-3</v>
      </c>
      <c r="F7" s="201">
        <v>0.58566910028457642</v>
      </c>
      <c r="G7"/>
      <c r="H7" s="211">
        <v>0.93851834535598755</v>
      </c>
      <c r="I7"/>
      <c r="J7"/>
      <c r="K7"/>
      <c r="L7"/>
      <c r="M7"/>
      <c r="N7"/>
      <c r="O7" s="12">
        <v>7.4962228536605835E-3</v>
      </c>
      <c r="P7"/>
      <c r="Q7" s="21">
        <v>3.1005598604679108E-2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0.40000000596046448</v>
      </c>
      <c r="C8">
        <v>0.31999999284744263</v>
      </c>
      <c r="D8"/>
      <c r="E8" s="188">
        <v>7.9999998211860657E-2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1.8999999761581421</v>
      </c>
      <c r="C9">
        <v>3.7999849766492844E-2</v>
      </c>
      <c r="D9"/>
      <c r="E9" s="12">
        <v>7.3779360391199589E-3</v>
      </c>
      <c r="F9" s="208">
        <v>1.6272326707839966</v>
      </c>
      <c r="G9"/>
      <c r="H9" s="193">
        <v>0.19867390394210815</v>
      </c>
      <c r="I9"/>
      <c r="J9"/>
      <c r="K9"/>
      <c r="L9"/>
      <c r="M9"/>
      <c r="N9"/>
      <c r="O9"/>
      <c r="P9"/>
      <c r="Q9" s="16">
        <v>2.8715489432215691E-2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1.5499999523162842</v>
      </c>
      <c r="C10">
        <v>6.2000121921300888E-2</v>
      </c>
      <c r="D10"/>
      <c r="E10" s="14">
        <v>3.643722040578723E-3</v>
      </c>
      <c r="F10" s="200">
        <v>0.80363726615905762</v>
      </c>
      <c r="G10"/>
      <c r="H10"/>
      <c r="I10"/>
      <c r="J10"/>
      <c r="K10"/>
      <c r="L10"/>
      <c r="M10"/>
      <c r="N10"/>
      <c r="O10"/>
      <c r="P10"/>
      <c r="Q10" s="198">
        <v>0.68071895837783813</v>
      </c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0.15000000596046448</v>
      </c>
      <c r="C11">
        <v>0.15000000596046448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219</v>
      </c>
      <c r="B12">
        <v>3.5</v>
      </c>
      <c r="C12">
        <v>0.17499983310699463</v>
      </c>
      <c r="D12"/>
      <c r="E12" s="18">
        <v>4.4036202132701874E-2</v>
      </c>
      <c r="F12" s="192">
        <v>0.82269370555877686</v>
      </c>
      <c r="G12"/>
      <c r="H12" s="194">
        <v>1.0463045835494995</v>
      </c>
      <c r="I12"/>
      <c r="J12"/>
      <c r="K12"/>
      <c r="L12"/>
      <c r="M12"/>
      <c r="N12"/>
      <c r="O12" s="195">
        <v>1.1700000762939453</v>
      </c>
      <c r="P12"/>
      <c r="Q12" s="189">
        <v>0.24196554720401764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1.5</v>
      </c>
      <c r="C13">
        <v>0.1042327880859375</v>
      </c>
      <c r="D13"/>
      <c r="E13" s="11">
        <v>3.7910527316853404E-4</v>
      </c>
      <c r="F13"/>
      <c r="G13"/>
      <c r="H13" s="214">
        <v>0.43751102685928345</v>
      </c>
      <c r="I13"/>
      <c r="J13" s="129">
        <v>0.14967229962348938</v>
      </c>
      <c r="K13"/>
      <c r="L13" s="12">
        <v>5.4980521090328693E-3</v>
      </c>
      <c r="M13"/>
      <c r="N13" s="11">
        <v>4.4210523810761515E-6</v>
      </c>
      <c r="O13"/>
      <c r="P13" s="98">
        <v>0.23600000143051147</v>
      </c>
      <c r="Q13" s="215">
        <v>0.54804533720016479</v>
      </c>
      <c r="R13" s="18">
        <v>1.8656939268112183E-2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2.75</v>
      </c>
      <c r="C14">
        <v>4.1249632835388184E-2</v>
      </c>
      <c r="D14"/>
      <c r="E14" s="12">
        <v>9.6349595114588737E-3</v>
      </c>
      <c r="F14" s="60">
        <v>0.1511131227016449</v>
      </c>
      <c r="G14" s="99">
        <v>0.18311859667301178</v>
      </c>
      <c r="H14" s="213">
        <v>0.86483770608901978</v>
      </c>
      <c r="I14" s="16">
        <v>4.5768875628709793E-2</v>
      </c>
      <c r="J14" s="212">
        <v>0.6605258584022522</v>
      </c>
      <c r="K14" s="12">
        <v>1.2372894212603569E-2</v>
      </c>
      <c r="L14"/>
      <c r="M14" s="12">
        <v>1.0718080215156078E-2</v>
      </c>
      <c r="N14" s="11">
        <v>3.2771971746115014E-5</v>
      </c>
      <c r="O14" s="20">
        <v>0.12088499963283539</v>
      </c>
      <c r="P14" s="15">
        <v>2.8464799746870995E-2</v>
      </c>
      <c r="Q14" s="203">
        <v>0.40000000596046448</v>
      </c>
      <c r="R14" s="196">
        <v>0.22127750515937805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3.5999999046325684</v>
      </c>
      <c r="C15">
        <v>0.1439998596906662</v>
      </c>
      <c r="D15"/>
      <c r="E15" s="14">
        <v>3.6169243976473808E-3</v>
      </c>
      <c r="F15" s="21">
        <v>7.4095971882343292E-2</v>
      </c>
      <c r="G15" s="61">
        <v>0.14482155442237854</v>
      </c>
      <c r="H15" s="132">
        <v>0.90283697843551636</v>
      </c>
      <c r="I15"/>
      <c r="J15" s="218">
        <v>0.57462340593338013</v>
      </c>
      <c r="K15"/>
      <c r="L15" s="14">
        <v>4.1256886906921864E-3</v>
      </c>
      <c r="M15"/>
      <c r="N15" s="11">
        <v>3.732207915163599E-6</v>
      </c>
      <c r="O15" s="25">
        <v>0.12849092483520508</v>
      </c>
      <c r="P15" s="20">
        <v>0.15608133375644684</v>
      </c>
      <c r="Q15" s="220">
        <v>1.0123034715652466</v>
      </c>
      <c r="R15" s="217">
        <v>0.45499995350837708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0.80000001192092896</v>
      </c>
      <c r="C16">
        <v>0.1464693546295166</v>
      </c>
      <c r="D16"/>
      <c r="E16" s="11">
        <v>5.636121568386443E-5</v>
      </c>
      <c r="F16"/>
      <c r="G16" s="209">
        <v>7.0113673806190491E-2</v>
      </c>
      <c r="H16" s="210">
        <v>7.2435744106769562E-2</v>
      </c>
      <c r="I16" s="12">
        <v>2.7381707914173603E-3</v>
      </c>
      <c r="J16" s="129">
        <v>8.0021217465400696E-2</v>
      </c>
      <c r="K16"/>
      <c r="L16"/>
      <c r="M16" s="22">
        <v>6.4122024923563004E-3</v>
      </c>
      <c r="N16" s="11">
        <v>1.2547950973385014E-5</v>
      </c>
      <c r="O16"/>
      <c r="P16" s="220">
        <v>0.22365228831768036</v>
      </c>
      <c r="Q16" s="199">
        <v>4.1878227144479752E-2</v>
      </c>
      <c r="R16" s="186">
        <v>0.15621025860309601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65</v>
      </c>
      <c r="C17">
        <v>2.7136850357055664</v>
      </c>
      <c r="D17"/>
      <c r="E17"/>
      <c r="F17" s="23">
        <v>0.37824997305870056</v>
      </c>
      <c r="G17" s="133">
        <v>16.546890258789062</v>
      </c>
      <c r="H17" s="196">
        <v>5.1954431533813477</v>
      </c>
      <c r="I17" s="221">
        <v>18.597505569458008</v>
      </c>
      <c r="J17" s="216">
        <v>6.6134271621704102</v>
      </c>
      <c r="K17"/>
      <c r="L17" s="12">
        <v>0.26115745306015015</v>
      </c>
      <c r="M17"/>
      <c r="N17"/>
      <c r="O17" s="16">
        <v>0.96827590465545654</v>
      </c>
      <c r="P17" s="14">
        <v>0.14250001311302185</v>
      </c>
      <c r="Q17" s="199">
        <v>3.5043282508850098</v>
      </c>
      <c r="R17" s="15">
        <v>0.66465342044830322</v>
      </c>
      <c r="S17" s="203">
        <v>9.4138870239257812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134</v>
      </c>
      <c r="C18">
        <v>6.7000093460083008</v>
      </c>
      <c r="D18"/>
      <c r="E18"/>
      <c r="F18"/>
      <c r="G18"/>
      <c r="H18"/>
      <c r="I18" s="11">
        <v>3.0087506398558617E-2</v>
      </c>
      <c r="J18"/>
      <c r="K18"/>
      <c r="L18"/>
      <c r="M18"/>
      <c r="N18"/>
      <c r="O18"/>
      <c r="P18" s="23">
        <v>0.82333523035049438</v>
      </c>
      <c r="Q18" s="16">
        <v>1.972137451171875</v>
      </c>
      <c r="R18" s="222">
        <v>14.837248802185059</v>
      </c>
      <c r="S18" s="61">
        <v>5.636934757232666</v>
      </c>
      <c r="T18" s="224">
        <v>104.000244140625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70</v>
      </c>
      <c r="C19">
        <v>7.4956569671630859</v>
      </c>
      <c r="D19"/>
      <c r="E19"/>
      <c r="F19"/>
      <c r="G19"/>
      <c r="H19"/>
      <c r="I19" s="11">
        <v>5.0917200744152069E-2</v>
      </c>
      <c r="J19"/>
      <c r="K19"/>
      <c r="L19"/>
      <c r="M19"/>
      <c r="N19"/>
      <c r="O19"/>
      <c r="P19" s="14">
        <v>0.1900000125169754</v>
      </c>
      <c r="Q19" s="12">
        <v>0.33374553918838501</v>
      </c>
      <c r="R19" s="219">
        <v>12.406864166259766</v>
      </c>
      <c r="S19" s="68">
        <v>5.5228137969970703</v>
      </c>
      <c r="T19" s="223">
        <v>44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13.25</v>
      </c>
      <c r="C20">
        <v>9.2059297561645508</v>
      </c>
      <c r="D20"/>
      <c r="E20"/>
      <c r="F20"/>
      <c r="G20" s="11">
        <v>4.3343985453248024E-3</v>
      </c>
      <c r="H20" s="23">
        <v>7.1237750351428986E-2</v>
      </c>
      <c r="I20"/>
      <c r="J20" s="18">
        <v>0.16885347664356232</v>
      </c>
      <c r="K20"/>
      <c r="L20" s="63">
        <v>1.2199693918228149</v>
      </c>
      <c r="M20" s="189">
        <v>0.91939377784729004</v>
      </c>
      <c r="N20" s="11">
        <v>9.6808498710743152E-6</v>
      </c>
      <c r="O20"/>
      <c r="P20" s="13">
        <v>0.49768325686454773</v>
      </c>
      <c r="Q20" s="17">
        <v>0.18935917317867279</v>
      </c>
      <c r="R20" s="24">
        <v>0.37501329183578491</v>
      </c>
      <c r="S20" s="190">
        <v>0.59821581840515137</v>
      </c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/>
      <c r="C21">
        <v>0.45390269160270691</v>
      </c>
      <c r="D21"/>
      <c r="E21" s="9">
        <v>0.1372000128030777</v>
      </c>
      <c r="F21"/>
      <c r="G21"/>
      <c r="H21"/>
      <c r="I21"/>
      <c r="J21" s="9">
        <v>315.79116821289062</v>
      </c>
      <c r="K21"/>
      <c r="L21" s="9">
        <v>15.669445991516113</v>
      </c>
      <c r="M21" s="9">
        <v>188.87147521972656</v>
      </c>
      <c r="N21"/>
      <c r="O21"/>
      <c r="P21" s="9">
        <v>203.30000305175781</v>
      </c>
      <c r="Q21" s="9">
        <v>206.25474548339844</v>
      </c>
      <c r="R21" s="9">
        <v>1883.184814453125</v>
      </c>
      <c r="S21" s="9">
        <v>12968.5712890625</v>
      </c>
      <c r="T21"/>
      <c r="U21" s="9">
        <v>10915.359375</v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I31" sqref="I31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73" t="s">
        <v>192</v>
      </c>
      <c r="E5">
        <v>4</v>
      </c>
      <c r="F5">
        <v>3.24</v>
      </c>
      <c r="G5">
        <v>4</v>
      </c>
      <c r="H5" s="174" t="s">
        <v>192</v>
      </c>
      <c r="J5" s="53"/>
      <c r="K5" s="54"/>
    </row>
    <row r="6" spans="1:12" ht="14" thickBot="1" x14ac:dyDescent="0.2">
      <c r="A6" s="37" t="s">
        <v>121</v>
      </c>
      <c r="D6" s="173" t="s">
        <v>193</v>
      </c>
      <c r="E6">
        <v>5</v>
      </c>
      <c r="F6">
        <v>3</v>
      </c>
      <c r="G6">
        <v>5</v>
      </c>
      <c r="H6" s="174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73" t="s">
        <v>194</v>
      </c>
      <c r="E7">
        <v>6</v>
      </c>
      <c r="F7">
        <v>3</v>
      </c>
      <c r="G7">
        <v>6</v>
      </c>
      <c r="H7" s="174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73" t="s">
        <v>195</v>
      </c>
      <c r="E8">
        <v>7</v>
      </c>
      <c r="F8">
        <v>3</v>
      </c>
      <c r="G8">
        <v>7</v>
      </c>
      <c r="H8" s="174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73" t="s">
        <v>196</v>
      </c>
      <c r="E9">
        <v>8</v>
      </c>
      <c r="F9">
        <v>3</v>
      </c>
      <c r="G9">
        <v>8</v>
      </c>
      <c r="H9" s="174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73" t="s">
        <v>197</v>
      </c>
      <c r="E10">
        <v>9</v>
      </c>
      <c r="F10">
        <v>3</v>
      </c>
      <c r="G10">
        <v>9</v>
      </c>
      <c r="H10" s="174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73" t="s">
        <v>198</v>
      </c>
      <c r="E11">
        <v>10</v>
      </c>
      <c r="F11">
        <v>3</v>
      </c>
      <c r="G11">
        <v>10</v>
      </c>
      <c r="H11" s="174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73" t="s">
        <v>199</v>
      </c>
      <c r="E12">
        <v>11</v>
      </c>
      <c r="F12">
        <v>3</v>
      </c>
      <c r="G12">
        <v>11</v>
      </c>
      <c r="H12" s="174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73" t="s">
        <v>200</v>
      </c>
      <c r="E13">
        <v>12</v>
      </c>
      <c r="F13">
        <v>3</v>
      </c>
      <c r="G13">
        <v>12</v>
      </c>
      <c r="H13" s="174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73" t="s">
        <v>201</v>
      </c>
      <c r="E14">
        <v>13</v>
      </c>
      <c r="F14">
        <v>3.15</v>
      </c>
      <c r="G14">
        <v>13</v>
      </c>
      <c r="H14" s="174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73" t="s">
        <v>219</v>
      </c>
      <c r="E15">
        <v>14</v>
      </c>
      <c r="F15">
        <v>3.13</v>
      </c>
      <c r="G15">
        <v>14</v>
      </c>
      <c r="H15" s="174" t="s">
        <v>219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73" t="s">
        <v>202</v>
      </c>
      <c r="E16">
        <v>15</v>
      </c>
      <c r="F16">
        <v>3.21</v>
      </c>
      <c r="G16">
        <v>15</v>
      </c>
      <c r="H16" s="174" t="s">
        <v>202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73" t="s">
        <v>203</v>
      </c>
      <c r="E17">
        <v>16</v>
      </c>
      <c r="F17">
        <v>3.01</v>
      </c>
      <c r="G17">
        <v>16</v>
      </c>
      <c r="H17" s="174" t="s">
        <v>203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73" t="s">
        <v>204</v>
      </c>
      <c r="E18">
        <v>17</v>
      </c>
      <c r="F18">
        <v>3</v>
      </c>
      <c r="G18">
        <v>17</v>
      </c>
      <c r="H18" s="174" t="s">
        <v>204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73" t="s">
        <v>205</v>
      </c>
      <c r="E19">
        <v>18</v>
      </c>
      <c r="F19">
        <v>3</v>
      </c>
      <c r="G19">
        <v>18</v>
      </c>
      <c r="H19" s="174" t="s">
        <v>205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73" t="s">
        <v>206</v>
      </c>
      <c r="E20">
        <v>19</v>
      </c>
      <c r="F20">
        <v>3.11</v>
      </c>
      <c r="G20">
        <v>19</v>
      </c>
      <c r="H20" s="174" t="s">
        <v>206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73" t="s">
        <v>207</v>
      </c>
      <c r="E21">
        <v>20</v>
      </c>
      <c r="F21">
        <v>3</v>
      </c>
      <c r="G21">
        <v>20</v>
      </c>
      <c r="H21" s="174" t="s">
        <v>207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73" t="s">
        <v>208</v>
      </c>
      <c r="E22">
        <v>21</v>
      </c>
      <c r="F22">
        <v>2.1</v>
      </c>
      <c r="G22">
        <v>21</v>
      </c>
      <c r="H22" s="174" t="s">
        <v>208</v>
      </c>
    </row>
    <row r="23" spans="1:12" x14ac:dyDescent="0.15">
      <c r="A23" s="32" t="s">
        <v>129</v>
      </c>
      <c r="B23" s="40">
        <v>4</v>
      </c>
      <c r="C23" s="34"/>
      <c r="D23" s="173" t="s">
        <v>209</v>
      </c>
      <c r="E23">
        <v>22</v>
      </c>
      <c r="F23">
        <v>2.2000000000000002</v>
      </c>
      <c r="G23">
        <v>22</v>
      </c>
      <c r="H23" s="174" t="s">
        <v>209</v>
      </c>
    </row>
    <row r="24" spans="1:12" x14ac:dyDescent="0.15">
      <c r="A24" s="32" t="s">
        <v>122</v>
      </c>
      <c r="B24" s="40">
        <v>4.0999999999999996</v>
      </c>
      <c r="C24" s="34"/>
      <c r="D24" s="173" t="s">
        <v>210</v>
      </c>
      <c r="E24">
        <v>23</v>
      </c>
      <c r="F24">
        <v>4.0999999999999996</v>
      </c>
      <c r="G24">
        <v>23</v>
      </c>
      <c r="H24" s="174" t="s">
        <v>210</v>
      </c>
    </row>
    <row r="25" spans="1:12" x14ac:dyDescent="0.15">
      <c r="A25" s="32" t="s">
        <v>70</v>
      </c>
      <c r="B25" s="40">
        <v>4.2</v>
      </c>
      <c r="C25" s="34"/>
      <c r="D25" s="173" t="s">
        <v>211</v>
      </c>
      <c r="E25">
        <v>24</v>
      </c>
      <c r="F25">
        <v>4.3</v>
      </c>
      <c r="G25">
        <v>24</v>
      </c>
      <c r="H25" s="174" t="s">
        <v>211</v>
      </c>
    </row>
    <row r="26" spans="1:12" x14ac:dyDescent="0.15">
      <c r="A26" s="32" t="s">
        <v>123</v>
      </c>
      <c r="B26" s="40">
        <v>4.3</v>
      </c>
      <c r="C26" s="34"/>
      <c r="D26" s="183" t="s">
        <v>216</v>
      </c>
      <c r="E26">
        <v>25</v>
      </c>
      <c r="F26">
        <v>5</v>
      </c>
      <c r="G26">
        <v>25</v>
      </c>
      <c r="H26" s="183" t="s">
        <v>216</v>
      </c>
    </row>
    <row r="27" spans="1:12" x14ac:dyDescent="0.15">
      <c r="A27" s="32" t="s">
        <v>125</v>
      </c>
      <c r="B27" s="40">
        <v>6.1</v>
      </c>
      <c r="D27" s="173" t="s">
        <v>138</v>
      </c>
      <c r="E27">
        <v>26</v>
      </c>
      <c r="F27">
        <v>6.1</v>
      </c>
      <c r="G27">
        <v>26</v>
      </c>
      <c r="H27" s="174" t="s">
        <v>138</v>
      </c>
    </row>
    <row r="28" spans="1:12" x14ac:dyDescent="0.15">
      <c r="A28" s="32" t="s">
        <v>124</v>
      </c>
      <c r="B28" s="40">
        <v>6.2</v>
      </c>
      <c r="D28" s="173" t="s">
        <v>45</v>
      </c>
      <c r="E28">
        <v>27</v>
      </c>
      <c r="F28">
        <v>6.2</v>
      </c>
      <c r="G28">
        <v>27</v>
      </c>
      <c r="H28" s="174" t="s">
        <v>45</v>
      </c>
    </row>
    <row r="29" spans="1:12" x14ac:dyDescent="0.15">
      <c r="A29" s="32" t="s">
        <v>44</v>
      </c>
      <c r="B29" s="40">
        <v>5</v>
      </c>
    </row>
    <row r="30" spans="1:12" x14ac:dyDescent="0.15">
      <c r="A30" s="32" t="s">
        <v>73</v>
      </c>
      <c r="B30" s="40">
        <v>7</v>
      </c>
    </row>
    <row r="31" spans="1:12" x14ac:dyDescent="0.15">
      <c r="A31" s="32" t="s">
        <v>169</v>
      </c>
      <c r="B31" s="40">
        <v>3.14</v>
      </c>
    </row>
    <row r="32" spans="1:12" ht="12" customHeight="1" thickBot="1" x14ac:dyDescent="0.2">
      <c r="A32" s="38" t="s">
        <v>170</v>
      </c>
      <c r="B32" s="41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U16" sqref="U16"/>
    </sheetView>
  </sheetViews>
  <sheetFormatPr baseColWidth="10" defaultColWidth="11.5" defaultRowHeight="15" customHeight="1" x14ac:dyDescent="0.15"/>
  <cols>
    <col min="1" max="1" width="13.1640625" style="75" bestFit="1" customWidth="1"/>
    <col min="2" max="2" width="12.83203125" style="74" customWidth="1"/>
    <col min="3" max="3" width="13.1640625" style="74" customWidth="1"/>
    <col min="4" max="4" width="5.33203125" style="74" customWidth="1"/>
    <col min="5" max="5" width="12.83203125" style="74" customWidth="1"/>
    <col min="6" max="6" width="15.5" style="74" bestFit="1" customWidth="1"/>
    <col min="7" max="9" width="2.33203125" style="74" customWidth="1"/>
    <col min="10" max="10" width="2.33203125" style="74" bestFit="1" customWidth="1"/>
    <col min="11" max="15" width="2.33203125" style="74" customWidth="1"/>
    <col min="16" max="16" width="2.33203125" style="66" customWidth="1"/>
    <col min="17" max="17" width="2.33203125" style="74" customWidth="1"/>
    <col min="18" max="18" width="2.33203125" style="67" customWidth="1"/>
    <col min="19" max="16384" width="11.5" style="74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6" t="s">
        <v>48</v>
      </c>
      <c r="L1" s="67"/>
      <c r="M1" s="76" t="s">
        <v>119</v>
      </c>
      <c r="N1" s="67"/>
      <c r="O1" s="76" t="s">
        <v>49</v>
      </c>
      <c r="P1" s="69"/>
      <c r="Q1" s="76" t="s">
        <v>50</v>
      </c>
      <c r="R1" s="65" t="s">
        <v>154</v>
      </c>
    </row>
    <row r="2" spans="1:23" ht="15" customHeight="1" x14ac:dyDescent="0.15">
      <c r="A2" s="76" t="s">
        <v>51</v>
      </c>
      <c r="B2" s="77">
        <v>0.5</v>
      </c>
      <c r="C2" s="75" t="s">
        <v>52</v>
      </c>
      <c r="D2" s="78"/>
      <c r="F2" s="1"/>
      <c r="G2" s="79"/>
      <c r="H2" s="79"/>
      <c r="I2" s="79" t="s">
        <v>133</v>
      </c>
      <c r="J2" s="79" t="s">
        <v>133</v>
      </c>
      <c r="K2" s="79" t="s">
        <v>52</v>
      </c>
      <c r="L2" s="79" t="s">
        <v>53</v>
      </c>
      <c r="M2" s="79" t="s">
        <v>52</v>
      </c>
      <c r="N2" s="79" t="s">
        <v>53</v>
      </c>
      <c r="O2" s="79" t="s">
        <v>52</v>
      </c>
      <c r="P2" s="80" t="s">
        <v>53</v>
      </c>
      <c r="Q2" s="79"/>
      <c r="R2" s="81" t="s">
        <v>155</v>
      </c>
    </row>
    <row r="3" spans="1:23" ht="15" customHeight="1" thickBot="1" x14ac:dyDescent="0.2">
      <c r="A3" s="76" t="s">
        <v>54</v>
      </c>
      <c r="B3" s="82">
        <v>0.5</v>
      </c>
      <c r="C3" s="75" t="s">
        <v>53</v>
      </c>
      <c r="D3" s="7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8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8">
        <v>0</v>
      </c>
      <c r="R4" s="101">
        <v>0</v>
      </c>
    </row>
    <row r="5" spans="1:23" ht="15" customHeight="1" x14ac:dyDescent="0.15">
      <c r="A5" s="76" t="s">
        <v>55</v>
      </c>
      <c r="B5" s="83">
        <v>0.5</v>
      </c>
      <c r="C5" s="75" t="s">
        <v>52</v>
      </c>
      <c r="D5" s="7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8">
        <v>0</v>
      </c>
      <c r="R5" s="101">
        <v>0</v>
      </c>
    </row>
    <row r="6" spans="1:23" ht="15" customHeight="1" thickBot="1" x14ac:dyDescent="0.2">
      <c r="A6" s="76"/>
      <c r="B6" s="84">
        <v>0.5</v>
      </c>
      <c r="C6" s="75" t="s">
        <v>53</v>
      </c>
      <c r="D6" s="78"/>
      <c r="F6" s="175" t="s">
        <v>192</v>
      </c>
      <c r="G6" s="74">
        <v>0</v>
      </c>
      <c r="H6" s="74">
        <v>0</v>
      </c>
      <c r="I6" s="74">
        <v>0</v>
      </c>
      <c r="J6" s="74">
        <v>0</v>
      </c>
      <c r="K6" s="74">
        <v>1</v>
      </c>
      <c r="L6" s="74">
        <v>0</v>
      </c>
      <c r="M6" s="74">
        <v>1</v>
      </c>
      <c r="N6" s="74">
        <v>0</v>
      </c>
      <c r="O6" s="74">
        <v>1</v>
      </c>
      <c r="P6" s="66">
        <v>0</v>
      </c>
      <c r="Q6" s="74">
        <v>0</v>
      </c>
      <c r="R6" s="67">
        <v>1</v>
      </c>
      <c r="S6"/>
      <c r="T6"/>
    </row>
    <row r="7" spans="1:23" ht="15" customHeight="1" thickBot="1" x14ac:dyDescent="0.2">
      <c r="F7" s="175" t="s">
        <v>193</v>
      </c>
      <c r="G7" s="74">
        <v>0</v>
      </c>
      <c r="H7" s="74">
        <v>0</v>
      </c>
      <c r="I7" s="74">
        <v>0</v>
      </c>
      <c r="J7" s="74">
        <v>0</v>
      </c>
      <c r="K7" s="74">
        <v>1</v>
      </c>
      <c r="L7" s="74">
        <v>0</v>
      </c>
      <c r="M7" s="74">
        <v>1</v>
      </c>
      <c r="N7" s="74">
        <v>0</v>
      </c>
      <c r="O7" s="74">
        <v>1</v>
      </c>
      <c r="P7" s="66">
        <v>0</v>
      </c>
      <c r="Q7" s="74">
        <v>0</v>
      </c>
      <c r="R7" s="67">
        <v>1</v>
      </c>
      <c r="S7"/>
      <c r="T7"/>
    </row>
    <row r="8" spans="1:23" ht="15" customHeight="1" x14ac:dyDescent="0.15">
      <c r="A8" s="76" t="s">
        <v>56</v>
      </c>
      <c r="B8" s="83">
        <v>6.9712436200672231E-2</v>
      </c>
      <c r="C8" s="176" t="s">
        <v>208</v>
      </c>
      <c r="D8" s="78" t="s">
        <v>160</v>
      </c>
      <c r="F8" s="175" t="s">
        <v>194</v>
      </c>
      <c r="G8" s="74">
        <v>0</v>
      </c>
      <c r="H8" s="74">
        <v>0</v>
      </c>
      <c r="I8" s="74">
        <v>0</v>
      </c>
      <c r="J8" s="74">
        <v>0</v>
      </c>
      <c r="K8" s="74">
        <v>1</v>
      </c>
      <c r="L8" s="74">
        <v>0</v>
      </c>
      <c r="M8" s="74">
        <v>1</v>
      </c>
      <c r="N8" s="74">
        <v>0</v>
      </c>
      <c r="O8" s="74">
        <v>1</v>
      </c>
      <c r="P8" s="66">
        <v>0</v>
      </c>
      <c r="Q8" s="74">
        <v>0</v>
      </c>
      <c r="R8" s="67">
        <v>1</v>
      </c>
      <c r="S8"/>
      <c r="T8"/>
      <c r="W8"/>
    </row>
    <row r="9" spans="1:23" ht="15" customHeight="1" x14ac:dyDescent="0.15">
      <c r="A9" s="115" t="s">
        <v>168</v>
      </c>
      <c r="B9" s="85">
        <v>0.93028756379932775</v>
      </c>
      <c r="C9" s="176" t="s">
        <v>209</v>
      </c>
      <c r="D9" s="78" t="s">
        <v>160</v>
      </c>
      <c r="F9" s="175" t="s">
        <v>195</v>
      </c>
      <c r="G9" s="74">
        <v>0</v>
      </c>
      <c r="H9" s="74">
        <v>0</v>
      </c>
      <c r="I9" s="74">
        <v>0</v>
      </c>
      <c r="J9" s="74">
        <v>0</v>
      </c>
      <c r="K9" s="74">
        <v>1</v>
      </c>
      <c r="L9" s="74">
        <v>0</v>
      </c>
      <c r="M9" s="74">
        <v>1</v>
      </c>
      <c r="N9" s="74">
        <v>0</v>
      </c>
      <c r="O9" s="74">
        <v>1</v>
      </c>
      <c r="P9" s="66">
        <v>0</v>
      </c>
      <c r="Q9" s="74">
        <v>0</v>
      </c>
      <c r="R9" s="67">
        <v>1</v>
      </c>
      <c r="S9"/>
      <c r="T9"/>
      <c r="W9"/>
    </row>
    <row r="10" spans="1:23" ht="15" customHeight="1" x14ac:dyDescent="0.15">
      <c r="B10" s="85"/>
      <c r="C10" s="73"/>
      <c r="D10" s="78" t="s">
        <v>160</v>
      </c>
      <c r="F10" s="175" t="s">
        <v>196</v>
      </c>
      <c r="G10" s="74">
        <v>0</v>
      </c>
      <c r="H10" s="74">
        <v>0</v>
      </c>
      <c r="I10" s="74">
        <v>0</v>
      </c>
      <c r="J10" s="74">
        <v>0</v>
      </c>
      <c r="K10" s="74">
        <v>1</v>
      </c>
      <c r="L10" s="74">
        <v>0</v>
      </c>
      <c r="M10" s="74">
        <v>1</v>
      </c>
      <c r="N10" s="74">
        <v>0</v>
      </c>
      <c r="O10" s="74">
        <v>1</v>
      </c>
      <c r="P10" s="66">
        <v>0</v>
      </c>
      <c r="Q10" s="74">
        <v>0</v>
      </c>
      <c r="R10" s="67">
        <v>1</v>
      </c>
      <c r="S10"/>
      <c r="T10"/>
      <c r="W10"/>
    </row>
    <row r="11" spans="1:23" ht="15" customHeight="1" x14ac:dyDescent="0.15">
      <c r="A11" s="76"/>
      <c r="B11" s="85"/>
      <c r="C11" s="88"/>
      <c r="D11" s="78" t="s">
        <v>160</v>
      </c>
      <c r="F11" s="175" t="s">
        <v>197</v>
      </c>
      <c r="G11" s="74">
        <v>0</v>
      </c>
      <c r="H11" s="74">
        <v>0</v>
      </c>
      <c r="I11" s="74">
        <v>0</v>
      </c>
      <c r="J11" s="74">
        <v>0</v>
      </c>
      <c r="K11" s="74">
        <v>1</v>
      </c>
      <c r="L11" s="74">
        <v>0</v>
      </c>
      <c r="M11" s="74">
        <v>1</v>
      </c>
      <c r="N11" s="74">
        <v>0</v>
      </c>
      <c r="O11" s="74">
        <v>1</v>
      </c>
      <c r="P11" s="66">
        <v>0</v>
      </c>
      <c r="Q11" s="74">
        <v>0</v>
      </c>
      <c r="R11" s="67">
        <v>1</v>
      </c>
      <c r="S11"/>
      <c r="T11"/>
      <c r="W11"/>
    </row>
    <row r="12" spans="1:23" ht="15" customHeight="1" x14ac:dyDescent="0.15">
      <c r="B12" s="85"/>
      <c r="C12" s="89"/>
      <c r="D12" s="78" t="s">
        <v>160</v>
      </c>
      <c r="F12" s="175" t="s">
        <v>198</v>
      </c>
      <c r="G12" s="74">
        <v>0</v>
      </c>
      <c r="H12" s="74">
        <v>0</v>
      </c>
      <c r="I12" s="74">
        <v>0</v>
      </c>
      <c r="J12" s="74">
        <v>0</v>
      </c>
      <c r="K12" s="74">
        <v>1</v>
      </c>
      <c r="L12" s="74">
        <v>0</v>
      </c>
      <c r="M12" s="74">
        <v>1</v>
      </c>
      <c r="N12" s="74">
        <v>0</v>
      </c>
      <c r="O12" s="74">
        <v>1</v>
      </c>
      <c r="P12" s="66">
        <v>0</v>
      </c>
      <c r="Q12" s="74">
        <v>0</v>
      </c>
      <c r="R12" s="67">
        <v>1</v>
      </c>
      <c r="S12"/>
      <c r="T12"/>
      <c r="W12"/>
    </row>
    <row r="13" spans="1:23" ht="15" customHeight="1" x14ac:dyDescent="0.15">
      <c r="B13" s="85"/>
      <c r="C13" s="89"/>
      <c r="D13" s="78" t="s">
        <v>160</v>
      </c>
      <c r="F13" s="175" t="s">
        <v>199</v>
      </c>
      <c r="G13" s="74">
        <v>0</v>
      </c>
      <c r="H13" s="74">
        <v>0</v>
      </c>
      <c r="I13" s="74">
        <v>0</v>
      </c>
      <c r="J13" s="74">
        <v>0</v>
      </c>
      <c r="K13" s="74">
        <v>1</v>
      </c>
      <c r="L13" s="74">
        <v>0</v>
      </c>
      <c r="M13" s="74">
        <v>1</v>
      </c>
      <c r="N13" s="74">
        <v>0</v>
      </c>
      <c r="O13" s="74">
        <v>1</v>
      </c>
      <c r="P13" s="66">
        <v>0</v>
      </c>
      <c r="Q13" s="74">
        <v>0</v>
      </c>
      <c r="R13" s="67">
        <v>1</v>
      </c>
      <c r="S13"/>
      <c r="T13"/>
      <c r="W13"/>
    </row>
    <row r="14" spans="1:23" ht="15" customHeight="1" x14ac:dyDescent="0.15">
      <c r="B14" s="85"/>
      <c r="C14" s="73"/>
      <c r="D14" s="78" t="s">
        <v>160</v>
      </c>
      <c r="F14" s="175" t="s">
        <v>200</v>
      </c>
      <c r="G14" s="74">
        <v>0</v>
      </c>
      <c r="H14" s="74">
        <v>0</v>
      </c>
      <c r="I14" s="74">
        <v>0</v>
      </c>
      <c r="J14" s="74">
        <v>0</v>
      </c>
      <c r="K14" s="74">
        <v>1</v>
      </c>
      <c r="L14" s="74">
        <v>0</v>
      </c>
      <c r="M14" s="74">
        <v>1</v>
      </c>
      <c r="N14" s="74">
        <v>0</v>
      </c>
      <c r="O14" s="74">
        <v>1</v>
      </c>
      <c r="P14" s="66">
        <v>0</v>
      </c>
      <c r="Q14" s="74">
        <v>0</v>
      </c>
      <c r="R14" s="67">
        <v>1</v>
      </c>
      <c r="S14"/>
      <c r="T14"/>
      <c r="W14"/>
    </row>
    <row r="15" spans="1:23" ht="15" customHeight="1" x14ac:dyDescent="0.15">
      <c r="B15" s="85"/>
      <c r="C15" s="73"/>
      <c r="D15" s="78" t="s">
        <v>160</v>
      </c>
      <c r="F15" s="175" t="s">
        <v>201</v>
      </c>
      <c r="G15" s="74">
        <v>0</v>
      </c>
      <c r="H15" s="74">
        <v>0</v>
      </c>
      <c r="I15" s="74">
        <v>0</v>
      </c>
      <c r="J15" s="74">
        <v>0</v>
      </c>
      <c r="K15" s="74">
        <v>1</v>
      </c>
      <c r="L15" s="74">
        <v>0</v>
      </c>
      <c r="M15" s="74">
        <v>1</v>
      </c>
      <c r="N15" s="74">
        <v>0</v>
      </c>
      <c r="O15" s="74">
        <v>1</v>
      </c>
      <c r="P15" s="66">
        <v>0</v>
      </c>
      <c r="Q15" s="74">
        <v>0</v>
      </c>
      <c r="R15" s="67">
        <v>1</v>
      </c>
      <c r="S15"/>
      <c r="T15"/>
      <c r="W15"/>
    </row>
    <row r="16" spans="1:23" ht="15" customHeight="1" x14ac:dyDescent="0.15">
      <c r="B16" s="85"/>
      <c r="C16" s="73"/>
      <c r="D16" s="78" t="s">
        <v>160</v>
      </c>
      <c r="F16" s="175" t="s">
        <v>219</v>
      </c>
      <c r="G16" s="74">
        <v>0</v>
      </c>
      <c r="H16" s="74">
        <v>0</v>
      </c>
      <c r="I16" s="74">
        <v>0</v>
      </c>
      <c r="J16" s="74">
        <v>0</v>
      </c>
      <c r="K16" s="74">
        <v>1</v>
      </c>
      <c r="L16" s="74">
        <v>0</v>
      </c>
      <c r="M16" s="74">
        <v>1</v>
      </c>
      <c r="N16" s="74">
        <v>0</v>
      </c>
      <c r="O16" s="74">
        <v>1</v>
      </c>
      <c r="P16" s="66">
        <v>0</v>
      </c>
      <c r="Q16" s="74">
        <v>0</v>
      </c>
      <c r="R16" s="67">
        <v>1</v>
      </c>
      <c r="S16"/>
      <c r="T16"/>
    </row>
    <row r="17" spans="1:20" ht="15" customHeight="1" thickBot="1" x14ac:dyDescent="0.2">
      <c r="B17" s="84"/>
      <c r="C17" s="73"/>
      <c r="D17" s="78" t="s">
        <v>160</v>
      </c>
      <c r="F17" s="175" t="s">
        <v>202</v>
      </c>
      <c r="G17" s="74">
        <v>0</v>
      </c>
      <c r="H17" s="74">
        <v>0</v>
      </c>
      <c r="I17" s="74">
        <v>0</v>
      </c>
      <c r="J17" s="74">
        <v>0</v>
      </c>
      <c r="K17" s="74">
        <v>1</v>
      </c>
      <c r="L17" s="74">
        <v>0</v>
      </c>
      <c r="M17" s="74">
        <v>1</v>
      </c>
      <c r="N17" s="74">
        <v>0</v>
      </c>
      <c r="O17" s="74">
        <v>1</v>
      </c>
      <c r="P17" s="66">
        <v>0</v>
      </c>
      <c r="Q17" s="74">
        <v>0</v>
      </c>
      <c r="R17" s="67">
        <v>1</v>
      </c>
      <c r="S17"/>
      <c r="T17"/>
    </row>
    <row r="18" spans="1:20" ht="15" customHeight="1" thickBot="1" x14ac:dyDescent="0.2">
      <c r="B18" s="86"/>
      <c r="F18" s="175" t="s">
        <v>203</v>
      </c>
      <c r="G18" s="74">
        <v>0</v>
      </c>
      <c r="H18" s="74">
        <v>0</v>
      </c>
      <c r="I18" s="74">
        <v>0</v>
      </c>
      <c r="J18" s="74">
        <v>0</v>
      </c>
      <c r="K18" s="74">
        <v>1</v>
      </c>
      <c r="L18" s="74">
        <v>0</v>
      </c>
      <c r="M18" s="74">
        <v>1</v>
      </c>
      <c r="N18" s="74">
        <v>0</v>
      </c>
      <c r="O18" s="74">
        <v>1</v>
      </c>
      <c r="P18" s="66">
        <v>0</v>
      </c>
      <c r="Q18" s="74">
        <v>0</v>
      </c>
      <c r="R18" s="67">
        <v>1</v>
      </c>
      <c r="S18"/>
      <c r="T18"/>
    </row>
    <row r="19" spans="1:20" ht="15" customHeight="1" x14ac:dyDescent="0.15">
      <c r="A19" s="76" t="s">
        <v>57</v>
      </c>
      <c r="B19" s="83">
        <v>6.9712436200672231E-2</v>
      </c>
      <c r="C19" s="177" t="s">
        <v>208</v>
      </c>
      <c r="D19" s="78" t="s">
        <v>160</v>
      </c>
      <c r="F19" s="175" t="s">
        <v>204</v>
      </c>
      <c r="G19" s="74">
        <v>0</v>
      </c>
      <c r="H19" s="74">
        <v>0</v>
      </c>
      <c r="I19" s="74">
        <v>0</v>
      </c>
      <c r="J19" s="74">
        <v>0</v>
      </c>
      <c r="K19" s="74">
        <v>1</v>
      </c>
      <c r="L19" s="74">
        <v>0</v>
      </c>
      <c r="M19" s="74">
        <v>1</v>
      </c>
      <c r="N19" s="74">
        <v>0</v>
      </c>
      <c r="O19" s="74">
        <v>1</v>
      </c>
      <c r="P19" s="66">
        <v>0</v>
      </c>
      <c r="Q19" s="74">
        <v>0</v>
      </c>
      <c r="R19" s="67">
        <v>1</v>
      </c>
      <c r="S19"/>
      <c r="T19"/>
    </row>
    <row r="20" spans="1:20" ht="15" customHeight="1" x14ac:dyDescent="0.15">
      <c r="A20" s="115" t="s">
        <v>168</v>
      </c>
      <c r="B20" s="85">
        <v>0.93028756379932775</v>
      </c>
      <c r="C20" s="177" t="s">
        <v>209</v>
      </c>
      <c r="D20" s="78" t="s">
        <v>160</v>
      </c>
      <c r="F20" s="175" t="s">
        <v>205</v>
      </c>
      <c r="G20" s="74">
        <v>0</v>
      </c>
      <c r="H20" s="74">
        <v>0</v>
      </c>
      <c r="I20" s="74">
        <v>0</v>
      </c>
      <c r="J20" s="74">
        <v>0</v>
      </c>
      <c r="K20" s="74">
        <v>1</v>
      </c>
      <c r="L20" s="74">
        <v>0</v>
      </c>
      <c r="M20" s="74">
        <v>1</v>
      </c>
      <c r="N20" s="74">
        <v>0</v>
      </c>
      <c r="O20" s="74">
        <v>1</v>
      </c>
      <c r="P20" s="66">
        <v>0</v>
      </c>
      <c r="Q20" s="74">
        <v>0</v>
      </c>
      <c r="R20" s="67">
        <v>1</v>
      </c>
      <c r="S20"/>
      <c r="T20"/>
    </row>
    <row r="21" spans="1:20" ht="15" customHeight="1" x14ac:dyDescent="0.15">
      <c r="B21" s="85"/>
      <c r="C21" s="73"/>
      <c r="D21" s="78" t="s">
        <v>160</v>
      </c>
      <c r="F21" s="175" t="s">
        <v>206</v>
      </c>
      <c r="G21" s="74">
        <v>0</v>
      </c>
      <c r="H21" s="74">
        <v>0</v>
      </c>
      <c r="I21" s="74">
        <v>0</v>
      </c>
      <c r="J21" s="74">
        <v>0</v>
      </c>
      <c r="K21" s="74">
        <v>1</v>
      </c>
      <c r="L21" s="74">
        <v>0</v>
      </c>
      <c r="M21" s="74">
        <v>1</v>
      </c>
      <c r="N21" s="74">
        <v>0</v>
      </c>
      <c r="O21" s="74">
        <v>1</v>
      </c>
      <c r="P21" s="66">
        <v>0</v>
      </c>
      <c r="Q21" s="74">
        <v>0</v>
      </c>
      <c r="R21" s="67">
        <v>1</v>
      </c>
      <c r="S21"/>
      <c r="T21"/>
    </row>
    <row r="22" spans="1:20" ht="15" customHeight="1" x14ac:dyDescent="0.15">
      <c r="A22" s="74"/>
      <c r="B22" s="85"/>
      <c r="C22" s="88"/>
      <c r="D22" s="78" t="s">
        <v>160</v>
      </c>
      <c r="F22" s="175" t="s">
        <v>207</v>
      </c>
      <c r="G22" s="74">
        <v>0</v>
      </c>
      <c r="H22" s="74">
        <v>0</v>
      </c>
      <c r="I22" s="74">
        <v>0</v>
      </c>
      <c r="J22" s="74">
        <v>0</v>
      </c>
      <c r="K22" s="74">
        <v>1</v>
      </c>
      <c r="L22" s="74">
        <v>0</v>
      </c>
      <c r="M22" s="74">
        <v>1</v>
      </c>
      <c r="N22" s="74">
        <v>0</v>
      </c>
      <c r="O22" s="74">
        <v>1</v>
      </c>
      <c r="P22" s="66">
        <v>0</v>
      </c>
      <c r="Q22" s="74">
        <v>0</v>
      </c>
      <c r="R22" s="67">
        <v>1</v>
      </c>
      <c r="S22"/>
      <c r="T22"/>
    </row>
    <row r="23" spans="1:20" ht="15" customHeight="1" x14ac:dyDescent="0.15">
      <c r="A23" s="74"/>
      <c r="B23" s="85"/>
      <c r="C23" s="89"/>
      <c r="D23" s="78" t="s">
        <v>160</v>
      </c>
      <c r="F23" s="175" t="s">
        <v>208</v>
      </c>
      <c r="G23" s="74">
        <v>0</v>
      </c>
      <c r="H23" s="74">
        <v>0</v>
      </c>
      <c r="I23" s="74">
        <v>0</v>
      </c>
      <c r="J23" s="74">
        <v>0</v>
      </c>
      <c r="K23" s="74">
        <v>0</v>
      </c>
      <c r="L23" s="74">
        <v>0</v>
      </c>
      <c r="M23" s="74">
        <v>1</v>
      </c>
      <c r="N23" s="74">
        <v>0</v>
      </c>
      <c r="O23" s="74">
        <v>0</v>
      </c>
      <c r="P23" s="66">
        <v>0</v>
      </c>
      <c r="Q23" s="74">
        <v>0</v>
      </c>
      <c r="R23" s="67">
        <v>1</v>
      </c>
      <c r="S23"/>
      <c r="T23"/>
    </row>
    <row r="24" spans="1:20" ht="15" customHeight="1" x14ac:dyDescent="0.15">
      <c r="A24" s="74"/>
      <c r="B24" s="85"/>
      <c r="C24" s="89"/>
      <c r="D24" s="78" t="s">
        <v>160</v>
      </c>
      <c r="F24" s="175" t="s">
        <v>209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0</v>
      </c>
      <c r="M24" s="74">
        <v>1</v>
      </c>
      <c r="N24" s="74">
        <v>0</v>
      </c>
      <c r="O24" s="74">
        <v>0</v>
      </c>
      <c r="P24" s="66">
        <v>0</v>
      </c>
      <c r="Q24" s="74">
        <v>0</v>
      </c>
      <c r="R24" s="67">
        <v>1</v>
      </c>
      <c r="S24"/>
      <c r="T24"/>
    </row>
    <row r="25" spans="1:20" ht="15" customHeight="1" x14ac:dyDescent="0.15">
      <c r="A25" s="74"/>
      <c r="B25" s="85"/>
      <c r="C25" s="73"/>
      <c r="D25" s="78" t="s">
        <v>160</v>
      </c>
      <c r="F25" s="175" t="s">
        <v>210</v>
      </c>
      <c r="G25" s="74">
        <v>0</v>
      </c>
      <c r="H25" s="74">
        <v>0</v>
      </c>
      <c r="I25" s="74">
        <v>0</v>
      </c>
      <c r="J25" s="74">
        <v>0</v>
      </c>
      <c r="K25" s="74">
        <v>0</v>
      </c>
      <c r="L25" s="74">
        <v>1</v>
      </c>
      <c r="M25" s="74">
        <v>0</v>
      </c>
      <c r="N25" s="74">
        <v>1</v>
      </c>
      <c r="O25" s="74">
        <v>0</v>
      </c>
      <c r="P25" s="66">
        <v>1</v>
      </c>
      <c r="Q25" s="74">
        <v>0</v>
      </c>
      <c r="R25" s="67">
        <v>1</v>
      </c>
      <c r="S25"/>
      <c r="T25"/>
    </row>
    <row r="26" spans="1:20" ht="15" customHeight="1" x14ac:dyDescent="0.15">
      <c r="B26" s="85"/>
      <c r="C26" s="73"/>
      <c r="D26" s="78" t="s">
        <v>160</v>
      </c>
      <c r="F26" s="175" t="s">
        <v>211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1</v>
      </c>
      <c r="M26" s="74">
        <v>0</v>
      </c>
      <c r="N26" s="74">
        <v>1</v>
      </c>
      <c r="O26" s="74">
        <v>0</v>
      </c>
      <c r="P26" s="66">
        <v>1</v>
      </c>
      <c r="Q26" s="74">
        <v>0</v>
      </c>
      <c r="R26" s="67">
        <v>1</v>
      </c>
      <c r="S26"/>
      <c r="T26"/>
    </row>
    <row r="27" spans="1:20" ht="15" customHeight="1" x14ac:dyDescent="0.15">
      <c r="B27" s="85"/>
      <c r="C27" s="73"/>
      <c r="D27" s="78" t="s">
        <v>160</v>
      </c>
      <c r="F27" s="181" t="s">
        <v>216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 s="102">
        <v>1</v>
      </c>
      <c r="S27"/>
      <c r="T27"/>
    </row>
    <row r="28" spans="1:20" ht="15" customHeight="1" thickBot="1" x14ac:dyDescent="0.2">
      <c r="B28" s="84"/>
      <c r="C28" s="73"/>
      <c r="D28" s="78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6"/>
      <c r="B31" s="126" t="s">
        <v>17</v>
      </c>
      <c r="C31" s="126" t="s">
        <v>1</v>
      </c>
      <c r="D31" s="126" t="s">
        <v>161</v>
      </c>
      <c r="E31" s="127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8" t="s">
        <v>208</v>
      </c>
      <c r="B32" s="86">
        <v>30</v>
      </c>
      <c r="C32" s="86">
        <v>70</v>
      </c>
      <c r="D32" s="86">
        <v>2100</v>
      </c>
      <c r="E32" s="117">
        <v>6.9712436200672231E-2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8" t="s">
        <v>209</v>
      </c>
      <c r="B33" s="86">
        <v>2115</v>
      </c>
      <c r="C33" s="86">
        <v>13.25</v>
      </c>
      <c r="D33" s="86">
        <v>28023.75</v>
      </c>
      <c r="E33" s="117">
        <v>0.93028756379932775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8"/>
      <c r="B34" s="86"/>
      <c r="C34" s="86"/>
      <c r="D34" s="86"/>
      <c r="E34" s="11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9"/>
      <c r="B35" s="86"/>
      <c r="C35" s="86"/>
      <c r="D35" s="86"/>
      <c r="E35" s="11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0"/>
      <c r="B36" s="86"/>
      <c r="C36" s="86"/>
      <c r="D36" s="86"/>
      <c r="E36" s="11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0"/>
      <c r="B37" s="86"/>
      <c r="C37" s="86"/>
      <c r="D37" s="86"/>
      <c r="E37" s="11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1"/>
      <c r="B38" s="86"/>
      <c r="C38" s="86"/>
      <c r="D38" s="86"/>
      <c r="E38" s="11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1"/>
      <c r="B39" s="86"/>
      <c r="C39" s="86"/>
      <c r="D39" s="86"/>
      <c r="E39" s="11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1"/>
      <c r="B40" s="86"/>
      <c r="C40" s="86"/>
      <c r="D40" s="86"/>
      <c r="E40" s="11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1"/>
      <c r="B41" s="86"/>
      <c r="C41" s="86"/>
      <c r="D41" s="87"/>
      <c r="E41" s="122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3"/>
      <c r="B42" s="124"/>
      <c r="C42" s="124" t="s">
        <v>162</v>
      </c>
      <c r="D42" s="124">
        <f>SUM(D32:D41)</f>
        <v>30123.75</v>
      </c>
      <c r="E42" s="125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4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4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A15" sqref="A15"/>
    </sheetView>
  </sheetViews>
  <sheetFormatPr baseColWidth="10" defaultColWidth="8.83203125" defaultRowHeight="13" x14ac:dyDescent="0.15"/>
  <cols>
    <col min="1" max="1" width="15.5" bestFit="1" customWidth="1"/>
    <col min="2" max="2" width="2.33203125" style="101" customWidth="1"/>
    <col min="3" max="5" width="7.83203125" style="101" customWidth="1"/>
    <col min="6" max="8" width="8.83203125" style="6"/>
    <col min="9" max="9" width="12" style="6" customWidth="1"/>
    <col min="10" max="11" width="13.5" style="6" customWidth="1"/>
    <col min="12" max="12" width="14.5" style="6" customWidth="1"/>
    <col min="13" max="13" width="14.6640625" style="6" customWidth="1"/>
    <col min="14" max="14" width="15.5" style="6" customWidth="1"/>
    <col min="15" max="15" width="11.5" style="6" customWidth="1"/>
    <col min="16" max="16" width="15.5" style="6" customWidth="1"/>
    <col min="17" max="17" width="14.5" style="6" customWidth="1"/>
    <col min="18" max="18" width="10.6640625" style="6" customWidth="1"/>
    <col min="19" max="19" width="12" style="6" customWidth="1"/>
    <col min="20" max="20" width="12.1640625" style="6" customWidth="1"/>
    <col min="21" max="21" width="11.6640625" style="6" customWidth="1"/>
    <col min="22" max="22" width="15.33203125" style="6" customWidth="1"/>
    <col min="23" max="23" width="14.6640625" style="6" customWidth="1"/>
    <col min="24" max="24" width="11.33203125" style="6" customWidth="1"/>
    <col min="25" max="25" width="13.6640625" style="6" customWidth="1"/>
    <col min="26" max="26" width="13.1640625" style="6" customWidth="1"/>
    <col min="27" max="27" width="12.33203125" style="6" customWidth="1"/>
    <col min="28" max="28" width="7.6640625" style="6" customWidth="1"/>
    <col min="29" max="29" width="21.664062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/>
      <c r="G1"/>
      <c r="H1"/>
      <c r="I1" s="180" t="s">
        <v>192</v>
      </c>
      <c r="J1" s="180" t="s">
        <v>193</v>
      </c>
      <c r="K1" s="180" t="s">
        <v>194</v>
      </c>
      <c r="L1" s="180" t="s">
        <v>195</v>
      </c>
      <c r="M1" s="180" t="s">
        <v>196</v>
      </c>
      <c r="N1" s="180" t="s">
        <v>197</v>
      </c>
      <c r="O1" s="180" t="s">
        <v>198</v>
      </c>
      <c r="P1" s="180" t="s">
        <v>199</v>
      </c>
      <c r="Q1" s="180" t="s">
        <v>200</v>
      </c>
      <c r="R1" s="180" t="s">
        <v>201</v>
      </c>
      <c r="S1" s="180" t="s">
        <v>219</v>
      </c>
      <c r="T1" s="180" t="s">
        <v>202</v>
      </c>
      <c r="U1" s="180" t="s">
        <v>203</v>
      </c>
      <c r="V1" s="180" t="s">
        <v>204</v>
      </c>
      <c r="W1" s="180" t="s">
        <v>205</v>
      </c>
      <c r="X1" s="180" t="s">
        <v>206</v>
      </c>
      <c r="Y1" s="180" t="s">
        <v>207</v>
      </c>
      <c r="Z1" s="180" t="s">
        <v>208</v>
      </c>
      <c r="AA1" s="180" t="s">
        <v>209</v>
      </c>
      <c r="AB1" s="180" t="s">
        <v>210</v>
      </c>
      <c r="AC1" s="180" t="s">
        <v>211</v>
      </c>
      <c r="AD1" s="184" t="s">
        <v>216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9" t="s">
        <v>192</v>
      </c>
      <c r="B5" s="10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9" t="s">
        <v>193</v>
      </c>
      <c r="B6" s="10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9" t="s">
        <v>194</v>
      </c>
      <c r="B7" s="10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9" t="s">
        <v>195</v>
      </c>
      <c r="B8" s="10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9" t="s">
        <v>196</v>
      </c>
      <c r="B9" s="10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9" t="s">
        <v>197</v>
      </c>
      <c r="B10" s="10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9" t="s">
        <v>198</v>
      </c>
      <c r="B11" s="10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9" t="s">
        <v>199</v>
      </c>
      <c r="B12" s="10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9" t="s">
        <v>200</v>
      </c>
      <c r="B13" s="10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9" t="s">
        <v>201</v>
      </c>
      <c r="B14" s="10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9" t="s">
        <v>219</v>
      </c>
      <c r="B15" s="10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9" t="s">
        <v>202</v>
      </c>
      <c r="B16" s="10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9" t="s">
        <v>203</v>
      </c>
      <c r="B17" s="10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9" t="s">
        <v>204</v>
      </c>
      <c r="B18" s="10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9" t="s">
        <v>205</v>
      </c>
      <c r="B19" s="10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9" t="s">
        <v>206</v>
      </c>
      <c r="B20" s="10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9" t="s">
        <v>207</v>
      </c>
      <c r="B21" s="10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9" t="s">
        <v>208</v>
      </c>
      <c r="B22" s="10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9" t="s">
        <v>209</v>
      </c>
      <c r="B23" s="10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9" t="s">
        <v>210</v>
      </c>
      <c r="B24" s="10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9" t="s">
        <v>211</v>
      </c>
      <c r="B25" s="10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3" t="s">
        <v>216</v>
      </c>
      <c r="B26" s="10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2023-08-14T23:42:27Z</dcterms:modified>
</cp:coreProperties>
</file>