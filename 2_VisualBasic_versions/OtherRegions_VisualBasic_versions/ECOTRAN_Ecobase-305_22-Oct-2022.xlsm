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OtherRegions/"/>
    </mc:Choice>
  </mc:AlternateContent>
  <xr:revisionPtr revIDLastSave="0" documentId="13_ncr:1_{5949F63D-0A0D-7C49-9219-9E0C78684110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Main!$C$2:$N$32</definedName>
    <definedName name="matDetritus">Detritus!$C$2:$E$32</definedName>
    <definedName name="matDiet">Diets!$B$2:$AC$32</definedName>
    <definedName name="matDiscards">Discards!$C$2:$C$31</definedName>
    <definedName name="matFishery">Fishing!$C$2:$C$31</definedName>
    <definedName name="matFishing">Fishing!#REF!</definedName>
    <definedName name="matMort">Mortalities!$A$1:$AH$31</definedName>
    <definedName name="matOut">MainOutputs!$A$2:$I$32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<sst xmlns="http://schemas.openxmlformats.org/spreadsheetml/2006/main" count="935" uniqueCount="228">
  <si>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</si>
  <si>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</si>
  <si>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</si>
  <si>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</si>
  <si>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</si>
  <si>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</si>
  <si>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</si>
  <si>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</si>
  <si>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</si>
  <si>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</si>
  <si>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</si>
  <si>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</si>
  <si>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</si>
  <si>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</si>
  <si>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</si>
  <si>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</si>
  <si>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</si>
  <si>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</si>
  <si>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</si>
  <si>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</si>
  <si>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</si>
  <si>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</si>
  <si>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</si>
  <si>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</si>
  <si>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</si>
  <si>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</si>
  <si>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</si>
  <si>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</si>
  <si>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</si>
  <si>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</si>
  <si>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</si>
  <si>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</si>
  <si>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</si>
  <si>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</si>
  <si>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</si>
  <si>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</si>
  <si>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</si>
  <si>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</si>
  <si>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</si>
  <si>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</si>
  <si>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</si>
  <si>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</si>
  <si>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</si>
  <si>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</si>
  <si>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</si>
  <si>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</si>
  <si>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</si>
  <si>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</si>
  <si>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</si>
  <si>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</si>
  <si>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</si>
  <si>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</si>
  <si>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</si>
  <si>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</si>
  <si>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</si>
  <si>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</si>
  <si>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</si>
  <si>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</si>
  <si>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</si>
  <si>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</si>
  <si>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</si>
  <si>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</si>
  <si>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</si>
  <si>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</si>
  <si>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</si>
  <si>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</si>
  <si>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</si>
  <si>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</si>
  <si>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</si>
  <si>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</si>
  <si>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</si>
  <si>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</si>
  <si>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</si>
  <si>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</si>
  <si>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</si>
  <si>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</si>
  <si>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</si>
  <si>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</si>
  <si>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</si>
  <si>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</si>
  <si>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</si>
  <si>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</si>
  <si>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</si>
  <si>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</si>
  <si>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</si>
  <si>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</si>
  <si>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</si>
  <si>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</si>
  <si>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</si>
  <si>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</si>
  <si>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</si>
  <si>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</si>
  <si>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</si>
  <si>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</si>
  <si>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</si>
  <si>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</si>
  <si>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</si>
  <si>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</si>
  <si>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</si>
  <si>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</si>
  <si>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</si>
  <si>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</si>
  <si>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</si>
  <si>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</si>
  <si>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</si>
  <si>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</si>
  <si>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</si>
  <si>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</si>
  <si>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</si>
  <si>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</si>
  <si>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</si>
  <si>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</si>
  <si>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</si>
  <si>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</si>
  <si>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</si>
  <si>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</si>
  <si>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</si>
  <si>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</si>
  <si>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</si>
  <si>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</si>
  <si>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</si>
  <si>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</si>
  <si>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</si>
  <si>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</si>
  <si>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</si>
  <si>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</si>
  <si>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</si>
  <si>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</si>
  <si>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</si>
  <si>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</si>
  <si>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</si>
  <si>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</si>
  <si>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</si>
  <si>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</si>
  <si>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</si>
  <si>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</si>
  <si>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</si>
  <si>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</si>
  <si>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</si>
  <si>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</si>
  <si>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</si>
  <si>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</si>
  <si>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</si>
  <si>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</si>
  <si>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</si>
  <si>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</si>
  <si>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</si>
  <si>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</si>
  <si>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</si>
  <si>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</si>
  <si>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</si>
  <si>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</si>
  <si>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</si>
  <si>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</si>
  <si>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</si>
  <si>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</si>
  <si>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</si>
  <si>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</si>
  <si>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</si>
  <si>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</si>
  <si>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</si>
  <si>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</si>
  <si>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</si>
  <si>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</si>
  <si>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</si>
  <si>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</si>
  <si>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</si>
  <si>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</si>
  <si>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</si>
  <si>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</si>
  <si>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</si>
  <si>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</si>
  <si>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</si>
  <si>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</si>
  <si>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</si>
  <si>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</si>
  <si>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</si>
  <si>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</si>
  <si>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</si>
  <si>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</si>
  <si>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</si>
  <si>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</si>
  <si>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</si>
  <si>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</si>
  <si>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</si>
  <si>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West coast of Sabah</t>
  </si>
  <si>
    <t>Malaysia</t>
  </si>
  <si>
    <t>BOX(111.63294914769 4.51052590143145,117.132267826449 8.39183137873438)</t>
  </si>
  <si>
    <t>continental shelf</t>
  </si>
  <si>
    <t>WetWeight</t>
  </si>
  <si>
    <t>Created: 08/05/2006 12:49:40 a.m.; 08/05/2006 12:55:43 a.m.</t>
  </si>
  <si>
    <t>Garces L.R.,Man A.,Ahmad A.T.,Mohamad-Norizam M.,Silvestre G.T.(2003). A trophic model of the coastal fisheries ecosystem off the West Coast of Sabah and Sarawak, Malaysia . pp 333-352. In Silvestre G.,Garces L.,Stobutzki I.,Ahmed M.,Valmonte-Santos R.A.,Luna C.,Lachica-Aliño L.,Munro P.,Christensen V.,Pauly D.</t>
  </si>
  <si>
    <t>Large predators</t>
  </si>
  <si>
    <t>Tuna</t>
  </si>
  <si>
    <t>Large zoobenthos feeders</t>
  </si>
  <si>
    <t>Intermediate predators</t>
  </si>
  <si>
    <t>Lutjanids</t>
  </si>
  <si>
    <t>Serranids</t>
  </si>
  <si>
    <t>Carangids</t>
  </si>
  <si>
    <t>Flatfishes Soles</t>
  </si>
  <si>
    <t>Sciaenids</t>
  </si>
  <si>
    <t>Small pelagics</t>
  </si>
  <si>
    <t>Engraulids Clupeids</t>
  </si>
  <si>
    <t>Squids</t>
  </si>
  <si>
    <t>Demersal zoobenthos feeders</t>
  </si>
  <si>
    <t>Leiognathids</t>
  </si>
  <si>
    <t>Mullids</t>
  </si>
  <si>
    <t>Nemipterids</t>
  </si>
  <si>
    <t>Balistids</t>
  </si>
  <si>
    <t>Lactarids</t>
  </si>
  <si>
    <t>Reef associated fish</t>
  </si>
  <si>
    <t>Octopus sepia</t>
  </si>
  <si>
    <t>Crabs Lobsters</t>
  </si>
  <si>
    <t>Shrimps</t>
  </si>
  <si>
    <t>Small crsustaceans</t>
  </si>
  <si>
    <t>Macrobenthos</t>
  </si>
  <si>
    <t>Meiobenthos</t>
  </si>
  <si>
    <t>Zooplankton</t>
  </si>
  <si>
    <t>Macrobenthic flora</t>
  </si>
  <si>
    <t>Phytoplankton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</si>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</sst>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40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94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97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FFE9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FF1A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FFFB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8B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E2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EC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A0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ABFF00"/>
        <bgColor indexed="64"/>
      </patternFill>
    </fill>
    <fill>
      <patternFill patternType="solid">
        <fgColor rgb="FFA7FF00"/>
        <bgColor indexed="64"/>
      </patternFill>
    </fill>
    <fill>
      <patternFill patternType="solid">
        <fgColor rgb="FF88FF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ACFF00"/>
        <bgColor indexed="64"/>
      </patternFill>
    </fill>
    <fill>
      <patternFill patternType="solid">
        <fgColor rgb="FF6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90FF00"/>
        <bgColor indexed="64"/>
      </patternFill>
    </fill>
    <fill>
      <patternFill patternType="solid">
        <fgColor rgb="FF96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CBFF00"/>
        <bgColor indexed="64"/>
      </patternFill>
    </fill>
    <fill>
      <patternFill patternType="solid">
        <fgColor rgb="FFFFF8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95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FF6300"/>
        <bgColor indexed="64"/>
      </patternFill>
    </fill>
    <fill>
      <patternFill patternType="solid">
        <fgColor rgb="FFD0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62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1" fillId="0" borderId="0" xfId="0" applyFont="1" applyAlignment="1">
      <alignment horizontal="center"/>
    </xf>
    <xf numFmtId="0" fontId="0" fillId="35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7" borderId="0" xfId="0" applyFill="1"/>
    <xf numFmtId="0" fontId="0" fillId="38" borderId="0" xfId="0" applyFill="1"/>
    <xf numFmtId="0" fontId="0" fillId="0" borderId="0" xfId="0" applyFont="1" applyFill="1" applyAlignment="1">
      <alignment horizontal="center"/>
    </xf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6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6" borderId="3" xfId="0" applyNumberFormat="1" applyFont="1" applyFill="1" applyBorder="1"/>
    <xf numFmtId="0" fontId="0" fillId="36" borderId="2" xfId="0" applyFont="1" applyFill="1" applyBorder="1"/>
    <xf numFmtId="0" fontId="0" fillId="36" borderId="3" xfId="0" applyFont="1" applyFill="1" applyBorder="1"/>
    <xf numFmtId="0" fontId="0" fillId="36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270.8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76" t="s">
        <v>171</v>
      </c>
      <c r="C53" s="108">
        <v>305</v>
      </c>
      <c r="D53" s="108"/>
    </row>
    <row r="54" spans="2:4" x14ac:dyDescent="0.15">
      <c r="B54" s="176" t="s">
        <v>172</v>
      </c>
      <c r="C54" s="176" t="s">
        <v>185</v>
      </c>
      <c r="D54" s="108"/>
    </row>
    <row r="55" spans="2:4" x14ac:dyDescent="0.15">
      <c r="B55" s="176" t="s">
        <v>173</v>
      </c>
      <c r="C55" s="176" t="s">
        <v>186</v>
      </c>
      <c r="D55" s="108"/>
    </row>
    <row r="56" spans="2:4" x14ac:dyDescent="0.15">
      <c r="B56" s="176" t="s">
        <v>174</v>
      </c>
      <c r="C56" s="108">
        <v>1</v>
      </c>
      <c r="D56" s="108"/>
    </row>
    <row r="57" spans="2:4" x14ac:dyDescent="0.15">
      <c r="B57" s="176" t="s">
        <v>175</v>
      </c>
      <c r="C57" s="176" t="s">
        <v>187</v>
      </c>
      <c r="D57" s="108"/>
    </row>
    <row r="58" spans="2:4" x14ac:dyDescent="0.15">
      <c r="B58" s="176" t="s">
        <v>176</v>
      </c>
      <c r="C58" s="176" t="s">
        <v>188</v>
      </c>
      <c r="D58" s="108"/>
    </row>
    <row r="59" spans="2:4" x14ac:dyDescent="0.15">
      <c r="B59" s="176" t="s">
        <v>177</v>
      </c>
      <c r="C59" s="176" t="s">
        <v>189</v>
      </c>
      <c r="D59" s="108"/>
    </row>
    <row r="60" spans="2:4" x14ac:dyDescent="0.15">
      <c r="B60" s="176" t="s">
        <v>178</v>
      </c>
      <c r="C60" s="176" t="s">
        <v>190</v>
      </c>
      <c r="D60" s="108"/>
    </row>
    <row r="61" spans="2:4" x14ac:dyDescent="0.15">
      <c r="B61" s="176" t="s">
        <v>179</v>
      </c>
      <c r="C61" s="108">
        <v>29</v>
      </c>
      <c r="D61" s="108"/>
    </row>
    <row r="62" spans="2:4" x14ac:dyDescent="0.15">
      <c r="B62" s="176" t="s">
        <v>180</v>
      </c>
      <c r="C62" s="108">
        <v>1</v>
      </c>
      <c r="D62" s="108"/>
    </row>
    <row r="63" spans="2:4" x14ac:dyDescent="0.15">
      <c r="B63" s="176" t="s">
        <v>181</v>
      </c>
      <c r="C63" s="108">
        <v>1972</v>
      </c>
      <c r="D63" s="108"/>
    </row>
    <row r="64" spans="2:4" x14ac:dyDescent="0.15">
      <c r="B64" s="176" t="s">
        <v>182</v>
      </c>
      <c r="C64" s="108">
        <v>1</v>
      </c>
      <c r="D64" s="108"/>
    </row>
    <row r="65" spans="2:4" x14ac:dyDescent="0.15">
      <c r="B65" s="176" t="s">
        <v>183</v>
      </c>
      <c r="C65" s="176" t="s">
        <v>191</v>
      </c>
      <c r="D65" s="108"/>
    </row>
    <row r="66" spans="2:4" x14ac:dyDescent="0.15">
      <c r="B66" s="176" t="s">
        <v>184</v>
      </c>
      <c r="D66" s="108"/>
    </row>
    <row r="67" spans="2:4" x14ac:dyDescent="0.15">
      <c r="B67" s="108"/>
      <c r="C67" s="108"/>
      <c r="D67" s="108"/>
    </row>
    <row r="68" spans="2:4" x14ac:dyDescent="0.15">
      <c r="B68" s="108"/>
      <c r="C68" s="108"/>
      <c r="D68" s="108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P9" sqref="P9"/>
    </sheetView>
  </sheetViews>
  <sheetFormatPr baseColWidth="10" defaultColWidth="8.83203125" defaultRowHeight="15" customHeight="1" x14ac:dyDescent="0.15"/>
  <cols>
    <col min="1" max="1" width="22.5" style="79" customWidth="1"/>
    <col min="2" max="3" width="3.33203125" style="79" customWidth="1"/>
    <col min="4" max="4" width="14.33203125" style="79" customWidth="1"/>
    <col min="5" max="5" width="25.83203125" style="79" bestFit="1" customWidth="1"/>
    <col min="6" max="6" width="2.33203125" style="79" bestFit="1" customWidth="1"/>
    <col min="7" max="7" width="13.83203125" style="79" bestFit="1" customWidth="1"/>
    <col min="8" max="8" width="11.83203125" style="79" customWidth="1"/>
    <col min="9" max="9" width="5.83203125" style="79" customWidth="1"/>
    <col min="10" max="10" width="10.83203125" style="79" customWidth="1"/>
    <col min="11" max="11" width="12.83203125" style="79" customWidth="1"/>
    <col min="12" max="12" width="2.33203125" style="79" customWidth="1"/>
    <col min="13" max="13" width="3.83203125" style="79" customWidth="1"/>
    <col min="14" max="14" width="2.33203125" style="79" customWidth="1"/>
    <col min="16" max="25" width="8.83203125" style="79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9"/>
  </cols>
  <sheetData>
    <row r="1" spans="1:46" s="96" customFormat="1" ht="15" customHeight="1" x14ac:dyDescent="0.15">
      <c r="A1" s="75" t="s">
        <v>18</v>
      </c>
      <c r="C1" s="76" t="s">
        <v>8</v>
      </c>
      <c r="D1" s="75" t="s">
        <v>23</v>
      </c>
      <c r="E1" s="75" t="s">
        <v>0</v>
      </c>
      <c r="F1" s="75" t="s">
        <v>7</v>
      </c>
      <c r="G1" s="77" t="s">
        <v>13</v>
      </c>
      <c r="H1" s="75" t="s">
        <v>1</v>
      </c>
      <c r="I1" s="75" t="s">
        <v>2</v>
      </c>
      <c r="J1" s="75" t="s">
        <v>14</v>
      </c>
      <c r="K1" s="75" t="s">
        <v>3</v>
      </c>
      <c r="L1" s="75" t="s">
        <v>4</v>
      </c>
      <c r="M1" s="75" t="s">
        <v>5</v>
      </c>
      <c r="N1" s="75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6">
        <v>1</v>
      </c>
      <c r="D2"/>
      <c r="E2" s="177" t="s">
        <v>192</v>
      </c>
      <c r="F2" s="79">
        <v>0</v>
      </c>
      <c r="G2" s="79">
        <v>0.23</v>
      </c>
      <c r="H2" s="79">
        <v>0.52173910000000001</v>
      </c>
      <c r="I2" s="6">
        <v>9.5</v>
      </c>
      <c r="J2" s="6">
        <v>0.5</v>
      </c>
      <c r="K2" s="6">
        <v>5.4919910000000002E-2</v>
      </c>
      <c r="L2" s="6">
        <v>0</v>
      </c>
      <c r="M2" s="79">
        <v>0.2</v>
      </c>
      <c r="N2" s="79">
        <v>0</v>
      </c>
    </row>
    <row r="3" spans="1:46" ht="15" customHeight="1" x14ac:dyDescent="0.15">
      <c r="A3" s="1" t="s">
        <v>9</v>
      </c>
      <c r="B3" s="4">
        <v>28</v>
      </c>
      <c r="C3" s="79">
        <v>2</v>
      </c>
      <c r="D3"/>
      <c r="E3" s="177" t="s">
        <v>193</v>
      </c>
      <c r="F3" s="79">
        <v>0</v>
      </c>
      <c r="G3" s="79">
        <v>0.03</v>
      </c>
      <c r="H3" s="79">
        <v>2</v>
      </c>
      <c r="I3" s="79">
        <v>11.64</v>
      </c>
      <c r="J3" s="79">
        <v>0.5</v>
      </c>
      <c r="K3" s="79">
        <v>0.17182130000000001</v>
      </c>
      <c r="L3" s="79">
        <v>0</v>
      </c>
      <c r="M3" s="79">
        <v>0.2</v>
      </c>
      <c r="N3" s="79">
        <v>0</v>
      </c>
    </row>
    <row r="4" spans="1:46" ht="15" customHeight="1" x14ac:dyDescent="0.15">
      <c r="A4" s="1" t="s">
        <v>10</v>
      </c>
      <c r="B4" s="4">
        <v>2</v>
      </c>
      <c r="C4" s="79">
        <v>3</v>
      </c>
      <c r="D4"/>
      <c r="E4" s="177" t="s">
        <v>194</v>
      </c>
      <c r="F4" s="79">
        <v>0</v>
      </c>
      <c r="G4" s="79">
        <v>0.15</v>
      </c>
      <c r="H4" s="79">
        <v>0.4</v>
      </c>
      <c r="I4" s="79">
        <v>6.5</v>
      </c>
      <c r="J4" s="79">
        <v>0.49999997000000002</v>
      </c>
      <c r="K4" s="79">
        <v>6.1538460000000003E-2</v>
      </c>
      <c r="L4" s="79">
        <v>0</v>
      </c>
      <c r="M4" s="79">
        <v>0.2</v>
      </c>
      <c r="N4" s="79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79">
        <v>4</v>
      </c>
      <c r="D5"/>
      <c r="E5" s="177" t="s">
        <v>195</v>
      </c>
      <c r="F5" s="79">
        <v>0</v>
      </c>
      <c r="G5" s="79">
        <v>0.46222099999999999</v>
      </c>
      <c r="H5" s="79">
        <v>1.74</v>
      </c>
      <c r="I5" s="79">
        <v>8.6999999999999993</v>
      </c>
      <c r="J5" s="79">
        <v>0.95</v>
      </c>
      <c r="K5" s="79">
        <v>0.2</v>
      </c>
      <c r="L5" s="79">
        <v>0</v>
      </c>
      <c r="M5" s="79">
        <v>0.2</v>
      </c>
      <c r="N5" s="79">
        <v>0</v>
      </c>
      <c r="P5" s="70"/>
      <c r="Q5" s="70"/>
      <c r="R5" s="70"/>
    </row>
    <row r="6" spans="1:46" ht="15" customHeight="1" thickBot="1" x14ac:dyDescent="0.2">
      <c r="B6" s="1"/>
      <c r="C6" s="79">
        <v>5</v>
      </c>
      <c r="D6"/>
      <c r="E6" s="177" t="s">
        <v>196</v>
      </c>
      <c r="F6" s="79">
        <v>0</v>
      </c>
      <c r="G6" s="79">
        <v>0.05</v>
      </c>
      <c r="H6" s="79">
        <v>0.21052631699999999</v>
      </c>
      <c r="I6" s="79">
        <v>8.6999999999999993</v>
      </c>
      <c r="J6" s="79">
        <v>0.95</v>
      </c>
      <c r="K6" s="79">
        <v>2.4198427799999998E-2</v>
      </c>
      <c r="L6" s="79">
        <v>0</v>
      </c>
      <c r="M6" s="79">
        <v>0.2</v>
      </c>
      <c r="N6" s="79">
        <v>0</v>
      </c>
      <c r="P6" s="70"/>
      <c r="Q6" s="70"/>
      <c r="R6" s="70"/>
      <c r="W6" s="36" t="s">
        <v>31</v>
      </c>
      <c r="X6" s="52">
        <f>MAX(MainOutputs!G:G)</f>
        <v>0.9500001072883606</v>
      </c>
    </row>
    <row r="7" spans="1:46" ht="15" customHeight="1" x14ac:dyDescent="0.15">
      <c r="A7" s="2" t="s">
        <v>27</v>
      </c>
      <c r="B7" s="79">
        <f ca="1">COUNTIF(OFFSET(cornerDiets,1,1,NumLiving+NumDead+1,NumLiving+NumDead),"&gt;0")+NumLiving+NumDead+1</f>
        <v>246</v>
      </c>
      <c r="C7" s="79">
        <v>6</v>
      </c>
      <c r="D7"/>
      <c r="E7" s="177" t="s">
        <v>197</v>
      </c>
      <c r="F7" s="79">
        <v>0</v>
      </c>
      <c r="G7" s="79">
        <v>6.0496064799999997E-3</v>
      </c>
      <c r="H7" s="79">
        <v>1.74</v>
      </c>
      <c r="I7" s="79">
        <v>8.6999999999999993</v>
      </c>
      <c r="J7" s="79">
        <v>0.95</v>
      </c>
      <c r="K7" s="79">
        <v>0.2</v>
      </c>
      <c r="L7" s="79">
        <v>0</v>
      </c>
      <c r="M7" s="79">
        <v>0.2</v>
      </c>
      <c r="N7" s="79">
        <v>0</v>
      </c>
      <c r="P7" s="70"/>
      <c r="Q7" s="70"/>
      <c r="R7" s="70"/>
    </row>
    <row r="8" spans="1:46" ht="15" customHeight="1" x14ac:dyDescent="0.15">
      <c r="A8" s="2" t="s">
        <v>28</v>
      </c>
      <c r="B8" s="79">
        <f ca="1">COUNTIF(OFFSET(cornerFishing,1,2,NumLiving+NumDead,NumGears),"&gt;0")+NumDead*COUNTIF(OFFSET(cornerDiscards,1,2,NumLiving+NumDead,NumGears),"&gt;0")+NumLiving+NumDead+1</f>
        <v>55</v>
      </c>
      <c r="C8" s="79">
        <v>7</v>
      </c>
      <c r="D8"/>
      <c r="E8" s="177" t="s">
        <v>198</v>
      </c>
      <c r="F8" s="79">
        <v>0</v>
      </c>
      <c r="G8" s="79">
        <v>0.14101196799999999</v>
      </c>
      <c r="H8" s="79">
        <v>2.0699999999999998</v>
      </c>
      <c r="I8" s="79">
        <v>8.6999999999999993</v>
      </c>
      <c r="J8" s="79">
        <v>0.95</v>
      </c>
      <c r="K8" s="79">
        <v>0.23793102799999999</v>
      </c>
      <c r="L8" s="79">
        <v>0</v>
      </c>
      <c r="M8" s="79">
        <v>0.2</v>
      </c>
      <c r="N8" s="79">
        <v>0</v>
      </c>
      <c r="P8" s="70"/>
      <c r="Q8" s="70"/>
      <c r="R8" s="70"/>
    </row>
    <row r="9" spans="1:46" ht="15" customHeight="1" x14ac:dyDescent="0.15">
      <c r="B9" s="1"/>
      <c r="C9" s="79">
        <v>8</v>
      </c>
      <c r="D9"/>
      <c r="E9" s="177" t="s">
        <v>199</v>
      </c>
      <c r="F9" s="79">
        <v>0</v>
      </c>
      <c r="G9" s="79">
        <v>0.116037153</v>
      </c>
      <c r="H9" s="79">
        <v>0.85</v>
      </c>
      <c r="I9" s="79">
        <v>8.6999999999999993</v>
      </c>
      <c r="J9" s="79">
        <v>0.95</v>
      </c>
      <c r="K9" s="79">
        <v>9.7701154600000006E-2</v>
      </c>
      <c r="L9" s="79">
        <v>0</v>
      </c>
      <c r="M9" s="79">
        <v>0.2</v>
      </c>
      <c r="N9" s="79">
        <v>0</v>
      </c>
      <c r="P9" s="70"/>
      <c r="Q9" s="70"/>
      <c r="R9" s="70"/>
    </row>
    <row r="10" spans="1:46" ht="15" customHeight="1" x14ac:dyDescent="0.15">
      <c r="B10" s="1"/>
      <c r="C10" s="79">
        <v>9</v>
      </c>
      <c r="D10"/>
      <c r="E10" s="177" t="s">
        <v>200</v>
      </c>
      <c r="F10" s="79">
        <v>0</v>
      </c>
      <c r="G10" s="79">
        <v>0.31</v>
      </c>
      <c r="H10" s="79">
        <v>1.1288285300000001</v>
      </c>
      <c r="I10" s="79">
        <v>8.6999999999999993</v>
      </c>
      <c r="J10" s="79">
        <v>0.95</v>
      </c>
      <c r="K10" s="79">
        <v>0.12975039999999999</v>
      </c>
      <c r="L10" s="79">
        <v>0</v>
      </c>
      <c r="M10" s="79">
        <v>0.2</v>
      </c>
      <c r="N10" s="79">
        <v>0</v>
      </c>
    </row>
    <row r="11" spans="1:46" ht="15" customHeight="1" x14ac:dyDescent="0.15">
      <c r="C11" s="79">
        <v>10</v>
      </c>
      <c r="D11"/>
      <c r="E11" s="177" t="s">
        <v>201</v>
      </c>
      <c r="F11" s="79">
        <v>0</v>
      </c>
      <c r="G11" s="79">
        <v>0.35914626700000002</v>
      </c>
      <c r="H11" s="79">
        <v>2.37</v>
      </c>
      <c r="I11" s="79">
        <v>7.9</v>
      </c>
      <c r="J11" s="79">
        <v>0.95</v>
      </c>
      <c r="K11" s="79">
        <v>0.299999982</v>
      </c>
      <c r="L11" s="79">
        <v>0</v>
      </c>
      <c r="M11" s="79">
        <v>0.2</v>
      </c>
      <c r="N11" s="79">
        <v>0</v>
      </c>
    </row>
    <row r="12" spans="1:46" ht="15" customHeight="1" x14ac:dyDescent="0.15">
      <c r="C12" s="79">
        <v>11</v>
      </c>
      <c r="D12"/>
      <c r="E12" s="177" t="s">
        <v>202</v>
      </c>
      <c r="F12" s="79">
        <v>0</v>
      </c>
      <c r="G12" s="79">
        <v>0.37507839999999998</v>
      </c>
      <c r="H12" s="79">
        <v>2.7</v>
      </c>
      <c r="I12" s="79">
        <v>7.9</v>
      </c>
      <c r="J12" s="79">
        <v>0.95</v>
      </c>
      <c r="K12" s="79">
        <v>0.34177213899999997</v>
      </c>
      <c r="L12" s="79">
        <v>0</v>
      </c>
      <c r="M12" s="79">
        <v>0.2</v>
      </c>
      <c r="N12" s="79">
        <v>0</v>
      </c>
    </row>
    <row r="13" spans="1:46" ht="15" customHeight="1" x14ac:dyDescent="0.15">
      <c r="C13" s="79">
        <v>12</v>
      </c>
      <c r="D13"/>
      <c r="E13" s="177" t="s">
        <v>203</v>
      </c>
      <c r="F13" s="79">
        <v>0</v>
      </c>
      <c r="G13" s="79">
        <v>0.36660867899999999</v>
      </c>
      <c r="H13" s="79">
        <v>2.0499999999999998</v>
      </c>
      <c r="I13" s="79">
        <v>7.9</v>
      </c>
      <c r="J13" s="79">
        <v>0.95</v>
      </c>
      <c r="K13" s="79">
        <v>0.25949364899999999</v>
      </c>
      <c r="L13" s="79">
        <v>0</v>
      </c>
      <c r="M13" s="79">
        <v>0.2</v>
      </c>
      <c r="N13" s="79">
        <v>0</v>
      </c>
    </row>
    <row r="14" spans="1:46" ht="15" customHeight="1" x14ac:dyDescent="0.15">
      <c r="C14" s="79">
        <v>13</v>
      </c>
      <c r="D14"/>
      <c r="E14" s="177" t="s">
        <v>204</v>
      </c>
      <c r="F14" s="79">
        <v>0</v>
      </c>
      <c r="G14" s="79">
        <v>0.861151</v>
      </c>
      <c r="H14" s="79">
        <v>2.15</v>
      </c>
      <c r="I14" s="79">
        <v>10.75</v>
      </c>
      <c r="J14" s="79">
        <v>0.95</v>
      </c>
      <c r="K14" s="79">
        <v>0.2</v>
      </c>
      <c r="L14" s="79">
        <v>0</v>
      </c>
      <c r="M14" s="79">
        <v>0.2</v>
      </c>
      <c r="N14" s="79">
        <v>0</v>
      </c>
    </row>
    <row r="15" spans="1:46" ht="15" customHeight="1" x14ac:dyDescent="0.15">
      <c r="C15" s="79">
        <v>14</v>
      </c>
      <c r="D15"/>
      <c r="E15" s="177" t="s">
        <v>205</v>
      </c>
      <c r="F15" s="79">
        <v>0</v>
      </c>
      <c r="G15" s="79">
        <v>1.99</v>
      </c>
      <c r="H15" s="79">
        <v>0.46293400000000001</v>
      </c>
      <c r="I15" s="79">
        <v>10.75</v>
      </c>
      <c r="J15" s="79">
        <v>0.95</v>
      </c>
      <c r="K15" s="79">
        <v>4.3063625699999997E-2</v>
      </c>
      <c r="L15" s="79">
        <v>0</v>
      </c>
      <c r="M15" s="79">
        <v>0.2</v>
      </c>
      <c r="N15" s="79">
        <v>0</v>
      </c>
    </row>
    <row r="16" spans="1:46" ht="15" customHeight="1" x14ac:dyDescent="0.15">
      <c r="C16" s="79">
        <v>15</v>
      </c>
      <c r="D16"/>
      <c r="E16" s="177" t="s">
        <v>206</v>
      </c>
      <c r="F16" s="79">
        <v>0</v>
      </c>
      <c r="G16" s="79">
        <v>1.26</v>
      </c>
      <c r="H16" s="79">
        <v>0.48750165099999998</v>
      </c>
      <c r="I16" s="79">
        <v>10.75</v>
      </c>
      <c r="J16" s="79">
        <v>0.95</v>
      </c>
      <c r="K16" s="79">
        <v>4.5348989999999999E-2</v>
      </c>
      <c r="L16" s="79">
        <v>0</v>
      </c>
      <c r="M16" s="79">
        <v>0.2</v>
      </c>
      <c r="N16" s="79">
        <v>0</v>
      </c>
    </row>
    <row r="17" spans="1:22" ht="15" customHeight="1" x14ac:dyDescent="0.15">
      <c r="C17" s="79">
        <v>16</v>
      </c>
      <c r="D17"/>
      <c r="E17" s="177" t="s">
        <v>207</v>
      </c>
      <c r="F17" s="79">
        <v>0</v>
      </c>
      <c r="G17" s="79">
        <v>0.56999999999999995</v>
      </c>
      <c r="H17" s="79">
        <v>1.04993439</v>
      </c>
      <c r="I17" s="79">
        <v>10.75</v>
      </c>
      <c r="J17" s="79">
        <v>0.95</v>
      </c>
      <c r="K17" s="79">
        <v>9.7668309999999994E-2</v>
      </c>
      <c r="L17" s="79">
        <v>0</v>
      </c>
      <c r="M17" s="79">
        <v>0.2</v>
      </c>
      <c r="N17" s="79">
        <v>0</v>
      </c>
      <c r="V17" s="1" t="s">
        <v>30</v>
      </c>
    </row>
    <row r="18" spans="1:22" ht="15" customHeight="1" x14ac:dyDescent="0.15">
      <c r="C18" s="79">
        <v>17</v>
      </c>
      <c r="D18"/>
      <c r="E18" s="177" t="s">
        <v>208</v>
      </c>
      <c r="F18" s="79">
        <v>0</v>
      </c>
      <c r="G18" s="79">
        <v>0.18183292400000001</v>
      </c>
      <c r="H18" s="79">
        <v>2.15</v>
      </c>
      <c r="I18" s="79">
        <v>10.75</v>
      </c>
      <c r="J18" s="79">
        <v>0.95</v>
      </c>
      <c r="K18" s="79">
        <v>0.2</v>
      </c>
      <c r="L18" s="79">
        <v>0</v>
      </c>
      <c r="M18" s="79">
        <v>0.2</v>
      </c>
      <c r="N18" s="79">
        <v>0</v>
      </c>
      <c r="V18" s="1"/>
    </row>
    <row r="19" spans="1:22" ht="15" customHeight="1" x14ac:dyDescent="0.15">
      <c r="C19" s="79">
        <v>18</v>
      </c>
      <c r="D19"/>
      <c r="E19" s="177" t="s">
        <v>209</v>
      </c>
      <c r="F19" s="79">
        <v>0</v>
      </c>
      <c r="G19" s="79">
        <v>0.27706626099999998</v>
      </c>
      <c r="H19" s="79">
        <v>2.15</v>
      </c>
      <c r="I19" s="79">
        <v>10.75</v>
      </c>
      <c r="J19" s="79">
        <v>0.95</v>
      </c>
      <c r="K19" s="79">
        <v>0.2</v>
      </c>
      <c r="L19" s="79">
        <v>0</v>
      </c>
      <c r="M19" s="79">
        <v>0.2</v>
      </c>
      <c r="N19" s="79">
        <v>0</v>
      </c>
    </row>
    <row r="20" spans="1:22" ht="15" customHeight="1" thickBot="1" x14ac:dyDescent="0.2">
      <c r="C20" s="79">
        <v>19</v>
      </c>
      <c r="D20"/>
      <c r="E20" s="177" t="s">
        <v>210</v>
      </c>
      <c r="F20" s="79">
        <v>0</v>
      </c>
      <c r="G20" s="79">
        <v>9.8570149999999995E-2</v>
      </c>
      <c r="H20" s="79">
        <v>1.5</v>
      </c>
      <c r="I20" s="79">
        <v>7.55</v>
      </c>
      <c r="J20" s="79">
        <v>0.95</v>
      </c>
      <c r="K20" s="79">
        <v>0.1986755</v>
      </c>
      <c r="L20" s="79">
        <v>0</v>
      </c>
      <c r="M20" s="79">
        <v>0.2</v>
      </c>
      <c r="N20" s="79">
        <v>0</v>
      </c>
    </row>
    <row r="21" spans="1:22" ht="15" customHeight="1" thickBot="1" x14ac:dyDescent="0.2">
      <c r="A21" s="47" t="s">
        <v>137</v>
      </c>
      <c r="B21" s="97"/>
      <c r="C21" s="79">
        <v>20</v>
      </c>
      <c r="D21"/>
      <c r="E21" s="177" t="s">
        <v>211</v>
      </c>
      <c r="F21" s="79">
        <v>0</v>
      </c>
      <c r="G21" s="79">
        <v>7.0365384200000006E-2</v>
      </c>
      <c r="H21" s="79">
        <v>3</v>
      </c>
      <c r="I21" s="79">
        <v>12.5</v>
      </c>
      <c r="J21" s="79">
        <v>0.95</v>
      </c>
      <c r="K21" s="79">
        <v>0.24</v>
      </c>
      <c r="L21" s="79">
        <v>0</v>
      </c>
      <c r="M21" s="79">
        <v>0.2</v>
      </c>
      <c r="N21" s="79">
        <v>0</v>
      </c>
    </row>
    <row r="22" spans="1:22" ht="15" customHeight="1" x14ac:dyDescent="0.15">
      <c r="A22" s="98" t="s">
        <v>58</v>
      </c>
      <c r="B22" s="99">
        <v>0</v>
      </c>
      <c r="C22" s="79">
        <v>21</v>
      </c>
      <c r="D22"/>
      <c r="E22" s="177" t="s">
        <v>212</v>
      </c>
      <c r="F22" s="79">
        <v>0</v>
      </c>
      <c r="G22" s="79">
        <v>0.22990845100000001</v>
      </c>
      <c r="H22" s="79">
        <v>4</v>
      </c>
      <c r="I22" s="79">
        <v>21.9</v>
      </c>
      <c r="J22" s="79">
        <v>0.95</v>
      </c>
      <c r="K22" s="79">
        <v>0.18264839999999999</v>
      </c>
      <c r="L22" s="79">
        <v>0</v>
      </c>
      <c r="M22" s="79">
        <v>0.2</v>
      </c>
      <c r="N22" s="79">
        <v>0</v>
      </c>
    </row>
    <row r="23" spans="1:22" ht="15" customHeight="1" x14ac:dyDescent="0.15">
      <c r="A23" s="98" t="s">
        <v>59</v>
      </c>
      <c r="B23" s="99">
        <v>1</v>
      </c>
      <c r="C23" s="79">
        <v>22</v>
      </c>
      <c r="D23"/>
      <c r="E23" s="177" t="s">
        <v>213</v>
      </c>
      <c r="F23" s="79">
        <v>0</v>
      </c>
      <c r="G23" s="79">
        <v>0.90224269999999995</v>
      </c>
      <c r="H23" s="79">
        <v>4</v>
      </c>
      <c r="I23" s="79">
        <v>21.9</v>
      </c>
      <c r="J23" s="79">
        <v>0.95</v>
      </c>
      <c r="K23" s="79">
        <v>0.18264839999999999</v>
      </c>
      <c r="L23" s="79">
        <v>0</v>
      </c>
      <c r="M23" s="79">
        <v>0.2</v>
      </c>
      <c r="N23" s="79">
        <v>0</v>
      </c>
    </row>
    <row r="24" spans="1:22" ht="15" customHeight="1" x14ac:dyDescent="0.15">
      <c r="A24" s="98" t="s">
        <v>60</v>
      </c>
      <c r="B24" s="99">
        <v>2</v>
      </c>
      <c r="C24" s="79">
        <v>23</v>
      </c>
      <c r="D24"/>
      <c r="E24" s="177" t="s">
        <v>214</v>
      </c>
      <c r="F24" s="79">
        <v>0</v>
      </c>
      <c r="G24" s="79">
        <v>0.28485685599999999</v>
      </c>
      <c r="H24" s="79">
        <v>62</v>
      </c>
      <c r="I24" s="79">
        <v>310</v>
      </c>
      <c r="J24" s="79">
        <v>0.95</v>
      </c>
      <c r="K24" s="79">
        <v>0.2</v>
      </c>
      <c r="L24" s="79">
        <v>0</v>
      </c>
      <c r="M24" s="79">
        <v>0.2</v>
      </c>
      <c r="N24" s="79">
        <v>0</v>
      </c>
    </row>
    <row r="25" spans="1:22" ht="15" customHeight="1" thickBot="1" x14ac:dyDescent="0.2">
      <c r="A25" s="100" t="s">
        <v>44</v>
      </c>
      <c r="B25" s="101">
        <v>3</v>
      </c>
      <c r="C25" s="79">
        <v>24</v>
      </c>
      <c r="D25"/>
      <c r="E25" s="177" t="s">
        <v>215</v>
      </c>
      <c r="F25" s="79">
        <v>0</v>
      </c>
      <c r="G25" s="79">
        <v>4.9625406300000003</v>
      </c>
      <c r="H25" s="79">
        <v>6.8</v>
      </c>
      <c r="I25" s="79">
        <v>27.4</v>
      </c>
      <c r="J25" s="79">
        <v>0.95</v>
      </c>
      <c r="K25" s="79">
        <v>0.24817518899999999</v>
      </c>
      <c r="L25" s="79">
        <v>0</v>
      </c>
      <c r="M25" s="79">
        <v>0.2</v>
      </c>
      <c r="N25" s="79">
        <v>0</v>
      </c>
    </row>
    <row r="26" spans="1:22" ht="15" customHeight="1" x14ac:dyDescent="0.15">
      <c r="A26" s="102" t="s">
        <v>140</v>
      </c>
      <c r="C26" s="79">
        <v>25</v>
      </c>
      <c r="D26"/>
      <c r="E26" s="177" t="s">
        <v>216</v>
      </c>
      <c r="F26" s="79">
        <v>0</v>
      </c>
      <c r="G26" s="79">
        <v>5.0582842799999996</v>
      </c>
      <c r="H26" s="79">
        <v>10</v>
      </c>
      <c r="I26" s="79">
        <v>50</v>
      </c>
      <c r="J26" s="79">
        <v>0.95</v>
      </c>
      <c r="K26" s="79">
        <v>0.2</v>
      </c>
      <c r="L26" s="79">
        <v>0</v>
      </c>
      <c r="M26" s="79">
        <v>0.2</v>
      </c>
      <c r="N26" s="79">
        <v>0</v>
      </c>
    </row>
    <row r="27" spans="1:22" ht="15" customHeight="1" x14ac:dyDescent="0.15">
      <c r="C27" s="79">
        <v>26</v>
      </c>
      <c r="D27"/>
      <c r="E27" s="177" t="s">
        <v>217</v>
      </c>
      <c r="F27" s="79">
        <v>0</v>
      </c>
      <c r="G27" s="79">
        <v>1.5672305799999999</v>
      </c>
      <c r="H27" s="79">
        <v>67</v>
      </c>
      <c r="I27" s="79">
        <v>280</v>
      </c>
      <c r="J27" s="79">
        <v>0.95</v>
      </c>
      <c r="K27" s="79">
        <v>0.23928570699999999</v>
      </c>
      <c r="L27" s="79">
        <v>0</v>
      </c>
      <c r="M27" s="79">
        <v>0.2</v>
      </c>
      <c r="N27" s="79">
        <v>0</v>
      </c>
    </row>
    <row r="28" spans="1:22" ht="15" customHeight="1" x14ac:dyDescent="0.15">
      <c r="C28" s="79">
        <v>27</v>
      </c>
      <c r="D28"/>
      <c r="E28" s="177" t="s">
        <v>218</v>
      </c>
      <c r="F28" s="79">
        <v>1</v>
      </c>
      <c r="G28" s="79">
        <v>30.715710000000001</v>
      </c>
      <c r="H28" s="79">
        <v>15.35</v>
      </c>
      <c r="I28" s="79">
        <v>0</v>
      </c>
      <c r="J28" s="79">
        <v>0.03</v>
      </c>
      <c r="K28" s="79">
        <v>0</v>
      </c>
      <c r="L28" s="79">
        <v>0</v>
      </c>
      <c r="M28" s="79">
        <v>0</v>
      </c>
      <c r="N28" s="79">
        <v>0</v>
      </c>
    </row>
    <row r="29" spans="1:22" customFormat="1" ht="15" customHeight="1" x14ac:dyDescent="0.15">
      <c r="C29" s="79">
        <v>28</v>
      </c>
      <c r="E29" s="177" t="s">
        <v>219</v>
      </c>
      <c r="F29" s="79">
        <v>1</v>
      </c>
      <c r="G29" s="79">
        <v>10.554863900000001</v>
      </c>
      <c r="H29" s="79">
        <v>71.2</v>
      </c>
      <c r="I29" s="79">
        <v>0</v>
      </c>
      <c r="J29" s="79">
        <v>0.5</v>
      </c>
      <c r="K29" s="79">
        <v>0</v>
      </c>
      <c r="L29" s="79">
        <v>0</v>
      </c>
      <c r="M29" s="79">
        <v>0</v>
      </c>
      <c r="N29" s="79">
        <v>0</v>
      </c>
    </row>
    <row r="30" spans="1:22" customFormat="1" ht="15" customHeight="1" x14ac:dyDescent="0.15">
      <c r="C30" s="79">
        <v>29</v>
      </c>
      <c r="E30" s="177" t="s">
        <v>220</v>
      </c>
      <c r="F30" s="79">
        <v>2</v>
      </c>
      <c r="G30" s="79">
        <v>120</v>
      </c>
      <c r="H30" s="79">
        <v>0</v>
      </c>
      <c r="I30" s="79">
        <v>0</v>
      </c>
      <c r="J30" s="79">
        <v>0.40135022999999997</v>
      </c>
      <c r="K30" s="79">
        <v>0</v>
      </c>
      <c r="L30" s="79">
        <v>0</v>
      </c>
      <c r="M30" s="79">
        <v>0</v>
      </c>
      <c r="N30" s="79">
        <v>0</v>
      </c>
    </row>
    <row r="31" spans="1:22" customFormat="1" ht="15" customHeight="1" x14ac:dyDescent="0.15">
      <c r="C31" s="79">
        <v>30</v>
      </c>
      <c r="E31" s="177" t="s">
        <v>221</v>
      </c>
      <c r="F31" s="79">
        <v>2</v>
      </c>
      <c r="G31" s="79">
        <v>5</v>
      </c>
      <c r="H31" s="79">
        <v>0</v>
      </c>
      <c r="I31" s="79">
        <v>0</v>
      </c>
      <c r="J31" s="79">
        <v>0</v>
      </c>
      <c r="K31" s="79">
        <v>0</v>
      </c>
      <c r="L31" s="79">
        <v>0</v>
      </c>
      <c r="M31" s="79">
        <v>0</v>
      </c>
      <c r="N31" s="79">
        <v>0</v>
      </c>
    </row>
    <row r="32" spans="1:22" customFormat="1" ht="15" customHeight="1" x14ac:dyDescent="0.15">
      <c r="C32" s="79">
        <v>31</v>
      </c>
      <c r="E32" s="177" t="s">
        <v>222</v>
      </c>
      <c r="F32" s="79">
        <v>3</v>
      </c>
      <c r="G32" s="79">
        <v>0</v>
      </c>
      <c r="H32" s="79">
        <v>0</v>
      </c>
      <c r="I32" s="79">
        <v>0</v>
      </c>
      <c r="J32" s="79">
        <v>0</v>
      </c>
      <c r="K32" s="79">
        <v>0</v>
      </c>
      <c r="L32" s="79">
        <v>0</v>
      </c>
      <c r="M32" s="79">
        <v>0</v>
      </c>
      <c r="N32" s="79">
        <v>0</v>
      </c>
    </row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5.83203125" style="143" bestFit="1" customWidth="1"/>
    <col min="2" max="2" width="4.83203125" style="143" bestFit="1" customWidth="1"/>
    <col min="3" max="3" width="13.83203125" style="143" bestFit="1" customWidth="1"/>
    <col min="4" max="10" width="4.83203125" style="143" bestFit="1" customWidth="1"/>
    <col min="11" max="11" width="14.83203125" style="143" bestFit="1" customWidth="1"/>
    <col min="12" max="16" width="4.83203125" style="143" bestFit="1" customWidth="1"/>
    <col min="17" max="17" width="13.83203125" style="143" bestFit="1" customWidth="1"/>
    <col min="18" max="19" width="4.83203125" style="143" bestFit="1" customWidth="1"/>
    <col min="20" max="20" width="3.83203125" style="143" bestFit="1" customWidth="1"/>
    <col min="21" max="23" width="4.83203125" style="143" bestFit="1" customWidth="1"/>
    <col min="24" max="24" width="3.83203125" style="143" bestFit="1" customWidth="1"/>
    <col min="25" max="27" width="4.83203125" style="143" bestFit="1" customWidth="1"/>
    <col min="28" max="29" width="2.33203125" style="143" bestFit="1" customWidth="1"/>
    <col min="30" max="31" width="2.33203125" style="143" customWidth="1"/>
    <col min="32" max="16384" width="8.83203125" style="143"/>
  </cols>
  <sheetData>
    <row r="1" spans="1:34" x14ac:dyDescent="0.15">
      <c r="A1" s="142" t="s">
        <v>19</v>
      </c>
      <c r="B1" s="179" t="s">
        <v>192</v>
      </c>
      <c r="C1" s="179" t="s">
        <v>193</v>
      </c>
      <c r="D1" s="179" t="s">
        <v>194</v>
      </c>
      <c r="E1" s="179" t="s">
        <v>195</v>
      </c>
      <c r="F1" s="179" t="s">
        <v>196</v>
      </c>
      <c r="G1" s="179" t="s">
        <v>197</v>
      </c>
      <c r="H1" s="179" t="s">
        <v>198</v>
      </c>
      <c r="I1" s="179" t="s">
        <v>199</v>
      </c>
      <c r="J1" s="179" t="s">
        <v>200</v>
      </c>
      <c r="K1" s="179" t="s">
        <v>201</v>
      </c>
      <c r="L1" s="179" t="s">
        <v>202</v>
      </c>
      <c r="M1" s="179" t="s">
        <v>203</v>
      </c>
      <c r="N1" s="179" t="s">
        <v>204</v>
      </c>
      <c r="O1" s="179" t="s">
        <v>205</v>
      </c>
      <c r="P1" s="179" t="s">
        <v>206</v>
      </c>
      <c r="Q1" s="179" t="s">
        <v>207</v>
      </c>
      <c r="R1" s="179" t="s">
        <v>208</v>
      </c>
      <c r="S1" s="179" t="s">
        <v>209</v>
      </c>
      <c r="T1" s="179" t="s">
        <v>210</v>
      </c>
      <c r="U1" s="179" t="s">
        <v>211</v>
      </c>
      <c r="V1" s="179" t="s">
        <v>212</v>
      </c>
      <c r="W1" s="179" t="s">
        <v>213</v>
      </c>
      <c r="X1" s="179" t="s">
        <v>214</v>
      </c>
      <c r="Y1" s="179" t="s">
        <v>215</v>
      </c>
      <c r="Z1" s="179" t="s">
        <v>216</v>
      </c>
      <c r="AA1" s="179" t="s">
        <v>217</v>
      </c>
      <c r="AB1" s="179" t="s">
        <v>218</v>
      </c>
      <c r="AC1" s="179" t="s">
        <v>219</v>
      </c>
      <c r="AD1" s="179" t="s">
        <v>220</v>
      </c>
      <c r="AE1" s="179" t="s">
        <v>221</v>
      </c>
      <c r="AF1"/>
      <c r="AG1"/>
      <c r="AH1"/>
    </row>
    <row r="2" spans="1:34" customFormat="1" x14ac:dyDescent="0.15">
      <c r="A2" s="178" t="s">
        <v>192</v>
      </c>
      <c r="B2" s="143">
        <v>0</v>
      </c>
      <c r="C2" s="143">
        <v>0</v>
      </c>
      <c r="D2" s="143">
        <v>0</v>
      </c>
      <c r="E2" s="143">
        <v>0</v>
      </c>
      <c r="F2" s="143">
        <v>0</v>
      </c>
      <c r="G2" s="143">
        <v>0</v>
      </c>
      <c r="H2" s="143">
        <v>0</v>
      </c>
      <c r="I2" s="143">
        <v>0</v>
      </c>
      <c r="J2" s="143">
        <v>0</v>
      </c>
      <c r="K2" s="143">
        <v>0</v>
      </c>
      <c r="L2" s="143">
        <v>0</v>
      </c>
      <c r="M2" s="143">
        <v>0</v>
      </c>
      <c r="N2" s="143">
        <v>0</v>
      </c>
      <c r="O2" s="143">
        <v>0</v>
      </c>
      <c r="P2" s="143">
        <v>0</v>
      </c>
      <c r="Q2" s="143">
        <v>0</v>
      </c>
      <c r="R2" s="143">
        <v>0</v>
      </c>
      <c r="S2" s="143">
        <v>0</v>
      </c>
      <c r="T2" s="143">
        <v>0</v>
      </c>
      <c r="U2" s="143">
        <v>0</v>
      </c>
      <c r="V2" s="143">
        <v>0</v>
      </c>
      <c r="W2" s="143">
        <v>0</v>
      </c>
      <c r="X2" s="143">
        <v>0</v>
      </c>
      <c r="Y2" s="143">
        <v>0</v>
      </c>
      <c r="Z2" s="143">
        <v>0</v>
      </c>
      <c r="AA2" s="143">
        <v>0</v>
      </c>
      <c r="AB2" s="143">
        <v>0</v>
      </c>
      <c r="AC2" s="143">
        <v>0</v>
      </c>
      <c r="AD2" s="143">
        <v>0</v>
      </c>
      <c r="AE2" s="143">
        <v>0</v>
      </c>
    </row>
    <row r="3" spans="1:34" customFormat="1" x14ac:dyDescent="0.15">
      <c r="A3" s="178" t="s">
        <v>193</v>
      </c>
      <c r="B3" s="143">
        <v>0</v>
      </c>
      <c r="C3" s="143">
        <v>0</v>
      </c>
      <c r="D3" s="143">
        <v>0</v>
      </c>
      <c r="E3" s="143">
        <v>0</v>
      </c>
      <c r="F3" s="143">
        <v>0</v>
      </c>
      <c r="G3" s="143">
        <v>0</v>
      </c>
      <c r="H3" s="143">
        <v>0</v>
      </c>
      <c r="I3" s="143">
        <v>0</v>
      </c>
      <c r="J3" s="143">
        <v>0</v>
      </c>
      <c r="K3" s="143">
        <v>0</v>
      </c>
      <c r="L3" s="143">
        <v>0</v>
      </c>
      <c r="M3" s="143">
        <v>0</v>
      </c>
      <c r="N3" s="143">
        <v>0</v>
      </c>
      <c r="O3" s="143">
        <v>0</v>
      </c>
      <c r="P3" s="143">
        <v>0</v>
      </c>
      <c r="Q3" s="143">
        <v>0</v>
      </c>
      <c r="R3" s="143">
        <v>0</v>
      </c>
      <c r="S3" s="143">
        <v>0</v>
      </c>
      <c r="T3" s="143">
        <v>0</v>
      </c>
      <c r="U3" s="143">
        <v>0</v>
      </c>
      <c r="V3" s="143">
        <v>0</v>
      </c>
      <c r="W3" s="143">
        <v>0</v>
      </c>
      <c r="X3" s="143">
        <v>0</v>
      </c>
      <c r="Y3" s="143">
        <v>0</v>
      </c>
      <c r="Z3" s="143">
        <v>0</v>
      </c>
      <c r="AA3" s="143">
        <v>0</v>
      </c>
      <c r="AB3" s="143">
        <v>0</v>
      </c>
      <c r="AC3" s="143">
        <v>0</v>
      </c>
      <c r="AD3" s="143">
        <v>0</v>
      </c>
      <c r="AE3" s="143">
        <v>0</v>
      </c>
    </row>
    <row r="4" spans="1:34" customFormat="1" x14ac:dyDescent="0.15">
      <c r="A4" s="178" t="s">
        <v>194</v>
      </c>
      <c r="B4" s="143">
        <v>0</v>
      </c>
      <c r="C4" s="143">
        <v>0</v>
      </c>
      <c r="D4" s="143">
        <v>0</v>
      </c>
      <c r="E4" s="143">
        <v>0</v>
      </c>
      <c r="F4" s="143">
        <v>0</v>
      </c>
      <c r="G4" s="143">
        <v>0</v>
      </c>
      <c r="H4" s="143">
        <v>0</v>
      </c>
      <c r="I4" s="143">
        <v>0</v>
      </c>
      <c r="J4" s="143">
        <v>0</v>
      </c>
      <c r="K4" s="143">
        <v>0</v>
      </c>
      <c r="L4" s="143">
        <v>0</v>
      </c>
      <c r="M4" s="143">
        <v>0</v>
      </c>
      <c r="N4" s="143">
        <v>0</v>
      </c>
      <c r="O4" s="143">
        <v>0</v>
      </c>
      <c r="P4" s="143">
        <v>0</v>
      </c>
      <c r="Q4" s="143">
        <v>0</v>
      </c>
      <c r="R4" s="143">
        <v>0</v>
      </c>
      <c r="S4" s="143">
        <v>0</v>
      </c>
      <c r="T4" s="143">
        <v>0</v>
      </c>
      <c r="U4" s="143">
        <v>0</v>
      </c>
      <c r="V4" s="143">
        <v>0</v>
      </c>
      <c r="W4" s="143">
        <v>0</v>
      </c>
      <c r="X4" s="143">
        <v>0</v>
      </c>
      <c r="Y4" s="143">
        <v>0</v>
      </c>
      <c r="Z4" s="143">
        <v>0</v>
      </c>
      <c r="AA4" s="143">
        <v>0</v>
      </c>
      <c r="AB4" s="143">
        <v>0</v>
      </c>
      <c r="AC4" s="143">
        <v>0</v>
      </c>
      <c r="AD4" s="143">
        <v>0</v>
      </c>
      <c r="AE4" s="143">
        <v>0</v>
      </c>
    </row>
    <row r="5" spans="1:34" customFormat="1" x14ac:dyDescent="0.15">
      <c r="A5" s="178" t="s">
        <v>195</v>
      </c>
      <c r="B5" s="143">
        <v>0.19999999999999996</v>
      </c>
      <c r="C5" s="143">
        <v>0.22222222222222221</v>
      </c>
      <c r="D5" s="143">
        <v>0</v>
      </c>
      <c r="E5" s="143">
        <v>9.9999999999999985E-3</v>
      </c>
      <c r="F5" s="143">
        <v>0</v>
      </c>
      <c r="G5" s="143">
        <v>0</v>
      </c>
      <c r="H5" s="143">
        <v>0.01</v>
      </c>
      <c r="I5" s="143">
        <v>0</v>
      </c>
      <c r="J5" s="143">
        <v>9.9999999999999985E-3</v>
      </c>
      <c r="K5" s="143">
        <v>0</v>
      </c>
      <c r="L5" s="143">
        <v>0</v>
      </c>
      <c r="M5" s="143">
        <v>0</v>
      </c>
      <c r="N5" s="143">
        <v>0</v>
      </c>
      <c r="O5" s="143">
        <v>0</v>
      </c>
      <c r="P5" s="143">
        <v>0</v>
      </c>
      <c r="Q5" s="143">
        <v>0</v>
      </c>
      <c r="R5" s="143">
        <v>0</v>
      </c>
      <c r="S5" s="143">
        <v>0</v>
      </c>
      <c r="T5" s="143">
        <v>0</v>
      </c>
      <c r="U5" s="143">
        <v>0</v>
      </c>
      <c r="V5" s="143">
        <v>0</v>
      </c>
      <c r="W5" s="143">
        <v>0</v>
      </c>
      <c r="X5" s="143">
        <v>0</v>
      </c>
      <c r="Y5" s="143">
        <v>0</v>
      </c>
      <c r="Z5" s="143">
        <v>0</v>
      </c>
      <c r="AA5" s="143">
        <v>0</v>
      </c>
      <c r="AB5" s="143">
        <v>0</v>
      </c>
      <c r="AC5" s="143">
        <v>0</v>
      </c>
      <c r="AD5" s="143">
        <v>0</v>
      </c>
      <c r="AE5" s="143">
        <v>0</v>
      </c>
    </row>
    <row r="6" spans="1:34" customFormat="1" x14ac:dyDescent="0.15">
      <c r="A6" s="178" t="s">
        <v>196</v>
      </c>
      <c r="B6" s="143">
        <v>0</v>
      </c>
      <c r="C6" s="143">
        <v>0</v>
      </c>
      <c r="D6" s="143">
        <v>0</v>
      </c>
      <c r="E6" s="143">
        <v>0</v>
      </c>
      <c r="F6" s="143">
        <v>0</v>
      </c>
      <c r="G6" s="143">
        <v>0</v>
      </c>
      <c r="H6" s="143">
        <v>0</v>
      </c>
      <c r="I6" s="143">
        <v>0</v>
      </c>
      <c r="J6" s="143">
        <v>0</v>
      </c>
      <c r="K6" s="143">
        <v>0</v>
      </c>
      <c r="L6" s="143">
        <v>0</v>
      </c>
      <c r="M6" s="143">
        <v>0</v>
      </c>
      <c r="N6" s="143">
        <v>0</v>
      </c>
      <c r="O6" s="143">
        <v>0</v>
      </c>
      <c r="P6" s="143">
        <v>0</v>
      </c>
      <c r="Q6" s="143">
        <v>0</v>
      </c>
      <c r="R6" s="143">
        <v>0</v>
      </c>
      <c r="S6" s="143">
        <v>0</v>
      </c>
      <c r="T6" s="143">
        <v>0</v>
      </c>
      <c r="U6" s="143">
        <v>0</v>
      </c>
      <c r="V6" s="143">
        <v>0</v>
      </c>
      <c r="W6" s="143">
        <v>0</v>
      </c>
      <c r="X6" s="143">
        <v>0</v>
      </c>
      <c r="Y6" s="143">
        <v>0</v>
      </c>
      <c r="Z6" s="143">
        <v>0</v>
      </c>
      <c r="AA6" s="143">
        <v>0</v>
      </c>
      <c r="AB6" s="143">
        <v>0</v>
      </c>
      <c r="AC6" s="143">
        <v>0</v>
      </c>
      <c r="AD6" s="143">
        <v>0</v>
      </c>
      <c r="AE6" s="143">
        <v>0</v>
      </c>
    </row>
    <row r="7" spans="1:34" customFormat="1" x14ac:dyDescent="0.15">
      <c r="A7" s="178" t="s">
        <v>197</v>
      </c>
      <c r="B7" s="143">
        <v>0</v>
      </c>
      <c r="C7" s="143">
        <v>0</v>
      </c>
      <c r="D7" s="143">
        <v>0</v>
      </c>
      <c r="E7" s="143">
        <v>0</v>
      </c>
      <c r="F7" s="143">
        <v>0</v>
      </c>
      <c r="G7" s="143">
        <v>0</v>
      </c>
      <c r="H7" s="143">
        <v>0</v>
      </c>
      <c r="I7" s="143">
        <v>0</v>
      </c>
      <c r="J7" s="143">
        <v>0</v>
      </c>
      <c r="K7" s="143">
        <v>0</v>
      </c>
      <c r="L7" s="143">
        <v>0</v>
      </c>
      <c r="M7" s="143">
        <v>0</v>
      </c>
      <c r="N7" s="143">
        <v>0</v>
      </c>
      <c r="O7" s="143">
        <v>0</v>
      </c>
      <c r="P7" s="143">
        <v>0</v>
      </c>
      <c r="Q7" s="143">
        <v>0</v>
      </c>
      <c r="R7" s="143">
        <v>0</v>
      </c>
      <c r="S7" s="143">
        <v>0</v>
      </c>
      <c r="T7" s="143">
        <v>0</v>
      </c>
      <c r="U7" s="143">
        <v>0</v>
      </c>
      <c r="V7" s="143">
        <v>0</v>
      </c>
      <c r="W7" s="143">
        <v>0</v>
      </c>
      <c r="X7" s="143">
        <v>0</v>
      </c>
      <c r="Y7" s="143">
        <v>0</v>
      </c>
      <c r="Z7" s="143">
        <v>0</v>
      </c>
      <c r="AA7" s="143">
        <v>0</v>
      </c>
      <c r="AB7" s="143">
        <v>0</v>
      </c>
      <c r="AC7" s="143">
        <v>0</v>
      </c>
      <c r="AD7" s="143">
        <v>0</v>
      </c>
      <c r="AE7" s="143">
        <v>0</v>
      </c>
    </row>
    <row r="8" spans="1:34" customFormat="1" x14ac:dyDescent="0.15">
      <c r="A8" s="178" t="s">
        <v>198</v>
      </c>
      <c r="B8" s="143">
        <v>9.9999999999999978E-2</v>
      </c>
      <c r="C8" s="143">
        <v>0.1111111111111111</v>
      </c>
      <c r="D8" s="143">
        <v>0</v>
      </c>
      <c r="E8" s="143">
        <v>0</v>
      </c>
      <c r="F8" s="143">
        <v>0</v>
      </c>
      <c r="G8" s="143">
        <v>0</v>
      </c>
      <c r="H8" s="143">
        <v>0</v>
      </c>
      <c r="I8" s="143">
        <v>0</v>
      </c>
      <c r="J8" s="143">
        <v>0</v>
      </c>
      <c r="K8" s="143">
        <v>0</v>
      </c>
      <c r="L8" s="143">
        <v>0</v>
      </c>
      <c r="M8" s="143">
        <v>0</v>
      </c>
      <c r="N8" s="143">
        <v>0</v>
      </c>
      <c r="O8" s="143">
        <v>0</v>
      </c>
      <c r="P8" s="143">
        <v>0</v>
      </c>
      <c r="Q8" s="143">
        <v>0</v>
      </c>
      <c r="R8" s="143">
        <v>0</v>
      </c>
      <c r="S8" s="143">
        <v>0</v>
      </c>
      <c r="T8" s="143">
        <v>0</v>
      </c>
      <c r="U8" s="143">
        <v>0</v>
      </c>
      <c r="V8" s="143">
        <v>0</v>
      </c>
      <c r="W8" s="143">
        <v>0</v>
      </c>
      <c r="X8" s="143">
        <v>0</v>
      </c>
      <c r="Y8" s="143">
        <v>0</v>
      </c>
      <c r="Z8" s="143">
        <v>0</v>
      </c>
      <c r="AA8" s="143">
        <v>0</v>
      </c>
      <c r="AB8" s="143">
        <v>0</v>
      </c>
      <c r="AC8" s="143">
        <v>0</v>
      </c>
      <c r="AD8" s="143">
        <v>0</v>
      </c>
      <c r="AE8" s="143">
        <v>0</v>
      </c>
    </row>
    <row r="9" spans="1:34" customFormat="1" x14ac:dyDescent="0.15">
      <c r="A9" s="178" t="s">
        <v>199</v>
      </c>
      <c r="B9" s="143">
        <v>1.9999999999999997E-2</v>
      </c>
      <c r="C9" s="143">
        <v>0</v>
      </c>
      <c r="D9" s="143">
        <v>0</v>
      </c>
      <c r="E9" s="143">
        <v>0</v>
      </c>
      <c r="F9" s="143">
        <v>0</v>
      </c>
      <c r="G9" s="143">
        <v>0</v>
      </c>
      <c r="H9" s="143">
        <v>0</v>
      </c>
      <c r="I9" s="143">
        <v>0</v>
      </c>
      <c r="J9" s="143">
        <v>0</v>
      </c>
      <c r="K9" s="143">
        <v>0</v>
      </c>
      <c r="L9" s="143">
        <v>0</v>
      </c>
      <c r="M9" s="143">
        <v>0</v>
      </c>
      <c r="N9" s="143">
        <v>0</v>
      </c>
      <c r="O9" s="143">
        <v>0</v>
      </c>
      <c r="P9" s="143">
        <v>0</v>
      </c>
      <c r="Q9" s="143">
        <v>0</v>
      </c>
      <c r="R9" s="143">
        <v>0</v>
      </c>
      <c r="S9" s="143">
        <v>0</v>
      </c>
      <c r="T9" s="143">
        <v>0</v>
      </c>
      <c r="U9" s="143">
        <v>0</v>
      </c>
      <c r="V9" s="143">
        <v>0</v>
      </c>
      <c r="W9" s="143">
        <v>0</v>
      </c>
      <c r="X9" s="143">
        <v>0</v>
      </c>
      <c r="Y9" s="143">
        <v>0</v>
      </c>
      <c r="Z9" s="143">
        <v>0</v>
      </c>
      <c r="AA9" s="143">
        <v>0</v>
      </c>
      <c r="AB9" s="143">
        <v>0</v>
      </c>
      <c r="AC9" s="143">
        <v>0</v>
      </c>
      <c r="AD9" s="143">
        <v>0</v>
      </c>
      <c r="AE9" s="143">
        <v>0</v>
      </c>
    </row>
    <row r="10" spans="1:34" customFormat="1" x14ac:dyDescent="0.15">
      <c r="A10" s="178" t="s">
        <v>200</v>
      </c>
      <c r="B10" s="143">
        <v>9.9999999999999978E-2</v>
      </c>
      <c r="C10" s="143">
        <v>0</v>
      </c>
      <c r="D10" s="143">
        <v>0</v>
      </c>
      <c r="E10" s="143">
        <v>0</v>
      </c>
      <c r="F10" s="143">
        <v>0</v>
      </c>
      <c r="G10" s="143">
        <v>0</v>
      </c>
      <c r="H10" s="143">
        <v>0</v>
      </c>
      <c r="I10" s="143">
        <v>0</v>
      </c>
      <c r="J10" s="143">
        <v>1.9999999999999997E-2</v>
      </c>
      <c r="K10" s="143">
        <v>0</v>
      </c>
      <c r="L10" s="143">
        <v>0</v>
      </c>
      <c r="M10" s="143">
        <v>0</v>
      </c>
      <c r="N10" s="143">
        <v>0</v>
      </c>
      <c r="O10" s="143">
        <v>0</v>
      </c>
      <c r="P10" s="143">
        <v>0</v>
      </c>
      <c r="Q10" s="143">
        <v>0</v>
      </c>
      <c r="R10" s="143">
        <v>0</v>
      </c>
      <c r="S10" s="143">
        <v>0</v>
      </c>
      <c r="T10" s="143">
        <v>0</v>
      </c>
      <c r="U10" s="143">
        <v>0</v>
      </c>
      <c r="V10" s="143">
        <v>0</v>
      </c>
      <c r="W10" s="143">
        <v>0</v>
      </c>
      <c r="X10" s="143">
        <v>0</v>
      </c>
      <c r="Y10" s="143">
        <v>0</v>
      </c>
      <c r="Z10" s="143">
        <v>0</v>
      </c>
      <c r="AA10" s="143">
        <v>0</v>
      </c>
      <c r="AB10" s="143">
        <v>0</v>
      </c>
      <c r="AC10" s="143">
        <v>0</v>
      </c>
      <c r="AD10" s="143">
        <v>0</v>
      </c>
      <c r="AE10" s="143">
        <v>0</v>
      </c>
    </row>
    <row r="11" spans="1:34" customFormat="1" x14ac:dyDescent="0.15">
      <c r="A11" s="178" t="s">
        <v>201</v>
      </c>
      <c r="B11" s="143">
        <v>0.19999999999999996</v>
      </c>
      <c r="C11" s="143">
        <v>0.1111111111111111</v>
      </c>
      <c r="D11" s="143">
        <v>0</v>
      </c>
      <c r="E11" s="143">
        <v>4.9999999999999989E-2</v>
      </c>
      <c r="F11" s="143">
        <v>0.05</v>
      </c>
      <c r="G11" s="143">
        <v>0.05</v>
      </c>
      <c r="H11" s="143">
        <v>0.05</v>
      </c>
      <c r="I11" s="143">
        <v>0</v>
      </c>
      <c r="J11" s="143">
        <v>0</v>
      </c>
      <c r="K11" s="143">
        <v>9.1743119266055034E-3</v>
      </c>
      <c r="L11" s="143">
        <v>0</v>
      </c>
      <c r="M11" s="143">
        <v>0</v>
      </c>
      <c r="N11" s="143">
        <v>0</v>
      </c>
      <c r="O11" s="143">
        <v>0</v>
      </c>
      <c r="P11" s="143">
        <v>0</v>
      </c>
      <c r="Q11" s="143">
        <v>0</v>
      </c>
      <c r="R11" s="143">
        <v>0</v>
      </c>
      <c r="S11" s="143">
        <v>0</v>
      </c>
      <c r="T11" s="143">
        <v>0</v>
      </c>
      <c r="U11" s="143">
        <v>0</v>
      </c>
      <c r="V11" s="143">
        <v>0</v>
      </c>
      <c r="W11" s="143">
        <v>0</v>
      </c>
      <c r="X11" s="143">
        <v>0</v>
      </c>
      <c r="Y11" s="143">
        <v>0</v>
      </c>
      <c r="Z11" s="143">
        <v>0</v>
      </c>
      <c r="AA11" s="143">
        <v>0</v>
      </c>
      <c r="AB11" s="143">
        <v>0</v>
      </c>
      <c r="AC11" s="143">
        <v>0</v>
      </c>
      <c r="AD11" s="143">
        <v>0</v>
      </c>
      <c r="AE11" s="143">
        <v>0</v>
      </c>
    </row>
    <row r="12" spans="1:34" customFormat="1" x14ac:dyDescent="0.15">
      <c r="A12" s="178" t="s">
        <v>202</v>
      </c>
      <c r="B12" s="143">
        <v>9.9999999999999978E-2</v>
      </c>
      <c r="C12" s="143">
        <v>0.22222222222222221</v>
      </c>
      <c r="D12" s="143">
        <v>0</v>
      </c>
      <c r="E12" s="143">
        <v>9.9999999999999978E-2</v>
      </c>
      <c r="F12" s="143">
        <v>0</v>
      </c>
      <c r="G12" s="143">
        <v>0.05</v>
      </c>
      <c r="H12" s="143">
        <v>0.05</v>
      </c>
      <c r="I12" s="143">
        <v>0</v>
      </c>
      <c r="J12" s="143">
        <v>2.9999999999999992E-2</v>
      </c>
      <c r="K12" s="143">
        <v>0</v>
      </c>
      <c r="L12" s="143">
        <v>0</v>
      </c>
      <c r="M12" s="143">
        <v>0.01</v>
      </c>
      <c r="N12" s="143">
        <v>0</v>
      </c>
      <c r="O12" s="143">
        <v>0</v>
      </c>
      <c r="P12" s="143">
        <v>0</v>
      </c>
      <c r="Q12" s="143">
        <v>0</v>
      </c>
      <c r="R12" s="143">
        <v>0</v>
      </c>
      <c r="S12" s="143">
        <v>0</v>
      </c>
      <c r="T12" s="143">
        <v>0</v>
      </c>
      <c r="U12" s="143">
        <v>0</v>
      </c>
      <c r="V12" s="143">
        <v>0</v>
      </c>
      <c r="W12" s="143">
        <v>0</v>
      </c>
      <c r="X12" s="143">
        <v>0</v>
      </c>
      <c r="Y12" s="143">
        <v>0</v>
      </c>
      <c r="Z12" s="143">
        <v>0</v>
      </c>
      <c r="AA12" s="143">
        <v>0</v>
      </c>
      <c r="AB12" s="143">
        <v>0</v>
      </c>
      <c r="AC12" s="143">
        <v>0</v>
      </c>
      <c r="AD12" s="143">
        <v>0</v>
      </c>
      <c r="AE12" s="143">
        <v>0</v>
      </c>
    </row>
    <row r="13" spans="1:34" customFormat="1" x14ac:dyDescent="0.15">
      <c r="A13" s="178" t="s">
        <v>203</v>
      </c>
      <c r="B13" s="143">
        <v>9.9999999999999978E-2</v>
      </c>
      <c r="C13" s="143">
        <v>0.1111111111111111</v>
      </c>
      <c r="D13" s="143">
        <v>0</v>
      </c>
      <c r="E13" s="143">
        <v>4.9999999999999989E-2</v>
      </c>
      <c r="F13" s="143">
        <v>0</v>
      </c>
      <c r="G13" s="143">
        <v>0</v>
      </c>
      <c r="H13" s="143">
        <v>0.05</v>
      </c>
      <c r="I13" s="143">
        <v>0.05</v>
      </c>
      <c r="J13" s="143">
        <v>0</v>
      </c>
      <c r="K13" s="143">
        <v>0</v>
      </c>
      <c r="L13" s="143">
        <v>0</v>
      </c>
      <c r="M13" s="143">
        <v>0</v>
      </c>
      <c r="N13" s="143">
        <v>0</v>
      </c>
      <c r="O13" s="143">
        <v>0</v>
      </c>
      <c r="P13" s="143">
        <v>0</v>
      </c>
      <c r="Q13" s="143">
        <v>2.0202020202020183E-2</v>
      </c>
      <c r="R13" s="143">
        <v>0</v>
      </c>
      <c r="S13" s="143">
        <v>0</v>
      </c>
      <c r="T13" s="143">
        <v>0</v>
      </c>
      <c r="U13" s="143">
        <v>0</v>
      </c>
      <c r="V13" s="143">
        <v>0</v>
      </c>
      <c r="W13" s="143">
        <v>0</v>
      </c>
      <c r="X13" s="143">
        <v>0</v>
      </c>
      <c r="Y13" s="143">
        <v>0</v>
      </c>
      <c r="Z13" s="143">
        <v>0</v>
      </c>
      <c r="AA13" s="143">
        <v>0</v>
      </c>
      <c r="AB13" s="143">
        <v>0</v>
      </c>
      <c r="AC13" s="143">
        <v>0</v>
      </c>
      <c r="AD13" s="143">
        <v>0</v>
      </c>
      <c r="AE13" s="143">
        <v>0</v>
      </c>
    </row>
    <row r="14" spans="1:34" customFormat="1" x14ac:dyDescent="0.15">
      <c r="A14" s="178" t="s">
        <v>204</v>
      </c>
      <c r="B14" s="143">
        <v>3.9999999999999994E-2</v>
      </c>
      <c r="C14" s="143">
        <v>0.1111111111111111</v>
      </c>
      <c r="D14" s="143">
        <v>0</v>
      </c>
      <c r="E14" s="143">
        <v>0.12999999999999998</v>
      </c>
      <c r="F14" s="143">
        <v>0.3</v>
      </c>
      <c r="G14" s="143">
        <v>0.2</v>
      </c>
      <c r="H14" s="143">
        <v>0.15</v>
      </c>
      <c r="I14" s="143">
        <v>0.15</v>
      </c>
      <c r="J14" s="143">
        <v>4.9999999999999989E-2</v>
      </c>
      <c r="K14" s="143">
        <v>9.1743119266055034E-3</v>
      </c>
      <c r="L14" s="143">
        <v>0</v>
      </c>
      <c r="M14" s="143">
        <v>0</v>
      </c>
      <c r="N14" s="143">
        <v>0.01</v>
      </c>
      <c r="O14" s="143">
        <v>0</v>
      </c>
      <c r="P14" s="143">
        <v>0</v>
      </c>
      <c r="Q14" s="143">
        <v>0</v>
      </c>
      <c r="R14" s="143">
        <v>0</v>
      </c>
      <c r="S14" s="143">
        <v>0</v>
      </c>
      <c r="T14" s="143">
        <v>0</v>
      </c>
      <c r="U14" s="143">
        <v>0</v>
      </c>
      <c r="V14" s="143">
        <v>0</v>
      </c>
      <c r="W14" s="143">
        <v>0</v>
      </c>
      <c r="X14" s="143">
        <v>0</v>
      </c>
      <c r="Y14" s="143">
        <v>0</v>
      </c>
      <c r="Z14" s="143">
        <v>0</v>
      </c>
      <c r="AA14" s="143">
        <v>0</v>
      </c>
      <c r="AB14" s="143">
        <v>0</v>
      </c>
      <c r="AC14" s="143">
        <v>0</v>
      </c>
      <c r="AD14" s="143">
        <v>0</v>
      </c>
      <c r="AE14" s="143">
        <v>0</v>
      </c>
    </row>
    <row r="15" spans="1:34" customFormat="1" x14ac:dyDescent="0.15">
      <c r="A15" s="178" t="s">
        <v>205</v>
      </c>
      <c r="B15" s="143">
        <v>1.9999999999999997E-2</v>
      </c>
      <c r="C15" s="143">
        <v>0</v>
      </c>
      <c r="D15" s="143">
        <v>0</v>
      </c>
      <c r="E15" s="143">
        <v>4.9999999999999989E-2</v>
      </c>
      <c r="F15" s="143">
        <v>0.05</v>
      </c>
      <c r="G15" s="143">
        <v>0.05</v>
      </c>
      <c r="H15" s="143">
        <v>0.1</v>
      </c>
      <c r="I15" s="143">
        <v>0.05</v>
      </c>
      <c r="J15" s="143">
        <v>0</v>
      </c>
      <c r="K15" s="143">
        <v>9.1743119266055134E-2</v>
      </c>
      <c r="L15" s="143">
        <v>0</v>
      </c>
      <c r="M15" s="143">
        <v>0</v>
      </c>
      <c r="N15" s="143">
        <v>0.01</v>
      </c>
      <c r="O15" s="143">
        <v>0</v>
      </c>
      <c r="P15" s="143">
        <v>0</v>
      </c>
      <c r="Q15" s="143">
        <v>0</v>
      </c>
      <c r="R15" s="143">
        <v>0</v>
      </c>
      <c r="S15" s="143">
        <v>0</v>
      </c>
      <c r="T15" s="143">
        <v>0</v>
      </c>
      <c r="U15" s="143">
        <v>0</v>
      </c>
      <c r="V15" s="143">
        <v>0</v>
      </c>
      <c r="W15" s="143">
        <v>0</v>
      </c>
      <c r="X15" s="143">
        <v>0</v>
      </c>
      <c r="Y15" s="143">
        <v>0</v>
      </c>
      <c r="Z15" s="143">
        <v>0</v>
      </c>
      <c r="AA15" s="143">
        <v>0</v>
      </c>
      <c r="AB15" s="143">
        <v>0</v>
      </c>
      <c r="AC15" s="143">
        <v>0</v>
      </c>
      <c r="AD15" s="143">
        <v>0</v>
      </c>
      <c r="AE15" s="143">
        <v>0</v>
      </c>
    </row>
    <row r="16" spans="1:34" customFormat="1" x14ac:dyDescent="0.15">
      <c r="A16" s="178" t="s">
        <v>206</v>
      </c>
      <c r="B16" s="143">
        <v>1.9999999999999997E-2</v>
      </c>
      <c r="C16" s="143">
        <v>0</v>
      </c>
      <c r="D16" s="143">
        <v>0</v>
      </c>
      <c r="E16" s="143">
        <v>4.9999999999999989E-2</v>
      </c>
      <c r="F16" s="143">
        <v>0.05</v>
      </c>
      <c r="G16" s="143">
        <v>0.1</v>
      </c>
      <c r="H16" s="143">
        <v>0.1</v>
      </c>
      <c r="I16" s="143">
        <v>0.05</v>
      </c>
      <c r="J16" s="143">
        <v>0</v>
      </c>
      <c r="K16" s="143">
        <v>9.1743119266055034E-3</v>
      </c>
      <c r="L16" s="143">
        <v>0</v>
      </c>
      <c r="M16" s="143">
        <v>0</v>
      </c>
      <c r="N16" s="143">
        <v>0.01</v>
      </c>
      <c r="O16" s="143">
        <v>0</v>
      </c>
      <c r="P16" s="143">
        <v>0</v>
      </c>
      <c r="Q16" s="143">
        <v>0</v>
      </c>
      <c r="R16" s="143">
        <v>0</v>
      </c>
      <c r="S16" s="143">
        <v>0</v>
      </c>
      <c r="T16" s="143">
        <v>0</v>
      </c>
      <c r="U16" s="143">
        <v>0</v>
      </c>
      <c r="V16" s="143">
        <v>0</v>
      </c>
      <c r="W16" s="143">
        <v>0</v>
      </c>
      <c r="X16" s="143">
        <v>0</v>
      </c>
      <c r="Y16" s="143">
        <v>0</v>
      </c>
      <c r="Z16" s="143">
        <v>0</v>
      </c>
      <c r="AA16" s="143">
        <v>0</v>
      </c>
      <c r="AB16" s="143">
        <v>0</v>
      </c>
      <c r="AC16" s="143">
        <v>0</v>
      </c>
      <c r="AD16" s="143">
        <v>0</v>
      </c>
      <c r="AE16" s="143">
        <v>0</v>
      </c>
    </row>
    <row r="17" spans="1:31" customFormat="1" x14ac:dyDescent="0.15">
      <c r="A17" s="178" t="s">
        <v>207</v>
      </c>
      <c r="B17" s="143">
        <v>1.9999999999999997E-2</v>
      </c>
      <c r="C17" s="143">
        <v>0</v>
      </c>
      <c r="D17" s="143">
        <v>0</v>
      </c>
      <c r="E17" s="143">
        <v>4.9999999999999989E-2</v>
      </c>
      <c r="F17" s="143">
        <v>0.05</v>
      </c>
      <c r="G17" s="143">
        <v>0.1</v>
      </c>
      <c r="H17" s="143">
        <v>0.1</v>
      </c>
      <c r="I17" s="143">
        <v>0.05</v>
      </c>
      <c r="J17" s="143">
        <v>0</v>
      </c>
      <c r="K17" s="143">
        <v>9.1743119266055034E-3</v>
      </c>
      <c r="L17" s="143">
        <v>0</v>
      </c>
      <c r="M17" s="143">
        <v>0</v>
      </c>
      <c r="N17" s="143">
        <v>0.01</v>
      </c>
      <c r="O17" s="143">
        <v>0</v>
      </c>
      <c r="P17" s="143">
        <v>0</v>
      </c>
      <c r="Q17" s="143">
        <v>0</v>
      </c>
      <c r="R17" s="143">
        <v>0</v>
      </c>
      <c r="S17" s="143">
        <v>0</v>
      </c>
      <c r="T17" s="143">
        <v>0</v>
      </c>
      <c r="U17" s="143">
        <v>0</v>
      </c>
      <c r="V17" s="143">
        <v>0</v>
      </c>
      <c r="W17" s="143">
        <v>0</v>
      </c>
      <c r="X17" s="143">
        <v>0</v>
      </c>
      <c r="Y17" s="143">
        <v>0</v>
      </c>
      <c r="Z17" s="143">
        <v>0</v>
      </c>
      <c r="AA17" s="143">
        <v>0</v>
      </c>
      <c r="AB17" s="143">
        <v>0</v>
      </c>
      <c r="AC17" s="143">
        <v>0</v>
      </c>
      <c r="AD17" s="143">
        <v>0</v>
      </c>
      <c r="AE17" s="143">
        <v>0</v>
      </c>
    </row>
    <row r="18" spans="1:31" customFormat="1" x14ac:dyDescent="0.15">
      <c r="A18" s="178" t="s">
        <v>208</v>
      </c>
      <c r="B18" s="143">
        <v>1.9999999999999997E-2</v>
      </c>
      <c r="C18" s="143">
        <v>0</v>
      </c>
      <c r="D18" s="143">
        <v>0</v>
      </c>
      <c r="E18" s="143">
        <v>1.9999999999999997E-2</v>
      </c>
      <c r="F18" s="143">
        <v>0.05</v>
      </c>
      <c r="G18" s="143">
        <v>0.1</v>
      </c>
      <c r="H18" s="143">
        <v>0.1</v>
      </c>
      <c r="I18" s="143">
        <v>0</v>
      </c>
      <c r="J18" s="143">
        <v>0</v>
      </c>
      <c r="K18" s="143">
        <v>0</v>
      </c>
      <c r="L18" s="143">
        <v>0</v>
      </c>
      <c r="M18" s="143">
        <v>0</v>
      </c>
      <c r="N18" s="143">
        <v>0.01</v>
      </c>
      <c r="O18" s="143">
        <v>0</v>
      </c>
      <c r="P18" s="143">
        <v>0</v>
      </c>
      <c r="Q18" s="143">
        <v>0</v>
      </c>
      <c r="R18" s="143">
        <v>0</v>
      </c>
      <c r="S18" s="143">
        <v>0</v>
      </c>
      <c r="T18" s="143">
        <v>0</v>
      </c>
      <c r="U18" s="143">
        <v>0</v>
      </c>
      <c r="V18" s="143">
        <v>0</v>
      </c>
      <c r="W18" s="143">
        <v>0</v>
      </c>
      <c r="X18" s="143">
        <v>0</v>
      </c>
      <c r="Y18" s="143">
        <v>0</v>
      </c>
      <c r="Z18" s="143">
        <v>0</v>
      </c>
      <c r="AA18" s="143">
        <v>0</v>
      </c>
      <c r="AB18" s="143">
        <v>0</v>
      </c>
      <c r="AC18" s="143">
        <v>0</v>
      </c>
      <c r="AD18" s="143">
        <v>0</v>
      </c>
      <c r="AE18" s="143">
        <v>0</v>
      </c>
    </row>
    <row r="19" spans="1:31" customFormat="1" x14ac:dyDescent="0.15">
      <c r="A19" s="178" t="s">
        <v>209</v>
      </c>
      <c r="B19" s="143">
        <v>1.9999999999999997E-2</v>
      </c>
      <c r="C19" s="143">
        <v>0</v>
      </c>
      <c r="D19" s="143">
        <v>0</v>
      </c>
      <c r="E19" s="143">
        <v>4.9999999999999989E-2</v>
      </c>
      <c r="F19" s="143">
        <v>0.05</v>
      </c>
      <c r="G19" s="143">
        <v>0.05</v>
      </c>
      <c r="H19" s="143">
        <v>0.1</v>
      </c>
      <c r="I19" s="143">
        <v>0.05</v>
      </c>
      <c r="J19" s="143">
        <v>0</v>
      </c>
      <c r="K19" s="143">
        <v>9.1743119266055034E-3</v>
      </c>
      <c r="L19" s="143">
        <v>0</v>
      </c>
      <c r="M19" s="143">
        <v>0</v>
      </c>
      <c r="N19" s="143">
        <v>0.01</v>
      </c>
      <c r="O19" s="143">
        <v>0</v>
      </c>
      <c r="P19" s="143">
        <v>0</v>
      </c>
      <c r="Q19" s="143">
        <v>0</v>
      </c>
      <c r="R19" s="143">
        <v>0</v>
      </c>
      <c r="S19" s="143">
        <v>0</v>
      </c>
      <c r="T19" s="143">
        <v>0</v>
      </c>
      <c r="U19" s="143">
        <v>0</v>
      </c>
      <c r="V19" s="143">
        <v>0</v>
      </c>
      <c r="W19" s="143">
        <v>0</v>
      </c>
      <c r="X19" s="143">
        <v>0</v>
      </c>
      <c r="Y19" s="143">
        <v>0</v>
      </c>
      <c r="Z19" s="143">
        <v>0</v>
      </c>
      <c r="AA19" s="143">
        <v>0</v>
      </c>
      <c r="AB19" s="143">
        <v>0</v>
      </c>
      <c r="AC19" s="143">
        <v>0</v>
      </c>
      <c r="AD19" s="143">
        <v>0</v>
      </c>
      <c r="AE19" s="143">
        <v>0</v>
      </c>
    </row>
    <row r="20" spans="1:31" customFormat="1" x14ac:dyDescent="0.15">
      <c r="A20" s="178" t="s">
        <v>210</v>
      </c>
      <c r="B20" s="143">
        <v>1.9999999999999997E-2</v>
      </c>
      <c r="C20" s="143">
        <v>0</v>
      </c>
      <c r="D20" s="143">
        <v>0</v>
      </c>
      <c r="E20" s="143">
        <v>9.9999999999999985E-3</v>
      </c>
      <c r="F20" s="143">
        <v>0.05</v>
      </c>
      <c r="G20" s="143">
        <v>0.1</v>
      </c>
      <c r="H20" s="143">
        <v>0.02</v>
      </c>
      <c r="I20" s="143">
        <v>0</v>
      </c>
      <c r="J20" s="143">
        <v>0</v>
      </c>
      <c r="K20" s="143">
        <v>0</v>
      </c>
      <c r="L20" s="143">
        <v>0</v>
      </c>
      <c r="M20" s="143">
        <v>0</v>
      </c>
      <c r="N20" s="143">
        <v>0</v>
      </c>
      <c r="O20" s="143">
        <v>0</v>
      </c>
      <c r="P20" s="143">
        <v>0</v>
      </c>
      <c r="Q20" s="143">
        <v>0</v>
      </c>
      <c r="R20" s="143">
        <v>0</v>
      </c>
      <c r="S20" s="143">
        <v>0</v>
      </c>
      <c r="T20" s="143">
        <v>0</v>
      </c>
      <c r="U20" s="143">
        <v>0</v>
      </c>
      <c r="V20" s="143">
        <v>0</v>
      </c>
      <c r="W20" s="143">
        <v>0</v>
      </c>
      <c r="X20" s="143">
        <v>0</v>
      </c>
      <c r="Y20" s="143">
        <v>0</v>
      </c>
      <c r="Z20" s="143">
        <v>0</v>
      </c>
      <c r="AA20" s="143">
        <v>0</v>
      </c>
      <c r="AB20" s="143">
        <v>0</v>
      </c>
      <c r="AC20" s="143">
        <v>0</v>
      </c>
      <c r="AD20" s="143">
        <v>0</v>
      </c>
      <c r="AE20" s="143">
        <v>0</v>
      </c>
    </row>
    <row r="21" spans="1:31" customFormat="1" x14ac:dyDescent="0.15">
      <c r="A21" s="178" t="s">
        <v>211</v>
      </c>
      <c r="B21" s="143">
        <v>1.9999999999999997E-2</v>
      </c>
      <c r="C21" s="143">
        <v>0</v>
      </c>
      <c r="D21" s="143">
        <v>0.1</v>
      </c>
      <c r="E21" s="143">
        <v>0</v>
      </c>
      <c r="F21" s="143">
        <v>0.05</v>
      </c>
      <c r="G21" s="143">
        <v>0</v>
      </c>
      <c r="H21" s="143">
        <v>0</v>
      </c>
      <c r="I21" s="143">
        <v>0</v>
      </c>
      <c r="J21" s="143">
        <v>0</v>
      </c>
      <c r="K21" s="143">
        <v>0</v>
      </c>
      <c r="L21" s="143">
        <v>0</v>
      </c>
      <c r="M21" s="143">
        <v>0</v>
      </c>
      <c r="N21" s="143">
        <v>0</v>
      </c>
      <c r="O21" s="143">
        <v>0</v>
      </c>
      <c r="P21" s="143">
        <v>0</v>
      </c>
      <c r="Q21" s="143">
        <v>0</v>
      </c>
      <c r="R21" s="143">
        <v>0</v>
      </c>
      <c r="S21" s="143">
        <v>0</v>
      </c>
      <c r="T21" s="143">
        <v>0</v>
      </c>
      <c r="U21" s="143">
        <v>0.02</v>
      </c>
      <c r="V21" s="143">
        <v>0</v>
      </c>
      <c r="W21" s="143">
        <v>0</v>
      </c>
      <c r="X21" s="143">
        <v>0</v>
      </c>
      <c r="Y21" s="143">
        <v>0</v>
      </c>
      <c r="Z21" s="143">
        <v>0</v>
      </c>
      <c r="AA21" s="143">
        <v>0</v>
      </c>
      <c r="AB21" s="143">
        <v>0</v>
      </c>
      <c r="AC21" s="143">
        <v>0</v>
      </c>
      <c r="AD21" s="143">
        <v>0</v>
      </c>
      <c r="AE21" s="143">
        <v>0</v>
      </c>
    </row>
    <row r="22" spans="1:31" customFormat="1" x14ac:dyDescent="0.15">
      <c r="A22" s="178" t="s">
        <v>212</v>
      </c>
      <c r="B22" s="143">
        <v>0</v>
      </c>
      <c r="C22" s="143">
        <v>3.0303030303030332E-2</v>
      </c>
      <c r="D22" s="143">
        <v>0.05</v>
      </c>
      <c r="E22" s="143">
        <v>1.9999999999999997E-2</v>
      </c>
      <c r="F22" s="143">
        <v>0.15</v>
      </c>
      <c r="G22" s="143">
        <v>0.1</v>
      </c>
      <c r="H22" s="143">
        <v>0.1</v>
      </c>
      <c r="I22" s="143">
        <v>0</v>
      </c>
      <c r="J22" s="143">
        <v>9.9999999999999978E-2</v>
      </c>
      <c r="K22" s="143">
        <v>3.6697247706422013E-2</v>
      </c>
      <c r="L22" s="143">
        <v>0</v>
      </c>
      <c r="M22" s="143">
        <v>0</v>
      </c>
      <c r="N22" s="143">
        <v>0</v>
      </c>
      <c r="O22" s="143">
        <v>0</v>
      </c>
      <c r="P22" s="143">
        <v>0</v>
      </c>
      <c r="Q22" s="143">
        <v>0</v>
      </c>
      <c r="R22" s="143">
        <v>4.9999999999999989E-2</v>
      </c>
      <c r="S22" s="143">
        <v>0</v>
      </c>
      <c r="T22" s="143">
        <v>0</v>
      </c>
      <c r="U22" s="143">
        <v>0.01</v>
      </c>
      <c r="V22" s="143">
        <v>0.01</v>
      </c>
      <c r="W22" s="143">
        <v>0</v>
      </c>
      <c r="X22" s="143">
        <v>0</v>
      </c>
      <c r="Y22" s="143">
        <v>0</v>
      </c>
      <c r="Z22" s="143">
        <v>0</v>
      </c>
      <c r="AA22" s="143">
        <v>0</v>
      </c>
      <c r="AB22" s="143">
        <v>0</v>
      </c>
      <c r="AC22" s="143">
        <v>0</v>
      </c>
      <c r="AD22" s="143">
        <v>0</v>
      </c>
      <c r="AE22" s="143">
        <v>0</v>
      </c>
    </row>
    <row r="23" spans="1:31" customFormat="1" x14ac:dyDescent="0.15">
      <c r="A23" s="178" t="s">
        <v>213</v>
      </c>
      <c r="B23" s="143">
        <v>0</v>
      </c>
      <c r="C23" s="143">
        <v>6.0606060606060663E-2</v>
      </c>
      <c r="D23" s="143">
        <v>0.2</v>
      </c>
      <c r="E23" s="143">
        <v>0.14999999999999997</v>
      </c>
      <c r="F23" s="143">
        <v>0.1</v>
      </c>
      <c r="G23" s="143">
        <v>0.05</v>
      </c>
      <c r="H23" s="143">
        <v>0.05</v>
      </c>
      <c r="I23" s="143">
        <v>0</v>
      </c>
      <c r="J23" s="143">
        <v>0.14999999999999997</v>
      </c>
      <c r="K23" s="143">
        <v>4.5871559633027512E-2</v>
      </c>
      <c r="L23" s="143">
        <v>0.15</v>
      </c>
      <c r="M23" s="143">
        <v>0.15</v>
      </c>
      <c r="N23" s="143">
        <v>0</v>
      </c>
      <c r="O23" s="143">
        <v>0</v>
      </c>
      <c r="P23" s="143">
        <v>0</v>
      </c>
      <c r="Q23" s="143">
        <v>6.0606060606060545E-2</v>
      </c>
      <c r="R23" s="143">
        <v>4.9999999999999989E-2</v>
      </c>
      <c r="S23" s="143">
        <v>0</v>
      </c>
      <c r="T23" s="143">
        <v>0</v>
      </c>
      <c r="U23" s="143">
        <v>0</v>
      </c>
      <c r="V23" s="143">
        <v>0.04</v>
      </c>
      <c r="W23" s="143">
        <v>0.01</v>
      </c>
      <c r="X23" s="143">
        <v>0</v>
      </c>
      <c r="Y23" s="143">
        <v>0</v>
      </c>
      <c r="Z23" s="143">
        <v>0</v>
      </c>
      <c r="AA23" s="143">
        <v>0</v>
      </c>
      <c r="AB23" s="143">
        <v>0</v>
      </c>
      <c r="AC23" s="143">
        <v>0</v>
      </c>
      <c r="AD23" s="143">
        <v>0</v>
      </c>
      <c r="AE23" s="143">
        <v>0</v>
      </c>
    </row>
    <row r="24" spans="1:31" customFormat="1" x14ac:dyDescent="0.15">
      <c r="A24" s="178" t="s">
        <v>214</v>
      </c>
      <c r="B24" s="143">
        <v>0</v>
      </c>
      <c r="C24" s="143">
        <v>2.0202020202020221E-2</v>
      </c>
      <c r="D24" s="143">
        <v>0.15</v>
      </c>
      <c r="E24" s="143">
        <v>4.9999999999999989E-2</v>
      </c>
      <c r="F24" s="143">
        <v>0.02</v>
      </c>
      <c r="G24" s="143">
        <v>0</v>
      </c>
      <c r="H24" s="143">
        <v>0</v>
      </c>
      <c r="I24" s="143">
        <v>0.1</v>
      </c>
      <c r="J24" s="143">
        <v>0.19999999999999996</v>
      </c>
      <c r="K24" s="143">
        <v>4.5871559633027512E-2</v>
      </c>
      <c r="L24" s="143">
        <v>0.2</v>
      </c>
      <c r="M24" s="143">
        <v>0.15</v>
      </c>
      <c r="N24" s="143">
        <v>0.15</v>
      </c>
      <c r="O24" s="143">
        <v>0.15</v>
      </c>
      <c r="P24" s="143">
        <v>0.15</v>
      </c>
      <c r="Q24" s="143">
        <v>0.15151515151515185</v>
      </c>
      <c r="R24" s="143">
        <v>0.19999999999999996</v>
      </c>
      <c r="S24" s="143">
        <v>0.15</v>
      </c>
      <c r="T24" s="143">
        <v>0</v>
      </c>
      <c r="U24" s="143">
        <v>0.1</v>
      </c>
      <c r="V24" s="143">
        <v>0.04</v>
      </c>
      <c r="W24" s="143">
        <v>0.3</v>
      </c>
      <c r="X24" s="143">
        <v>0</v>
      </c>
      <c r="Y24" s="143">
        <v>0</v>
      </c>
      <c r="Z24" s="143">
        <v>0</v>
      </c>
      <c r="AA24" s="143">
        <v>0</v>
      </c>
      <c r="AB24" s="143">
        <v>0</v>
      </c>
      <c r="AC24" s="143">
        <v>0</v>
      </c>
      <c r="AD24" s="143">
        <v>0</v>
      </c>
      <c r="AE24" s="143">
        <v>0</v>
      </c>
    </row>
    <row r="25" spans="1:31" customFormat="1" x14ac:dyDescent="0.15">
      <c r="A25" s="178" t="s">
        <v>215</v>
      </c>
      <c r="B25" s="143">
        <v>0</v>
      </c>
      <c r="C25" s="143">
        <v>0</v>
      </c>
      <c r="D25" s="143">
        <v>0.4</v>
      </c>
      <c r="E25" s="143">
        <v>0.19999999999999996</v>
      </c>
      <c r="F25" s="143">
        <v>0.02</v>
      </c>
      <c r="G25" s="143">
        <v>0.05</v>
      </c>
      <c r="H25" s="143">
        <v>0.02</v>
      </c>
      <c r="I25" s="143">
        <v>0.25</v>
      </c>
      <c r="J25" s="143">
        <v>0.29999999999999993</v>
      </c>
      <c r="K25" s="143">
        <v>9.1743119266055134E-2</v>
      </c>
      <c r="L25" s="143">
        <v>0.1</v>
      </c>
      <c r="M25" s="143">
        <v>0.1</v>
      </c>
      <c r="N25" s="143">
        <v>0.25</v>
      </c>
      <c r="O25" s="143">
        <v>0.46</v>
      </c>
      <c r="P25" s="143">
        <v>0.45</v>
      </c>
      <c r="Q25" s="143">
        <v>0.45454545454545459</v>
      </c>
      <c r="R25" s="143">
        <v>0.29999999999999993</v>
      </c>
      <c r="S25" s="143">
        <v>0.45</v>
      </c>
      <c r="T25" s="143">
        <v>0</v>
      </c>
      <c r="U25" s="143">
        <v>0.1</v>
      </c>
      <c r="V25" s="143">
        <v>0.38</v>
      </c>
      <c r="W25" s="143">
        <v>0.2</v>
      </c>
      <c r="X25" s="143">
        <v>0</v>
      </c>
      <c r="Y25" s="143">
        <v>0</v>
      </c>
      <c r="Z25" s="143">
        <v>0</v>
      </c>
      <c r="AA25" s="143">
        <v>0</v>
      </c>
      <c r="AB25" s="143">
        <v>0</v>
      </c>
      <c r="AC25" s="143">
        <v>0</v>
      </c>
      <c r="AD25" s="143">
        <v>0</v>
      </c>
      <c r="AE25" s="143">
        <v>0</v>
      </c>
    </row>
    <row r="26" spans="1:31" customFormat="1" x14ac:dyDescent="0.15">
      <c r="A26" s="178" t="s">
        <v>216</v>
      </c>
      <c r="B26" s="143">
        <v>0</v>
      </c>
      <c r="C26" s="143">
        <v>0</v>
      </c>
      <c r="D26" s="143">
        <v>0.05</v>
      </c>
      <c r="E26" s="143">
        <v>9.9999999999999985E-3</v>
      </c>
      <c r="F26" s="143">
        <v>0.01</v>
      </c>
      <c r="G26" s="143">
        <v>0</v>
      </c>
      <c r="H26" s="143">
        <v>0</v>
      </c>
      <c r="I26" s="143">
        <v>0.15</v>
      </c>
      <c r="J26" s="143">
        <v>4.9999999999999989E-2</v>
      </c>
      <c r="K26" s="143">
        <v>0</v>
      </c>
      <c r="L26" s="143">
        <v>0</v>
      </c>
      <c r="M26" s="143">
        <v>0</v>
      </c>
      <c r="N26" s="143">
        <v>0.3</v>
      </c>
      <c r="O26" s="143">
        <v>0.05</v>
      </c>
      <c r="P26" s="143">
        <v>0.05</v>
      </c>
      <c r="Q26" s="143">
        <v>5.0505050505050456E-2</v>
      </c>
      <c r="R26" s="143">
        <v>9.9999999999999978E-2</v>
      </c>
      <c r="S26" s="143">
        <v>0.05</v>
      </c>
      <c r="T26" s="143">
        <v>0</v>
      </c>
      <c r="U26" s="143">
        <v>7.0000000000000007E-2</v>
      </c>
      <c r="V26" s="143">
        <v>0.13</v>
      </c>
      <c r="W26" s="143">
        <v>0.05</v>
      </c>
      <c r="X26" s="143">
        <v>0</v>
      </c>
      <c r="Y26" s="143">
        <v>0.3</v>
      </c>
      <c r="Z26" s="143">
        <v>0</v>
      </c>
      <c r="AA26" s="143">
        <v>0</v>
      </c>
      <c r="AB26" s="143">
        <v>0</v>
      </c>
      <c r="AC26" s="143">
        <v>0</v>
      </c>
      <c r="AD26" s="143">
        <v>0</v>
      </c>
      <c r="AE26" s="143">
        <v>0</v>
      </c>
    </row>
    <row r="27" spans="1:31" customFormat="1" x14ac:dyDescent="0.15">
      <c r="A27" s="178" t="s">
        <v>217</v>
      </c>
      <c r="B27" s="143">
        <v>0</v>
      </c>
      <c r="C27" s="143">
        <v>0</v>
      </c>
      <c r="D27" s="143">
        <v>0</v>
      </c>
      <c r="E27" s="143">
        <v>0</v>
      </c>
      <c r="F27" s="143">
        <v>0</v>
      </c>
      <c r="G27" s="143">
        <v>0</v>
      </c>
      <c r="H27" s="143">
        <v>0</v>
      </c>
      <c r="I27" s="143">
        <v>0</v>
      </c>
      <c r="J27" s="143">
        <v>4.9999999999999989E-2</v>
      </c>
      <c r="K27" s="143">
        <v>0.45871559633027514</v>
      </c>
      <c r="L27" s="143">
        <v>0.4</v>
      </c>
      <c r="M27" s="143">
        <v>0.44</v>
      </c>
      <c r="N27" s="143">
        <v>0.2</v>
      </c>
      <c r="O27" s="143">
        <v>0.24</v>
      </c>
      <c r="P27" s="143">
        <v>0.2</v>
      </c>
      <c r="Q27" s="143">
        <v>0.20202020202020182</v>
      </c>
      <c r="R27" s="143">
        <v>0.19999999999999996</v>
      </c>
      <c r="S27" s="143">
        <v>0.24</v>
      </c>
      <c r="T27" s="143">
        <v>0.1</v>
      </c>
      <c r="U27" s="143">
        <v>0.1</v>
      </c>
      <c r="V27" s="143">
        <v>0.03</v>
      </c>
      <c r="W27" s="143">
        <v>0</v>
      </c>
      <c r="X27" s="143">
        <v>0.4</v>
      </c>
      <c r="Y27" s="143">
        <v>0.1</v>
      </c>
      <c r="Z27" s="143">
        <v>0.05</v>
      </c>
      <c r="AA27" s="143">
        <v>0.05</v>
      </c>
      <c r="AB27" s="143">
        <v>0</v>
      </c>
      <c r="AC27" s="143">
        <v>0</v>
      </c>
      <c r="AD27" s="143">
        <v>0</v>
      </c>
      <c r="AE27" s="143">
        <v>0</v>
      </c>
    </row>
    <row r="28" spans="1:31" customFormat="1" x14ac:dyDescent="0.15">
      <c r="A28" s="178" t="s">
        <v>218</v>
      </c>
      <c r="B28" s="143">
        <v>0</v>
      </c>
      <c r="C28" s="143">
        <v>0</v>
      </c>
      <c r="D28" s="143">
        <v>0</v>
      </c>
      <c r="E28" s="143">
        <v>0</v>
      </c>
      <c r="F28" s="143">
        <v>0</v>
      </c>
      <c r="G28" s="143">
        <v>0</v>
      </c>
      <c r="H28" s="143">
        <v>0</v>
      </c>
      <c r="I28" s="143">
        <v>0</v>
      </c>
      <c r="J28" s="143">
        <v>0</v>
      </c>
      <c r="K28" s="143">
        <v>0</v>
      </c>
      <c r="L28" s="143">
        <v>0</v>
      </c>
      <c r="M28" s="143">
        <v>0</v>
      </c>
      <c r="N28" s="143">
        <v>0</v>
      </c>
      <c r="O28" s="143">
        <v>0</v>
      </c>
      <c r="P28" s="143">
        <v>0</v>
      </c>
      <c r="Q28" s="143">
        <v>0</v>
      </c>
      <c r="R28" s="143">
        <v>0</v>
      </c>
      <c r="S28" s="143">
        <v>0</v>
      </c>
      <c r="T28" s="143">
        <v>0.6</v>
      </c>
      <c r="U28" s="143">
        <v>0</v>
      </c>
      <c r="V28" s="143">
        <v>0.02</v>
      </c>
      <c r="W28" s="143">
        <v>0</v>
      </c>
      <c r="X28" s="143">
        <v>0</v>
      </c>
      <c r="Y28" s="143">
        <v>0.1</v>
      </c>
      <c r="Z28" s="143">
        <v>0</v>
      </c>
      <c r="AA28" s="143">
        <v>0</v>
      </c>
      <c r="AB28" s="143">
        <v>0</v>
      </c>
      <c r="AC28" s="143">
        <v>0</v>
      </c>
      <c r="AD28" s="143">
        <v>0</v>
      </c>
      <c r="AE28" s="143">
        <v>0</v>
      </c>
    </row>
    <row r="29" spans="1:31" customFormat="1" x14ac:dyDescent="0.15">
      <c r="A29" s="178" t="s">
        <v>219</v>
      </c>
      <c r="B29" s="143">
        <v>0</v>
      </c>
      <c r="C29" s="143">
        <v>0</v>
      </c>
      <c r="D29" s="143">
        <v>0</v>
      </c>
      <c r="E29" s="143">
        <v>0</v>
      </c>
      <c r="F29" s="143">
        <v>0</v>
      </c>
      <c r="G29" s="143">
        <v>0</v>
      </c>
      <c r="H29" s="143">
        <v>0</v>
      </c>
      <c r="I29" s="143">
        <v>0</v>
      </c>
      <c r="J29" s="143">
        <v>0</v>
      </c>
      <c r="K29" s="143">
        <v>0.18348623853211005</v>
      </c>
      <c r="L29" s="143">
        <v>0.1</v>
      </c>
      <c r="M29" s="143">
        <v>0.1</v>
      </c>
      <c r="N29" s="143">
        <v>0</v>
      </c>
      <c r="O29" s="143">
        <v>0.05</v>
      </c>
      <c r="P29" s="143">
        <v>0.1</v>
      </c>
      <c r="Q29" s="143">
        <v>0</v>
      </c>
      <c r="R29" s="143">
        <v>0</v>
      </c>
      <c r="S29" s="143">
        <v>0.05</v>
      </c>
      <c r="T29" s="143">
        <v>0.3</v>
      </c>
      <c r="U29" s="143">
        <v>0.1</v>
      </c>
      <c r="V29" s="143">
        <v>0</v>
      </c>
      <c r="W29" s="143">
        <v>0.05</v>
      </c>
      <c r="X29" s="143">
        <v>0.5</v>
      </c>
      <c r="Y29" s="143">
        <v>0.05</v>
      </c>
      <c r="Z29" s="143">
        <v>0.05</v>
      </c>
      <c r="AA29" s="143">
        <v>0.7</v>
      </c>
      <c r="AB29" s="143">
        <v>0</v>
      </c>
      <c r="AC29" s="143">
        <v>0</v>
      </c>
      <c r="AD29" s="143">
        <v>0</v>
      </c>
      <c r="AE29" s="143">
        <v>0</v>
      </c>
    </row>
    <row r="30" spans="1:31" customFormat="1" x14ac:dyDescent="0.15">
      <c r="A30" s="178" t="s">
        <v>220</v>
      </c>
      <c r="B30" s="143">
        <v>0</v>
      </c>
      <c r="C30" s="143">
        <v>0</v>
      </c>
      <c r="D30" s="143">
        <v>0.05</v>
      </c>
      <c r="E30" s="143">
        <v>0</v>
      </c>
      <c r="F30" s="143">
        <v>0</v>
      </c>
      <c r="G30" s="143">
        <v>0</v>
      </c>
      <c r="H30" s="143">
        <v>0</v>
      </c>
      <c r="I30" s="143">
        <v>0.1</v>
      </c>
      <c r="J30" s="143">
        <v>3.9999999999999994E-2</v>
      </c>
      <c r="K30" s="143">
        <v>0</v>
      </c>
      <c r="L30" s="143">
        <v>0.05</v>
      </c>
      <c r="M30" s="143">
        <v>0.05</v>
      </c>
      <c r="N30" s="143">
        <v>0.04</v>
      </c>
      <c r="O30" s="143">
        <v>0.05</v>
      </c>
      <c r="P30" s="143">
        <v>0.05</v>
      </c>
      <c r="Q30" s="143">
        <v>6.0606060606060545E-2</v>
      </c>
      <c r="R30" s="143">
        <v>9.9999999999999978E-2</v>
      </c>
      <c r="S30" s="143">
        <v>0.06</v>
      </c>
      <c r="T30" s="143">
        <v>0</v>
      </c>
      <c r="U30" s="143">
        <v>0.5</v>
      </c>
      <c r="V30" s="143">
        <v>0.35</v>
      </c>
      <c r="W30" s="143">
        <v>0.39</v>
      </c>
      <c r="X30" s="143">
        <v>0.1</v>
      </c>
      <c r="Y30" s="143">
        <v>0.45</v>
      </c>
      <c r="Z30" s="143">
        <v>0.9</v>
      </c>
      <c r="AA30" s="143">
        <v>0.25</v>
      </c>
      <c r="AB30" s="143">
        <v>0</v>
      </c>
      <c r="AC30" s="143">
        <v>0</v>
      </c>
      <c r="AD30" s="143">
        <v>0</v>
      </c>
      <c r="AE30" s="143">
        <v>0</v>
      </c>
    </row>
    <row r="31" spans="1:31" customFormat="1" x14ac:dyDescent="0.15">
      <c r="A31" s="178" t="s">
        <v>221</v>
      </c>
      <c r="B31" s="143">
        <v>0</v>
      </c>
      <c r="C31" s="143">
        <v>0</v>
      </c>
      <c r="D31" s="143">
        <v>0</v>
      </c>
      <c r="E31" s="143">
        <v>0</v>
      </c>
      <c r="F31" s="143">
        <v>0</v>
      </c>
      <c r="G31" s="143">
        <v>0</v>
      </c>
      <c r="H31" s="143">
        <v>0</v>
      </c>
      <c r="I31" s="143">
        <v>0</v>
      </c>
      <c r="J31" s="143">
        <v>0</v>
      </c>
      <c r="K31" s="143">
        <v>0</v>
      </c>
      <c r="L31" s="143">
        <v>0</v>
      </c>
      <c r="M31" s="143">
        <v>0</v>
      </c>
      <c r="N31" s="143">
        <v>0</v>
      </c>
      <c r="O31" s="143">
        <v>0</v>
      </c>
      <c r="P31" s="143">
        <v>0</v>
      </c>
      <c r="Q31" s="143">
        <v>0</v>
      </c>
      <c r="R31" s="143">
        <v>0</v>
      </c>
      <c r="S31" s="143">
        <v>0</v>
      </c>
      <c r="T31" s="143">
        <v>0</v>
      </c>
      <c r="U31" s="143">
        <v>0</v>
      </c>
      <c r="V31" s="143">
        <v>0</v>
      </c>
      <c r="W31" s="143">
        <v>0</v>
      </c>
      <c r="X31" s="143">
        <v>0</v>
      </c>
      <c r="Y31" s="143">
        <v>0</v>
      </c>
      <c r="Z31" s="143">
        <v>0</v>
      </c>
      <c r="AA31" s="143">
        <v>0</v>
      </c>
      <c r="AB31" s="143">
        <v>0</v>
      </c>
      <c r="AC31" s="143">
        <v>0</v>
      </c>
      <c r="AD31" s="143">
        <v>0</v>
      </c>
      <c r="AE31" s="143">
        <v>0</v>
      </c>
    </row>
    <row r="32" spans="1:31" customFormat="1" x14ac:dyDescent="0.15">
      <c r="A32" s="178" t="s">
        <v>223</v>
      </c>
      <c r="B32" s="143">
        <v>0</v>
      </c>
      <c r="C32" s="143">
        <v>0</v>
      </c>
      <c r="D32" s="143">
        <v>0</v>
      </c>
      <c r="E32" s="143">
        <v>0</v>
      </c>
      <c r="F32" s="143">
        <v>0</v>
      </c>
      <c r="G32" s="143">
        <v>0</v>
      </c>
      <c r="H32" s="143">
        <v>0</v>
      </c>
      <c r="I32" s="143">
        <v>0</v>
      </c>
      <c r="J32" s="143">
        <v>0</v>
      </c>
      <c r="K32" s="143">
        <v>0</v>
      </c>
      <c r="L32" s="143">
        <v>0</v>
      </c>
      <c r="M32" s="143">
        <v>0</v>
      </c>
      <c r="N32" s="143">
        <v>0</v>
      </c>
      <c r="O32" s="143">
        <v>0</v>
      </c>
      <c r="P32" s="143">
        <v>0</v>
      </c>
      <c r="Q32" s="143">
        <v>0</v>
      </c>
      <c r="R32" s="143">
        <v>0</v>
      </c>
      <c r="S32" s="143">
        <v>0</v>
      </c>
      <c r="T32" s="143">
        <v>0</v>
      </c>
      <c r="U32" s="143">
        <v>0</v>
      </c>
      <c r="V32" s="143">
        <v>0</v>
      </c>
      <c r="W32" s="143">
        <v>0</v>
      </c>
      <c r="X32" s="143">
        <v>0</v>
      </c>
      <c r="Y32" s="143">
        <v>0</v>
      </c>
      <c r="Z32" s="143">
        <v>0</v>
      </c>
      <c r="AA32" s="143">
        <v>0</v>
      </c>
      <c r="AB32" s="143">
        <v>0</v>
      </c>
      <c r="AC32" s="143">
        <v>0</v>
      </c>
      <c r="AD32" s="143">
        <v>0</v>
      </c>
      <c r="AE32" s="143">
        <v>0</v>
      </c>
    </row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5.83203125" customWidth="1"/>
    <col min="3" max="4" width="2.33203125" style="110" customWidth="1"/>
    <col min="5" max="6" width="2.33203125" style="109" bestFit="1" customWidth="1"/>
    <col min="7" max="8" width="8.83203125" style="110"/>
  </cols>
  <sheetData>
    <row r="1" spans="1:8" ht="70" x14ac:dyDescent="0.15">
      <c r="A1" s="5" t="s">
        <v>20</v>
      </c>
      <c r="B1" s="1" t="s">
        <v>0</v>
      </c>
      <c r="C1" s="181" t="s">
        <v>220</v>
      </c>
      <c r="D1" s="181" t="s">
        <v>221</v>
      </c>
      <c r="E1" s="181" t="s">
        <v>224</v>
      </c>
      <c r="F1" s="181" t="s">
        <v>225</v>
      </c>
      <c r="G1"/>
      <c r="H1"/>
    </row>
    <row r="2" spans="1:8" x14ac:dyDescent="0.15">
      <c r="A2">
        <v>1</v>
      </c>
      <c r="B2" s="180" t="s">
        <v>192</v>
      </c>
      <c r="C2" s="110">
        <v>1</v>
      </c>
      <c r="D2" s="110">
        <v>0</v>
      </c>
      <c r="E2" s="109">
        <v>0</v>
      </c>
      <c r="F2" s="109">
        <v>1</v>
      </c>
      <c r="G2"/>
      <c r="H2"/>
    </row>
    <row r="3" spans="1:8" x14ac:dyDescent="0.15">
      <c r="A3">
        <v>2</v>
      </c>
      <c r="B3" s="180" t="s">
        <v>193</v>
      </c>
      <c r="C3" s="110">
        <v>1</v>
      </c>
      <c r="D3" s="110">
        <v>0</v>
      </c>
      <c r="E3" s="109">
        <v>0</v>
      </c>
      <c r="F3" s="109">
        <v>1</v>
      </c>
      <c r="G3"/>
      <c r="H3"/>
    </row>
    <row r="4" spans="1:8" x14ac:dyDescent="0.15">
      <c r="A4">
        <v>3</v>
      </c>
      <c r="B4" s="180" t="s">
        <v>194</v>
      </c>
      <c r="C4" s="110">
        <v>1</v>
      </c>
      <c r="D4" s="110">
        <v>0</v>
      </c>
      <c r="E4" s="109">
        <v>0</v>
      </c>
      <c r="F4" s="109">
        <v>1</v>
      </c>
      <c r="G4"/>
      <c r="H4"/>
    </row>
    <row r="5" spans="1:8" x14ac:dyDescent="0.15">
      <c r="A5">
        <v>4</v>
      </c>
      <c r="B5" s="180" t="s">
        <v>195</v>
      </c>
      <c r="C5" s="110">
        <v>1</v>
      </c>
      <c r="D5" s="110">
        <v>0</v>
      </c>
      <c r="E5" s="109">
        <v>0</v>
      </c>
      <c r="F5" s="109">
        <v>1</v>
      </c>
      <c r="G5"/>
      <c r="H5"/>
    </row>
    <row r="6" spans="1:8" x14ac:dyDescent="0.15">
      <c r="A6">
        <v>5</v>
      </c>
      <c r="B6" s="180" t="s">
        <v>196</v>
      </c>
      <c r="C6" s="110">
        <v>1</v>
      </c>
      <c r="D6" s="110">
        <v>0</v>
      </c>
      <c r="E6" s="109">
        <v>0</v>
      </c>
      <c r="F6" s="109">
        <v>1</v>
      </c>
      <c r="G6"/>
      <c r="H6"/>
    </row>
    <row r="7" spans="1:8" x14ac:dyDescent="0.15">
      <c r="A7">
        <v>6</v>
      </c>
      <c r="B7" s="180" t="s">
        <v>197</v>
      </c>
      <c r="C7" s="110">
        <v>1</v>
      </c>
      <c r="D7" s="110">
        <v>0</v>
      </c>
      <c r="E7" s="109">
        <v>0</v>
      </c>
      <c r="F7" s="109">
        <v>1</v>
      </c>
      <c r="G7"/>
      <c r="H7"/>
    </row>
    <row r="8" spans="1:8" x14ac:dyDescent="0.15">
      <c r="A8">
        <v>7</v>
      </c>
      <c r="B8" s="180" t="s">
        <v>198</v>
      </c>
      <c r="C8" s="110">
        <v>1</v>
      </c>
      <c r="D8" s="110">
        <v>0</v>
      </c>
      <c r="E8" s="109">
        <v>0</v>
      </c>
      <c r="F8" s="109">
        <v>1</v>
      </c>
      <c r="G8"/>
      <c r="H8"/>
    </row>
    <row r="9" spans="1:8" x14ac:dyDescent="0.15">
      <c r="A9">
        <v>8</v>
      </c>
      <c r="B9" s="180" t="s">
        <v>199</v>
      </c>
      <c r="C9" s="110">
        <v>1</v>
      </c>
      <c r="D9" s="110">
        <v>0</v>
      </c>
      <c r="E9" s="109">
        <v>0</v>
      </c>
      <c r="F9" s="109">
        <v>1</v>
      </c>
      <c r="G9"/>
      <c r="H9"/>
    </row>
    <row r="10" spans="1:8" x14ac:dyDescent="0.15">
      <c r="A10">
        <v>9</v>
      </c>
      <c r="B10" s="180" t="s">
        <v>200</v>
      </c>
      <c r="C10" s="110">
        <v>1</v>
      </c>
      <c r="D10" s="110">
        <v>0</v>
      </c>
      <c r="E10" s="109">
        <v>0</v>
      </c>
      <c r="F10" s="109">
        <v>1</v>
      </c>
      <c r="G10"/>
      <c r="H10"/>
    </row>
    <row r="11" spans="1:8" x14ac:dyDescent="0.15">
      <c r="A11">
        <v>10</v>
      </c>
      <c r="B11" s="180" t="s">
        <v>201</v>
      </c>
      <c r="C11" s="110">
        <v>1</v>
      </c>
      <c r="D11" s="110">
        <v>0</v>
      </c>
      <c r="E11" s="109">
        <v>0</v>
      </c>
      <c r="F11" s="109">
        <v>1</v>
      </c>
      <c r="G11"/>
      <c r="H11"/>
    </row>
    <row r="12" spans="1:8" x14ac:dyDescent="0.15">
      <c r="A12">
        <v>11</v>
      </c>
      <c r="B12" s="180" t="s">
        <v>202</v>
      </c>
      <c r="C12" s="110">
        <v>1</v>
      </c>
      <c r="D12" s="110">
        <v>0</v>
      </c>
      <c r="E12" s="109">
        <v>0</v>
      </c>
      <c r="F12" s="109">
        <v>1</v>
      </c>
      <c r="G12"/>
      <c r="H12"/>
    </row>
    <row r="13" spans="1:8" x14ac:dyDescent="0.15">
      <c r="A13">
        <v>12</v>
      </c>
      <c r="B13" s="180" t="s">
        <v>203</v>
      </c>
      <c r="C13" s="110">
        <v>1</v>
      </c>
      <c r="D13" s="110">
        <v>0</v>
      </c>
      <c r="E13" s="109">
        <v>0</v>
      </c>
      <c r="F13" s="109">
        <v>1</v>
      </c>
      <c r="G13"/>
      <c r="H13"/>
    </row>
    <row r="14" spans="1:8" x14ac:dyDescent="0.15">
      <c r="A14">
        <v>13</v>
      </c>
      <c r="B14" s="180" t="s">
        <v>204</v>
      </c>
      <c r="C14" s="110">
        <v>1</v>
      </c>
      <c r="D14" s="110">
        <v>0</v>
      </c>
      <c r="E14" s="109">
        <v>0</v>
      </c>
      <c r="F14" s="109">
        <v>1</v>
      </c>
      <c r="G14"/>
      <c r="H14"/>
    </row>
    <row r="15" spans="1:8" x14ac:dyDescent="0.15">
      <c r="A15">
        <v>14</v>
      </c>
      <c r="B15" s="180" t="s">
        <v>205</v>
      </c>
      <c r="C15" s="110">
        <v>1</v>
      </c>
      <c r="D15" s="110">
        <v>0</v>
      </c>
      <c r="E15" s="109">
        <v>0</v>
      </c>
      <c r="F15" s="109">
        <v>1</v>
      </c>
      <c r="G15"/>
      <c r="H15"/>
    </row>
    <row r="16" spans="1:8" x14ac:dyDescent="0.15">
      <c r="A16">
        <v>15</v>
      </c>
      <c r="B16" s="180" t="s">
        <v>206</v>
      </c>
      <c r="C16" s="110">
        <v>1</v>
      </c>
      <c r="D16" s="110">
        <v>0</v>
      </c>
      <c r="E16" s="109">
        <v>0</v>
      </c>
      <c r="F16" s="109">
        <v>1</v>
      </c>
      <c r="G16"/>
      <c r="H16"/>
    </row>
    <row r="17" spans="1:8" ht="15" customHeight="1" x14ac:dyDescent="0.15">
      <c r="A17">
        <v>16</v>
      </c>
      <c r="B17" s="180" t="s">
        <v>207</v>
      </c>
      <c r="C17" s="110">
        <v>1</v>
      </c>
      <c r="D17" s="110">
        <v>0</v>
      </c>
      <c r="E17" s="109">
        <v>0</v>
      </c>
      <c r="F17" s="109">
        <v>1</v>
      </c>
      <c r="G17"/>
      <c r="H17"/>
    </row>
    <row r="18" spans="1:8" ht="15" customHeight="1" x14ac:dyDescent="0.15">
      <c r="A18">
        <v>17</v>
      </c>
      <c r="B18" s="180" t="s">
        <v>208</v>
      </c>
      <c r="C18" s="110">
        <v>1</v>
      </c>
      <c r="D18" s="110">
        <v>0</v>
      </c>
      <c r="E18" s="109">
        <v>0</v>
      </c>
      <c r="F18" s="109">
        <v>1</v>
      </c>
      <c r="G18"/>
      <c r="H18"/>
    </row>
    <row r="19" spans="1:8" ht="15" customHeight="1" x14ac:dyDescent="0.15">
      <c r="A19">
        <v>18</v>
      </c>
      <c r="B19" s="180" t="s">
        <v>209</v>
      </c>
      <c r="C19" s="110">
        <v>1</v>
      </c>
      <c r="D19" s="110">
        <v>0</v>
      </c>
      <c r="E19" s="109">
        <v>0</v>
      </c>
      <c r="F19" s="109">
        <v>1</v>
      </c>
      <c r="G19"/>
      <c r="H19"/>
    </row>
    <row r="20" spans="1:8" ht="15" customHeight="1" x14ac:dyDescent="0.15">
      <c r="A20">
        <v>19</v>
      </c>
      <c r="B20" s="180" t="s">
        <v>210</v>
      </c>
      <c r="C20" s="110">
        <v>1</v>
      </c>
      <c r="D20" s="110">
        <v>0</v>
      </c>
      <c r="E20" s="109">
        <v>0</v>
      </c>
      <c r="F20" s="109">
        <v>1</v>
      </c>
      <c r="G20"/>
      <c r="H20"/>
    </row>
    <row r="21" spans="1:8" ht="15" customHeight="1" x14ac:dyDescent="0.15">
      <c r="A21">
        <v>20</v>
      </c>
      <c r="B21" s="180" t="s">
        <v>211</v>
      </c>
      <c r="C21" s="110">
        <v>1</v>
      </c>
      <c r="D21" s="110">
        <v>0</v>
      </c>
      <c r="E21" s="109">
        <v>0</v>
      </c>
      <c r="F21" s="109">
        <v>1</v>
      </c>
      <c r="G21"/>
      <c r="H21"/>
    </row>
    <row r="22" spans="1:8" ht="15" customHeight="1" x14ac:dyDescent="0.15">
      <c r="A22">
        <v>21</v>
      </c>
      <c r="B22" s="180" t="s">
        <v>212</v>
      </c>
      <c r="C22" s="110">
        <v>1</v>
      </c>
      <c r="D22" s="110">
        <v>0</v>
      </c>
      <c r="E22" s="109">
        <v>0</v>
      </c>
      <c r="F22" s="109">
        <v>1</v>
      </c>
      <c r="G22"/>
      <c r="H22"/>
    </row>
    <row r="23" spans="1:8" ht="15" customHeight="1" x14ac:dyDescent="0.15">
      <c r="A23">
        <v>22</v>
      </c>
      <c r="B23" s="180" t="s">
        <v>213</v>
      </c>
      <c r="C23" s="110">
        <v>1</v>
      </c>
      <c r="D23" s="110">
        <v>0</v>
      </c>
      <c r="E23" s="109">
        <v>0</v>
      </c>
      <c r="F23" s="109">
        <v>1</v>
      </c>
      <c r="G23"/>
      <c r="H23"/>
    </row>
    <row r="24" spans="1:8" ht="15" customHeight="1" x14ac:dyDescent="0.15">
      <c r="A24">
        <v>23</v>
      </c>
      <c r="B24" s="180" t="s">
        <v>214</v>
      </c>
      <c r="C24" s="110">
        <v>1</v>
      </c>
      <c r="D24" s="110">
        <v>0</v>
      </c>
      <c r="E24" s="109">
        <v>0</v>
      </c>
      <c r="F24" s="109">
        <v>1</v>
      </c>
      <c r="G24"/>
      <c r="H24"/>
    </row>
    <row r="25" spans="1:8" ht="15" customHeight="1" x14ac:dyDescent="0.15">
      <c r="A25">
        <v>24</v>
      </c>
      <c r="B25" s="180" t="s">
        <v>215</v>
      </c>
      <c r="C25" s="110">
        <v>1</v>
      </c>
      <c r="D25" s="110">
        <v>0</v>
      </c>
      <c r="E25" s="109">
        <v>0</v>
      </c>
      <c r="F25" s="109">
        <v>1</v>
      </c>
      <c r="G25"/>
      <c r="H25"/>
    </row>
    <row r="26" spans="1:8" ht="15" customHeight="1" x14ac:dyDescent="0.15">
      <c r="A26">
        <v>25</v>
      </c>
      <c r="B26" s="180" t="s">
        <v>216</v>
      </c>
      <c r="C26" s="110">
        <v>1</v>
      </c>
      <c r="D26" s="110">
        <v>0</v>
      </c>
      <c r="E26" s="109">
        <v>0</v>
      </c>
      <c r="F26" s="109">
        <v>1</v>
      </c>
      <c r="G26"/>
      <c r="H26"/>
    </row>
    <row r="27" spans="1:8" ht="15" customHeight="1" x14ac:dyDescent="0.15">
      <c r="A27">
        <v>26</v>
      </c>
      <c r="B27" s="180" t="s">
        <v>217</v>
      </c>
      <c r="C27" s="110">
        <v>1</v>
      </c>
      <c r="D27" s="110">
        <v>0</v>
      </c>
      <c r="E27" s="109">
        <v>0</v>
      </c>
      <c r="F27" s="109">
        <v>1</v>
      </c>
      <c r="G27"/>
      <c r="H27"/>
    </row>
    <row r="28" spans="1:8" ht="15" customHeight="1" x14ac:dyDescent="0.15">
      <c r="A28">
        <v>27</v>
      </c>
      <c r="B28" s="180" t="s">
        <v>218</v>
      </c>
      <c r="C28" s="110">
        <v>1</v>
      </c>
      <c r="D28" s="110">
        <v>0</v>
      </c>
      <c r="E28" s="109">
        <v>0</v>
      </c>
      <c r="F28" s="109">
        <v>1</v>
      </c>
      <c r="G28"/>
      <c r="H28"/>
    </row>
    <row r="29" spans="1:8" ht="15" customHeight="1" x14ac:dyDescent="0.15">
      <c r="A29">
        <v>28</v>
      </c>
      <c r="B29" s="180" t="s">
        <v>219</v>
      </c>
      <c r="C29" s="110">
        <v>1</v>
      </c>
      <c r="D29" s="110">
        <v>0</v>
      </c>
      <c r="E29" s="109">
        <v>0</v>
      </c>
      <c r="F29" s="109">
        <v>1</v>
      </c>
      <c r="G29"/>
      <c r="H29"/>
    </row>
    <row r="30" spans="1:8" ht="15" customHeight="1" x14ac:dyDescent="0.15">
      <c r="A30">
        <v>29</v>
      </c>
      <c r="B30" s="180" t="s">
        <v>220</v>
      </c>
      <c r="C30" s="110">
        <v>0</v>
      </c>
      <c r="D30" s="110">
        <v>1</v>
      </c>
      <c r="E30" s="109">
        <v>0</v>
      </c>
      <c r="F30" s="109">
        <v>1</v>
      </c>
      <c r="G30"/>
      <c r="H30"/>
    </row>
    <row r="31" spans="1:8" ht="15" customHeight="1" x14ac:dyDescent="0.15">
      <c r="A31">
        <v>30</v>
      </c>
      <c r="B31" s="180" t="s">
        <v>221</v>
      </c>
      <c r="C31" s="110">
        <v>0</v>
      </c>
      <c r="D31" s="110">
        <v>0</v>
      </c>
      <c r="E31" s="109">
        <v>1</v>
      </c>
      <c r="F31" s="109">
        <v>1</v>
      </c>
      <c r="G31"/>
      <c r="H31"/>
    </row>
    <row r="32" spans="1:8" ht="15" customHeight="1" x14ac:dyDescent="0.15">
      <c r="A32">
        <v>31</v>
      </c>
      <c r="B32" s="180" t="s">
        <v>222</v>
      </c>
      <c r="C32" s="110">
        <v>0</v>
      </c>
      <c r="D32" s="110">
        <v>1</v>
      </c>
      <c r="E32" s="109">
        <v>0</v>
      </c>
      <c r="F32" s="109">
        <v>1</v>
      </c>
    </row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110"/>
      <c r="F36" s="110"/>
      <c r="G36"/>
      <c r="H36"/>
    </row>
    <row r="37" spans="3:8" ht="15" customHeight="1" x14ac:dyDescent="0.15">
      <c r="C37"/>
      <c r="D37"/>
      <c r="E37" s="110"/>
      <c r="F37" s="110"/>
      <c r="G37"/>
      <c r="H37"/>
    </row>
    <row r="38" spans="3:8" ht="15" customHeight="1" x14ac:dyDescent="0.15">
      <c r="C38"/>
      <c r="D38"/>
      <c r="E38" s="110"/>
      <c r="F38" s="110"/>
      <c r="G38"/>
      <c r="H38"/>
    </row>
    <row r="39" spans="3:8" ht="15" customHeight="1" x14ac:dyDescent="0.15">
      <c r="C39"/>
      <c r="D39"/>
      <c r="E39" s="110"/>
      <c r="F39" s="110"/>
      <c r="G39"/>
      <c r="H39"/>
    </row>
    <row r="40" spans="3:8" ht="15" customHeight="1" x14ac:dyDescent="0.15">
      <c r="C40"/>
      <c r="D40"/>
      <c r="E40" s="110"/>
      <c r="F40" s="110"/>
      <c r="G40"/>
      <c r="H40"/>
    </row>
    <row r="41" spans="3:8" ht="15" customHeight="1" x14ac:dyDescent="0.15">
      <c r="C41"/>
      <c r="D41"/>
      <c r="E41" s="110"/>
      <c r="F41" s="110"/>
      <c r="G41"/>
      <c r="H41"/>
    </row>
    <row r="42" spans="3:8" ht="15" customHeight="1" x14ac:dyDescent="0.15">
      <c r="C42"/>
      <c r="D42"/>
      <c r="E42" s="110"/>
      <c r="F42" s="110"/>
      <c r="G42"/>
      <c r="H42"/>
    </row>
    <row r="43" spans="3:8" ht="15" customHeight="1" x14ac:dyDescent="0.15">
      <c r="C43"/>
      <c r="D43"/>
      <c r="E43" s="110"/>
      <c r="F43" s="110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110"/>
      <c r="F46" s="110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5.83203125" bestFit="1" customWidth="1"/>
    <col min="3" max="4" width="5.83203125" bestFit="1" customWidth="1"/>
    <col min="5" max="5" width="12.1640625" bestFit="1" customWidth="1"/>
  </cols>
  <sheetData>
    <row r="1" spans="1:5" s="111" customFormat="1" ht="112" x14ac:dyDescent="0.15">
      <c r="A1" s="5" t="s">
        <v>21</v>
      </c>
      <c r="B1" s="3" t="s">
        <v>0</v>
      </c>
      <c r="C1" s="183" t="s">
        <v>222</v>
      </c>
      <c r="D1" s="183" t="s">
        <v>226</v>
      </c>
      <c r="E1"/>
    </row>
    <row r="2" spans="1:5" ht="15" customHeight="1" x14ac:dyDescent="0.15">
      <c r="A2">
        <v>1</v>
      </c>
      <c r="B2" s="182" t="s">
        <v>192</v>
      </c>
      <c r="C2">
        <v>0.06</v>
      </c>
      <c r="D2">
        <v>0.06</v>
      </c>
    </row>
    <row r="3" spans="1:5" ht="15" customHeight="1" x14ac:dyDescent="0.15">
      <c r="A3">
        <v>2</v>
      </c>
      <c r="B3" s="182" t="s">
        <v>193</v>
      </c>
      <c r="C3">
        <v>0.03</v>
      </c>
      <c r="D3">
        <v>0.03</v>
      </c>
    </row>
    <row r="4" spans="1:5" ht="15" customHeight="1" x14ac:dyDescent="0.15">
      <c r="A4">
        <v>3</v>
      </c>
      <c r="B4" s="182" t="s">
        <v>194</v>
      </c>
      <c r="C4">
        <v>0.03</v>
      </c>
      <c r="D4">
        <v>0.03</v>
      </c>
    </row>
    <row r="5" spans="1:5" ht="15" customHeight="1" x14ac:dyDescent="0.15">
      <c r="A5">
        <v>4</v>
      </c>
      <c r="B5" s="182" t="s">
        <v>195</v>
      </c>
      <c r="C5">
        <v>0.17</v>
      </c>
      <c r="D5">
        <v>0.17</v>
      </c>
    </row>
    <row r="6" spans="1:5" ht="15" customHeight="1" x14ac:dyDescent="0.15">
      <c r="A6">
        <v>5</v>
      </c>
      <c r="B6" s="182" t="s">
        <v>196</v>
      </c>
      <c r="C6">
        <v>0.01</v>
      </c>
      <c r="D6">
        <v>0.01</v>
      </c>
    </row>
    <row r="7" spans="1:5" ht="15" customHeight="1" x14ac:dyDescent="0.15">
      <c r="A7">
        <v>6</v>
      </c>
      <c r="B7" s="182" t="s">
        <v>197</v>
      </c>
      <c r="C7">
        <v>0.01</v>
      </c>
      <c r="D7">
        <v>0.01</v>
      </c>
    </row>
    <row r="8" spans="1:5" ht="15" customHeight="1" x14ac:dyDescent="0.15">
      <c r="A8">
        <v>7</v>
      </c>
      <c r="B8" s="182" t="s">
        <v>198</v>
      </c>
      <c r="C8">
        <v>0.02</v>
      </c>
      <c r="D8">
        <v>0.02</v>
      </c>
    </row>
    <row r="9" spans="1:5" ht="15" customHeight="1" x14ac:dyDescent="0.15">
      <c r="A9">
        <v>8</v>
      </c>
      <c r="B9" s="182" t="s">
        <v>199</v>
      </c>
      <c r="C9">
        <v>0.05</v>
      </c>
      <c r="D9">
        <v>0.05</v>
      </c>
    </row>
    <row r="10" spans="1:5" ht="15" customHeight="1" x14ac:dyDescent="0.15">
      <c r="A10">
        <v>9</v>
      </c>
      <c r="B10" s="182" t="s">
        <v>200</v>
      </c>
      <c r="C10">
        <v>0.06</v>
      </c>
      <c r="D10">
        <v>0.06</v>
      </c>
    </row>
    <row r="11" spans="1:5" ht="15" customHeight="1" x14ac:dyDescent="0.15">
      <c r="A11">
        <v>10</v>
      </c>
      <c r="B11" s="182" t="s">
        <v>201</v>
      </c>
      <c r="C11">
        <v>0.02</v>
      </c>
      <c r="D11">
        <v>0.02</v>
      </c>
    </row>
    <row r="12" spans="1:5" ht="15" customHeight="1" x14ac:dyDescent="0.15">
      <c r="A12">
        <v>11</v>
      </c>
      <c r="B12" s="182" t="s">
        <v>202</v>
      </c>
      <c r="C12">
        <v>0.09</v>
      </c>
      <c r="D12">
        <v>0.09</v>
      </c>
    </row>
    <row r="13" spans="1:5" ht="15" customHeight="1" x14ac:dyDescent="0.15">
      <c r="A13">
        <v>12</v>
      </c>
      <c r="B13" s="182" t="s">
        <v>203</v>
      </c>
      <c r="C13">
        <v>0.02</v>
      </c>
      <c r="D13">
        <v>0.02</v>
      </c>
    </row>
    <row r="14" spans="1:5" ht="15" customHeight="1" x14ac:dyDescent="0.15">
      <c r="A14">
        <v>13</v>
      </c>
      <c r="B14" s="182" t="s">
        <v>204</v>
      </c>
      <c r="C14">
        <v>0.38</v>
      </c>
      <c r="D14">
        <v>0.38</v>
      </c>
    </row>
    <row r="15" spans="1:5" ht="15" customHeight="1" x14ac:dyDescent="0.15">
      <c r="A15">
        <v>14</v>
      </c>
      <c r="B15" s="182" t="s">
        <v>205</v>
      </c>
      <c r="C15">
        <v>0.08</v>
      </c>
      <c r="D15">
        <v>0.08</v>
      </c>
    </row>
    <row r="16" spans="1:5" ht="15" customHeight="1" x14ac:dyDescent="0.15">
      <c r="A16">
        <v>15</v>
      </c>
      <c r="B16" s="182" t="s">
        <v>206</v>
      </c>
      <c r="C16">
        <v>0.02</v>
      </c>
      <c r="D16">
        <v>0.02</v>
      </c>
    </row>
    <row r="17" spans="1:4" ht="15" customHeight="1" x14ac:dyDescent="0.15">
      <c r="A17">
        <v>16</v>
      </c>
      <c r="B17" s="182" t="s">
        <v>207</v>
      </c>
      <c r="C17">
        <v>5.0000000000000001E-3</v>
      </c>
      <c r="D17">
        <v>5.0000000000000001E-3</v>
      </c>
    </row>
    <row r="18" spans="1:4" ht="15" customHeight="1" x14ac:dyDescent="0.15">
      <c r="A18">
        <v>17</v>
      </c>
      <c r="B18" s="182" t="s">
        <v>208</v>
      </c>
      <c r="C18">
        <v>5.0000000000000001E-3</v>
      </c>
      <c r="D18">
        <v>5.0000000000000001E-3</v>
      </c>
    </row>
    <row r="19" spans="1:4" ht="15" customHeight="1" x14ac:dyDescent="0.15">
      <c r="A19">
        <v>18</v>
      </c>
      <c r="B19" s="182" t="s">
        <v>209</v>
      </c>
      <c r="C19">
        <v>5.0000000000000001E-3</v>
      </c>
      <c r="D19">
        <v>5.0000000000000001E-3</v>
      </c>
    </row>
    <row r="20" spans="1:4" ht="15" customHeight="1" x14ac:dyDescent="0.15">
      <c r="A20">
        <v>19</v>
      </c>
      <c r="B20" s="182" t="s">
        <v>210</v>
      </c>
      <c r="C20">
        <v>5.0000000000000001E-3</v>
      </c>
      <c r="D20">
        <v>5.0000000000000001E-3</v>
      </c>
    </row>
    <row r="21" spans="1:4" ht="15" customHeight="1" x14ac:dyDescent="0.15">
      <c r="A21">
        <v>20</v>
      </c>
      <c r="B21" s="182" t="s">
        <v>211</v>
      </c>
      <c r="C21">
        <v>0.02</v>
      </c>
      <c r="D21">
        <v>0.02</v>
      </c>
    </row>
    <row r="22" spans="1:4" ht="15" customHeight="1" x14ac:dyDescent="0.15">
      <c r="A22">
        <v>21</v>
      </c>
      <c r="B22" s="182" t="s">
        <v>212</v>
      </c>
      <c r="C22">
        <v>0.01</v>
      </c>
      <c r="D22">
        <v>0.01</v>
      </c>
    </row>
    <row r="23" spans="1:4" ht="15" customHeight="1" x14ac:dyDescent="0.15">
      <c r="A23">
        <v>22</v>
      </c>
      <c r="B23" s="182" t="s">
        <v>213</v>
      </c>
      <c r="C23">
        <v>0.22</v>
      </c>
      <c r="D23">
        <v>0.22</v>
      </c>
    </row>
    <row r="24" spans="1:4" ht="15" customHeight="1" x14ac:dyDescent="0.15">
      <c r="A24">
        <v>23</v>
      </c>
      <c r="B24" s="182" t="s">
        <v>214</v>
      </c>
      <c r="C24">
        <v>5.0000000000000001E-3</v>
      </c>
      <c r="D24">
        <v>5.0000000000000001E-3</v>
      </c>
    </row>
    <row r="25" spans="1:4" ht="15" customHeight="1" x14ac:dyDescent="0.15">
      <c r="A25">
        <v>24</v>
      </c>
      <c r="B25" s="182" t="s">
        <v>215</v>
      </c>
      <c r="C25">
        <v>5.0000000000000001E-3</v>
      </c>
      <c r="D25">
        <v>5.0000000000000001E-3</v>
      </c>
    </row>
    <row r="26" spans="1:4" ht="15" customHeight="1" x14ac:dyDescent="0.15">
      <c r="A26">
        <v>25</v>
      </c>
      <c r="B26" s="182" t="s">
        <v>216</v>
      </c>
      <c r="C26">
        <v>0</v>
      </c>
      <c r="D26">
        <v>0</v>
      </c>
    </row>
    <row r="27" spans="1:4" ht="15" customHeight="1" x14ac:dyDescent="0.15">
      <c r="A27">
        <v>26</v>
      </c>
      <c r="B27" s="182" t="s">
        <v>217</v>
      </c>
      <c r="C27">
        <v>0</v>
      </c>
      <c r="D27">
        <v>0</v>
      </c>
    </row>
    <row r="28" spans="1:4" ht="15" customHeight="1" x14ac:dyDescent="0.15">
      <c r="A28">
        <v>27</v>
      </c>
      <c r="B28" s="182" t="s">
        <v>218</v>
      </c>
      <c r="C28">
        <v>0</v>
      </c>
      <c r="D28">
        <v>0</v>
      </c>
    </row>
    <row r="29" spans="1:4" ht="15" customHeight="1" x14ac:dyDescent="0.15">
      <c r="A29">
        <v>28</v>
      </c>
      <c r="B29" s="182" t="s">
        <v>219</v>
      </c>
      <c r="C29">
        <v>0</v>
      </c>
      <c r="D29">
        <v>0</v>
      </c>
    </row>
    <row r="30" spans="1:4" ht="15" customHeight="1" x14ac:dyDescent="0.15">
      <c r="A30">
        <v>29</v>
      </c>
      <c r="B30" s="182" t="s">
        <v>220</v>
      </c>
      <c r="C30">
        <v>0</v>
      </c>
      <c r="D30">
        <v>0</v>
      </c>
    </row>
    <row r="31" spans="1:4" ht="15" customHeight="1" x14ac:dyDescent="0.15">
      <c r="A31">
        <v>30</v>
      </c>
      <c r="B31" s="182" t="s">
        <v>221</v>
      </c>
      <c r="C31">
        <v>0</v>
      </c>
      <c r="D31">
        <v>0</v>
      </c>
    </row>
    <row r="32" spans="1:4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31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5.83203125" bestFit="1" customWidth="1"/>
    <col min="3" max="4" width="2.33203125" bestFit="1" customWidth="1"/>
    <col min="5" max="5" width="12.1640625" bestFit="1" customWidth="1"/>
  </cols>
  <sheetData>
    <row r="1" spans="1:4" s="111" customFormat="1" ht="112" x14ac:dyDescent="0.15">
      <c r="A1" s="5" t="s">
        <v>22</v>
      </c>
      <c r="B1" s="3" t="s">
        <v>0</v>
      </c>
      <c r="C1" s="185" t="s">
        <v>222</v>
      </c>
      <c r="D1" s="185" t="s">
        <v>226</v>
      </c>
    </row>
    <row r="2" spans="1:4" x14ac:dyDescent="0.15">
      <c r="A2">
        <v>1</v>
      </c>
      <c r="B2" s="184" t="s">
        <v>192</v>
      </c>
      <c r="C2">
        <v>0</v>
      </c>
      <c r="D2">
        <v>0</v>
      </c>
    </row>
    <row r="3" spans="1:4" x14ac:dyDescent="0.15">
      <c r="A3">
        <v>2</v>
      </c>
      <c r="B3" s="184" t="s">
        <v>193</v>
      </c>
      <c r="C3">
        <v>0</v>
      </c>
      <c r="D3">
        <v>0</v>
      </c>
    </row>
    <row r="4" spans="1:4" x14ac:dyDescent="0.15">
      <c r="A4">
        <v>3</v>
      </c>
      <c r="B4" s="184" t="s">
        <v>194</v>
      </c>
      <c r="C4">
        <v>0</v>
      </c>
      <c r="D4">
        <v>0</v>
      </c>
    </row>
    <row r="5" spans="1:4" x14ac:dyDescent="0.15">
      <c r="A5">
        <v>4</v>
      </c>
      <c r="B5" s="184" t="s">
        <v>195</v>
      </c>
      <c r="C5">
        <v>0</v>
      </c>
      <c r="D5">
        <v>0</v>
      </c>
    </row>
    <row r="6" spans="1:4" x14ac:dyDescent="0.15">
      <c r="A6">
        <v>5</v>
      </c>
      <c r="B6" s="184" t="s">
        <v>196</v>
      </c>
      <c r="C6">
        <v>0</v>
      </c>
      <c r="D6">
        <v>0</v>
      </c>
    </row>
    <row r="7" spans="1:4" x14ac:dyDescent="0.15">
      <c r="A7">
        <v>6</v>
      </c>
      <c r="B7" s="184" t="s">
        <v>197</v>
      </c>
      <c r="C7">
        <v>0</v>
      </c>
      <c r="D7">
        <v>0</v>
      </c>
    </row>
    <row r="8" spans="1:4" x14ac:dyDescent="0.15">
      <c r="A8">
        <v>7</v>
      </c>
      <c r="B8" s="184" t="s">
        <v>198</v>
      </c>
      <c r="C8">
        <v>0</v>
      </c>
      <c r="D8">
        <v>0</v>
      </c>
    </row>
    <row r="9" spans="1:4" x14ac:dyDescent="0.15">
      <c r="A9">
        <v>8</v>
      </c>
      <c r="B9" s="184" t="s">
        <v>199</v>
      </c>
      <c r="C9">
        <v>0</v>
      </c>
      <c r="D9">
        <v>0</v>
      </c>
    </row>
    <row r="10" spans="1:4" x14ac:dyDescent="0.15">
      <c r="A10">
        <v>9</v>
      </c>
      <c r="B10" s="184" t="s">
        <v>200</v>
      </c>
      <c r="C10">
        <v>0</v>
      </c>
      <c r="D10">
        <v>0</v>
      </c>
    </row>
    <row r="11" spans="1:4" x14ac:dyDescent="0.15">
      <c r="A11">
        <v>10</v>
      </c>
      <c r="B11" s="184" t="s">
        <v>201</v>
      </c>
      <c r="C11">
        <v>0</v>
      </c>
      <c r="D11">
        <v>0</v>
      </c>
    </row>
    <row r="12" spans="1:4" x14ac:dyDescent="0.15">
      <c r="A12">
        <v>11</v>
      </c>
      <c r="B12" s="184" t="s">
        <v>202</v>
      </c>
      <c r="C12">
        <v>0</v>
      </c>
      <c r="D12">
        <v>0</v>
      </c>
    </row>
    <row r="13" spans="1:4" x14ac:dyDescent="0.15">
      <c r="A13">
        <v>12</v>
      </c>
      <c r="B13" s="184" t="s">
        <v>203</v>
      </c>
      <c r="C13">
        <v>0</v>
      </c>
      <c r="D13">
        <v>0</v>
      </c>
    </row>
    <row r="14" spans="1:4" x14ac:dyDescent="0.15">
      <c r="A14">
        <v>13</v>
      </c>
      <c r="B14" s="184" t="s">
        <v>204</v>
      </c>
      <c r="C14">
        <v>0</v>
      </c>
      <c r="D14">
        <v>0</v>
      </c>
    </row>
    <row r="15" spans="1:4" x14ac:dyDescent="0.15">
      <c r="A15">
        <v>14</v>
      </c>
      <c r="B15" s="184" t="s">
        <v>205</v>
      </c>
      <c r="C15">
        <v>0</v>
      </c>
      <c r="D15">
        <v>0</v>
      </c>
    </row>
    <row r="16" spans="1:4" x14ac:dyDescent="0.15">
      <c r="A16">
        <v>15</v>
      </c>
      <c r="B16" s="184" t="s">
        <v>206</v>
      </c>
      <c r="C16">
        <v>0</v>
      </c>
      <c r="D16">
        <v>0</v>
      </c>
    </row>
    <row r="17" spans="1:4" x14ac:dyDescent="0.15">
      <c r="A17">
        <v>16</v>
      </c>
      <c r="B17" s="184" t="s">
        <v>207</v>
      </c>
      <c r="C17">
        <v>0</v>
      </c>
      <c r="D17">
        <v>0</v>
      </c>
    </row>
    <row r="18" spans="1:4" x14ac:dyDescent="0.15">
      <c r="A18">
        <v>17</v>
      </c>
      <c r="B18" s="184" t="s">
        <v>208</v>
      </c>
      <c r="C18">
        <v>0</v>
      </c>
      <c r="D18">
        <v>0</v>
      </c>
    </row>
    <row r="19" spans="1:4" x14ac:dyDescent="0.15">
      <c r="A19">
        <v>18</v>
      </c>
      <c r="B19" s="184" t="s">
        <v>209</v>
      </c>
      <c r="C19">
        <v>0</v>
      </c>
      <c r="D19">
        <v>0</v>
      </c>
    </row>
    <row r="20" spans="1:4" x14ac:dyDescent="0.15">
      <c r="A20">
        <v>19</v>
      </c>
      <c r="B20" s="184" t="s">
        <v>210</v>
      </c>
      <c r="C20">
        <v>0</v>
      </c>
      <c r="D20">
        <v>0</v>
      </c>
    </row>
    <row r="21" spans="1:4" x14ac:dyDescent="0.15">
      <c r="A21">
        <v>20</v>
      </c>
      <c r="B21" s="184" t="s">
        <v>211</v>
      </c>
      <c r="C21">
        <v>0</v>
      </c>
      <c r="D21">
        <v>0</v>
      </c>
    </row>
    <row r="22" spans="1:4" x14ac:dyDescent="0.15">
      <c r="A22">
        <v>21</v>
      </c>
      <c r="B22" s="184" t="s">
        <v>212</v>
      </c>
      <c r="C22">
        <v>0</v>
      </c>
      <c r="D22">
        <v>0</v>
      </c>
    </row>
    <row r="23" spans="1:4" x14ac:dyDescent="0.15">
      <c r="A23">
        <v>22</v>
      </c>
      <c r="B23" s="184" t="s">
        <v>213</v>
      </c>
      <c r="C23">
        <v>0</v>
      </c>
      <c r="D23">
        <v>0</v>
      </c>
    </row>
    <row r="24" spans="1:4" x14ac:dyDescent="0.15">
      <c r="A24">
        <v>23</v>
      </c>
      <c r="B24" s="184" t="s">
        <v>214</v>
      </c>
      <c r="C24">
        <v>0</v>
      </c>
      <c r="D24">
        <v>0</v>
      </c>
    </row>
    <row r="25" spans="1:4" x14ac:dyDescent="0.15">
      <c r="A25">
        <v>24</v>
      </c>
      <c r="B25" s="184" t="s">
        <v>215</v>
      </c>
      <c r="C25">
        <v>0</v>
      </c>
      <c r="D25">
        <v>0</v>
      </c>
    </row>
    <row r="26" spans="1:4" x14ac:dyDescent="0.15">
      <c r="A26">
        <v>25</v>
      </c>
      <c r="B26" s="184" t="s">
        <v>216</v>
      </c>
      <c r="C26">
        <v>0</v>
      </c>
      <c r="D26">
        <v>0</v>
      </c>
    </row>
    <row r="27" spans="1:4" x14ac:dyDescent="0.15">
      <c r="A27">
        <v>26</v>
      </c>
      <c r="B27" s="184" t="s">
        <v>217</v>
      </c>
      <c r="C27">
        <v>0</v>
      </c>
      <c r="D27">
        <v>0</v>
      </c>
    </row>
    <row r="28" spans="1:4" x14ac:dyDescent="0.15">
      <c r="A28">
        <v>27</v>
      </c>
      <c r="B28" s="184" t="s">
        <v>218</v>
      </c>
      <c r="C28">
        <v>0</v>
      </c>
      <c r="D28">
        <v>0</v>
      </c>
    </row>
    <row r="29" spans="1:4" x14ac:dyDescent="0.15">
      <c r="A29">
        <v>28</v>
      </c>
      <c r="B29" s="184" t="s">
        <v>219</v>
      </c>
      <c r="C29">
        <v>0</v>
      </c>
      <c r="D29">
        <v>0</v>
      </c>
    </row>
    <row r="30" spans="1:4" x14ac:dyDescent="0.15">
      <c r="A30">
        <v>29</v>
      </c>
      <c r="B30" s="184" t="s">
        <v>220</v>
      </c>
      <c r="C30">
        <v>0</v>
      </c>
      <c r="D30">
        <v>0</v>
      </c>
    </row>
    <row r="31" spans="1:4" x14ac:dyDescent="0.15">
      <c r="A31">
        <v>30</v>
      </c>
      <c r="B31" s="184" t="s">
        <v>221</v>
      </c>
      <c r="C31">
        <v>0</v>
      </c>
      <c r="D31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5.83203125" bestFit="1" customWidth="1"/>
    <col min="6" max="6" width="4.83203125" bestFit="1" customWidth="1"/>
    <col min="7" max="9" width="3.83203125" bestFit="1" customWidth="1"/>
    <col min="10" max="11" width="4.83203125" style="110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2" customFormat="1" ht="14" thickBot="1" x14ac:dyDescent="0.2">
      <c r="D1" s="113" t="s">
        <v>8</v>
      </c>
      <c r="E1" s="113" t="s">
        <v>0</v>
      </c>
      <c r="F1" s="114" t="s">
        <v>99</v>
      </c>
      <c r="G1" s="115" t="s">
        <v>84</v>
      </c>
      <c r="H1" s="115" t="s">
        <v>85</v>
      </c>
      <c r="I1" s="115" t="s">
        <v>86</v>
      </c>
      <c r="J1" s="115" t="s">
        <v>87</v>
      </c>
      <c r="K1" s="115" t="s">
        <v>88</v>
      </c>
      <c r="L1" s="116" t="s">
        <v>89</v>
      </c>
      <c r="M1" s="116" t="s">
        <v>93</v>
      </c>
      <c r="N1" s="116" t="s">
        <v>92</v>
      </c>
      <c r="O1" s="116" t="s">
        <v>90</v>
      </c>
      <c r="P1" s="116" t="s">
        <v>91</v>
      </c>
      <c r="Q1" s="117" t="s">
        <v>94</v>
      </c>
      <c r="R1" s="117" t="s">
        <v>95</v>
      </c>
      <c r="S1" s="117" t="s">
        <v>96</v>
      </c>
      <c r="T1" s="117" t="s">
        <v>97</v>
      </c>
      <c r="U1" s="117" t="s">
        <v>98</v>
      </c>
      <c r="V1" s="115" t="s">
        <v>100</v>
      </c>
      <c r="W1" s="115" t="s">
        <v>101</v>
      </c>
      <c r="X1" s="115" t="s">
        <v>102</v>
      </c>
      <c r="Y1" s="115" t="s">
        <v>134</v>
      </c>
      <c r="Z1" s="116" t="s">
        <v>103</v>
      </c>
      <c r="AA1" s="116" t="s">
        <v>104</v>
      </c>
      <c r="AB1" s="116" t="s">
        <v>105</v>
      </c>
      <c r="AC1" s="118" t="s">
        <v>135</v>
      </c>
      <c r="AD1" s="117" t="s">
        <v>106</v>
      </c>
      <c r="AE1" s="117" t="s">
        <v>107</v>
      </c>
      <c r="AF1" s="117" t="s">
        <v>108</v>
      </c>
      <c r="AG1" s="117" t="s">
        <v>136</v>
      </c>
      <c r="AH1" s="115" t="s">
        <v>109</v>
      </c>
      <c r="AI1" s="115" t="s">
        <v>111</v>
      </c>
      <c r="AJ1" s="115" t="s">
        <v>110</v>
      </c>
      <c r="AK1" s="116" t="s">
        <v>115</v>
      </c>
      <c r="AL1" s="116" t="s">
        <v>116</v>
      </c>
      <c r="AM1" s="116" t="s">
        <v>117</v>
      </c>
      <c r="AN1" s="117" t="s">
        <v>112</v>
      </c>
      <c r="AO1" s="117" t="s">
        <v>113</v>
      </c>
      <c r="AP1" s="117" t="s">
        <v>114</v>
      </c>
    </row>
    <row r="2" spans="1:42" x14ac:dyDescent="0.15">
      <c r="A2" s="119" t="s">
        <v>74</v>
      </c>
      <c r="B2" s="120">
        <v>1</v>
      </c>
      <c r="D2">
        <v>1</v>
      </c>
      <c r="E2" s="186" t="s">
        <v>192</v>
      </c>
      <c r="F2">
        <v>0.98</v>
      </c>
      <c r="G2">
        <v>0.8</v>
      </c>
      <c r="H2">
        <v>0.8</v>
      </c>
      <c r="I2">
        <v>0.8</v>
      </c>
      <c r="J2" s="110">
        <v>0.25</v>
      </c>
      <c r="K2" s="110">
        <v>0.05</v>
      </c>
    </row>
    <row r="3" spans="1:42" x14ac:dyDescent="0.15">
      <c r="A3" s="119" t="s">
        <v>75</v>
      </c>
      <c r="B3" s="121">
        <v>1</v>
      </c>
      <c r="D3">
        <v>2</v>
      </c>
      <c r="E3" s="186" t="s">
        <v>193</v>
      </c>
      <c r="F3">
        <v>0.98</v>
      </c>
      <c r="G3">
        <v>0.8</v>
      </c>
      <c r="H3">
        <v>0.8</v>
      </c>
      <c r="I3">
        <v>0.8</v>
      </c>
      <c r="J3" s="110">
        <v>0.25</v>
      </c>
      <c r="K3" s="110">
        <v>0.05</v>
      </c>
    </row>
    <row r="4" spans="1:42" x14ac:dyDescent="0.15">
      <c r="A4" s="119" t="s">
        <v>76</v>
      </c>
      <c r="B4" s="121">
        <v>1</v>
      </c>
      <c r="D4">
        <v>3</v>
      </c>
      <c r="E4" s="186" t="s">
        <v>194</v>
      </c>
      <c r="F4">
        <v>0.98</v>
      </c>
      <c r="G4">
        <v>0.8</v>
      </c>
      <c r="H4">
        <v>0.8</v>
      </c>
      <c r="I4">
        <v>0.8</v>
      </c>
      <c r="J4" s="110">
        <v>0.25</v>
      </c>
      <c r="K4" s="110">
        <v>0.05</v>
      </c>
    </row>
    <row r="5" spans="1:42" x14ac:dyDescent="0.15">
      <c r="A5" s="119" t="s">
        <v>77</v>
      </c>
      <c r="B5" s="121">
        <v>1</v>
      </c>
      <c r="D5">
        <v>4</v>
      </c>
      <c r="E5" s="186" t="s">
        <v>195</v>
      </c>
      <c r="F5">
        <v>0.98</v>
      </c>
      <c r="G5">
        <v>0.8</v>
      </c>
      <c r="H5">
        <v>0.8</v>
      </c>
      <c r="I5">
        <v>0.8</v>
      </c>
      <c r="J5" s="110">
        <v>0.25</v>
      </c>
      <c r="K5" s="110">
        <v>0.05</v>
      </c>
    </row>
    <row r="6" spans="1:42" x14ac:dyDescent="0.15">
      <c r="A6" s="119" t="s">
        <v>78</v>
      </c>
      <c r="B6" s="121">
        <v>1</v>
      </c>
      <c r="D6">
        <v>5</v>
      </c>
      <c r="E6" s="186" t="s">
        <v>196</v>
      </c>
      <c r="F6">
        <v>0.98</v>
      </c>
      <c r="G6">
        <v>0.8</v>
      </c>
      <c r="H6">
        <v>0.8</v>
      </c>
      <c r="I6">
        <v>0.8</v>
      </c>
      <c r="J6" s="110">
        <v>0.25</v>
      </c>
      <c r="K6" s="110">
        <v>0.05</v>
      </c>
    </row>
    <row r="7" spans="1:42" x14ac:dyDescent="0.15">
      <c r="A7" s="119" t="s">
        <v>79</v>
      </c>
      <c r="B7" s="121">
        <v>1</v>
      </c>
      <c r="D7">
        <v>6</v>
      </c>
      <c r="E7" s="186" t="s">
        <v>197</v>
      </c>
      <c r="F7">
        <v>0.98</v>
      </c>
      <c r="G7">
        <v>0.8</v>
      </c>
      <c r="H7">
        <v>0.8</v>
      </c>
      <c r="I7">
        <v>0.8</v>
      </c>
      <c r="J7" s="110">
        <v>0.25</v>
      </c>
      <c r="K7" s="110">
        <v>0.05</v>
      </c>
    </row>
    <row r="8" spans="1:42" x14ac:dyDescent="0.15">
      <c r="A8" s="119" t="s">
        <v>80</v>
      </c>
      <c r="B8" s="121">
        <v>1</v>
      </c>
      <c r="D8">
        <v>7</v>
      </c>
      <c r="E8" s="186" t="s">
        <v>198</v>
      </c>
      <c r="F8">
        <v>0.98</v>
      </c>
      <c r="G8">
        <v>0.8</v>
      </c>
      <c r="H8">
        <v>0.8</v>
      </c>
      <c r="I8">
        <v>0.8</v>
      </c>
      <c r="J8" s="110">
        <v>0.25</v>
      </c>
      <c r="K8" s="110">
        <v>0.05</v>
      </c>
    </row>
    <row r="9" spans="1:42" x14ac:dyDescent="0.15">
      <c r="A9" s="119" t="s">
        <v>81</v>
      </c>
      <c r="B9" s="121">
        <v>0.1</v>
      </c>
      <c r="C9" s="61" t="s">
        <v>150</v>
      </c>
      <c r="D9">
        <v>8</v>
      </c>
      <c r="E9" s="186" t="s">
        <v>199</v>
      </c>
      <c r="F9">
        <v>0.98</v>
      </c>
      <c r="G9">
        <v>0.8</v>
      </c>
      <c r="H9">
        <v>0.8</v>
      </c>
      <c r="I9">
        <v>0.8</v>
      </c>
      <c r="J9" s="110">
        <v>0.25</v>
      </c>
      <c r="K9" s="110">
        <v>0.05</v>
      </c>
    </row>
    <row r="10" spans="1:42" ht="14" thickBot="1" x14ac:dyDescent="0.2">
      <c r="A10" s="119" t="s">
        <v>149</v>
      </c>
      <c r="B10" s="122">
        <f>1/3</f>
        <v>0.33333333333333331</v>
      </c>
      <c r="C10" s="61" t="s">
        <v>150</v>
      </c>
      <c r="D10">
        <v>9</v>
      </c>
      <c r="E10" s="186" t="s">
        <v>200</v>
      </c>
      <c r="F10">
        <v>0.98</v>
      </c>
      <c r="G10">
        <v>0.8</v>
      </c>
      <c r="H10">
        <v>0.8</v>
      </c>
      <c r="I10">
        <v>0.8</v>
      </c>
      <c r="J10" s="110">
        <v>0.25</v>
      </c>
      <c r="K10" s="110">
        <v>0.05</v>
      </c>
    </row>
    <row r="11" spans="1:42" x14ac:dyDescent="0.15">
      <c r="D11">
        <v>10</v>
      </c>
      <c r="E11" s="186" t="s">
        <v>201</v>
      </c>
      <c r="F11">
        <v>0.98</v>
      </c>
      <c r="G11">
        <v>0.8</v>
      </c>
      <c r="H11">
        <v>0.8</v>
      </c>
      <c r="I11">
        <v>0.8</v>
      </c>
      <c r="J11" s="110">
        <v>0.25</v>
      </c>
      <c r="K11" s="110">
        <v>0.05</v>
      </c>
    </row>
    <row r="12" spans="1:42" x14ac:dyDescent="0.15">
      <c r="D12">
        <v>11</v>
      </c>
      <c r="E12" s="186" t="s">
        <v>202</v>
      </c>
      <c r="F12">
        <v>0.98</v>
      </c>
      <c r="G12">
        <v>0.8</v>
      </c>
      <c r="H12">
        <v>0.8</v>
      </c>
      <c r="I12">
        <v>0.8</v>
      </c>
      <c r="J12" s="110">
        <v>0.25</v>
      </c>
      <c r="K12" s="110">
        <v>0.05</v>
      </c>
    </row>
    <row r="13" spans="1:42" x14ac:dyDescent="0.15">
      <c r="D13">
        <v>12</v>
      </c>
      <c r="E13" s="186" t="s">
        <v>203</v>
      </c>
      <c r="F13">
        <v>0.98</v>
      </c>
      <c r="G13">
        <v>0.8</v>
      </c>
      <c r="H13">
        <v>0.8</v>
      </c>
      <c r="I13">
        <v>0.8</v>
      </c>
      <c r="J13" s="110">
        <v>0.25</v>
      </c>
      <c r="K13" s="110">
        <v>0.05</v>
      </c>
    </row>
    <row r="14" spans="1:42" x14ac:dyDescent="0.15">
      <c r="D14">
        <v>13</v>
      </c>
      <c r="E14" s="186" t="s">
        <v>204</v>
      </c>
      <c r="F14">
        <v>0.98</v>
      </c>
      <c r="G14">
        <v>0.8</v>
      </c>
      <c r="H14">
        <v>0.8</v>
      </c>
      <c r="I14">
        <v>0.8</v>
      </c>
      <c r="J14" s="110">
        <v>0.25</v>
      </c>
      <c r="K14" s="110">
        <v>0.05</v>
      </c>
    </row>
    <row r="15" spans="1:42" x14ac:dyDescent="0.15">
      <c r="D15">
        <v>14</v>
      </c>
      <c r="E15" s="186" t="s">
        <v>205</v>
      </c>
      <c r="F15">
        <v>0.98</v>
      </c>
      <c r="G15">
        <v>0.8</v>
      </c>
      <c r="H15">
        <v>0.8</v>
      </c>
      <c r="I15">
        <v>0.8</v>
      </c>
      <c r="J15" s="110">
        <v>0.25</v>
      </c>
      <c r="K15" s="110">
        <v>0.05</v>
      </c>
    </row>
    <row r="16" spans="1:42" x14ac:dyDescent="0.15">
      <c r="D16">
        <v>15</v>
      </c>
      <c r="E16" s="186" t="s">
        <v>206</v>
      </c>
      <c r="F16">
        <v>0.98</v>
      </c>
      <c r="G16">
        <v>0.8</v>
      </c>
      <c r="H16">
        <v>0.8</v>
      </c>
      <c r="I16">
        <v>0.8</v>
      </c>
      <c r="J16" s="110">
        <v>0.25</v>
      </c>
      <c r="K16" s="110">
        <v>0.05</v>
      </c>
    </row>
    <row r="17" spans="4:33" ht="15" customHeight="1" x14ac:dyDescent="0.15">
      <c r="D17">
        <v>16</v>
      </c>
      <c r="E17" s="186" t="s">
        <v>207</v>
      </c>
      <c r="F17">
        <v>0.98</v>
      </c>
      <c r="G17">
        <v>0.8</v>
      </c>
      <c r="H17">
        <v>0.8</v>
      </c>
      <c r="I17">
        <v>0.8</v>
      </c>
      <c r="J17" s="110">
        <v>0.25</v>
      </c>
      <c r="K17" s="110">
        <v>0.05</v>
      </c>
    </row>
    <row r="18" spans="4:33" ht="15" customHeight="1" x14ac:dyDescent="0.15">
      <c r="D18">
        <v>17</v>
      </c>
      <c r="E18" s="186" t="s">
        <v>208</v>
      </c>
      <c r="F18">
        <v>0.98</v>
      </c>
      <c r="G18">
        <v>0.8</v>
      </c>
      <c r="H18">
        <v>0.8</v>
      </c>
      <c r="I18">
        <v>0.8</v>
      </c>
      <c r="J18" s="110">
        <v>0.25</v>
      </c>
      <c r="K18" s="110">
        <v>0.05</v>
      </c>
    </row>
    <row r="19" spans="4:33" ht="15" customHeight="1" x14ac:dyDescent="0.15">
      <c r="D19">
        <v>18</v>
      </c>
      <c r="E19" s="186" t="s">
        <v>209</v>
      </c>
      <c r="F19">
        <v>0.98</v>
      </c>
      <c r="G19">
        <v>0.8</v>
      </c>
      <c r="H19">
        <v>0.8</v>
      </c>
      <c r="I19">
        <v>0.8</v>
      </c>
      <c r="J19" s="110">
        <v>0.25</v>
      </c>
      <c r="K19" s="110">
        <v>0.05</v>
      </c>
    </row>
    <row r="20" spans="4:33" ht="15" customHeight="1" x14ac:dyDescent="0.15">
      <c r="D20">
        <v>19</v>
      </c>
      <c r="E20" s="186" t="s">
        <v>210</v>
      </c>
      <c r="F20">
        <v>0.98</v>
      </c>
      <c r="G20">
        <v>0.8</v>
      </c>
      <c r="H20">
        <v>0.8</v>
      </c>
      <c r="I20">
        <v>0.8</v>
      </c>
      <c r="J20" s="110">
        <v>0.25</v>
      </c>
      <c r="K20" s="110">
        <v>0.05</v>
      </c>
    </row>
    <row r="21" spans="4:33" ht="15" customHeight="1" x14ac:dyDescent="0.15">
      <c r="D21">
        <v>20</v>
      </c>
      <c r="E21" s="186" t="s">
        <v>211</v>
      </c>
      <c r="F21">
        <v>0.98</v>
      </c>
      <c r="G21">
        <v>0.8</v>
      </c>
      <c r="H21">
        <v>0.8</v>
      </c>
      <c r="I21">
        <v>0.8</v>
      </c>
      <c r="J21" s="110">
        <v>0.25</v>
      </c>
      <c r="K21" s="110">
        <v>0.05</v>
      </c>
    </row>
    <row r="22" spans="4:33" ht="15" customHeight="1" x14ac:dyDescent="0.15">
      <c r="D22">
        <v>21</v>
      </c>
      <c r="E22" s="186" t="s">
        <v>212</v>
      </c>
      <c r="F22">
        <v>0.98</v>
      </c>
      <c r="G22">
        <v>0.8</v>
      </c>
      <c r="H22">
        <v>0.8</v>
      </c>
      <c r="I22">
        <v>0.8</v>
      </c>
      <c r="J22" s="110">
        <v>0.25</v>
      </c>
      <c r="K22" s="110">
        <v>0.05</v>
      </c>
    </row>
    <row r="23" spans="4:33" ht="15" customHeight="1" x14ac:dyDescent="0.15">
      <c r="D23">
        <v>22</v>
      </c>
      <c r="E23" s="186" t="s">
        <v>213</v>
      </c>
      <c r="F23">
        <v>0.98</v>
      </c>
      <c r="G23">
        <v>0.8</v>
      </c>
      <c r="H23">
        <v>0.8</v>
      </c>
      <c r="I23">
        <v>0.8</v>
      </c>
      <c r="J23" s="110">
        <v>0.25</v>
      </c>
      <c r="K23" s="110">
        <v>0.05</v>
      </c>
    </row>
    <row r="24" spans="4:33" ht="15" customHeight="1" x14ac:dyDescent="0.15">
      <c r="D24">
        <v>23</v>
      </c>
      <c r="E24" s="186" t="s">
        <v>214</v>
      </c>
      <c r="F24">
        <v>0.98</v>
      </c>
      <c r="G24">
        <v>0.8</v>
      </c>
      <c r="H24">
        <v>0.8</v>
      </c>
      <c r="I24">
        <v>0.8</v>
      </c>
      <c r="J24" s="110">
        <v>0.25</v>
      </c>
      <c r="K24" s="110">
        <v>0.05</v>
      </c>
    </row>
    <row r="25" spans="4:33" ht="15" customHeight="1" x14ac:dyDescent="0.15">
      <c r="D25">
        <v>24</v>
      </c>
      <c r="E25" s="186" t="s">
        <v>215</v>
      </c>
      <c r="F25">
        <v>0.98</v>
      </c>
      <c r="G25">
        <v>0.8</v>
      </c>
      <c r="H25">
        <v>0.8</v>
      </c>
      <c r="I25">
        <v>0.8</v>
      </c>
      <c r="J25" s="110">
        <v>0.25</v>
      </c>
      <c r="K25" s="110">
        <v>0.05</v>
      </c>
    </row>
    <row r="26" spans="4:33" ht="15" customHeight="1" x14ac:dyDescent="0.15">
      <c r="D26">
        <v>25</v>
      </c>
      <c r="E26" s="186" t="s">
        <v>216</v>
      </c>
      <c r="F26">
        <v>0.98</v>
      </c>
      <c r="G26">
        <v>0.8</v>
      </c>
      <c r="H26">
        <v>0.8</v>
      </c>
      <c r="I26">
        <v>0.8</v>
      </c>
      <c r="J26" s="110">
        <v>0.25</v>
      </c>
      <c r="K26" s="110">
        <v>0.05</v>
      </c>
    </row>
    <row r="27" spans="4:33" ht="15" customHeight="1" x14ac:dyDescent="0.15">
      <c r="D27">
        <v>26</v>
      </c>
      <c r="E27" s="186" t="s">
        <v>217</v>
      </c>
      <c r="F27">
        <v>0.98</v>
      </c>
      <c r="G27">
        <v>0.8</v>
      </c>
      <c r="H27">
        <v>0.8</v>
      </c>
      <c r="I27">
        <v>0.8</v>
      </c>
      <c r="J27" s="110">
        <v>0.25</v>
      </c>
      <c r="K27" s="110">
        <v>0.05</v>
      </c>
    </row>
    <row r="28" spans="4:33" ht="15" customHeight="1" x14ac:dyDescent="0.15">
      <c r="D28">
        <v>27</v>
      </c>
      <c r="E28" s="186" t="s">
        <v>218</v>
      </c>
      <c r="F28">
        <v>0.98</v>
      </c>
      <c r="G28">
        <v>0.8</v>
      </c>
      <c r="H28">
        <v>0.8</v>
      </c>
      <c r="I28">
        <v>0</v>
      </c>
      <c r="J28" s="110">
        <v>0</v>
      </c>
      <c r="K28" s="110">
        <v>0</v>
      </c>
    </row>
    <row r="29" spans="4:33" ht="15" customHeight="1" x14ac:dyDescent="0.15">
      <c r="D29">
        <v>28</v>
      </c>
      <c r="E29" s="186" t="s">
        <v>219</v>
      </c>
      <c r="F29">
        <v>0.98</v>
      </c>
      <c r="G29">
        <v>0.8</v>
      </c>
      <c r="H29">
        <v>0.8</v>
      </c>
      <c r="I29">
        <v>0</v>
      </c>
      <c r="J29" s="110">
        <v>0</v>
      </c>
      <c r="K29" s="110">
        <v>0</v>
      </c>
      <c r="Y29"/>
      <c r="AC29"/>
      <c r="AG29"/>
    </row>
    <row r="30" spans="4:33" ht="15" customHeight="1" x14ac:dyDescent="0.15">
      <c r="D30">
        <v>29</v>
      </c>
      <c r="E30" s="186" t="s">
        <v>220</v>
      </c>
      <c r="F30">
        <v>0.98</v>
      </c>
      <c r="G30">
        <v>0.8</v>
      </c>
      <c r="H30">
        <v>0</v>
      </c>
      <c r="I30">
        <v>0</v>
      </c>
      <c r="J30" s="110">
        <v>0</v>
      </c>
      <c r="K30" s="110">
        <v>0</v>
      </c>
      <c r="Y30"/>
      <c r="AC30"/>
      <c r="AG30"/>
    </row>
    <row r="31" spans="4:33" ht="15" customHeight="1" x14ac:dyDescent="0.15">
      <c r="D31">
        <v>30</v>
      </c>
      <c r="E31" s="186" t="s">
        <v>221</v>
      </c>
      <c r="F31">
        <v>0.98</v>
      </c>
      <c r="G31">
        <v>0.8</v>
      </c>
      <c r="H31">
        <v>0</v>
      </c>
      <c r="I31">
        <v>0</v>
      </c>
      <c r="J31" s="110">
        <v>0</v>
      </c>
      <c r="K31" s="110">
        <v>0</v>
      </c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E32"/>
  <sheetViews>
    <sheetView workbookViewId="0">
      <selection activeCell="A3" sqref="A3"/>
    </sheetView>
  </sheetViews>
  <sheetFormatPr baseColWidth="10" defaultRowHeight="13" x14ac:dyDescent="0.15"/>
  <cols>
    <col min="1" max="1" width="25.83203125" style="108" bestFit="1" customWidth="1"/>
    <col min="2" max="27" width="3.83203125" style="108" customWidth="1"/>
    <col min="28" max="31" width="2.33203125" style="108" customWidth="1"/>
    <col min="32" max="16384" width="10.83203125" style="108"/>
  </cols>
  <sheetData>
    <row r="1" spans="1:31" x14ac:dyDescent="0.15">
      <c r="A1" s="63" t="s">
        <v>118</v>
      </c>
      <c r="B1" s="188" t="s">
        <v>192</v>
      </c>
      <c r="C1" s="188" t="s">
        <v>193</v>
      </c>
      <c r="D1" s="188" t="s">
        <v>194</v>
      </c>
      <c r="E1" s="188" t="s">
        <v>195</v>
      </c>
      <c r="F1" s="188" t="s">
        <v>196</v>
      </c>
      <c r="G1" s="188" t="s">
        <v>197</v>
      </c>
      <c r="H1" s="188" t="s">
        <v>198</v>
      </c>
      <c r="I1" s="188" t="s">
        <v>199</v>
      </c>
      <c r="J1" s="188" t="s">
        <v>200</v>
      </c>
      <c r="K1" s="188" t="s">
        <v>201</v>
      </c>
      <c r="L1" s="188" t="s">
        <v>202</v>
      </c>
      <c r="M1" s="188" t="s">
        <v>203</v>
      </c>
      <c r="N1" s="188" t="s">
        <v>204</v>
      </c>
      <c r="O1" s="188" t="s">
        <v>205</v>
      </c>
      <c r="P1" s="188" t="s">
        <v>206</v>
      </c>
      <c r="Q1" s="188" t="s">
        <v>207</v>
      </c>
      <c r="R1" s="188" t="s">
        <v>208</v>
      </c>
      <c r="S1" s="188" t="s">
        <v>209</v>
      </c>
      <c r="T1" s="188" t="s">
        <v>210</v>
      </c>
      <c r="U1" s="188" t="s">
        <v>211</v>
      </c>
      <c r="V1" s="188" t="s">
        <v>212</v>
      </c>
      <c r="W1" s="188" t="s">
        <v>213</v>
      </c>
      <c r="X1" s="188" t="s">
        <v>214</v>
      </c>
      <c r="Y1" s="188" t="s">
        <v>215</v>
      </c>
      <c r="Z1" s="188" t="s">
        <v>216</v>
      </c>
      <c r="AA1" s="188" t="s">
        <v>217</v>
      </c>
      <c r="AB1" s="188" t="s">
        <v>218</v>
      </c>
      <c r="AC1" s="188" t="s">
        <v>219</v>
      </c>
      <c r="AD1" s="188" t="s">
        <v>220</v>
      </c>
      <c r="AE1" s="188" t="s">
        <v>221</v>
      </c>
    </row>
    <row r="2" spans="1:31" customFormat="1" x14ac:dyDescent="0.15">
      <c r="A2" s="187" t="s">
        <v>192</v>
      </c>
      <c r="B2" s="108">
        <v>0</v>
      </c>
      <c r="C2" s="108">
        <v>0</v>
      </c>
      <c r="D2" s="108">
        <v>0</v>
      </c>
      <c r="E2" s="108">
        <v>0</v>
      </c>
      <c r="F2" s="108">
        <v>0</v>
      </c>
      <c r="G2" s="108">
        <v>0</v>
      </c>
      <c r="H2" s="108">
        <v>0</v>
      </c>
      <c r="I2" s="108">
        <v>0</v>
      </c>
      <c r="J2" s="108">
        <v>0</v>
      </c>
      <c r="K2" s="108">
        <v>0</v>
      </c>
      <c r="L2" s="108">
        <v>0</v>
      </c>
      <c r="M2" s="108">
        <v>0</v>
      </c>
      <c r="N2" s="108">
        <v>0</v>
      </c>
      <c r="O2" s="108">
        <v>0</v>
      </c>
      <c r="P2" s="108">
        <v>0</v>
      </c>
      <c r="Q2" s="108">
        <v>0</v>
      </c>
      <c r="R2" s="108">
        <v>0</v>
      </c>
      <c r="S2" s="108">
        <v>0</v>
      </c>
      <c r="T2" s="108">
        <v>0</v>
      </c>
      <c r="U2" s="108">
        <v>0</v>
      </c>
      <c r="V2" s="108">
        <v>0</v>
      </c>
      <c r="W2" s="108">
        <v>0</v>
      </c>
      <c r="X2" s="108">
        <v>0</v>
      </c>
      <c r="Y2" s="108">
        <v>0</v>
      </c>
      <c r="Z2" s="108">
        <v>0</v>
      </c>
      <c r="AA2" s="108">
        <v>0</v>
      </c>
      <c r="AB2" s="108">
        <v>0</v>
      </c>
      <c r="AC2" s="108">
        <v>0</v>
      </c>
      <c r="AD2" s="108">
        <v>0</v>
      </c>
      <c r="AE2" s="108">
        <v>0</v>
      </c>
    </row>
    <row r="3" spans="1:31" customFormat="1" x14ac:dyDescent="0.15">
      <c r="A3" s="187" t="s">
        <v>193</v>
      </c>
      <c r="B3" s="108">
        <v>0</v>
      </c>
      <c r="C3" s="108">
        <v>0</v>
      </c>
      <c r="D3" s="108">
        <v>0</v>
      </c>
      <c r="E3" s="108">
        <v>0</v>
      </c>
      <c r="F3" s="108">
        <v>0</v>
      </c>
      <c r="G3" s="108">
        <v>0</v>
      </c>
      <c r="H3" s="108">
        <v>0</v>
      </c>
      <c r="I3" s="108">
        <v>0</v>
      </c>
      <c r="J3" s="108">
        <v>0</v>
      </c>
      <c r="K3" s="108">
        <v>0</v>
      </c>
      <c r="L3" s="108">
        <v>0</v>
      </c>
      <c r="M3" s="108">
        <v>0</v>
      </c>
      <c r="N3" s="108">
        <v>0</v>
      </c>
      <c r="O3" s="108">
        <v>0</v>
      </c>
      <c r="P3" s="108">
        <v>0</v>
      </c>
      <c r="Q3" s="108">
        <v>0</v>
      </c>
      <c r="R3" s="108">
        <v>0</v>
      </c>
      <c r="S3" s="108">
        <v>0</v>
      </c>
      <c r="T3" s="108">
        <v>0</v>
      </c>
      <c r="U3" s="108">
        <v>0</v>
      </c>
      <c r="V3" s="108">
        <v>0</v>
      </c>
      <c r="W3" s="108">
        <v>0</v>
      </c>
      <c r="X3" s="108">
        <v>0</v>
      </c>
      <c r="Y3" s="108">
        <v>0</v>
      </c>
      <c r="Z3" s="108">
        <v>0</v>
      </c>
      <c r="AA3" s="108">
        <v>0</v>
      </c>
      <c r="AB3" s="108">
        <v>0</v>
      </c>
      <c r="AC3" s="108">
        <v>0</v>
      </c>
      <c r="AD3" s="108">
        <v>0</v>
      </c>
      <c r="AE3" s="108">
        <v>0</v>
      </c>
    </row>
    <row r="4" spans="1:31" customFormat="1" x14ac:dyDescent="0.15">
      <c r="A4" s="187" t="s">
        <v>194</v>
      </c>
      <c r="B4" s="108">
        <v>0</v>
      </c>
      <c r="C4" s="108">
        <v>0</v>
      </c>
      <c r="D4" s="108">
        <v>0</v>
      </c>
      <c r="E4" s="108">
        <v>0</v>
      </c>
      <c r="F4" s="108">
        <v>0</v>
      </c>
      <c r="G4" s="108">
        <v>0</v>
      </c>
      <c r="H4" s="108">
        <v>0</v>
      </c>
      <c r="I4" s="108">
        <v>0</v>
      </c>
      <c r="J4" s="108">
        <v>0</v>
      </c>
      <c r="K4" s="108">
        <v>0</v>
      </c>
      <c r="L4" s="108">
        <v>0</v>
      </c>
      <c r="M4" s="108">
        <v>0</v>
      </c>
      <c r="N4" s="108">
        <v>0</v>
      </c>
      <c r="O4" s="108">
        <v>0</v>
      </c>
      <c r="P4" s="108">
        <v>0</v>
      </c>
      <c r="Q4" s="108">
        <v>0</v>
      </c>
      <c r="R4" s="108">
        <v>0</v>
      </c>
      <c r="S4" s="108">
        <v>0</v>
      </c>
      <c r="T4" s="108">
        <v>0</v>
      </c>
      <c r="U4" s="108">
        <v>0</v>
      </c>
      <c r="V4" s="108">
        <v>0</v>
      </c>
      <c r="W4" s="108">
        <v>0</v>
      </c>
      <c r="X4" s="108">
        <v>0</v>
      </c>
      <c r="Y4" s="108">
        <v>0</v>
      </c>
      <c r="Z4" s="108">
        <v>0</v>
      </c>
      <c r="AA4" s="108">
        <v>0</v>
      </c>
      <c r="AB4" s="108">
        <v>0</v>
      </c>
      <c r="AC4" s="108">
        <v>0</v>
      </c>
      <c r="AD4" s="108">
        <v>0</v>
      </c>
      <c r="AE4" s="108">
        <v>0</v>
      </c>
    </row>
    <row r="5" spans="1:31" customFormat="1" x14ac:dyDescent="0.15">
      <c r="A5" s="187" t="s">
        <v>195</v>
      </c>
      <c r="B5" s="108">
        <v>0.8</v>
      </c>
      <c r="C5" s="108">
        <v>0.8</v>
      </c>
      <c r="D5" s="108">
        <v>0</v>
      </c>
      <c r="E5" s="108">
        <v>0.8</v>
      </c>
      <c r="F5" s="108">
        <v>0</v>
      </c>
      <c r="G5" s="108">
        <v>0</v>
      </c>
      <c r="H5" s="108">
        <v>0.8</v>
      </c>
      <c r="I5" s="108">
        <v>0</v>
      </c>
      <c r="J5" s="108">
        <v>0.8</v>
      </c>
      <c r="K5" s="108">
        <v>0</v>
      </c>
      <c r="L5" s="108">
        <v>0</v>
      </c>
      <c r="M5" s="108">
        <v>0</v>
      </c>
      <c r="N5" s="108">
        <v>0</v>
      </c>
      <c r="O5" s="108">
        <v>0</v>
      </c>
      <c r="P5" s="108">
        <v>0</v>
      </c>
      <c r="Q5" s="108">
        <v>0</v>
      </c>
      <c r="R5" s="108">
        <v>0</v>
      </c>
      <c r="S5" s="108">
        <v>0</v>
      </c>
      <c r="T5" s="108">
        <v>0</v>
      </c>
      <c r="U5" s="108">
        <v>0</v>
      </c>
      <c r="V5" s="108">
        <v>0</v>
      </c>
      <c r="W5" s="108">
        <v>0</v>
      </c>
      <c r="X5" s="108">
        <v>0</v>
      </c>
      <c r="Y5" s="108">
        <v>0</v>
      </c>
      <c r="Z5" s="108">
        <v>0</v>
      </c>
      <c r="AA5" s="108">
        <v>0</v>
      </c>
      <c r="AB5" s="108">
        <v>0</v>
      </c>
      <c r="AC5" s="108">
        <v>0</v>
      </c>
      <c r="AD5" s="108">
        <v>0</v>
      </c>
      <c r="AE5" s="108">
        <v>0</v>
      </c>
    </row>
    <row r="6" spans="1:31" customFormat="1" x14ac:dyDescent="0.15">
      <c r="A6" s="187" t="s">
        <v>196</v>
      </c>
      <c r="B6" s="108">
        <v>0</v>
      </c>
      <c r="C6" s="108">
        <v>0</v>
      </c>
      <c r="D6" s="108">
        <v>0</v>
      </c>
      <c r="E6" s="108">
        <v>0</v>
      </c>
      <c r="F6" s="108">
        <v>0</v>
      </c>
      <c r="G6" s="108">
        <v>0</v>
      </c>
      <c r="H6" s="108">
        <v>0</v>
      </c>
      <c r="I6" s="108">
        <v>0</v>
      </c>
      <c r="J6" s="108">
        <v>0</v>
      </c>
      <c r="K6" s="108">
        <v>0</v>
      </c>
      <c r="L6" s="108">
        <v>0</v>
      </c>
      <c r="M6" s="108">
        <v>0</v>
      </c>
      <c r="N6" s="108">
        <v>0</v>
      </c>
      <c r="O6" s="108">
        <v>0</v>
      </c>
      <c r="P6" s="108">
        <v>0</v>
      </c>
      <c r="Q6" s="108">
        <v>0</v>
      </c>
      <c r="R6" s="108">
        <v>0</v>
      </c>
      <c r="S6" s="108">
        <v>0</v>
      </c>
      <c r="T6" s="108">
        <v>0</v>
      </c>
      <c r="U6" s="108">
        <v>0</v>
      </c>
      <c r="V6" s="108">
        <v>0</v>
      </c>
      <c r="W6" s="108">
        <v>0</v>
      </c>
      <c r="X6" s="108">
        <v>0</v>
      </c>
      <c r="Y6" s="108">
        <v>0</v>
      </c>
      <c r="Z6" s="108">
        <v>0</v>
      </c>
      <c r="AA6" s="108">
        <v>0</v>
      </c>
      <c r="AB6" s="108">
        <v>0</v>
      </c>
      <c r="AC6" s="108">
        <v>0</v>
      </c>
      <c r="AD6" s="108">
        <v>0</v>
      </c>
      <c r="AE6" s="108">
        <v>0</v>
      </c>
    </row>
    <row r="7" spans="1:31" customFormat="1" x14ac:dyDescent="0.15">
      <c r="A7" s="187" t="s">
        <v>197</v>
      </c>
      <c r="B7" s="108">
        <v>0</v>
      </c>
      <c r="C7" s="108">
        <v>0</v>
      </c>
      <c r="D7" s="108">
        <v>0</v>
      </c>
      <c r="E7" s="108">
        <v>0</v>
      </c>
      <c r="F7" s="108">
        <v>0</v>
      </c>
      <c r="G7" s="108">
        <v>0</v>
      </c>
      <c r="H7" s="108">
        <v>0</v>
      </c>
      <c r="I7" s="108">
        <v>0</v>
      </c>
      <c r="J7" s="108">
        <v>0</v>
      </c>
      <c r="K7" s="108">
        <v>0</v>
      </c>
      <c r="L7" s="108">
        <v>0</v>
      </c>
      <c r="M7" s="108">
        <v>0</v>
      </c>
      <c r="N7" s="108">
        <v>0</v>
      </c>
      <c r="O7" s="108">
        <v>0</v>
      </c>
      <c r="P7" s="108">
        <v>0</v>
      </c>
      <c r="Q7" s="108">
        <v>0</v>
      </c>
      <c r="R7" s="108">
        <v>0</v>
      </c>
      <c r="S7" s="108">
        <v>0</v>
      </c>
      <c r="T7" s="108">
        <v>0</v>
      </c>
      <c r="U7" s="108">
        <v>0</v>
      </c>
      <c r="V7" s="108">
        <v>0</v>
      </c>
      <c r="W7" s="108">
        <v>0</v>
      </c>
      <c r="X7" s="108">
        <v>0</v>
      </c>
      <c r="Y7" s="108">
        <v>0</v>
      </c>
      <c r="Z7" s="108">
        <v>0</v>
      </c>
      <c r="AA7" s="108">
        <v>0</v>
      </c>
      <c r="AB7" s="108">
        <v>0</v>
      </c>
      <c r="AC7" s="108">
        <v>0</v>
      </c>
      <c r="AD7" s="108">
        <v>0</v>
      </c>
      <c r="AE7" s="108">
        <v>0</v>
      </c>
    </row>
    <row r="8" spans="1:31" customFormat="1" x14ac:dyDescent="0.15">
      <c r="A8" s="187" t="s">
        <v>198</v>
      </c>
      <c r="B8" s="108">
        <v>0.8</v>
      </c>
      <c r="C8" s="108">
        <v>0.8</v>
      </c>
      <c r="D8" s="108">
        <v>0</v>
      </c>
      <c r="E8" s="108">
        <v>0</v>
      </c>
      <c r="F8" s="108">
        <v>0</v>
      </c>
      <c r="G8" s="108">
        <v>0</v>
      </c>
      <c r="H8" s="108">
        <v>0</v>
      </c>
      <c r="I8" s="108">
        <v>0</v>
      </c>
      <c r="J8" s="108">
        <v>0</v>
      </c>
      <c r="K8" s="108">
        <v>0</v>
      </c>
      <c r="L8" s="108">
        <v>0</v>
      </c>
      <c r="M8" s="108">
        <v>0</v>
      </c>
      <c r="N8" s="108">
        <v>0</v>
      </c>
      <c r="O8" s="108">
        <v>0</v>
      </c>
      <c r="P8" s="108">
        <v>0</v>
      </c>
      <c r="Q8" s="108">
        <v>0</v>
      </c>
      <c r="R8" s="108">
        <v>0</v>
      </c>
      <c r="S8" s="108">
        <v>0</v>
      </c>
      <c r="T8" s="108">
        <v>0</v>
      </c>
      <c r="U8" s="108">
        <v>0</v>
      </c>
      <c r="V8" s="108">
        <v>0</v>
      </c>
      <c r="W8" s="108">
        <v>0</v>
      </c>
      <c r="X8" s="108">
        <v>0</v>
      </c>
      <c r="Y8" s="108">
        <v>0</v>
      </c>
      <c r="Z8" s="108">
        <v>0</v>
      </c>
      <c r="AA8" s="108">
        <v>0</v>
      </c>
      <c r="AB8" s="108">
        <v>0</v>
      </c>
      <c r="AC8" s="108">
        <v>0</v>
      </c>
      <c r="AD8" s="108">
        <v>0</v>
      </c>
      <c r="AE8" s="108">
        <v>0</v>
      </c>
    </row>
    <row r="9" spans="1:31" customFormat="1" x14ac:dyDescent="0.15">
      <c r="A9" s="187" t="s">
        <v>199</v>
      </c>
      <c r="B9" s="108">
        <v>0.8</v>
      </c>
      <c r="C9" s="108">
        <v>0</v>
      </c>
      <c r="D9" s="108">
        <v>0</v>
      </c>
      <c r="E9" s="108">
        <v>0</v>
      </c>
      <c r="F9" s="108">
        <v>0</v>
      </c>
      <c r="G9" s="108">
        <v>0</v>
      </c>
      <c r="H9" s="108">
        <v>0</v>
      </c>
      <c r="I9" s="108">
        <v>0</v>
      </c>
      <c r="J9" s="108">
        <v>0</v>
      </c>
      <c r="K9" s="108">
        <v>0</v>
      </c>
      <c r="L9" s="108">
        <v>0</v>
      </c>
      <c r="M9" s="108">
        <v>0</v>
      </c>
      <c r="N9" s="108">
        <v>0</v>
      </c>
      <c r="O9" s="108">
        <v>0</v>
      </c>
      <c r="P9" s="108">
        <v>0</v>
      </c>
      <c r="Q9" s="108">
        <v>0</v>
      </c>
      <c r="R9" s="108">
        <v>0</v>
      </c>
      <c r="S9" s="108">
        <v>0</v>
      </c>
      <c r="T9" s="108">
        <v>0</v>
      </c>
      <c r="U9" s="108">
        <v>0</v>
      </c>
      <c r="V9" s="108">
        <v>0</v>
      </c>
      <c r="W9" s="108">
        <v>0</v>
      </c>
      <c r="X9" s="108">
        <v>0</v>
      </c>
      <c r="Y9" s="108">
        <v>0</v>
      </c>
      <c r="Z9" s="108">
        <v>0</v>
      </c>
      <c r="AA9" s="108">
        <v>0</v>
      </c>
      <c r="AB9" s="108">
        <v>0</v>
      </c>
      <c r="AC9" s="108">
        <v>0</v>
      </c>
      <c r="AD9" s="108">
        <v>0</v>
      </c>
      <c r="AE9" s="108">
        <v>0</v>
      </c>
    </row>
    <row r="10" spans="1:31" customFormat="1" x14ac:dyDescent="0.15">
      <c r="A10" s="187" t="s">
        <v>200</v>
      </c>
      <c r="B10" s="108">
        <v>0.8</v>
      </c>
      <c r="C10" s="108">
        <v>0</v>
      </c>
      <c r="D10" s="108">
        <v>0</v>
      </c>
      <c r="E10" s="108">
        <v>0</v>
      </c>
      <c r="F10" s="108">
        <v>0</v>
      </c>
      <c r="G10" s="108">
        <v>0</v>
      </c>
      <c r="H10" s="108">
        <v>0</v>
      </c>
      <c r="I10" s="108">
        <v>0</v>
      </c>
      <c r="J10" s="108">
        <v>0.8</v>
      </c>
      <c r="K10" s="108">
        <v>0</v>
      </c>
      <c r="L10" s="108">
        <v>0</v>
      </c>
      <c r="M10" s="108">
        <v>0</v>
      </c>
      <c r="N10" s="108">
        <v>0</v>
      </c>
      <c r="O10" s="108">
        <v>0</v>
      </c>
      <c r="P10" s="108">
        <v>0</v>
      </c>
      <c r="Q10" s="108">
        <v>0</v>
      </c>
      <c r="R10" s="108">
        <v>0</v>
      </c>
      <c r="S10" s="108">
        <v>0</v>
      </c>
      <c r="T10" s="108">
        <v>0</v>
      </c>
      <c r="U10" s="108">
        <v>0</v>
      </c>
      <c r="V10" s="108">
        <v>0</v>
      </c>
      <c r="W10" s="108">
        <v>0</v>
      </c>
      <c r="X10" s="108">
        <v>0</v>
      </c>
      <c r="Y10" s="108">
        <v>0</v>
      </c>
      <c r="Z10" s="108">
        <v>0</v>
      </c>
      <c r="AA10" s="108">
        <v>0</v>
      </c>
      <c r="AB10" s="108">
        <v>0</v>
      </c>
      <c r="AC10" s="108">
        <v>0</v>
      </c>
      <c r="AD10" s="108">
        <v>0</v>
      </c>
      <c r="AE10" s="108">
        <v>0</v>
      </c>
    </row>
    <row r="11" spans="1:31" customFormat="1" x14ac:dyDescent="0.15">
      <c r="A11" s="187" t="s">
        <v>201</v>
      </c>
      <c r="B11" s="108">
        <v>0.8</v>
      </c>
      <c r="C11" s="108">
        <v>0.8</v>
      </c>
      <c r="D11" s="108">
        <v>0</v>
      </c>
      <c r="E11" s="108">
        <v>0.8</v>
      </c>
      <c r="F11" s="108">
        <v>0.8</v>
      </c>
      <c r="G11" s="108">
        <v>0.8</v>
      </c>
      <c r="H11" s="108">
        <v>0.8</v>
      </c>
      <c r="I11" s="108">
        <v>0</v>
      </c>
      <c r="J11" s="108">
        <v>0</v>
      </c>
      <c r="K11" s="108">
        <v>0.8</v>
      </c>
      <c r="L11" s="108">
        <v>0</v>
      </c>
      <c r="M11" s="108">
        <v>0</v>
      </c>
      <c r="N11" s="108">
        <v>0</v>
      </c>
      <c r="O11" s="108">
        <v>0</v>
      </c>
      <c r="P11" s="108">
        <v>0</v>
      </c>
      <c r="Q11" s="108">
        <v>0</v>
      </c>
      <c r="R11" s="108">
        <v>0</v>
      </c>
      <c r="S11" s="108">
        <v>0</v>
      </c>
      <c r="T11" s="108">
        <v>0</v>
      </c>
      <c r="U11" s="108">
        <v>0</v>
      </c>
      <c r="V11" s="108">
        <v>0</v>
      </c>
      <c r="W11" s="108">
        <v>0</v>
      </c>
      <c r="X11" s="108">
        <v>0</v>
      </c>
      <c r="Y11" s="108">
        <v>0</v>
      </c>
      <c r="Z11" s="108">
        <v>0</v>
      </c>
      <c r="AA11" s="108">
        <v>0</v>
      </c>
      <c r="AB11" s="108">
        <v>0</v>
      </c>
      <c r="AC11" s="108">
        <v>0</v>
      </c>
      <c r="AD11" s="108">
        <v>0</v>
      </c>
      <c r="AE11" s="108">
        <v>0</v>
      </c>
    </row>
    <row r="12" spans="1:31" customFormat="1" x14ac:dyDescent="0.15">
      <c r="A12" s="187" t="s">
        <v>202</v>
      </c>
      <c r="B12" s="108">
        <v>0.8</v>
      </c>
      <c r="C12" s="108">
        <v>0.8</v>
      </c>
      <c r="D12" s="108">
        <v>0</v>
      </c>
      <c r="E12" s="108">
        <v>0.8</v>
      </c>
      <c r="F12" s="108">
        <v>0</v>
      </c>
      <c r="G12" s="108">
        <v>0.8</v>
      </c>
      <c r="H12" s="108">
        <v>0.8</v>
      </c>
      <c r="I12" s="108">
        <v>0</v>
      </c>
      <c r="J12" s="108">
        <v>0.8</v>
      </c>
      <c r="K12" s="108">
        <v>0</v>
      </c>
      <c r="L12" s="108">
        <v>0</v>
      </c>
      <c r="M12" s="108">
        <v>0.8</v>
      </c>
      <c r="N12" s="108">
        <v>0</v>
      </c>
      <c r="O12" s="108">
        <v>0</v>
      </c>
      <c r="P12" s="108">
        <v>0</v>
      </c>
      <c r="Q12" s="108">
        <v>0</v>
      </c>
      <c r="R12" s="108">
        <v>0</v>
      </c>
      <c r="S12" s="108">
        <v>0</v>
      </c>
      <c r="T12" s="108">
        <v>0</v>
      </c>
      <c r="U12" s="108">
        <v>0</v>
      </c>
      <c r="V12" s="108">
        <v>0</v>
      </c>
      <c r="W12" s="108">
        <v>0</v>
      </c>
      <c r="X12" s="108">
        <v>0</v>
      </c>
      <c r="Y12" s="108">
        <v>0</v>
      </c>
      <c r="Z12" s="108">
        <v>0</v>
      </c>
      <c r="AA12" s="108">
        <v>0</v>
      </c>
      <c r="AB12" s="108">
        <v>0</v>
      </c>
      <c r="AC12" s="108">
        <v>0</v>
      </c>
      <c r="AD12" s="108">
        <v>0</v>
      </c>
      <c r="AE12" s="108">
        <v>0</v>
      </c>
    </row>
    <row r="13" spans="1:31" customFormat="1" x14ac:dyDescent="0.15">
      <c r="A13" s="187" t="s">
        <v>203</v>
      </c>
      <c r="B13" s="108">
        <v>0.8</v>
      </c>
      <c r="C13" s="108">
        <v>0.8</v>
      </c>
      <c r="D13" s="108">
        <v>0</v>
      </c>
      <c r="E13" s="108">
        <v>0.8</v>
      </c>
      <c r="F13" s="108">
        <v>0</v>
      </c>
      <c r="G13" s="108">
        <v>0</v>
      </c>
      <c r="H13" s="108">
        <v>0.8</v>
      </c>
      <c r="I13" s="108">
        <v>0.8</v>
      </c>
      <c r="J13" s="108">
        <v>0</v>
      </c>
      <c r="K13" s="108">
        <v>0</v>
      </c>
      <c r="L13" s="108">
        <v>0</v>
      </c>
      <c r="M13" s="108">
        <v>0</v>
      </c>
      <c r="N13" s="108">
        <v>0</v>
      </c>
      <c r="O13" s="108">
        <v>0</v>
      </c>
      <c r="P13" s="108">
        <v>0</v>
      </c>
      <c r="Q13" s="108">
        <v>0.8</v>
      </c>
      <c r="R13" s="108">
        <v>0</v>
      </c>
      <c r="S13" s="108">
        <v>0</v>
      </c>
      <c r="T13" s="108">
        <v>0</v>
      </c>
      <c r="U13" s="108">
        <v>0</v>
      </c>
      <c r="V13" s="108">
        <v>0</v>
      </c>
      <c r="W13" s="108">
        <v>0</v>
      </c>
      <c r="X13" s="108">
        <v>0</v>
      </c>
      <c r="Y13" s="108">
        <v>0</v>
      </c>
      <c r="Z13" s="108">
        <v>0</v>
      </c>
      <c r="AA13" s="108">
        <v>0</v>
      </c>
      <c r="AB13" s="108">
        <v>0</v>
      </c>
      <c r="AC13" s="108">
        <v>0</v>
      </c>
      <c r="AD13" s="108">
        <v>0</v>
      </c>
      <c r="AE13" s="108">
        <v>0</v>
      </c>
    </row>
    <row r="14" spans="1:31" customFormat="1" x14ac:dyDescent="0.15">
      <c r="A14" s="187" t="s">
        <v>204</v>
      </c>
      <c r="B14" s="108">
        <v>0.8</v>
      </c>
      <c r="C14" s="108">
        <v>0.8</v>
      </c>
      <c r="D14" s="108">
        <v>0</v>
      </c>
      <c r="E14" s="108">
        <v>0.8</v>
      </c>
      <c r="F14" s="108">
        <v>0.8</v>
      </c>
      <c r="G14" s="108">
        <v>0.8</v>
      </c>
      <c r="H14" s="108">
        <v>0.8</v>
      </c>
      <c r="I14" s="108">
        <v>0.8</v>
      </c>
      <c r="J14" s="108">
        <v>0.8</v>
      </c>
      <c r="K14" s="108">
        <v>0.8</v>
      </c>
      <c r="L14" s="108">
        <v>0</v>
      </c>
      <c r="M14" s="108">
        <v>0</v>
      </c>
      <c r="N14" s="108">
        <v>0.8</v>
      </c>
      <c r="O14" s="108">
        <v>0</v>
      </c>
      <c r="P14" s="108">
        <v>0</v>
      </c>
      <c r="Q14" s="108">
        <v>0</v>
      </c>
      <c r="R14" s="108">
        <v>0</v>
      </c>
      <c r="S14" s="108">
        <v>0</v>
      </c>
      <c r="T14" s="108">
        <v>0</v>
      </c>
      <c r="U14" s="108">
        <v>0</v>
      </c>
      <c r="V14" s="108">
        <v>0</v>
      </c>
      <c r="W14" s="108">
        <v>0</v>
      </c>
      <c r="X14" s="108">
        <v>0</v>
      </c>
      <c r="Y14" s="108">
        <v>0</v>
      </c>
      <c r="Z14" s="108">
        <v>0</v>
      </c>
      <c r="AA14" s="108">
        <v>0</v>
      </c>
      <c r="AB14" s="108">
        <v>0</v>
      </c>
      <c r="AC14" s="108">
        <v>0</v>
      </c>
      <c r="AD14" s="108">
        <v>0</v>
      </c>
      <c r="AE14" s="108">
        <v>0</v>
      </c>
    </row>
    <row r="15" spans="1:31" customFormat="1" x14ac:dyDescent="0.15">
      <c r="A15" s="187" t="s">
        <v>205</v>
      </c>
      <c r="B15" s="108">
        <v>0.8</v>
      </c>
      <c r="C15" s="108">
        <v>0</v>
      </c>
      <c r="D15" s="108">
        <v>0</v>
      </c>
      <c r="E15" s="108">
        <v>0.8</v>
      </c>
      <c r="F15" s="108">
        <v>0.8</v>
      </c>
      <c r="G15" s="108">
        <v>0.8</v>
      </c>
      <c r="H15" s="108">
        <v>0.8</v>
      </c>
      <c r="I15" s="108">
        <v>0.8</v>
      </c>
      <c r="J15" s="108">
        <v>0</v>
      </c>
      <c r="K15" s="108">
        <v>0.8</v>
      </c>
      <c r="L15" s="108">
        <v>0</v>
      </c>
      <c r="M15" s="108">
        <v>0</v>
      </c>
      <c r="N15" s="108">
        <v>0.8</v>
      </c>
      <c r="O15" s="108">
        <v>0</v>
      </c>
      <c r="P15" s="108">
        <v>0</v>
      </c>
      <c r="Q15" s="108">
        <v>0</v>
      </c>
      <c r="R15" s="108">
        <v>0</v>
      </c>
      <c r="S15" s="108">
        <v>0</v>
      </c>
      <c r="T15" s="108">
        <v>0</v>
      </c>
      <c r="U15" s="108">
        <v>0</v>
      </c>
      <c r="V15" s="108">
        <v>0</v>
      </c>
      <c r="W15" s="108">
        <v>0</v>
      </c>
      <c r="X15" s="108">
        <v>0</v>
      </c>
      <c r="Y15" s="108">
        <v>0</v>
      </c>
      <c r="Z15" s="108">
        <v>0</v>
      </c>
      <c r="AA15" s="108">
        <v>0</v>
      </c>
      <c r="AB15" s="108">
        <v>0</v>
      </c>
      <c r="AC15" s="108">
        <v>0</v>
      </c>
      <c r="AD15" s="108">
        <v>0</v>
      </c>
      <c r="AE15" s="108">
        <v>0</v>
      </c>
    </row>
    <row r="16" spans="1:31" customFormat="1" x14ac:dyDescent="0.15">
      <c r="A16" s="187" t="s">
        <v>206</v>
      </c>
      <c r="B16" s="108">
        <v>0.8</v>
      </c>
      <c r="C16" s="108">
        <v>0</v>
      </c>
      <c r="D16" s="108">
        <v>0</v>
      </c>
      <c r="E16" s="108">
        <v>0.8</v>
      </c>
      <c r="F16" s="108">
        <v>0.8</v>
      </c>
      <c r="G16" s="108">
        <v>0.8</v>
      </c>
      <c r="H16" s="108">
        <v>0.8</v>
      </c>
      <c r="I16" s="108">
        <v>0.8</v>
      </c>
      <c r="J16" s="108">
        <v>0</v>
      </c>
      <c r="K16" s="108">
        <v>0.8</v>
      </c>
      <c r="L16" s="108">
        <v>0</v>
      </c>
      <c r="M16" s="108">
        <v>0</v>
      </c>
      <c r="N16" s="108">
        <v>0.8</v>
      </c>
      <c r="O16" s="108">
        <v>0</v>
      </c>
      <c r="P16" s="108">
        <v>0</v>
      </c>
      <c r="Q16" s="108">
        <v>0</v>
      </c>
      <c r="R16" s="108">
        <v>0</v>
      </c>
      <c r="S16" s="108">
        <v>0</v>
      </c>
      <c r="T16" s="108">
        <v>0</v>
      </c>
      <c r="U16" s="108">
        <v>0</v>
      </c>
      <c r="V16" s="108">
        <v>0</v>
      </c>
      <c r="W16" s="108">
        <v>0</v>
      </c>
      <c r="X16" s="108">
        <v>0</v>
      </c>
      <c r="Y16" s="108">
        <v>0</v>
      </c>
      <c r="Z16" s="108">
        <v>0</v>
      </c>
      <c r="AA16" s="108">
        <v>0</v>
      </c>
      <c r="AB16" s="108">
        <v>0</v>
      </c>
      <c r="AC16" s="108">
        <v>0</v>
      </c>
      <c r="AD16" s="108">
        <v>0</v>
      </c>
      <c r="AE16" s="108">
        <v>0</v>
      </c>
    </row>
    <row r="17" spans="1:31" customFormat="1" x14ac:dyDescent="0.15">
      <c r="A17" s="187" t="s">
        <v>207</v>
      </c>
      <c r="B17" s="108">
        <v>0.8</v>
      </c>
      <c r="C17" s="108">
        <v>0</v>
      </c>
      <c r="D17" s="108">
        <v>0</v>
      </c>
      <c r="E17" s="108">
        <v>0.8</v>
      </c>
      <c r="F17" s="108">
        <v>0.8</v>
      </c>
      <c r="G17" s="108">
        <v>0.8</v>
      </c>
      <c r="H17" s="108">
        <v>0.8</v>
      </c>
      <c r="I17" s="108">
        <v>0.8</v>
      </c>
      <c r="J17" s="108">
        <v>0</v>
      </c>
      <c r="K17" s="108">
        <v>0.8</v>
      </c>
      <c r="L17" s="108">
        <v>0</v>
      </c>
      <c r="M17" s="108">
        <v>0</v>
      </c>
      <c r="N17" s="108">
        <v>0.8</v>
      </c>
      <c r="O17" s="108">
        <v>0</v>
      </c>
      <c r="P17" s="108">
        <v>0</v>
      </c>
      <c r="Q17" s="108">
        <v>0</v>
      </c>
      <c r="R17" s="108">
        <v>0</v>
      </c>
      <c r="S17" s="108">
        <v>0</v>
      </c>
      <c r="T17" s="108">
        <v>0</v>
      </c>
      <c r="U17" s="108">
        <v>0</v>
      </c>
      <c r="V17" s="108">
        <v>0</v>
      </c>
      <c r="W17" s="108">
        <v>0</v>
      </c>
      <c r="X17" s="108">
        <v>0</v>
      </c>
      <c r="Y17" s="108">
        <v>0</v>
      </c>
      <c r="Z17" s="108">
        <v>0</v>
      </c>
      <c r="AA17" s="108">
        <v>0</v>
      </c>
      <c r="AB17" s="108">
        <v>0</v>
      </c>
      <c r="AC17" s="108">
        <v>0</v>
      </c>
      <c r="AD17" s="108">
        <v>0</v>
      </c>
      <c r="AE17" s="108">
        <v>0</v>
      </c>
    </row>
    <row r="18" spans="1:31" customFormat="1" x14ac:dyDescent="0.15">
      <c r="A18" s="187" t="s">
        <v>208</v>
      </c>
      <c r="B18" s="108">
        <v>0.8</v>
      </c>
      <c r="C18" s="108">
        <v>0</v>
      </c>
      <c r="D18" s="108">
        <v>0</v>
      </c>
      <c r="E18" s="108">
        <v>0.8</v>
      </c>
      <c r="F18" s="108">
        <v>0.8</v>
      </c>
      <c r="G18" s="108">
        <v>0.8</v>
      </c>
      <c r="H18" s="108">
        <v>0.8</v>
      </c>
      <c r="I18" s="108">
        <v>0</v>
      </c>
      <c r="J18" s="108">
        <v>0</v>
      </c>
      <c r="K18" s="108">
        <v>0</v>
      </c>
      <c r="L18" s="108">
        <v>0</v>
      </c>
      <c r="M18" s="108">
        <v>0</v>
      </c>
      <c r="N18" s="108">
        <v>0.8</v>
      </c>
      <c r="O18" s="108">
        <v>0</v>
      </c>
      <c r="P18" s="108">
        <v>0</v>
      </c>
      <c r="Q18" s="108">
        <v>0</v>
      </c>
      <c r="R18" s="108">
        <v>0</v>
      </c>
      <c r="S18" s="108">
        <v>0</v>
      </c>
      <c r="T18" s="108">
        <v>0</v>
      </c>
      <c r="U18" s="108">
        <v>0</v>
      </c>
      <c r="V18" s="108">
        <v>0</v>
      </c>
      <c r="W18" s="108">
        <v>0</v>
      </c>
      <c r="X18" s="108">
        <v>0</v>
      </c>
      <c r="Y18" s="108">
        <v>0</v>
      </c>
      <c r="Z18" s="108">
        <v>0</v>
      </c>
      <c r="AA18" s="108">
        <v>0</v>
      </c>
      <c r="AB18" s="108">
        <v>0</v>
      </c>
      <c r="AC18" s="108">
        <v>0</v>
      </c>
      <c r="AD18" s="108">
        <v>0</v>
      </c>
      <c r="AE18" s="108">
        <v>0</v>
      </c>
    </row>
    <row r="19" spans="1:31" customFormat="1" x14ac:dyDescent="0.15">
      <c r="A19" s="187" t="s">
        <v>209</v>
      </c>
      <c r="B19" s="108">
        <v>0.8</v>
      </c>
      <c r="C19" s="108">
        <v>0</v>
      </c>
      <c r="D19" s="108">
        <v>0</v>
      </c>
      <c r="E19" s="108">
        <v>0.8</v>
      </c>
      <c r="F19" s="108">
        <v>0.8</v>
      </c>
      <c r="G19" s="108">
        <v>0.8</v>
      </c>
      <c r="H19" s="108">
        <v>0.8</v>
      </c>
      <c r="I19" s="108">
        <v>0.8</v>
      </c>
      <c r="J19" s="108">
        <v>0</v>
      </c>
      <c r="K19" s="108">
        <v>0.8</v>
      </c>
      <c r="L19" s="108">
        <v>0</v>
      </c>
      <c r="M19" s="108">
        <v>0</v>
      </c>
      <c r="N19" s="108">
        <v>0.8</v>
      </c>
      <c r="O19" s="108">
        <v>0</v>
      </c>
      <c r="P19" s="108">
        <v>0</v>
      </c>
      <c r="Q19" s="108">
        <v>0</v>
      </c>
      <c r="R19" s="108">
        <v>0</v>
      </c>
      <c r="S19" s="108">
        <v>0</v>
      </c>
      <c r="T19" s="108">
        <v>0</v>
      </c>
      <c r="U19" s="108">
        <v>0</v>
      </c>
      <c r="V19" s="108">
        <v>0</v>
      </c>
      <c r="W19" s="108">
        <v>0</v>
      </c>
      <c r="X19" s="108">
        <v>0</v>
      </c>
      <c r="Y19" s="108">
        <v>0</v>
      </c>
      <c r="Z19" s="108">
        <v>0</v>
      </c>
      <c r="AA19" s="108">
        <v>0</v>
      </c>
      <c r="AB19" s="108">
        <v>0</v>
      </c>
      <c r="AC19" s="108">
        <v>0</v>
      </c>
      <c r="AD19" s="108">
        <v>0</v>
      </c>
      <c r="AE19" s="108">
        <v>0</v>
      </c>
    </row>
    <row r="20" spans="1:31" customFormat="1" x14ac:dyDescent="0.15">
      <c r="A20" s="187" t="s">
        <v>210</v>
      </c>
      <c r="B20" s="108">
        <v>0.8</v>
      </c>
      <c r="C20" s="108">
        <v>0</v>
      </c>
      <c r="D20" s="108">
        <v>0</v>
      </c>
      <c r="E20" s="108">
        <v>0.8</v>
      </c>
      <c r="F20" s="108">
        <v>0.8</v>
      </c>
      <c r="G20" s="108">
        <v>0.8</v>
      </c>
      <c r="H20" s="108">
        <v>0.8</v>
      </c>
      <c r="I20" s="108">
        <v>0</v>
      </c>
      <c r="J20" s="108">
        <v>0</v>
      </c>
      <c r="K20" s="108">
        <v>0</v>
      </c>
      <c r="L20" s="108">
        <v>0</v>
      </c>
      <c r="M20" s="108">
        <v>0</v>
      </c>
      <c r="N20" s="108">
        <v>0</v>
      </c>
      <c r="O20" s="108">
        <v>0</v>
      </c>
      <c r="P20" s="108">
        <v>0</v>
      </c>
      <c r="Q20" s="108">
        <v>0</v>
      </c>
      <c r="R20" s="108">
        <v>0</v>
      </c>
      <c r="S20" s="108">
        <v>0</v>
      </c>
      <c r="T20" s="108">
        <v>0</v>
      </c>
      <c r="U20" s="108">
        <v>0</v>
      </c>
      <c r="V20" s="108">
        <v>0</v>
      </c>
      <c r="W20" s="108">
        <v>0</v>
      </c>
      <c r="X20" s="108">
        <v>0</v>
      </c>
      <c r="Y20" s="108">
        <v>0</v>
      </c>
      <c r="Z20" s="108">
        <v>0</v>
      </c>
      <c r="AA20" s="108">
        <v>0</v>
      </c>
      <c r="AB20" s="108">
        <v>0</v>
      </c>
      <c r="AC20" s="108">
        <v>0</v>
      </c>
      <c r="AD20" s="108">
        <v>0</v>
      </c>
      <c r="AE20" s="108">
        <v>0</v>
      </c>
    </row>
    <row r="21" spans="1:31" customFormat="1" x14ac:dyDescent="0.15">
      <c r="A21" s="187" t="s">
        <v>211</v>
      </c>
      <c r="B21" s="108">
        <v>0.8</v>
      </c>
      <c r="C21" s="108">
        <v>0</v>
      </c>
      <c r="D21" s="108">
        <v>0.8</v>
      </c>
      <c r="E21" s="108">
        <v>0</v>
      </c>
      <c r="F21" s="108">
        <v>0.8</v>
      </c>
      <c r="G21" s="108">
        <v>0</v>
      </c>
      <c r="H21" s="108">
        <v>0</v>
      </c>
      <c r="I21" s="108">
        <v>0</v>
      </c>
      <c r="J21" s="108">
        <v>0</v>
      </c>
      <c r="K21" s="108">
        <v>0</v>
      </c>
      <c r="L21" s="108">
        <v>0</v>
      </c>
      <c r="M21" s="108">
        <v>0</v>
      </c>
      <c r="N21" s="108">
        <v>0</v>
      </c>
      <c r="O21" s="108">
        <v>0</v>
      </c>
      <c r="P21" s="108">
        <v>0</v>
      </c>
      <c r="Q21" s="108">
        <v>0</v>
      </c>
      <c r="R21" s="108">
        <v>0</v>
      </c>
      <c r="S21" s="108">
        <v>0</v>
      </c>
      <c r="T21" s="108">
        <v>0</v>
      </c>
      <c r="U21" s="108">
        <v>0.8</v>
      </c>
      <c r="V21" s="108">
        <v>0</v>
      </c>
      <c r="W21" s="108">
        <v>0</v>
      </c>
      <c r="X21" s="108">
        <v>0</v>
      </c>
      <c r="Y21" s="108">
        <v>0</v>
      </c>
      <c r="Z21" s="108">
        <v>0</v>
      </c>
      <c r="AA21" s="108">
        <v>0</v>
      </c>
      <c r="AB21" s="108">
        <v>0</v>
      </c>
      <c r="AC21" s="108">
        <v>0</v>
      </c>
      <c r="AD21" s="108">
        <v>0</v>
      </c>
      <c r="AE21" s="108">
        <v>0</v>
      </c>
    </row>
    <row r="22" spans="1:31" customFormat="1" x14ac:dyDescent="0.15">
      <c r="A22" s="187" t="s">
        <v>212</v>
      </c>
      <c r="B22" s="108">
        <v>0</v>
      </c>
      <c r="C22" s="108">
        <v>0.8</v>
      </c>
      <c r="D22" s="108">
        <v>0.8</v>
      </c>
      <c r="E22" s="108">
        <v>0.8</v>
      </c>
      <c r="F22" s="108">
        <v>0.8</v>
      </c>
      <c r="G22" s="108">
        <v>0.8</v>
      </c>
      <c r="H22" s="108">
        <v>0.8</v>
      </c>
      <c r="I22" s="108">
        <v>0</v>
      </c>
      <c r="J22" s="108">
        <v>0.8</v>
      </c>
      <c r="K22" s="108">
        <v>0.8</v>
      </c>
      <c r="L22" s="108">
        <v>0</v>
      </c>
      <c r="M22" s="108">
        <v>0</v>
      </c>
      <c r="N22" s="108">
        <v>0</v>
      </c>
      <c r="O22" s="108">
        <v>0</v>
      </c>
      <c r="P22" s="108">
        <v>0</v>
      </c>
      <c r="Q22" s="108">
        <v>0</v>
      </c>
      <c r="R22" s="108">
        <v>0.8</v>
      </c>
      <c r="S22" s="108">
        <v>0</v>
      </c>
      <c r="T22" s="108">
        <v>0</v>
      </c>
      <c r="U22" s="108">
        <v>0.8</v>
      </c>
      <c r="V22" s="108">
        <v>0.8</v>
      </c>
      <c r="W22" s="108">
        <v>0</v>
      </c>
      <c r="X22" s="108">
        <v>0</v>
      </c>
      <c r="Y22" s="108">
        <v>0</v>
      </c>
      <c r="Z22" s="108">
        <v>0</v>
      </c>
      <c r="AA22" s="108">
        <v>0</v>
      </c>
      <c r="AB22" s="108">
        <v>0</v>
      </c>
      <c r="AC22" s="108">
        <v>0</v>
      </c>
      <c r="AD22" s="108">
        <v>0</v>
      </c>
      <c r="AE22" s="108">
        <v>0</v>
      </c>
    </row>
    <row r="23" spans="1:31" customFormat="1" x14ac:dyDescent="0.15">
      <c r="A23" s="187" t="s">
        <v>213</v>
      </c>
      <c r="B23" s="108">
        <v>0</v>
      </c>
      <c r="C23" s="108">
        <v>0.8</v>
      </c>
      <c r="D23" s="108">
        <v>0.8</v>
      </c>
      <c r="E23" s="108">
        <v>0.8</v>
      </c>
      <c r="F23" s="108">
        <v>0.8</v>
      </c>
      <c r="G23" s="108">
        <v>0.8</v>
      </c>
      <c r="H23" s="108">
        <v>0.8</v>
      </c>
      <c r="I23" s="108">
        <v>0</v>
      </c>
      <c r="J23" s="108">
        <v>0.8</v>
      </c>
      <c r="K23" s="108">
        <v>0.8</v>
      </c>
      <c r="L23" s="108">
        <v>0.8</v>
      </c>
      <c r="M23" s="108">
        <v>0.8</v>
      </c>
      <c r="N23" s="108">
        <v>0</v>
      </c>
      <c r="O23" s="108">
        <v>0</v>
      </c>
      <c r="P23" s="108">
        <v>0</v>
      </c>
      <c r="Q23" s="108">
        <v>0.8</v>
      </c>
      <c r="R23" s="108">
        <v>0.8</v>
      </c>
      <c r="S23" s="108">
        <v>0</v>
      </c>
      <c r="T23" s="108">
        <v>0</v>
      </c>
      <c r="U23" s="108">
        <v>0</v>
      </c>
      <c r="V23" s="108">
        <v>0.8</v>
      </c>
      <c r="W23" s="108">
        <v>0.8</v>
      </c>
      <c r="X23" s="108">
        <v>0</v>
      </c>
      <c r="Y23" s="108">
        <v>0</v>
      </c>
      <c r="Z23" s="108">
        <v>0</v>
      </c>
      <c r="AA23" s="108">
        <v>0</v>
      </c>
      <c r="AB23" s="108">
        <v>0</v>
      </c>
      <c r="AC23" s="108">
        <v>0</v>
      </c>
      <c r="AD23" s="108">
        <v>0</v>
      </c>
      <c r="AE23" s="108">
        <v>0</v>
      </c>
    </row>
    <row r="24" spans="1:31" customFormat="1" x14ac:dyDescent="0.15">
      <c r="A24" s="187" t="s">
        <v>214</v>
      </c>
      <c r="B24" s="108">
        <v>0</v>
      </c>
      <c r="C24" s="108">
        <v>0.8</v>
      </c>
      <c r="D24" s="108">
        <v>0.8</v>
      </c>
      <c r="E24" s="108">
        <v>0.8</v>
      </c>
      <c r="F24" s="108">
        <v>0.8</v>
      </c>
      <c r="G24" s="108">
        <v>0</v>
      </c>
      <c r="H24" s="108">
        <v>0</v>
      </c>
      <c r="I24" s="108">
        <v>0.8</v>
      </c>
      <c r="J24" s="108">
        <v>0.8</v>
      </c>
      <c r="K24" s="108">
        <v>0.8</v>
      </c>
      <c r="L24" s="108">
        <v>0.8</v>
      </c>
      <c r="M24" s="108">
        <v>0.8</v>
      </c>
      <c r="N24" s="108">
        <v>0.8</v>
      </c>
      <c r="O24" s="108">
        <v>0.8</v>
      </c>
      <c r="P24" s="108">
        <v>0.8</v>
      </c>
      <c r="Q24" s="108">
        <v>0.8</v>
      </c>
      <c r="R24" s="108">
        <v>0.8</v>
      </c>
      <c r="S24" s="108">
        <v>0.8</v>
      </c>
      <c r="T24" s="108">
        <v>0</v>
      </c>
      <c r="U24" s="108">
        <v>0.8</v>
      </c>
      <c r="V24" s="108">
        <v>0.8</v>
      </c>
      <c r="W24" s="108">
        <v>0.8</v>
      </c>
      <c r="X24" s="108">
        <v>0</v>
      </c>
      <c r="Y24" s="108">
        <v>0</v>
      </c>
      <c r="Z24" s="108">
        <v>0</v>
      </c>
      <c r="AA24" s="108">
        <v>0</v>
      </c>
      <c r="AB24" s="108">
        <v>0</v>
      </c>
      <c r="AC24" s="108">
        <v>0</v>
      </c>
      <c r="AD24" s="108">
        <v>0</v>
      </c>
      <c r="AE24" s="108">
        <v>0</v>
      </c>
    </row>
    <row r="25" spans="1:31" customFormat="1" x14ac:dyDescent="0.15">
      <c r="A25" s="187" t="s">
        <v>215</v>
      </c>
      <c r="B25" s="108">
        <v>0</v>
      </c>
      <c r="C25" s="108">
        <v>0</v>
      </c>
      <c r="D25" s="108">
        <v>0.8</v>
      </c>
      <c r="E25" s="108">
        <v>0.8</v>
      </c>
      <c r="F25" s="108">
        <v>0.8</v>
      </c>
      <c r="G25" s="108">
        <v>0.8</v>
      </c>
      <c r="H25" s="108">
        <v>0.8</v>
      </c>
      <c r="I25" s="108">
        <v>0.8</v>
      </c>
      <c r="J25" s="108">
        <v>0.8</v>
      </c>
      <c r="K25" s="108">
        <v>0.8</v>
      </c>
      <c r="L25" s="108">
        <v>0.8</v>
      </c>
      <c r="M25" s="108">
        <v>0.8</v>
      </c>
      <c r="N25" s="108">
        <v>0.8</v>
      </c>
      <c r="O25" s="108">
        <v>0.8</v>
      </c>
      <c r="P25" s="108">
        <v>0.8</v>
      </c>
      <c r="Q25" s="108">
        <v>0.8</v>
      </c>
      <c r="R25" s="108">
        <v>0.8</v>
      </c>
      <c r="S25" s="108">
        <v>0.8</v>
      </c>
      <c r="T25" s="108">
        <v>0</v>
      </c>
      <c r="U25" s="108">
        <v>0.8</v>
      </c>
      <c r="V25" s="108">
        <v>0.8</v>
      </c>
      <c r="W25" s="108">
        <v>0.8</v>
      </c>
      <c r="X25" s="108">
        <v>0</v>
      </c>
      <c r="Y25" s="108">
        <v>0</v>
      </c>
      <c r="Z25" s="108">
        <v>0</v>
      </c>
      <c r="AA25" s="108">
        <v>0</v>
      </c>
      <c r="AB25" s="108">
        <v>0</v>
      </c>
      <c r="AC25" s="108">
        <v>0</v>
      </c>
      <c r="AD25" s="108">
        <v>0</v>
      </c>
      <c r="AE25" s="108">
        <v>0</v>
      </c>
    </row>
    <row r="26" spans="1:31" customFormat="1" x14ac:dyDescent="0.15">
      <c r="A26" s="187" t="s">
        <v>216</v>
      </c>
      <c r="B26" s="108">
        <v>0</v>
      </c>
      <c r="C26" s="108">
        <v>0</v>
      </c>
      <c r="D26" s="108">
        <v>0.8</v>
      </c>
      <c r="E26" s="108">
        <v>0.8</v>
      </c>
      <c r="F26" s="108">
        <v>0.8</v>
      </c>
      <c r="G26" s="108">
        <v>0</v>
      </c>
      <c r="H26" s="108">
        <v>0</v>
      </c>
      <c r="I26" s="108">
        <v>0.8</v>
      </c>
      <c r="J26" s="108">
        <v>0.8</v>
      </c>
      <c r="K26" s="108">
        <v>0</v>
      </c>
      <c r="L26" s="108">
        <v>0</v>
      </c>
      <c r="M26" s="108">
        <v>0</v>
      </c>
      <c r="N26" s="108">
        <v>0.8</v>
      </c>
      <c r="O26" s="108">
        <v>0.8</v>
      </c>
      <c r="P26" s="108">
        <v>0.8</v>
      </c>
      <c r="Q26" s="108">
        <v>0.8</v>
      </c>
      <c r="R26" s="108">
        <v>0.8</v>
      </c>
      <c r="S26" s="108">
        <v>0.8</v>
      </c>
      <c r="T26" s="108">
        <v>0</v>
      </c>
      <c r="U26" s="108">
        <v>0.8</v>
      </c>
      <c r="V26" s="108">
        <v>0.8</v>
      </c>
      <c r="W26" s="108">
        <v>0.8</v>
      </c>
      <c r="X26" s="108">
        <v>0</v>
      </c>
      <c r="Y26" s="108">
        <v>0.8</v>
      </c>
      <c r="Z26" s="108">
        <v>0</v>
      </c>
      <c r="AA26" s="108">
        <v>0</v>
      </c>
      <c r="AB26" s="108">
        <v>0</v>
      </c>
      <c r="AC26" s="108">
        <v>0</v>
      </c>
      <c r="AD26" s="108">
        <v>0</v>
      </c>
      <c r="AE26" s="108">
        <v>0</v>
      </c>
    </row>
    <row r="27" spans="1:31" customFormat="1" x14ac:dyDescent="0.15">
      <c r="A27" s="187" t="s">
        <v>217</v>
      </c>
      <c r="B27" s="108">
        <v>0</v>
      </c>
      <c r="C27" s="108">
        <v>0</v>
      </c>
      <c r="D27" s="108">
        <v>0</v>
      </c>
      <c r="E27" s="108">
        <v>0</v>
      </c>
      <c r="F27" s="108">
        <v>0</v>
      </c>
      <c r="G27" s="108">
        <v>0</v>
      </c>
      <c r="H27" s="108">
        <v>0</v>
      </c>
      <c r="I27" s="108">
        <v>0</v>
      </c>
      <c r="J27" s="108">
        <v>0.8</v>
      </c>
      <c r="K27" s="108">
        <v>0.8</v>
      </c>
      <c r="L27" s="108">
        <v>0.8</v>
      </c>
      <c r="M27" s="108">
        <v>0.8</v>
      </c>
      <c r="N27" s="108">
        <v>0.8</v>
      </c>
      <c r="O27" s="108">
        <v>0.8</v>
      </c>
      <c r="P27" s="108">
        <v>0.8</v>
      </c>
      <c r="Q27" s="108">
        <v>0.8</v>
      </c>
      <c r="R27" s="108">
        <v>0.8</v>
      </c>
      <c r="S27" s="108">
        <v>0.8</v>
      </c>
      <c r="T27" s="108">
        <v>0.8</v>
      </c>
      <c r="U27" s="108">
        <v>0.8</v>
      </c>
      <c r="V27" s="108">
        <v>0.8</v>
      </c>
      <c r="W27" s="108">
        <v>0</v>
      </c>
      <c r="X27" s="108">
        <v>0.8</v>
      </c>
      <c r="Y27" s="108">
        <v>0.8</v>
      </c>
      <c r="Z27" s="108">
        <v>0.8</v>
      </c>
      <c r="AA27" s="108">
        <v>0.8</v>
      </c>
      <c r="AB27" s="108">
        <v>0</v>
      </c>
      <c r="AC27" s="108">
        <v>0</v>
      </c>
      <c r="AD27" s="108">
        <v>0</v>
      </c>
      <c r="AE27" s="108">
        <v>0</v>
      </c>
    </row>
    <row r="28" spans="1:31" customFormat="1" x14ac:dyDescent="0.15">
      <c r="A28" s="187" t="s">
        <v>218</v>
      </c>
      <c r="B28" s="108">
        <v>0</v>
      </c>
      <c r="C28" s="108">
        <v>0</v>
      </c>
      <c r="D28" s="108">
        <v>0</v>
      </c>
      <c r="E28" s="108">
        <v>0</v>
      </c>
      <c r="F28" s="108">
        <v>0</v>
      </c>
      <c r="G28" s="108">
        <v>0</v>
      </c>
      <c r="H28" s="108">
        <v>0</v>
      </c>
      <c r="I28" s="108">
        <v>0</v>
      </c>
      <c r="J28" s="108">
        <v>0</v>
      </c>
      <c r="K28" s="108">
        <v>0</v>
      </c>
      <c r="L28" s="108">
        <v>0</v>
      </c>
      <c r="M28" s="108">
        <v>0</v>
      </c>
      <c r="N28" s="108">
        <v>0</v>
      </c>
      <c r="O28" s="108">
        <v>0</v>
      </c>
      <c r="P28" s="108">
        <v>0</v>
      </c>
      <c r="Q28" s="108">
        <v>0</v>
      </c>
      <c r="R28" s="108">
        <v>0</v>
      </c>
      <c r="S28" s="108">
        <v>0</v>
      </c>
      <c r="T28" s="108">
        <v>0.8</v>
      </c>
      <c r="U28" s="108">
        <v>0</v>
      </c>
      <c r="V28" s="108">
        <v>0.8</v>
      </c>
      <c r="W28" s="108">
        <v>0</v>
      </c>
      <c r="X28" s="108">
        <v>0</v>
      </c>
      <c r="Y28" s="108">
        <v>0.8</v>
      </c>
      <c r="Z28" s="108">
        <v>0</v>
      </c>
      <c r="AA28" s="108">
        <v>0</v>
      </c>
      <c r="AB28" s="108">
        <v>0</v>
      </c>
      <c r="AC28" s="108">
        <v>0</v>
      </c>
      <c r="AD28" s="108">
        <v>0</v>
      </c>
      <c r="AE28" s="108">
        <v>0</v>
      </c>
    </row>
    <row r="29" spans="1:31" customFormat="1" x14ac:dyDescent="0.15">
      <c r="A29" s="187" t="s">
        <v>219</v>
      </c>
      <c r="B29" s="108">
        <v>0</v>
      </c>
      <c r="C29" s="108">
        <v>0</v>
      </c>
      <c r="D29" s="108">
        <v>0</v>
      </c>
      <c r="E29" s="108">
        <v>0</v>
      </c>
      <c r="F29" s="108">
        <v>0</v>
      </c>
      <c r="G29" s="108">
        <v>0</v>
      </c>
      <c r="H29" s="108">
        <v>0</v>
      </c>
      <c r="I29" s="108">
        <v>0</v>
      </c>
      <c r="J29" s="108">
        <v>0</v>
      </c>
      <c r="K29" s="108">
        <v>0.8</v>
      </c>
      <c r="L29" s="108">
        <v>0.8</v>
      </c>
      <c r="M29" s="108">
        <v>0.8</v>
      </c>
      <c r="N29" s="108">
        <v>0</v>
      </c>
      <c r="O29" s="108">
        <v>0.8</v>
      </c>
      <c r="P29" s="108">
        <v>0.8</v>
      </c>
      <c r="Q29" s="108">
        <v>0</v>
      </c>
      <c r="R29" s="108">
        <v>0</v>
      </c>
      <c r="S29" s="108">
        <v>0.8</v>
      </c>
      <c r="T29" s="108">
        <v>0.8</v>
      </c>
      <c r="U29" s="108">
        <v>0.8</v>
      </c>
      <c r="V29" s="108">
        <v>0</v>
      </c>
      <c r="W29" s="108">
        <v>0.8</v>
      </c>
      <c r="X29" s="108">
        <v>0.8</v>
      </c>
      <c r="Y29" s="108">
        <v>0.8</v>
      </c>
      <c r="Z29" s="108">
        <v>0.8</v>
      </c>
      <c r="AA29" s="108">
        <v>0.8</v>
      </c>
      <c r="AB29" s="108">
        <v>0</v>
      </c>
      <c r="AC29" s="108">
        <v>0</v>
      </c>
      <c r="AD29" s="108">
        <v>0</v>
      </c>
      <c r="AE29" s="108">
        <v>0</v>
      </c>
    </row>
    <row r="30" spans="1:31" customFormat="1" x14ac:dyDescent="0.15">
      <c r="A30" s="187" t="s">
        <v>220</v>
      </c>
      <c r="B30" s="108">
        <v>0</v>
      </c>
      <c r="C30" s="108">
        <v>0</v>
      </c>
      <c r="D30" s="108">
        <v>0.8</v>
      </c>
      <c r="E30" s="108">
        <v>0</v>
      </c>
      <c r="F30" s="108">
        <v>0</v>
      </c>
      <c r="G30" s="108">
        <v>0</v>
      </c>
      <c r="H30" s="108">
        <v>0</v>
      </c>
      <c r="I30" s="108">
        <v>0.8</v>
      </c>
      <c r="J30" s="108">
        <v>0.8</v>
      </c>
      <c r="K30" s="108">
        <v>0</v>
      </c>
      <c r="L30" s="108">
        <v>0.8</v>
      </c>
      <c r="M30" s="108">
        <v>0.8</v>
      </c>
      <c r="N30" s="108">
        <v>0.8</v>
      </c>
      <c r="O30" s="108">
        <v>0.8</v>
      </c>
      <c r="P30" s="108">
        <v>0.8</v>
      </c>
      <c r="Q30" s="108">
        <v>0.8</v>
      </c>
      <c r="R30" s="108">
        <v>0.8</v>
      </c>
      <c r="S30" s="108">
        <v>0.8</v>
      </c>
      <c r="T30" s="108">
        <v>0</v>
      </c>
      <c r="U30" s="108">
        <v>0.8</v>
      </c>
      <c r="V30" s="108">
        <v>0.8</v>
      </c>
      <c r="W30" s="108">
        <v>0.8</v>
      </c>
      <c r="X30" s="108">
        <v>0.8</v>
      </c>
      <c r="Y30" s="108">
        <v>0.8</v>
      </c>
      <c r="Z30" s="108">
        <v>0.8</v>
      </c>
      <c r="AA30" s="108">
        <v>0.8</v>
      </c>
      <c r="AB30" s="108">
        <v>0</v>
      </c>
      <c r="AC30" s="108">
        <v>0</v>
      </c>
      <c r="AD30" s="108">
        <v>0</v>
      </c>
      <c r="AE30" s="108">
        <v>0</v>
      </c>
    </row>
    <row r="31" spans="1:31" customFormat="1" x14ac:dyDescent="0.15">
      <c r="A31" s="187" t="s">
        <v>221</v>
      </c>
      <c r="B31" s="108">
        <v>0</v>
      </c>
      <c r="C31" s="108">
        <v>0</v>
      </c>
      <c r="D31" s="108">
        <v>0</v>
      </c>
      <c r="E31" s="108">
        <v>0</v>
      </c>
      <c r="F31" s="108">
        <v>0</v>
      </c>
      <c r="G31" s="108">
        <v>0</v>
      </c>
      <c r="H31" s="108">
        <v>0</v>
      </c>
      <c r="I31" s="108">
        <v>0</v>
      </c>
      <c r="J31" s="108">
        <v>0</v>
      </c>
      <c r="K31" s="108">
        <v>0</v>
      </c>
      <c r="L31" s="108">
        <v>0</v>
      </c>
      <c r="M31" s="108">
        <v>0</v>
      </c>
      <c r="N31" s="108">
        <v>0</v>
      </c>
      <c r="O31" s="108">
        <v>0</v>
      </c>
      <c r="P31" s="108">
        <v>0</v>
      </c>
      <c r="Q31" s="108">
        <v>0</v>
      </c>
      <c r="R31" s="108">
        <v>0</v>
      </c>
      <c r="S31" s="108">
        <v>0</v>
      </c>
      <c r="T31" s="108">
        <v>0</v>
      </c>
      <c r="U31" s="108">
        <v>0</v>
      </c>
      <c r="V31" s="108">
        <v>0</v>
      </c>
      <c r="W31" s="108">
        <v>0</v>
      </c>
      <c r="X31" s="108">
        <v>0</v>
      </c>
      <c r="Y31" s="108">
        <v>0</v>
      </c>
      <c r="Z31" s="108">
        <v>0</v>
      </c>
      <c r="AA31" s="108">
        <v>0</v>
      </c>
      <c r="AB31" s="108">
        <v>0</v>
      </c>
      <c r="AC31" s="108">
        <v>0</v>
      </c>
      <c r="AD31" s="108">
        <v>0</v>
      </c>
      <c r="AE31" s="108">
        <v>0</v>
      </c>
    </row>
    <row r="32" spans="1:31" customFormat="1" x14ac:dyDescent="0.15">
      <c r="A32" s="187" t="s">
        <v>223</v>
      </c>
      <c r="B32" s="108">
        <v>0</v>
      </c>
      <c r="C32" s="108">
        <v>0</v>
      </c>
      <c r="D32" s="108">
        <v>0</v>
      </c>
      <c r="E32" s="108">
        <v>0</v>
      </c>
      <c r="F32" s="108">
        <v>0</v>
      </c>
      <c r="G32" s="108">
        <v>0</v>
      </c>
      <c r="H32" s="108">
        <v>0</v>
      </c>
      <c r="I32" s="108">
        <v>0</v>
      </c>
      <c r="J32" s="108">
        <v>0</v>
      </c>
      <c r="K32" s="108">
        <v>0</v>
      </c>
      <c r="L32" s="108">
        <v>0</v>
      </c>
      <c r="M32" s="108">
        <v>0</v>
      </c>
      <c r="N32" s="108">
        <v>0</v>
      </c>
      <c r="O32" s="108">
        <v>0</v>
      </c>
      <c r="P32" s="108">
        <v>0</v>
      </c>
      <c r="Q32" s="108">
        <v>0</v>
      </c>
      <c r="R32" s="108">
        <v>0</v>
      </c>
      <c r="S32" s="108">
        <v>0</v>
      </c>
      <c r="T32" s="108">
        <v>0</v>
      </c>
      <c r="U32" s="108">
        <v>0</v>
      </c>
      <c r="V32" s="108">
        <v>0</v>
      </c>
      <c r="W32" s="108">
        <v>0</v>
      </c>
      <c r="X32" s="108">
        <v>0</v>
      </c>
      <c r="Y32" s="108">
        <v>0</v>
      </c>
      <c r="Z32" s="108">
        <v>0</v>
      </c>
      <c r="AA32" s="108">
        <v>0</v>
      </c>
      <c r="AB32" s="108">
        <v>0</v>
      </c>
      <c r="AC32" s="108">
        <v>0</v>
      </c>
      <c r="AD32" s="108">
        <v>0</v>
      </c>
      <c r="AE32" s="108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2"/>
  <sheetViews>
    <sheetView workbookViewId="0">
      <selection activeCell="A3" sqref="A3"/>
    </sheetView>
  </sheetViews>
  <sheetFormatPr baseColWidth="10" defaultRowHeight="13" x14ac:dyDescent="0.15"/>
  <cols>
    <col min="1" max="1" width="25.83203125" style="108" bestFit="1" customWidth="1"/>
    <col min="2" max="31" width="2.33203125" style="108" customWidth="1"/>
    <col min="32" max="16384" width="10.83203125" style="108"/>
  </cols>
  <sheetData>
    <row r="1" spans="1:31" x14ac:dyDescent="0.15">
      <c r="A1" s="63" t="s">
        <v>139</v>
      </c>
      <c r="B1" s="190" t="s">
        <v>192</v>
      </c>
      <c r="C1" s="190" t="s">
        <v>193</v>
      </c>
      <c r="D1" s="190" t="s">
        <v>194</v>
      </c>
      <c r="E1" s="190" t="s">
        <v>195</v>
      </c>
      <c r="F1" s="190" t="s">
        <v>196</v>
      </c>
      <c r="G1" s="190" t="s">
        <v>197</v>
      </c>
      <c r="H1" s="190" t="s">
        <v>198</v>
      </c>
      <c r="I1" s="190" t="s">
        <v>199</v>
      </c>
      <c r="J1" s="190" t="s">
        <v>200</v>
      </c>
      <c r="K1" s="190" t="s">
        <v>201</v>
      </c>
      <c r="L1" s="190" t="s">
        <v>202</v>
      </c>
      <c r="M1" s="190" t="s">
        <v>203</v>
      </c>
      <c r="N1" s="190" t="s">
        <v>204</v>
      </c>
      <c r="O1" s="190" t="s">
        <v>205</v>
      </c>
      <c r="P1" s="190" t="s">
        <v>206</v>
      </c>
      <c r="Q1" s="190" t="s">
        <v>207</v>
      </c>
      <c r="R1" s="190" t="s">
        <v>208</v>
      </c>
      <c r="S1" s="190" t="s">
        <v>209</v>
      </c>
      <c r="T1" s="190" t="s">
        <v>210</v>
      </c>
      <c r="U1" s="190" t="s">
        <v>211</v>
      </c>
      <c r="V1" s="190" t="s">
        <v>212</v>
      </c>
      <c r="W1" s="190" t="s">
        <v>213</v>
      </c>
      <c r="X1" s="190" t="s">
        <v>214</v>
      </c>
      <c r="Y1" s="190" t="s">
        <v>215</v>
      </c>
      <c r="Z1" s="190" t="s">
        <v>216</v>
      </c>
      <c r="AA1" s="190" t="s">
        <v>217</v>
      </c>
      <c r="AB1" s="190" t="s">
        <v>218</v>
      </c>
      <c r="AC1" s="190" t="s">
        <v>219</v>
      </c>
      <c r="AD1" s="190" t="s">
        <v>220</v>
      </c>
      <c r="AE1" s="190" t="s">
        <v>221</v>
      </c>
    </row>
    <row r="2" spans="1:31" customFormat="1" x14ac:dyDescent="0.15">
      <c r="A2" s="189" t="s">
        <v>192</v>
      </c>
      <c r="B2" s="108">
        <v>0</v>
      </c>
      <c r="C2" s="108">
        <v>0</v>
      </c>
      <c r="D2" s="108">
        <v>0</v>
      </c>
      <c r="E2" s="108">
        <v>0</v>
      </c>
      <c r="F2" s="108">
        <v>0</v>
      </c>
      <c r="G2" s="108">
        <v>0</v>
      </c>
      <c r="H2" s="108">
        <v>0</v>
      </c>
      <c r="I2" s="108">
        <v>0</v>
      </c>
      <c r="J2" s="108">
        <v>0</v>
      </c>
      <c r="K2" s="108">
        <v>0</v>
      </c>
      <c r="L2" s="108">
        <v>0</v>
      </c>
      <c r="M2" s="108">
        <v>0</v>
      </c>
      <c r="N2" s="108">
        <v>0</v>
      </c>
      <c r="O2" s="108">
        <v>0</v>
      </c>
      <c r="P2" s="108">
        <v>0</v>
      </c>
      <c r="Q2" s="108">
        <v>0</v>
      </c>
      <c r="R2" s="108">
        <v>0</v>
      </c>
      <c r="S2" s="108">
        <v>0</v>
      </c>
      <c r="T2" s="108">
        <v>0</v>
      </c>
      <c r="U2" s="108">
        <v>0</v>
      </c>
      <c r="V2" s="108">
        <v>0</v>
      </c>
      <c r="W2" s="108">
        <v>0</v>
      </c>
      <c r="X2" s="108">
        <v>0</v>
      </c>
      <c r="Y2" s="108">
        <v>0</v>
      </c>
      <c r="Z2" s="108">
        <v>0</v>
      </c>
      <c r="AA2" s="108">
        <v>0</v>
      </c>
      <c r="AB2" s="108">
        <v>0</v>
      </c>
      <c r="AC2" s="108">
        <v>0</v>
      </c>
      <c r="AD2" s="108">
        <v>0</v>
      </c>
      <c r="AE2" s="108">
        <v>0</v>
      </c>
    </row>
    <row r="3" spans="1:31" customFormat="1" x14ac:dyDescent="0.15">
      <c r="A3" s="189" t="s">
        <v>193</v>
      </c>
      <c r="B3" s="108">
        <v>0</v>
      </c>
      <c r="C3" s="108">
        <v>0</v>
      </c>
      <c r="D3" s="108">
        <v>0</v>
      </c>
      <c r="E3" s="108">
        <v>0</v>
      </c>
      <c r="F3" s="108">
        <v>0</v>
      </c>
      <c r="G3" s="108">
        <v>0</v>
      </c>
      <c r="H3" s="108">
        <v>0</v>
      </c>
      <c r="I3" s="108">
        <v>0</v>
      </c>
      <c r="J3" s="108">
        <v>0</v>
      </c>
      <c r="K3" s="108">
        <v>0</v>
      </c>
      <c r="L3" s="108">
        <v>0</v>
      </c>
      <c r="M3" s="108">
        <v>0</v>
      </c>
      <c r="N3" s="108">
        <v>0</v>
      </c>
      <c r="O3" s="108">
        <v>0</v>
      </c>
      <c r="P3" s="108">
        <v>0</v>
      </c>
      <c r="Q3" s="108">
        <v>0</v>
      </c>
      <c r="R3" s="108">
        <v>0</v>
      </c>
      <c r="S3" s="108">
        <v>0</v>
      </c>
      <c r="T3" s="108">
        <v>0</v>
      </c>
      <c r="U3" s="108">
        <v>0</v>
      </c>
      <c r="V3" s="108">
        <v>0</v>
      </c>
      <c r="W3" s="108">
        <v>0</v>
      </c>
      <c r="X3" s="108">
        <v>0</v>
      </c>
      <c r="Y3" s="108">
        <v>0</v>
      </c>
      <c r="Z3" s="108">
        <v>0</v>
      </c>
      <c r="AA3" s="108">
        <v>0</v>
      </c>
      <c r="AB3" s="108">
        <v>0</v>
      </c>
      <c r="AC3" s="108">
        <v>0</v>
      </c>
      <c r="AD3" s="108">
        <v>0</v>
      </c>
      <c r="AE3" s="108">
        <v>0</v>
      </c>
    </row>
    <row r="4" spans="1:31" customFormat="1" x14ac:dyDescent="0.15">
      <c r="A4" s="189" t="s">
        <v>194</v>
      </c>
      <c r="B4" s="108">
        <v>0</v>
      </c>
      <c r="C4" s="108">
        <v>0</v>
      </c>
      <c r="D4" s="108">
        <v>0</v>
      </c>
      <c r="E4" s="108">
        <v>0</v>
      </c>
      <c r="F4" s="108">
        <v>0</v>
      </c>
      <c r="G4" s="108">
        <v>0</v>
      </c>
      <c r="H4" s="108">
        <v>0</v>
      </c>
      <c r="I4" s="108">
        <v>0</v>
      </c>
      <c r="J4" s="108">
        <v>0</v>
      </c>
      <c r="K4" s="108">
        <v>0</v>
      </c>
      <c r="L4" s="108">
        <v>0</v>
      </c>
      <c r="M4" s="108">
        <v>0</v>
      </c>
      <c r="N4" s="108">
        <v>0</v>
      </c>
      <c r="O4" s="108">
        <v>0</v>
      </c>
      <c r="P4" s="108">
        <v>0</v>
      </c>
      <c r="Q4" s="108">
        <v>0</v>
      </c>
      <c r="R4" s="108">
        <v>0</v>
      </c>
      <c r="S4" s="108">
        <v>0</v>
      </c>
      <c r="T4" s="108">
        <v>0</v>
      </c>
      <c r="U4" s="108">
        <v>0</v>
      </c>
      <c r="V4" s="108">
        <v>0</v>
      </c>
      <c r="W4" s="108">
        <v>0</v>
      </c>
      <c r="X4" s="108">
        <v>0</v>
      </c>
      <c r="Y4" s="108">
        <v>0</v>
      </c>
      <c r="Z4" s="108">
        <v>0</v>
      </c>
      <c r="AA4" s="108">
        <v>0</v>
      </c>
      <c r="AB4" s="108">
        <v>0</v>
      </c>
      <c r="AC4" s="108">
        <v>0</v>
      </c>
      <c r="AD4" s="108">
        <v>0</v>
      </c>
      <c r="AE4" s="108">
        <v>0</v>
      </c>
    </row>
    <row r="5" spans="1:31" customFormat="1" x14ac:dyDescent="0.15">
      <c r="A5" s="189" t="s">
        <v>195</v>
      </c>
      <c r="B5" s="108">
        <v>1</v>
      </c>
      <c r="C5" s="108">
        <v>1</v>
      </c>
      <c r="D5" s="108">
        <v>0</v>
      </c>
      <c r="E5" s="108">
        <v>1</v>
      </c>
      <c r="F5" s="108">
        <v>0</v>
      </c>
      <c r="G5" s="108">
        <v>0</v>
      </c>
      <c r="H5" s="108">
        <v>1</v>
      </c>
      <c r="I5" s="108">
        <v>0</v>
      </c>
      <c r="J5" s="108">
        <v>1</v>
      </c>
      <c r="K5" s="108">
        <v>0</v>
      </c>
      <c r="L5" s="108">
        <v>0</v>
      </c>
      <c r="M5" s="108">
        <v>0</v>
      </c>
      <c r="N5" s="108">
        <v>0</v>
      </c>
      <c r="O5" s="108">
        <v>0</v>
      </c>
      <c r="P5" s="108">
        <v>0</v>
      </c>
      <c r="Q5" s="108">
        <v>0</v>
      </c>
      <c r="R5" s="108">
        <v>0</v>
      </c>
      <c r="S5" s="108">
        <v>0</v>
      </c>
      <c r="T5" s="108">
        <v>0</v>
      </c>
      <c r="U5" s="108">
        <v>0</v>
      </c>
      <c r="V5" s="108">
        <v>0</v>
      </c>
      <c r="W5" s="108">
        <v>0</v>
      </c>
      <c r="X5" s="108">
        <v>0</v>
      </c>
      <c r="Y5" s="108">
        <v>0</v>
      </c>
      <c r="Z5" s="108">
        <v>0</v>
      </c>
      <c r="AA5" s="108">
        <v>0</v>
      </c>
      <c r="AB5" s="108">
        <v>0</v>
      </c>
      <c r="AC5" s="108">
        <v>0</v>
      </c>
      <c r="AD5" s="108">
        <v>0</v>
      </c>
      <c r="AE5" s="108">
        <v>0</v>
      </c>
    </row>
    <row r="6" spans="1:31" customFormat="1" x14ac:dyDescent="0.15">
      <c r="A6" s="189" t="s">
        <v>196</v>
      </c>
      <c r="B6" s="108">
        <v>0</v>
      </c>
      <c r="C6" s="108">
        <v>0</v>
      </c>
      <c r="D6" s="108">
        <v>0</v>
      </c>
      <c r="E6" s="108">
        <v>0</v>
      </c>
      <c r="F6" s="108">
        <v>0</v>
      </c>
      <c r="G6" s="108">
        <v>0</v>
      </c>
      <c r="H6" s="108">
        <v>0</v>
      </c>
      <c r="I6" s="108">
        <v>0</v>
      </c>
      <c r="J6" s="108">
        <v>0</v>
      </c>
      <c r="K6" s="108">
        <v>0</v>
      </c>
      <c r="L6" s="108">
        <v>0</v>
      </c>
      <c r="M6" s="108">
        <v>0</v>
      </c>
      <c r="N6" s="108">
        <v>0</v>
      </c>
      <c r="O6" s="108">
        <v>0</v>
      </c>
      <c r="P6" s="108">
        <v>0</v>
      </c>
      <c r="Q6" s="108">
        <v>0</v>
      </c>
      <c r="R6" s="108">
        <v>0</v>
      </c>
      <c r="S6" s="108">
        <v>0</v>
      </c>
      <c r="T6" s="108">
        <v>0</v>
      </c>
      <c r="U6" s="108">
        <v>0</v>
      </c>
      <c r="V6" s="108">
        <v>0</v>
      </c>
      <c r="W6" s="108">
        <v>0</v>
      </c>
      <c r="X6" s="108">
        <v>0</v>
      </c>
      <c r="Y6" s="108">
        <v>0</v>
      </c>
      <c r="Z6" s="108">
        <v>0</v>
      </c>
      <c r="AA6" s="108">
        <v>0</v>
      </c>
      <c r="AB6" s="108">
        <v>0</v>
      </c>
      <c r="AC6" s="108">
        <v>0</v>
      </c>
      <c r="AD6" s="108">
        <v>0</v>
      </c>
      <c r="AE6" s="108">
        <v>0</v>
      </c>
    </row>
    <row r="7" spans="1:31" customFormat="1" x14ac:dyDescent="0.15">
      <c r="A7" s="189" t="s">
        <v>197</v>
      </c>
      <c r="B7" s="108">
        <v>0</v>
      </c>
      <c r="C7" s="108">
        <v>0</v>
      </c>
      <c r="D7" s="108">
        <v>0</v>
      </c>
      <c r="E7" s="108">
        <v>0</v>
      </c>
      <c r="F7" s="108">
        <v>0</v>
      </c>
      <c r="G7" s="108">
        <v>0</v>
      </c>
      <c r="H7" s="108">
        <v>0</v>
      </c>
      <c r="I7" s="108">
        <v>0</v>
      </c>
      <c r="J7" s="108">
        <v>0</v>
      </c>
      <c r="K7" s="108">
        <v>0</v>
      </c>
      <c r="L7" s="108">
        <v>0</v>
      </c>
      <c r="M7" s="108">
        <v>0</v>
      </c>
      <c r="N7" s="108">
        <v>0</v>
      </c>
      <c r="O7" s="108">
        <v>0</v>
      </c>
      <c r="P7" s="108">
        <v>0</v>
      </c>
      <c r="Q7" s="108">
        <v>0</v>
      </c>
      <c r="R7" s="108">
        <v>0</v>
      </c>
      <c r="S7" s="108">
        <v>0</v>
      </c>
      <c r="T7" s="108">
        <v>0</v>
      </c>
      <c r="U7" s="108">
        <v>0</v>
      </c>
      <c r="V7" s="108">
        <v>0</v>
      </c>
      <c r="W7" s="108">
        <v>0</v>
      </c>
      <c r="X7" s="108">
        <v>0</v>
      </c>
      <c r="Y7" s="108">
        <v>0</v>
      </c>
      <c r="Z7" s="108">
        <v>0</v>
      </c>
      <c r="AA7" s="108">
        <v>0</v>
      </c>
      <c r="AB7" s="108">
        <v>0</v>
      </c>
      <c r="AC7" s="108">
        <v>0</v>
      </c>
      <c r="AD7" s="108">
        <v>0</v>
      </c>
      <c r="AE7" s="108">
        <v>0</v>
      </c>
    </row>
    <row r="8" spans="1:31" customFormat="1" x14ac:dyDescent="0.15">
      <c r="A8" s="189" t="s">
        <v>198</v>
      </c>
      <c r="B8" s="108">
        <v>1</v>
      </c>
      <c r="C8" s="108">
        <v>1</v>
      </c>
      <c r="D8" s="108">
        <v>0</v>
      </c>
      <c r="E8" s="108">
        <v>0</v>
      </c>
      <c r="F8" s="108">
        <v>0</v>
      </c>
      <c r="G8" s="108">
        <v>0</v>
      </c>
      <c r="H8" s="108">
        <v>0</v>
      </c>
      <c r="I8" s="108">
        <v>0</v>
      </c>
      <c r="J8" s="108">
        <v>0</v>
      </c>
      <c r="K8" s="108">
        <v>0</v>
      </c>
      <c r="L8" s="108">
        <v>0</v>
      </c>
      <c r="M8" s="108">
        <v>0</v>
      </c>
      <c r="N8" s="108">
        <v>0</v>
      </c>
      <c r="O8" s="108">
        <v>0</v>
      </c>
      <c r="P8" s="108">
        <v>0</v>
      </c>
      <c r="Q8" s="108">
        <v>0</v>
      </c>
      <c r="R8" s="108">
        <v>0</v>
      </c>
      <c r="S8" s="108">
        <v>0</v>
      </c>
      <c r="T8" s="108">
        <v>0</v>
      </c>
      <c r="U8" s="108">
        <v>0</v>
      </c>
      <c r="V8" s="108">
        <v>0</v>
      </c>
      <c r="W8" s="108">
        <v>0</v>
      </c>
      <c r="X8" s="108">
        <v>0</v>
      </c>
      <c r="Y8" s="108">
        <v>0</v>
      </c>
      <c r="Z8" s="108">
        <v>0</v>
      </c>
      <c r="AA8" s="108">
        <v>0</v>
      </c>
      <c r="AB8" s="108">
        <v>0</v>
      </c>
      <c r="AC8" s="108">
        <v>0</v>
      </c>
      <c r="AD8" s="108">
        <v>0</v>
      </c>
      <c r="AE8" s="108">
        <v>0</v>
      </c>
    </row>
    <row r="9" spans="1:31" customFormat="1" x14ac:dyDescent="0.15">
      <c r="A9" s="189" t="s">
        <v>199</v>
      </c>
      <c r="B9" s="108">
        <v>1</v>
      </c>
      <c r="C9" s="108">
        <v>0</v>
      </c>
      <c r="D9" s="108">
        <v>0</v>
      </c>
      <c r="E9" s="108">
        <v>0</v>
      </c>
      <c r="F9" s="108">
        <v>0</v>
      </c>
      <c r="G9" s="108">
        <v>0</v>
      </c>
      <c r="H9" s="108">
        <v>0</v>
      </c>
      <c r="I9" s="108">
        <v>0</v>
      </c>
      <c r="J9" s="108">
        <v>0</v>
      </c>
      <c r="K9" s="108">
        <v>0</v>
      </c>
      <c r="L9" s="108">
        <v>0</v>
      </c>
      <c r="M9" s="108">
        <v>0</v>
      </c>
      <c r="N9" s="108">
        <v>0</v>
      </c>
      <c r="O9" s="108">
        <v>0</v>
      </c>
      <c r="P9" s="108">
        <v>0</v>
      </c>
      <c r="Q9" s="108">
        <v>0</v>
      </c>
      <c r="R9" s="108">
        <v>0</v>
      </c>
      <c r="S9" s="108">
        <v>0</v>
      </c>
      <c r="T9" s="108">
        <v>0</v>
      </c>
      <c r="U9" s="108">
        <v>0</v>
      </c>
      <c r="V9" s="108">
        <v>0</v>
      </c>
      <c r="W9" s="108">
        <v>0</v>
      </c>
      <c r="X9" s="108">
        <v>0</v>
      </c>
      <c r="Y9" s="108">
        <v>0</v>
      </c>
      <c r="Z9" s="108">
        <v>0</v>
      </c>
      <c r="AA9" s="108">
        <v>0</v>
      </c>
      <c r="AB9" s="108">
        <v>0</v>
      </c>
      <c r="AC9" s="108">
        <v>0</v>
      </c>
      <c r="AD9" s="108">
        <v>0</v>
      </c>
      <c r="AE9" s="108">
        <v>0</v>
      </c>
    </row>
    <row r="10" spans="1:31" customFormat="1" x14ac:dyDescent="0.15">
      <c r="A10" s="189" t="s">
        <v>200</v>
      </c>
      <c r="B10" s="108">
        <v>1</v>
      </c>
      <c r="C10" s="108">
        <v>0</v>
      </c>
      <c r="D10" s="108">
        <v>0</v>
      </c>
      <c r="E10" s="108">
        <v>0</v>
      </c>
      <c r="F10" s="108">
        <v>0</v>
      </c>
      <c r="G10" s="108">
        <v>0</v>
      </c>
      <c r="H10" s="108">
        <v>0</v>
      </c>
      <c r="I10" s="108">
        <v>0</v>
      </c>
      <c r="J10" s="108">
        <v>1</v>
      </c>
      <c r="K10" s="108">
        <v>0</v>
      </c>
      <c r="L10" s="108">
        <v>0</v>
      </c>
      <c r="M10" s="108">
        <v>0</v>
      </c>
      <c r="N10" s="108">
        <v>0</v>
      </c>
      <c r="O10" s="108">
        <v>0</v>
      </c>
      <c r="P10" s="108">
        <v>0</v>
      </c>
      <c r="Q10" s="108">
        <v>0</v>
      </c>
      <c r="R10" s="108">
        <v>0</v>
      </c>
      <c r="S10" s="108">
        <v>0</v>
      </c>
      <c r="T10" s="108">
        <v>0</v>
      </c>
      <c r="U10" s="108">
        <v>0</v>
      </c>
      <c r="V10" s="108">
        <v>0</v>
      </c>
      <c r="W10" s="108">
        <v>0</v>
      </c>
      <c r="X10" s="108">
        <v>0</v>
      </c>
      <c r="Y10" s="108">
        <v>0</v>
      </c>
      <c r="Z10" s="108">
        <v>0</v>
      </c>
      <c r="AA10" s="108">
        <v>0</v>
      </c>
      <c r="AB10" s="108">
        <v>0</v>
      </c>
      <c r="AC10" s="108">
        <v>0</v>
      </c>
      <c r="AD10" s="108">
        <v>0</v>
      </c>
      <c r="AE10" s="108">
        <v>0</v>
      </c>
    </row>
    <row r="11" spans="1:31" customFormat="1" x14ac:dyDescent="0.15">
      <c r="A11" s="189" t="s">
        <v>201</v>
      </c>
      <c r="B11" s="108">
        <v>1</v>
      </c>
      <c r="C11" s="108">
        <v>1</v>
      </c>
      <c r="D11" s="108">
        <v>0</v>
      </c>
      <c r="E11" s="108">
        <v>1</v>
      </c>
      <c r="F11" s="108">
        <v>1</v>
      </c>
      <c r="G11" s="108">
        <v>1</v>
      </c>
      <c r="H11" s="108">
        <v>1</v>
      </c>
      <c r="I11" s="108">
        <v>0</v>
      </c>
      <c r="J11" s="108">
        <v>0</v>
      </c>
      <c r="K11" s="108">
        <v>1</v>
      </c>
      <c r="L11" s="108">
        <v>0</v>
      </c>
      <c r="M11" s="108">
        <v>0</v>
      </c>
      <c r="N11" s="108">
        <v>0</v>
      </c>
      <c r="O11" s="108">
        <v>0</v>
      </c>
      <c r="P11" s="108">
        <v>0</v>
      </c>
      <c r="Q11" s="108">
        <v>0</v>
      </c>
      <c r="R11" s="108">
        <v>0</v>
      </c>
      <c r="S11" s="108">
        <v>0</v>
      </c>
      <c r="T11" s="108">
        <v>0</v>
      </c>
      <c r="U11" s="108">
        <v>0</v>
      </c>
      <c r="V11" s="108">
        <v>0</v>
      </c>
      <c r="W11" s="108">
        <v>0</v>
      </c>
      <c r="X11" s="108">
        <v>0</v>
      </c>
      <c r="Y11" s="108">
        <v>0</v>
      </c>
      <c r="Z11" s="108">
        <v>0</v>
      </c>
      <c r="AA11" s="108">
        <v>0</v>
      </c>
      <c r="AB11" s="108">
        <v>0</v>
      </c>
      <c r="AC11" s="108">
        <v>0</v>
      </c>
      <c r="AD11" s="108">
        <v>0</v>
      </c>
      <c r="AE11" s="108">
        <v>0</v>
      </c>
    </row>
    <row r="12" spans="1:31" customFormat="1" x14ac:dyDescent="0.15">
      <c r="A12" s="189" t="s">
        <v>202</v>
      </c>
      <c r="B12" s="108">
        <v>1</v>
      </c>
      <c r="C12" s="108">
        <v>1</v>
      </c>
      <c r="D12" s="108">
        <v>0</v>
      </c>
      <c r="E12" s="108">
        <v>1</v>
      </c>
      <c r="F12" s="108">
        <v>0</v>
      </c>
      <c r="G12" s="108">
        <v>1</v>
      </c>
      <c r="H12" s="108">
        <v>1</v>
      </c>
      <c r="I12" s="108">
        <v>0</v>
      </c>
      <c r="J12" s="108">
        <v>1</v>
      </c>
      <c r="K12" s="108">
        <v>0</v>
      </c>
      <c r="L12" s="108">
        <v>0</v>
      </c>
      <c r="M12" s="108">
        <v>1</v>
      </c>
      <c r="N12" s="108">
        <v>0</v>
      </c>
      <c r="O12" s="108">
        <v>0</v>
      </c>
      <c r="P12" s="108">
        <v>0</v>
      </c>
      <c r="Q12" s="108">
        <v>0</v>
      </c>
      <c r="R12" s="108">
        <v>0</v>
      </c>
      <c r="S12" s="108">
        <v>0</v>
      </c>
      <c r="T12" s="108">
        <v>0</v>
      </c>
      <c r="U12" s="108">
        <v>0</v>
      </c>
      <c r="V12" s="108">
        <v>0</v>
      </c>
      <c r="W12" s="108">
        <v>0</v>
      </c>
      <c r="X12" s="108">
        <v>0</v>
      </c>
      <c r="Y12" s="108">
        <v>0</v>
      </c>
      <c r="Z12" s="108">
        <v>0</v>
      </c>
      <c r="AA12" s="108">
        <v>0</v>
      </c>
      <c r="AB12" s="108">
        <v>0</v>
      </c>
      <c r="AC12" s="108">
        <v>0</v>
      </c>
      <c r="AD12" s="108">
        <v>0</v>
      </c>
      <c r="AE12" s="108">
        <v>0</v>
      </c>
    </row>
    <row r="13" spans="1:31" customFormat="1" x14ac:dyDescent="0.15">
      <c r="A13" s="189" t="s">
        <v>203</v>
      </c>
      <c r="B13" s="108">
        <v>1</v>
      </c>
      <c r="C13" s="108">
        <v>1</v>
      </c>
      <c r="D13" s="108">
        <v>0</v>
      </c>
      <c r="E13" s="108">
        <v>1</v>
      </c>
      <c r="F13" s="108">
        <v>0</v>
      </c>
      <c r="G13" s="108">
        <v>0</v>
      </c>
      <c r="H13" s="108">
        <v>1</v>
      </c>
      <c r="I13" s="108">
        <v>1</v>
      </c>
      <c r="J13" s="108">
        <v>0</v>
      </c>
      <c r="K13" s="108">
        <v>0</v>
      </c>
      <c r="L13" s="108">
        <v>0</v>
      </c>
      <c r="M13" s="108">
        <v>0</v>
      </c>
      <c r="N13" s="108">
        <v>0</v>
      </c>
      <c r="O13" s="108">
        <v>0</v>
      </c>
      <c r="P13" s="108">
        <v>0</v>
      </c>
      <c r="Q13" s="108">
        <v>1</v>
      </c>
      <c r="R13" s="108">
        <v>0</v>
      </c>
      <c r="S13" s="108">
        <v>0</v>
      </c>
      <c r="T13" s="108">
        <v>0</v>
      </c>
      <c r="U13" s="108">
        <v>0</v>
      </c>
      <c r="V13" s="108">
        <v>0</v>
      </c>
      <c r="W13" s="108">
        <v>0</v>
      </c>
      <c r="X13" s="108">
        <v>0</v>
      </c>
      <c r="Y13" s="108">
        <v>0</v>
      </c>
      <c r="Z13" s="108">
        <v>0</v>
      </c>
      <c r="AA13" s="108">
        <v>0</v>
      </c>
      <c r="AB13" s="108">
        <v>0</v>
      </c>
      <c r="AC13" s="108">
        <v>0</v>
      </c>
      <c r="AD13" s="108">
        <v>0</v>
      </c>
      <c r="AE13" s="108">
        <v>0</v>
      </c>
    </row>
    <row r="14" spans="1:31" customFormat="1" x14ac:dyDescent="0.15">
      <c r="A14" s="189" t="s">
        <v>204</v>
      </c>
      <c r="B14" s="108">
        <v>1</v>
      </c>
      <c r="C14" s="108">
        <v>1</v>
      </c>
      <c r="D14" s="108">
        <v>0</v>
      </c>
      <c r="E14" s="108">
        <v>1</v>
      </c>
      <c r="F14" s="108">
        <v>1</v>
      </c>
      <c r="G14" s="108">
        <v>1</v>
      </c>
      <c r="H14" s="108">
        <v>1</v>
      </c>
      <c r="I14" s="108">
        <v>1</v>
      </c>
      <c r="J14" s="108">
        <v>1</v>
      </c>
      <c r="K14" s="108">
        <v>1</v>
      </c>
      <c r="L14" s="108">
        <v>0</v>
      </c>
      <c r="M14" s="108">
        <v>0</v>
      </c>
      <c r="N14" s="108">
        <v>1</v>
      </c>
      <c r="O14" s="108">
        <v>0</v>
      </c>
      <c r="P14" s="108">
        <v>0</v>
      </c>
      <c r="Q14" s="108">
        <v>0</v>
      </c>
      <c r="R14" s="108">
        <v>0</v>
      </c>
      <c r="S14" s="108">
        <v>0</v>
      </c>
      <c r="T14" s="108">
        <v>0</v>
      </c>
      <c r="U14" s="108">
        <v>0</v>
      </c>
      <c r="V14" s="108">
        <v>0</v>
      </c>
      <c r="W14" s="108">
        <v>0</v>
      </c>
      <c r="X14" s="108">
        <v>0</v>
      </c>
      <c r="Y14" s="108">
        <v>0</v>
      </c>
      <c r="Z14" s="108">
        <v>0</v>
      </c>
      <c r="AA14" s="108">
        <v>0</v>
      </c>
      <c r="AB14" s="108">
        <v>0</v>
      </c>
      <c r="AC14" s="108">
        <v>0</v>
      </c>
      <c r="AD14" s="108">
        <v>0</v>
      </c>
      <c r="AE14" s="108">
        <v>0</v>
      </c>
    </row>
    <row r="15" spans="1:31" customFormat="1" x14ac:dyDescent="0.15">
      <c r="A15" s="189" t="s">
        <v>205</v>
      </c>
      <c r="B15" s="108">
        <v>1</v>
      </c>
      <c r="C15" s="108">
        <v>0</v>
      </c>
      <c r="D15" s="108">
        <v>0</v>
      </c>
      <c r="E15" s="108">
        <v>1</v>
      </c>
      <c r="F15" s="108">
        <v>1</v>
      </c>
      <c r="G15" s="108">
        <v>1</v>
      </c>
      <c r="H15" s="108">
        <v>1</v>
      </c>
      <c r="I15" s="108">
        <v>1</v>
      </c>
      <c r="J15" s="108">
        <v>0</v>
      </c>
      <c r="K15" s="108">
        <v>1</v>
      </c>
      <c r="L15" s="108">
        <v>0</v>
      </c>
      <c r="M15" s="108">
        <v>0</v>
      </c>
      <c r="N15" s="108">
        <v>1</v>
      </c>
      <c r="O15" s="108">
        <v>0</v>
      </c>
      <c r="P15" s="108">
        <v>0</v>
      </c>
      <c r="Q15" s="108">
        <v>0</v>
      </c>
      <c r="R15" s="108">
        <v>0</v>
      </c>
      <c r="S15" s="108">
        <v>0</v>
      </c>
      <c r="T15" s="108">
        <v>0</v>
      </c>
      <c r="U15" s="108">
        <v>0</v>
      </c>
      <c r="V15" s="108">
        <v>0</v>
      </c>
      <c r="W15" s="108">
        <v>0</v>
      </c>
      <c r="X15" s="108">
        <v>0</v>
      </c>
      <c r="Y15" s="108">
        <v>0</v>
      </c>
      <c r="Z15" s="108">
        <v>0</v>
      </c>
      <c r="AA15" s="108">
        <v>0</v>
      </c>
      <c r="AB15" s="108">
        <v>0</v>
      </c>
      <c r="AC15" s="108">
        <v>0</v>
      </c>
      <c r="AD15" s="108">
        <v>0</v>
      </c>
      <c r="AE15" s="108">
        <v>0</v>
      </c>
    </row>
    <row r="16" spans="1:31" customFormat="1" x14ac:dyDescent="0.15">
      <c r="A16" s="189" t="s">
        <v>206</v>
      </c>
      <c r="B16" s="108">
        <v>1</v>
      </c>
      <c r="C16" s="108">
        <v>0</v>
      </c>
      <c r="D16" s="108">
        <v>0</v>
      </c>
      <c r="E16" s="108">
        <v>1</v>
      </c>
      <c r="F16" s="108">
        <v>1</v>
      </c>
      <c r="G16" s="108">
        <v>1</v>
      </c>
      <c r="H16" s="108">
        <v>1</v>
      </c>
      <c r="I16" s="108">
        <v>1</v>
      </c>
      <c r="J16" s="108">
        <v>0</v>
      </c>
      <c r="K16" s="108">
        <v>1</v>
      </c>
      <c r="L16" s="108">
        <v>0</v>
      </c>
      <c r="M16" s="108">
        <v>0</v>
      </c>
      <c r="N16" s="108">
        <v>1</v>
      </c>
      <c r="O16" s="108">
        <v>0</v>
      </c>
      <c r="P16" s="108">
        <v>0</v>
      </c>
      <c r="Q16" s="108">
        <v>0</v>
      </c>
      <c r="R16" s="108">
        <v>0</v>
      </c>
      <c r="S16" s="108">
        <v>0</v>
      </c>
      <c r="T16" s="108">
        <v>0</v>
      </c>
      <c r="U16" s="108">
        <v>0</v>
      </c>
      <c r="V16" s="108">
        <v>0</v>
      </c>
      <c r="W16" s="108">
        <v>0</v>
      </c>
      <c r="X16" s="108">
        <v>0</v>
      </c>
      <c r="Y16" s="108">
        <v>0</v>
      </c>
      <c r="Z16" s="108">
        <v>0</v>
      </c>
      <c r="AA16" s="108">
        <v>0</v>
      </c>
      <c r="AB16" s="108">
        <v>0</v>
      </c>
      <c r="AC16" s="108">
        <v>0</v>
      </c>
      <c r="AD16" s="108">
        <v>0</v>
      </c>
      <c r="AE16" s="108">
        <v>0</v>
      </c>
    </row>
    <row r="17" spans="1:31" customFormat="1" x14ac:dyDescent="0.15">
      <c r="A17" s="189" t="s">
        <v>207</v>
      </c>
      <c r="B17" s="108">
        <v>1</v>
      </c>
      <c r="C17" s="108">
        <v>0</v>
      </c>
      <c r="D17" s="108">
        <v>0</v>
      </c>
      <c r="E17" s="108">
        <v>1</v>
      </c>
      <c r="F17" s="108">
        <v>1</v>
      </c>
      <c r="G17" s="108">
        <v>1</v>
      </c>
      <c r="H17" s="108">
        <v>1</v>
      </c>
      <c r="I17" s="108">
        <v>1</v>
      </c>
      <c r="J17" s="108">
        <v>0</v>
      </c>
      <c r="K17" s="108">
        <v>1</v>
      </c>
      <c r="L17" s="108">
        <v>0</v>
      </c>
      <c r="M17" s="108">
        <v>0</v>
      </c>
      <c r="N17" s="108">
        <v>1</v>
      </c>
      <c r="O17" s="108">
        <v>0</v>
      </c>
      <c r="P17" s="108">
        <v>0</v>
      </c>
      <c r="Q17" s="108">
        <v>0</v>
      </c>
      <c r="R17" s="108">
        <v>0</v>
      </c>
      <c r="S17" s="108">
        <v>0</v>
      </c>
      <c r="T17" s="108">
        <v>0</v>
      </c>
      <c r="U17" s="108">
        <v>0</v>
      </c>
      <c r="V17" s="108">
        <v>0</v>
      </c>
      <c r="W17" s="108">
        <v>0</v>
      </c>
      <c r="X17" s="108">
        <v>0</v>
      </c>
      <c r="Y17" s="108">
        <v>0</v>
      </c>
      <c r="Z17" s="108">
        <v>0</v>
      </c>
      <c r="AA17" s="108">
        <v>0</v>
      </c>
      <c r="AB17" s="108">
        <v>0</v>
      </c>
      <c r="AC17" s="108">
        <v>0</v>
      </c>
      <c r="AD17" s="108">
        <v>0</v>
      </c>
      <c r="AE17" s="108">
        <v>0</v>
      </c>
    </row>
    <row r="18" spans="1:31" customFormat="1" x14ac:dyDescent="0.15">
      <c r="A18" s="189" t="s">
        <v>208</v>
      </c>
      <c r="B18" s="108">
        <v>1</v>
      </c>
      <c r="C18" s="108">
        <v>0</v>
      </c>
      <c r="D18" s="108">
        <v>0</v>
      </c>
      <c r="E18" s="108">
        <v>1</v>
      </c>
      <c r="F18" s="108">
        <v>1</v>
      </c>
      <c r="G18" s="108">
        <v>1</v>
      </c>
      <c r="H18" s="108">
        <v>1</v>
      </c>
      <c r="I18" s="108">
        <v>0</v>
      </c>
      <c r="J18" s="108">
        <v>0</v>
      </c>
      <c r="K18" s="108">
        <v>0</v>
      </c>
      <c r="L18" s="108">
        <v>0</v>
      </c>
      <c r="M18" s="108">
        <v>0</v>
      </c>
      <c r="N18" s="108">
        <v>1</v>
      </c>
      <c r="O18" s="108">
        <v>0</v>
      </c>
      <c r="P18" s="108">
        <v>0</v>
      </c>
      <c r="Q18" s="108">
        <v>0</v>
      </c>
      <c r="R18" s="108">
        <v>0</v>
      </c>
      <c r="S18" s="108">
        <v>0</v>
      </c>
      <c r="T18" s="108">
        <v>0</v>
      </c>
      <c r="U18" s="108">
        <v>0</v>
      </c>
      <c r="V18" s="108">
        <v>0</v>
      </c>
      <c r="W18" s="108">
        <v>0</v>
      </c>
      <c r="X18" s="108">
        <v>0</v>
      </c>
      <c r="Y18" s="108">
        <v>0</v>
      </c>
      <c r="Z18" s="108">
        <v>0</v>
      </c>
      <c r="AA18" s="108">
        <v>0</v>
      </c>
      <c r="AB18" s="108">
        <v>0</v>
      </c>
      <c r="AC18" s="108">
        <v>0</v>
      </c>
      <c r="AD18" s="108">
        <v>0</v>
      </c>
      <c r="AE18" s="108">
        <v>0</v>
      </c>
    </row>
    <row r="19" spans="1:31" customFormat="1" x14ac:dyDescent="0.15">
      <c r="A19" s="189" t="s">
        <v>209</v>
      </c>
      <c r="B19" s="108">
        <v>1</v>
      </c>
      <c r="C19" s="108">
        <v>0</v>
      </c>
      <c r="D19" s="108">
        <v>0</v>
      </c>
      <c r="E19" s="108">
        <v>1</v>
      </c>
      <c r="F19" s="108">
        <v>1</v>
      </c>
      <c r="G19" s="108">
        <v>1</v>
      </c>
      <c r="H19" s="108">
        <v>1</v>
      </c>
      <c r="I19" s="108">
        <v>1</v>
      </c>
      <c r="J19" s="108">
        <v>0</v>
      </c>
      <c r="K19" s="108">
        <v>1</v>
      </c>
      <c r="L19" s="108">
        <v>0</v>
      </c>
      <c r="M19" s="108">
        <v>0</v>
      </c>
      <c r="N19" s="108">
        <v>1</v>
      </c>
      <c r="O19" s="108">
        <v>0</v>
      </c>
      <c r="P19" s="108">
        <v>0</v>
      </c>
      <c r="Q19" s="108">
        <v>0</v>
      </c>
      <c r="R19" s="108">
        <v>0</v>
      </c>
      <c r="S19" s="108">
        <v>0</v>
      </c>
      <c r="T19" s="108">
        <v>0</v>
      </c>
      <c r="U19" s="108">
        <v>0</v>
      </c>
      <c r="V19" s="108">
        <v>0</v>
      </c>
      <c r="W19" s="108">
        <v>0</v>
      </c>
      <c r="X19" s="108">
        <v>0</v>
      </c>
      <c r="Y19" s="108">
        <v>0</v>
      </c>
      <c r="Z19" s="108">
        <v>0</v>
      </c>
      <c r="AA19" s="108">
        <v>0</v>
      </c>
      <c r="AB19" s="108">
        <v>0</v>
      </c>
      <c r="AC19" s="108">
        <v>0</v>
      </c>
      <c r="AD19" s="108">
        <v>0</v>
      </c>
      <c r="AE19" s="108">
        <v>0</v>
      </c>
    </row>
    <row r="20" spans="1:31" customFormat="1" x14ac:dyDescent="0.15">
      <c r="A20" s="189" t="s">
        <v>210</v>
      </c>
      <c r="B20" s="108">
        <v>1</v>
      </c>
      <c r="C20" s="108">
        <v>0</v>
      </c>
      <c r="D20" s="108">
        <v>0</v>
      </c>
      <c r="E20" s="108">
        <v>1</v>
      </c>
      <c r="F20" s="108">
        <v>1</v>
      </c>
      <c r="G20" s="108">
        <v>1</v>
      </c>
      <c r="H20" s="108">
        <v>1</v>
      </c>
      <c r="I20" s="108">
        <v>0</v>
      </c>
      <c r="J20" s="108">
        <v>0</v>
      </c>
      <c r="K20" s="108">
        <v>0</v>
      </c>
      <c r="L20" s="108">
        <v>0</v>
      </c>
      <c r="M20" s="108">
        <v>0</v>
      </c>
      <c r="N20" s="108">
        <v>0</v>
      </c>
      <c r="O20" s="108">
        <v>0</v>
      </c>
      <c r="P20" s="108">
        <v>0</v>
      </c>
      <c r="Q20" s="108">
        <v>0</v>
      </c>
      <c r="R20" s="108">
        <v>0</v>
      </c>
      <c r="S20" s="108">
        <v>0</v>
      </c>
      <c r="T20" s="108">
        <v>0</v>
      </c>
      <c r="U20" s="108">
        <v>0</v>
      </c>
      <c r="V20" s="108">
        <v>0</v>
      </c>
      <c r="W20" s="108">
        <v>0</v>
      </c>
      <c r="X20" s="108">
        <v>0</v>
      </c>
      <c r="Y20" s="108">
        <v>0</v>
      </c>
      <c r="Z20" s="108">
        <v>0</v>
      </c>
      <c r="AA20" s="108">
        <v>0</v>
      </c>
      <c r="AB20" s="108">
        <v>0</v>
      </c>
      <c r="AC20" s="108">
        <v>0</v>
      </c>
      <c r="AD20" s="108">
        <v>0</v>
      </c>
      <c r="AE20" s="108">
        <v>0</v>
      </c>
    </row>
    <row r="21" spans="1:31" customFormat="1" x14ac:dyDescent="0.15">
      <c r="A21" s="189" t="s">
        <v>211</v>
      </c>
      <c r="B21" s="108">
        <v>1</v>
      </c>
      <c r="C21" s="108">
        <v>0</v>
      </c>
      <c r="D21" s="108">
        <v>1</v>
      </c>
      <c r="E21" s="108">
        <v>0</v>
      </c>
      <c r="F21" s="108">
        <v>1</v>
      </c>
      <c r="G21" s="108">
        <v>0</v>
      </c>
      <c r="H21" s="108">
        <v>0</v>
      </c>
      <c r="I21" s="108">
        <v>0</v>
      </c>
      <c r="J21" s="108">
        <v>0</v>
      </c>
      <c r="K21" s="108">
        <v>0</v>
      </c>
      <c r="L21" s="108">
        <v>0</v>
      </c>
      <c r="M21" s="108">
        <v>0</v>
      </c>
      <c r="N21" s="108">
        <v>0</v>
      </c>
      <c r="O21" s="108">
        <v>0</v>
      </c>
      <c r="P21" s="108">
        <v>0</v>
      </c>
      <c r="Q21" s="108">
        <v>0</v>
      </c>
      <c r="R21" s="108">
        <v>0</v>
      </c>
      <c r="S21" s="108">
        <v>0</v>
      </c>
      <c r="T21" s="108">
        <v>0</v>
      </c>
      <c r="U21" s="108">
        <v>1</v>
      </c>
      <c r="V21" s="108">
        <v>0</v>
      </c>
      <c r="W21" s="108">
        <v>0</v>
      </c>
      <c r="X21" s="108">
        <v>0</v>
      </c>
      <c r="Y21" s="108">
        <v>0</v>
      </c>
      <c r="Z21" s="108">
        <v>0</v>
      </c>
      <c r="AA21" s="108">
        <v>0</v>
      </c>
      <c r="AB21" s="108">
        <v>0</v>
      </c>
      <c r="AC21" s="108">
        <v>0</v>
      </c>
      <c r="AD21" s="108">
        <v>0</v>
      </c>
      <c r="AE21" s="108">
        <v>0</v>
      </c>
    </row>
    <row r="22" spans="1:31" customFormat="1" x14ac:dyDescent="0.15">
      <c r="A22" s="189" t="s">
        <v>212</v>
      </c>
      <c r="B22" s="108">
        <v>0</v>
      </c>
      <c r="C22" s="108">
        <v>1</v>
      </c>
      <c r="D22" s="108">
        <v>1</v>
      </c>
      <c r="E22" s="108">
        <v>1</v>
      </c>
      <c r="F22" s="108">
        <v>1</v>
      </c>
      <c r="G22" s="108">
        <v>1</v>
      </c>
      <c r="H22" s="108">
        <v>1</v>
      </c>
      <c r="I22" s="108">
        <v>0</v>
      </c>
      <c r="J22" s="108">
        <v>1</v>
      </c>
      <c r="K22" s="108">
        <v>1</v>
      </c>
      <c r="L22" s="108">
        <v>0</v>
      </c>
      <c r="M22" s="108">
        <v>0</v>
      </c>
      <c r="N22" s="108">
        <v>0</v>
      </c>
      <c r="O22" s="108">
        <v>0</v>
      </c>
      <c r="P22" s="108">
        <v>0</v>
      </c>
      <c r="Q22" s="108">
        <v>0</v>
      </c>
      <c r="R22" s="108">
        <v>1</v>
      </c>
      <c r="S22" s="108">
        <v>0</v>
      </c>
      <c r="T22" s="108">
        <v>0</v>
      </c>
      <c r="U22" s="108">
        <v>1</v>
      </c>
      <c r="V22" s="108">
        <v>1</v>
      </c>
      <c r="W22" s="108">
        <v>0</v>
      </c>
      <c r="X22" s="108">
        <v>0</v>
      </c>
      <c r="Y22" s="108">
        <v>0</v>
      </c>
      <c r="Z22" s="108">
        <v>0</v>
      </c>
      <c r="AA22" s="108">
        <v>0</v>
      </c>
      <c r="AB22" s="108">
        <v>0</v>
      </c>
      <c r="AC22" s="108">
        <v>0</v>
      </c>
      <c r="AD22" s="108">
        <v>0</v>
      </c>
      <c r="AE22" s="108">
        <v>0</v>
      </c>
    </row>
    <row r="23" spans="1:31" customFormat="1" x14ac:dyDescent="0.15">
      <c r="A23" s="189" t="s">
        <v>213</v>
      </c>
      <c r="B23" s="108">
        <v>0</v>
      </c>
      <c r="C23" s="108">
        <v>1</v>
      </c>
      <c r="D23" s="108">
        <v>1</v>
      </c>
      <c r="E23" s="108">
        <v>1</v>
      </c>
      <c r="F23" s="108">
        <v>1</v>
      </c>
      <c r="G23" s="108">
        <v>1</v>
      </c>
      <c r="H23" s="108">
        <v>1</v>
      </c>
      <c r="I23" s="108">
        <v>0</v>
      </c>
      <c r="J23" s="108">
        <v>1</v>
      </c>
      <c r="K23" s="108">
        <v>1</v>
      </c>
      <c r="L23" s="108">
        <v>1</v>
      </c>
      <c r="M23" s="108">
        <v>1</v>
      </c>
      <c r="N23" s="108">
        <v>0</v>
      </c>
      <c r="O23" s="108">
        <v>0</v>
      </c>
      <c r="P23" s="108">
        <v>0</v>
      </c>
      <c r="Q23" s="108">
        <v>1</v>
      </c>
      <c r="R23" s="108">
        <v>1</v>
      </c>
      <c r="S23" s="108">
        <v>0</v>
      </c>
      <c r="T23" s="108">
        <v>0</v>
      </c>
      <c r="U23" s="108">
        <v>0</v>
      </c>
      <c r="V23" s="108">
        <v>1</v>
      </c>
      <c r="W23" s="108">
        <v>1</v>
      </c>
      <c r="X23" s="108">
        <v>0</v>
      </c>
      <c r="Y23" s="108">
        <v>0</v>
      </c>
      <c r="Z23" s="108">
        <v>0</v>
      </c>
      <c r="AA23" s="108">
        <v>0</v>
      </c>
      <c r="AB23" s="108">
        <v>0</v>
      </c>
      <c r="AC23" s="108">
        <v>0</v>
      </c>
      <c r="AD23" s="108">
        <v>0</v>
      </c>
      <c r="AE23" s="108">
        <v>0</v>
      </c>
    </row>
    <row r="24" spans="1:31" customFormat="1" x14ac:dyDescent="0.15">
      <c r="A24" s="189" t="s">
        <v>214</v>
      </c>
      <c r="B24" s="108">
        <v>0</v>
      </c>
      <c r="C24" s="108">
        <v>1</v>
      </c>
      <c r="D24" s="108">
        <v>1</v>
      </c>
      <c r="E24" s="108">
        <v>1</v>
      </c>
      <c r="F24" s="108">
        <v>1</v>
      </c>
      <c r="G24" s="108">
        <v>0</v>
      </c>
      <c r="H24" s="108">
        <v>0</v>
      </c>
      <c r="I24" s="108">
        <v>1</v>
      </c>
      <c r="J24" s="108">
        <v>1</v>
      </c>
      <c r="K24" s="108">
        <v>1</v>
      </c>
      <c r="L24" s="108">
        <v>1</v>
      </c>
      <c r="M24" s="108">
        <v>1</v>
      </c>
      <c r="N24" s="108">
        <v>1</v>
      </c>
      <c r="O24" s="108">
        <v>1</v>
      </c>
      <c r="P24" s="108">
        <v>1</v>
      </c>
      <c r="Q24" s="108">
        <v>1</v>
      </c>
      <c r="R24" s="108">
        <v>1</v>
      </c>
      <c r="S24" s="108">
        <v>1</v>
      </c>
      <c r="T24" s="108">
        <v>0</v>
      </c>
      <c r="U24" s="108">
        <v>1</v>
      </c>
      <c r="V24" s="108">
        <v>1</v>
      </c>
      <c r="W24" s="108">
        <v>1</v>
      </c>
      <c r="X24" s="108">
        <v>0</v>
      </c>
      <c r="Y24" s="108">
        <v>0</v>
      </c>
      <c r="Z24" s="108">
        <v>0</v>
      </c>
      <c r="AA24" s="108">
        <v>0</v>
      </c>
      <c r="AB24" s="108">
        <v>0</v>
      </c>
      <c r="AC24" s="108">
        <v>0</v>
      </c>
      <c r="AD24" s="108">
        <v>0</v>
      </c>
      <c r="AE24" s="108">
        <v>0</v>
      </c>
    </row>
    <row r="25" spans="1:31" customFormat="1" x14ac:dyDescent="0.15">
      <c r="A25" s="189" t="s">
        <v>215</v>
      </c>
      <c r="B25" s="108">
        <v>0</v>
      </c>
      <c r="C25" s="108">
        <v>0</v>
      </c>
      <c r="D25" s="108">
        <v>1</v>
      </c>
      <c r="E25" s="108">
        <v>1</v>
      </c>
      <c r="F25" s="108">
        <v>1</v>
      </c>
      <c r="G25" s="108">
        <v>1</v>
      </c>
      <c r="H25" s="108">
        <v>1</v>
      </c>
      <c r="I25" s="108">
        <v>1</v>
      </c>
      <c r="J25" s="108">
        <v>1</v>
      </c>
      <c r="K25" s="108">
        <v>1</v>
      </c>
      <c r="L25" s="108">
        <v>1</v>
      </c>
      <c r="M25" s="108">
        <v>1</v>
      </c>
      <c r="N25" s="108">
        <v>1</v>
      </c>
      <c r="O25" s="108">
        <v>1</v>
      </c>
      <c r="P25" s="108">
        <v>1</v>
      </c>
      <c r="Q25" s="108">
        <v>1</v>
      </c>
      <c r="R25" s="108">
        <v>1</v>
      </c>
      <c r="S25" s="108">
        <v>1</v>
      </c>
      <c r="T25" s="108">
        <v>0</v>
      </c>
      <c r="U25" s="108">
        <v>1</v>
      </c>
      <c r="V25" s="108">
        <v>1</v>
      </c>
      <c r="W25" s="108">
        <v>1</v>
      </c>
      <c r="X25" s="108">
        <v>0</v>
      </c>
      <c r="Y25" s="108">
        <v>0</v>
      </c>
      <c r="Z25" s="108">
        <v>0</v>
      </c>
      <c r="AA25" s="108">
        <v>0</v>
      </c>
      <c r="AB25" s="108">
        <v>0</v>
      </c>
      <c r="AC25" s="108">
        <v>0</v>
      </c>
      <c r="AD25" s="108">
        <v>0</v>
      </c>
      <c r="AE25" s="108">
        <v>0</v>
      </c>
    </row>
    <row r="26" spans="1:31" customFormat="1" x14ac:dyDescent="0.15">
      <c r="A26" s="189" t="s">
        <v>216</v>
      </c>
      <c r="B26" s="108">
        <v>0</v>
      </c>
      <c r="C26" s="108">
        <v>0</v>
      </c>
      <c r="D26" s="108">
        <v>1</v>
      </c>
      <c r="E26" s="108">
        <v>1</v>
      </c>
      <c r="F26" s="108">
        <v>1</v>
      </c>
      <c r="G26" s="108">
        <v>0</v>
      </c>
      <c r="H26" s="108">
        <v>0</v>
      </c>
      <c r="I26" s="108">
        <v>1</v>
      </c>
      <c r="J26" s="108">
        <v>1</v>
      </c>
      <c r="K26" s="108">
        <v>0</v>
      </c>
      <c r="L26" s="108">
        <v>0</v>
      </c>
      <c r="M26" s="108">
        <v>0</v>
      </c>
      <c r="N26" s="108">
        <v>1</v>
      </c>
      <c r="O26" s="108">
        <v>1</v>
      </c>
      <c r="P26" s="108">
        <v>1</v>
      </c>
      <c r="Q26" s="108">
        <v>1</v>
      </c>
      <c r="R26" s="108">
        <v>1</v>
      </c>
      <c r="S26" s="108">
        <v>1</v>
      </c>
      <c r="T26" s="108">
        <v>0</v>
      </c>
      <c r="U26" s="108">
        <v>1</v>
      </c>
      <c r="V26" s="108">
        <v>1</v>
      </c>
      <c r="W26" s="108">
        <v>1</v>
      </c>
      <c r="X26" s="108">
        <v>0</v>
      </c>
      <c r="Y26" s="108">
        <v>1</v>
      </c>
      <c r="Z26" s="108">
        <v>0</v>
      </c>
      <c r="AA26" s="108">
        <v>0</v>
      </c>
      <c r="AB26" s="108">
        <v>0</v>
      </c>
      <c r="AC26" s="108">
        <v>0</v>
      </c>
      <c r="AD26" s="108">
        <v>0</v>
      </c>
      <c r="AE26" s="108">
        <v>0</v>
      </c>
    </row>
    <row r="27" spans="1:31" customFormat="1" x14ac:dyDescent="0.15">
      <c r="A27" s="189" t="s">
        <v>217</v>
      </c>
      <c r="B27" s="108">
        <v>0</v>
      </c>
      <c r="C27" s="108">
        <v>0</v>
      </c>
      <c r="D27" s="108">
        <v>0</v>
      </c>
      <c r="E27" s="108">
        <v>0</v>
      </c>
      <c r="F27" s="108">
        <v>0</v>
      </c>
      <c r="G27" s="108">
        <v>0</v>
      </c>
      <c r="H27" s="108">
        <v>0</v>
      </c>
      <c r="I27" s="108">
        <v>0</v>
      </c>
      <c r="J27" s="108">
        <v>1</v>
      </c>
      <c r="K27" s="108">
        <v>1</v>
      </c>
      <c r="L27" s="108">
        <v>1</v>
      </c>
      <c r="M27" s="108">
        <v>1</v>
      </c>
      <c r="N27" s="108">
        <v>1</v>
      </c>
      <c r="O27" s="108">
        <v>1</v>
      </c>
      <c r="P27" s="108">
        <v>1</v>
      </c>
      <c r="Q27" s="108">
        <v>1</v>
      </c>
      <c r="R27" s="108">
        <v>1</v>
      </c>
      <c r="S27" s="108">
        <v>1</v>
      </c>
      <c r="T27" s="108">
        <v>1</v>
      </c>
      <c r="U27" s="108">
        <v>1</v>
      </c>
      <c r="V27" s="108">
        <v>1</v>
      </c>
      <c r="W27" s="108">
        <v>0</v>
      </c>
      <c r="X27" s="108">
        <v>1</v>
      </c>
      <c r="Y27" s="108">
        <v>1</v>
      </c>
      <c r="Z27" s="108">
        <v>1</v>
      </c>
      <c r="AA27" s="108">
        <v>1</v>
      </c>
      <c r="AB27" s="108">
        <v>0</v>
      </c>
      <c r="AC27" s="108">
        <v>0</v>
      </c>
      <c r="AD27" s="108">
        <v>0</v>
      </c>
      <c r="AE27" s="108">
        <v>0</v>
      </c>
    </row>
    <row r="28" spans="1:31" customFormat="1" x14ac:dyDescent="0.15">
      <c r="A28" s="189" t="s">
        <v>218</v>
      </c>
      <c r="B28" s="108">
        <v>0</v>
      </c>
      <c r="C28" s="108">
        <v>0</v>
      </c>
      <c r="D28" s="108">
        <v>0</v>
      </c>
      <c r="E28" s="108">
        <v>0</v>
      </c>
      <c r="F28" s="108">
        <v>0</v>
      </c>
      <c r="G28" s="108">
        <v>0</v>
      </c>
      <c r="H28" s="108">
        <v>0</v>
      </c>
      <c r="I28" s="108">
        <v>0</v>
      </c>
      <c r="J28" s="108">
        <v>0</v>
      </c>
      <c r="K28" s="108">
        <v>0</v>
      </c>
      <c r="L28" s="108">
        <v>0</v>
      </c>
      <c r="M28" s="108">
        <v>0</v>
      </c>
      <c r="N28" s="108">
        <v>0</v>
      </c>
      <c r="O28" s="108">
        <v>0</v>
      </c>
      <c r="P28" s="108">
        <v>0</v>
      </c>
      <c r="Q28" s="108">
        <v>0</v>
      </c>
      <c r="R28" s="108">
        <v>0</v>
      </c>
      <c r="S28" s="108">
        <v>0</v>
      </c>
      <c r="T28" s="108">
        <v>1</v>
      </c>
      <c r="U28" s="108">
        <v>0</v>
      </c>
      <c r="V28" s="108">
        <v>1</v>
      </c>
      <c r="W28" s="108">
        <v>0</v>
      </c>
      <c r="X28" s="108">
        <v>0</v>
      </c>
      <c r="Y28" s="108">
        <v>1</v>
      </c>
      <c r="Z28" s="108">
        <v>0</v>
      </c>
      <c r="AA28" s="108">
        <v>0</v>
      </c>
      <c r="AB28" s="108">
        <v>0</v>
      </c>
      <c r="AC28" s="108">
        <v>0</v>
      </c>
      <c r="AD28" s="108">
        <v>0</v>
      </c>
      <c r="AE28" s="108">
        <v>0</v>
      </c>
    </row>
    <row r="29" spans="1:31" customFormat="1" x14ac:dyDescent="0.15">
      <c r="A29" s="189" t="s">
        <v>219</v>
      </c>
      <c r="B29" s="108">
        <v>0</v>
      </c>
      <c r="C29" s="108">
        <v>0</v>
      </c>
      <c r="D29" s="108">
        <v>0</v>
      </c>
      <c r="E29" s="108">
        <v>0</v>
      </c>
      <c r="F29" s="108">
        <v>0</v>
      </c>
      <c r="G29" s="108">
        <v>0</v>
      </c>
      <c r="H29" s="108">
        <v>0</v>
      </c>
      <c r="I29" s="108">
        <v>0</v>
      </c>
      <c r="J29" s="108">
        <v>0</v>
      </c>
      <c r="K29" s="108">
        <v>1</v>
      </c>
      <c r="L29" s="108">
        <v>1</v>
      </c>
      <c r="M29" s="108">
        <v>1</v>
      </c>
      <c r="N29" s="108">
        <v>0</v>
      </c>
      <c r="O29" s="108">
        <v>1</v>
      </c>
      <c r="P29" s="108">
        <v>1</v>
      </c>
      <c r="Q29" s="108">
        <v>0</v>
      </c>
      <c r="R29" s="108">
        <v>0</v>
      </c>
      <c r="S29" s="108">
        <v>1</v>
      </c>
      <c r="T29" s="108">
        <v>1</v>
      </c>
      <c r="U29" s="108">
        <v>1</v>
      </c>
      <c r="V29" s="108">
        <v>0</v>
      </c>
      <c r="W29" s="108">
        <v>1</v>
      </c>
      <c r="X29" s="108">
        <v>1</v>
      </c>
      <c r="Y29" s="108">
        <v>1</v>
      </c>
      <c r="Z29" s="108">
        <v>1</v>
      </c>
      <c r="AA29" s="108">
        <v>1</v>
      </c>
      <c r="AB29" s="108">
        <v>0</v>
      </c>
      <c r="AC29" s="108">
        <v>0</v>
      </c>
      <c r="AD29" s="108">
        <v>0</v>
      </c>
      <c r="AE29" s="108">
        <v>0</v>
      </c>
    </row>
    <row r="30" spans="1:31" customFormat="1" x14ac:dyDescent="0.15">
      <c r="A30" s="189" t="s">
        <v>220</v>
      </c>
      <c r="B30" s="108">
        <v>0</v>
      </c>
      <c r="C30" s="108">
        <v>0</v>
      </c>
      <c r="D30" s="108">
        <v>1</v>
      </c>
      <c r="E30" s="108">
        <v>0</v>
      </c>
      <c r="F30" s="108">
        <v>0</v>
      </c>
      <c r="G30" s="108">
        <v>0</v>
      </c>
      <c r="H30" s="108">
        <v>0</v>
      </c>
      <c r="I30" s="108">
        <v>1</v>
      </c>
      <c r="J30" s="108">
        <v>1</v>
      </c>
      <c r="K30" s="108">
        <v>0</v>
      </c>
      <c r="L30" s="108">
        <v>1</v>
      </c>
      <c r="M30" s="108">
        <v>1</v>
      </c>
      <c r="N30" s="108">
        <v>1</v>
      </c>
      <c r="O30" s="108">
        <v>1</v>
      </c>
      <c r="P30" s="108">
        <v>1</v>
      </c>
      <c r="Q30" s="108">
        <v>1</v>
      </c>
      <c r="R30" s="108">
        <v>1</v>
      </c>
      <c r="S30" s="108">
        <v>1</v>
      </c>
      <c r="T30" s="108">
        <v>0</v>
      </c>
      <c r="U30" s="108">
        <v>1</v>
      </c>
      <c r="V30" s="108">
        <v>1</v>
      </c>
      <c r="W30" s="108">
        <v>1</v>
      </c>
      <c r="X30" s="108">
        <v>1</v>
      </c>
      <c r="Y30" s="108">
        <v>1</v>
      </c>
      <c r="Z30" s="108">
        <v>1</v>
      </c>
      <c r="AA30" s="108">
        <v>1</v>
      </c>
      <c r="AB30" s="108">
        <v>0</v>
      </c>
      <c r="AC30" s="108">
        <v>0</v>
      </c>
      <c r="AD30" s="108">
        <v>0</v>
      </c>
      <c r="AE30" s="108">
        <v>0</v>
      </c>
    </row>
    <row r="31" spans="1:31" customFormat="1" x14ac:dyDescent="0.15">
      <c r="A31" s="189" t="s">
        <v>221</v>
      </c>
      <c r="B31" s="108">
        <v>0</v>
      </c>
      <c r="C31" s="108">
        <v>0</v>
      </c>
      <c r="D31" s="108">
        <v>0</v>
      </c>
      <c r="E31" s="108">
        <v>0</v>
      </c>
      <c r="F31" s="108">
        <v>0</v>
      </c>
      <c r="G31" s="108">
        <v>0</v>
      </c>
      <c r="H31" s="108">
        <v>0</v>
      </c>
      <c r="I31" s="108">
        <v>0</v>
      </c>
      <c r="J31" s="108">
        <v>0</v>
      </c>
      <c r="K31" s="108">
        <v>0</v>
      </c>
      <c r="L31" s="108">
        <v>0</v>
      </c>
      <c r="M31" s="108">
        <v>0</v>
      </c>
      <c r="N31" s="108">
        <v>0</v>
      </c>
      <c r="O31" s="108">
        <v>0</v>
      </c>
      <c r="P31" s="108">
        <v>0</v>
      </c>
      <c r="Q31" s="108">
        <v>0</v>
      </c>
      <c r="R31" s="108">
        <v>0</v>
      </c>
      <c r="S31" s="108">
        <v>0</v>
      </c>
      <c r="T31" s="108">
        <v>0</v>
      </c>
      <c r="U31" s="108">
        <v>0</v>
      </c>
      <c r="V31" s="108">
        <v>0</v>
      </c>
      <c r="W31" s="108">
        <v>0</v>
      </c>
      <c r="X31" s="108">
        <v>0</v>
      </c>
      <c r="Y31" s="108">
        <v>0</v>
      </c>
      <c r="Z31" s="108">
        <v>0</v>
      </c>
      <c r="AA31" s="108">
        <v>0</v>
      </c>
      <c r="AB31" s="108">
        <v>0</v>
      </c>
      <c r="AC31" s="108">
        <v>0</v>
      </c>
      <c r="AD31" s="108">
        <v>0</v>
      </c>
      <c r="AE31" s="108">
        <v>0</v>
      </c>
    </row>
    <row r="32" spans="1:31" x14ac:dyDescent="0.15">
      <c r="A32" s="189" t="s">
        <v>223</v>
      </c>
      <c r="B32" s="108">
        <v>0</v>
      </c>
      <c r="C32" s="108">
        <v>0</v>
      </c>
      <c r="D32" s="108">
        <v>0</v>
      </c>
      <c r="E32" s="108">
        <v>0</v>
      </c>
      <c r="F32" s="108">
        <v>0</v>
      </c>
      <c r="G32" s="108">
        <v>0</v>
      </c>
      <c r="H32" s="108">
        <v>0</v>
      </c>
      <c r="I32" s="108">
        <v>0</v>
      </c>
      <c r="J32" s="108">
        <v>0</v>
      </c>
      <c r="K32" s="108">
        <v>0</v>
      </c>
      <c r="L32" s="108">
        <v>0</v>
      </c>
      <c r="M32" s="108">
        <v>0</v>
      </c>
      <c r="N32" s="108">
        <v>0</v>
      </c>
      <c r="O32" s="108">
        <v>0</v>
      </c>
      <c r="P32" s="108">
        <v>0</v>
      </c>
      <c r="Q32" s="108">
        <v>0</v>
      </c>
      <c r="R32" s="108">
        <v>0</v>
      </c>
      <c r="S32" s="108">
        <v>0</v>
      </c>
      <c r="T32" s="108">
        <v>0</v>
      </c>
      <c r="U32" s="108">
        <v>0</v>
      </c>
      <c r="V32" s="108">
        <v>0</v>
      </c>
      <c r="W32" s="108">
        <v>0</v>
      </c>
      <c r="X32" s="108">
        <v>0</v>
      </c>
      <c r="Y32" s="108">
        <v>0</v>
      </c>
      <c r="Z32" s="108">
        <v>0</v>
      </c>
      <c r="AA32" s="108">
        <v>0</v>
      </c>
      <c r="AB32" s="108">
        <v>0</v>
      </c>
      <c r="AC32" s="108">
        <v>0</v>
      </c>
      <c r="AD32" s="108">
        <v>0</v>
      </c>
      <c r="AE32" s="108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5.832031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92" t="s">
        <v>222</v>
      </c>
    </row>
    <row r="2" spans="1:3" x14ac:dyDescent="0.15">
      <c r="A2">
        <v>1</v>
      </c>
      <c r="B2" s="191" t="s">
        <v>192</v>
      </c>
      <c r="C2">
        <v>0.8</v>
      </c>
    </row>
    <row r="3" spans="1:3" x14ac:dyDescent="0.15">
      <c r="A3">
        <v>2</v>
      </c>
      <c r="B3" s="191" t="s">
        <v>193</v>
      </c>
      <c r="C3">
        <v>0.8</v>
      </c>
    </row>
    <row r="4" spans="1:3" x14ac:dyDescent="0.15">
      <c r="A4">
        <v>3</v>
      </c>
      <c r="B4" s="191" t="s">
        <v>194</v>
      </c>
      <c r="C4">
        <v>0.8</v>
      </c>
    </row>
    <row r="5" spans="1:3" x14ac:dyDescent="0.15">
      <c r="A5">
        <v>4</v>
      </c>
      <c r="B5" s="191" t="s">
        <v>195</v>
      </c>
      <c r="C5">
        <v>0.8</v>
      </c>
    </row>
    <row r="6" spans="1:3" x14ac:dyDescent="0.15">
      <c r="A6">
        <v>5</v>
      </c>
      <c r="B6" s="191" t="s">
        <v>196</v>
      </c>
      <c r="C6">
        <v>0.8</v>
      </c>
    </row>
    <row r="7" spans="1:3" x14ac:dyDescent="0.15">
      <c r="A7">
        <v>6</v>
      </c>
      <c r="B7" s="191" t="s">
        <v>197</v>
      </c>
      <c r="C7">
        <v>0.8</v>
      </c>
    </row>
    <row r="8" spans="1:3" x14ac:dyDescent="0.15">
      <c r="A8">
        <v>7</v>
      </c>
      <c r="B8" s="191" t="s">
        <v>198</v>
      </c>
      <c r="C8">
        <v>0.8</v>
      </c>
    </row>
    <row r="9" spans="1:3" x14ac:dyDescent="0.15">
      <c r="A9">
        <v>8</v>
      </c>
      <c r="B9" s="191" t="s">
        <v>199</v>
      </c>
      <c r="C9">
        <v>0.8</v>
      </c>
    </row>
    <row r="10" spans="1:3" x14ac:dyDescent="0.15">
      <c r="A10">
        <v>9</v>
      </c>
      <c r="B10" s="191" t="s">
        <v>200</v>
      </c>
      <c r="C10">
        <v>0.8</v>
      </c>
    </row>
    <row r="11" spans="1:3" x14ac:dyDescent="0.15">
      <c r="A11">
        <v>10</v>
      </c>
      <c r="B11" s="191" t="s">
        <v>201</v>
      </c>
      <c r="C11">
        <v>0.8</v>
      </c>
    </row>
    <row r="12" spans="1:3" x14ac:dyDescent="0.15">
      <c r="A12">
        <v>11</v>
      </c>
      <c r="B12" s="191" t="s">
        <v>202</v>
      </c>
      <c r="C12">
        <v>0.8</v>
      </c>
    </row>
    <row r="13" spans="1:3" x14ac:dyDescent="0.15">
      <c r="A13">
        <v>12</v>
      </c>
      <c r="B13" s="191" t="s">
        <v>203</v>
      </c>
      <c r="C13">
        <v>0.8</v>
      </c>
    </row>
    <row r="14" spans="1:3" x14ac:dyDescent="0.15">
      <c r="A14">
        <v>13</v>
      </c>
      <c r="B14" s="191" t="s">
        <v>204</v>
      </c>
      <c r="C14">
        <v>0.8</v>
      </c>
    </row>
    <row r="15" spans="1:3" x14ac:dyDescent="0.15">
      <c r="A15">
        <v>14</v>
      </c>
      <c r="B15" s="191" t="s">
        <v>205</v>
      </c>
      <c r="C15">
        <v>0.8</v>
      </c>
    </row>
    <row r="16" spans="1:3" x14ac:dyDescent="0.15">
      <c r="A16">
        <v>15</v>
      </c>
      <c r="B16" s="191" t="s">
        <v>206</v>
      </c>
      <c r="C16">
        <v>0.8</v>
      </c>
    </row>
    <row r="17" spans="1:3" x14ac:dyDescent="0.15">
      <c r="A17">
        <v>16</v>
      </c>
      <c r="B17" s="191" t="s">
        <v>207</v>
      </c>
      <c r="C17">
        <v>0.8</v>
      </c>
    </row>
    <row r="18" spans="1:3" x14ac:dyDescent="0.15">
      <c r="A18">
        <v>17</v>
      </c>
      <c r="B18" s="191" t="s">
        <v>208</v>
      </c>
      <c r="C18">
        <v>0.8</v>
      </c>
    </row>
    <row r="19" spans="1:3" x14ac:dyDescent="0.15">
      <c r="A19">
        <v>18</v>
      </c>
      <c r="B19" s="191" t="s">
        <v>209</v>
      </c>
      <c r="C19">
        <v>0.8</v>
      </c>
    </row>
    <row r="20" spans="1:3" x14ac:dyDescent="0.15">
      <c r="A20">
        <v>19</v>
      </c>
      <c r="B20" s="191" t="s">
        <v>210</v>
      </c>
      <c r="C20">
        <v>0.8</v>
      </c>
    </row>
    <row r="21" spans="1:3" x14ac:dyDescent="0.15">
      <c r="A21">
        <v>20</v>
      </c>
      <c r="B21" s="191" t="s">
        <v>211</v>
      </c>
      <c r="C21">
        <v>0.8</v>
      </c>
    </row>
    <row r="22" spans="1:3" x14ac:dyDescent="0.15">
      <c r="A22">
        <v>21</v>
      </c>
      <c r="B22" s="191" t="s">
        <v>212</v>
      </c>
      <c r="C22">
        <v>0.8</v>
      </c>
    </row>
    <row r="23" spans="1:3" x14ac:dyDescent="0.15">
      <c r="A23">
        <v>22</v>
      </c>
      <c r="B23" s="191" t="s">
        <v>213</v>
      </c>
      <c r="C23">
        <v>0.8</v>
      </c>
    </row>
    <row r="24" spans="1:3" x14ac:dyDescent="0.15">
      <c r="A24">
        <v>23</v>
      </c>
      <c r="B24" s="191" t="s">
        <v>214</v>
      </c>
      <c r="C24">
        <v>0.8</v>
      </c>
    </row>
    <row r="25" spans="1:3" x14ac:dyDescent="0.15">
      <c r="A25">
        <v>24</v>
      </c>
      <c r="B25" s="191" t="s">
        <v>215</v>
      </c>
      <c r="C25">
        <v>0.8</v>
      </c>
    </row>
    <row r="26" spans="1:3" x14ac:dyDescent="0.15">
      <c r="A26">
        <v>25</v>
      </c>
      <c r="B26" s="191" t="s">
        <v>216</v>
      </c>
      <c r="C26">
        <v>0</v>
      </c>
    </row>
    <row r="27" spans="1:3" x14ac:dyDescent="0.15">
      <c r="A27">
        <v>26</v>
      </c>
      <c r="B27" s="191" t="s">
        <v>217</v>
      </c>
      <c r="C27">
        <v>0</v>
      </c>
    </row>
    <row r="28" spans="1:3" x14ac:dyDescent="0.15">
      <c r="A28">
        <v>27</v>
      </c>
      <c r="B28" s="191" t="s">
        <v>218</v>
      </c>
      <c r="C28">
        <v>0</v>
      </c>
    </row>
    <row r="29" spans="1:3" x14ac:dyDescent="0.15">
      <c r="A29">
        <v>28</v>
      </c>
      <c r="B29" s="191" t="s">
        <v>219</v>
      </c>
      <c r="C29">
        <v>0</v>
      </c>
    </row>
    <row r="30" spans="1:3" x14ac:dyDescent="0.15">
      <c r="A30">
        <v>29</v>
      </c>
      <c r="B30" s="191" t="s">
        <v>220</v>
      </c>
      <c r="C30">
        <v>0</v>
      </c>
    </row>
    <row r="31" spans="1:3" x14ac:dyDescent="0.15">
      <c r="A31">
        <v>30</v>
      </c>
      <c r="B31" s="191" t="s">
        <v>221</v>
      </c>
      <c r="C31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31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5.832031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94" t="s">
        <v>222</v>
      </c>
    </row>
    <row r="2" spans="1:3" x14ac:dyDescent="0.15">
      <c r="A2">
        <v>1</v>
      </c>
      <c r="B2" s="193" t="s">
        <v>192</v>
      </c>
      <c r="C2">
        <v>0.8</v>
      </c>
    </row>
    <row r="3" spans="1:3" x14ac:dyDescent="0.15">
      <c r="A3">
        <v>2</v>
      </c>
      <c r="B3" s="193" t="s">
        <v>193</v>
      </c>
      <c r="C3">
        <v>0.8</v>
      </c>
    </row>
    <row r="4" spans="1:3" x14ac:dyDescent="0.15">
      <c r="A4">
        <v>3</v>
      </c>
      <c r="B4" s="193" t="s">
        <v>194</v>
      </c>
      <c r="C4">
        <v>0.8</v>
      </c>
    </row>
    <row r="5" spans="1:3" x14ac:dyDescent="0.15">
      <c r="A5">
        <v>4</v>
      </c>
      <c r="B5" s="193" t="s">
        <v>195</v>
      </c>
      <c r="C5">
        <v>0.8</v>
      </c>
    </row>
    <row r="6" spans="1:3" x14ac:dyDescent="0.15">
      <c r="A6">
        <v>5</v>
      </c>
      <c r="B6" s="193" t="s">
        <v>196</v>
      </c>
      <c r="C6">
        <v>0.8</v>
      </c>
    </row>
    <row r="7" spans="1:3" x14ac:dyDescent="0.15">
      <c r="A7">
        <v>6</v>
      </c>
      <c r="B7" s="193" t="s">
        <v>197</v>
      </c>
      <c r="C7">
        <v>0.8</v>
      </c>
    </row>
    <row r="8" spans="1:3" x14ac:dyDescent="0.15">
      <c r="A8">
        <v>7</v>
      </c>
      <c r="B8" s="193" t="s">
        <v>198</v>
      </c>
      <c r="C8">
        <v>0.8</v>
      </c>
    </row>
    <row r="9" spans="1:3" x14ac:dyDescent="0.15">
      <c r="A9">
        <v>8</v>
      </c>
      <c r="B9" s="193" t="s">
        <v>199</v>
      </c>
      <c r="C9">
        <v>0.8</v>
      </c>
    </row>
    <row r="10" spans="1:3" x14ac:dyDescent="0.15">
      <c r="A10">
        <v>9</v>
      </c>
      <c r="B10" s="193" t="s">
        <v>200</v>
      </c>
      <c r="C10">
        <v>0.8</v>
      </c>
    </row>
    <row r="11" spans="1:3" x14ac:dyDescent="0.15">
      <c r="A11">
        <v>10</v>
      </c>
      <c r="B11" s="193" t="s">
        <v>201</v>
      </c>
      <c r="C11">
        <v>0.8</v>
      </c>
    </row>
    <row r="12" spans="1:3" x14ac:dyDescent="0.15">
      <c r="A12">
        <v>11</v>
      </c>
      <c r="B12" s="193" t="s">
        <v>202</v>
      </c>
      <c r="C12">
        <v>0.8</v>
      </c>
    </row>
    <row r="13" spans="1:3" x14ac:dyDescent="0.15">
      <c r="A13">
        <v>12</v>
      </c>
      <c r="B13" s="193" t="s">
        <v>203</v>
      </c>
      <c r="C13">
        <v>0.8</v>
      </c>
    </row>
    <row r="14" spans="1:3" x14ac:dyDescent="0.15">
      <c r="A14">
        <v>13</v>
      </c>
      <c r="B14" s="193" t="s">
        <v>204</v>
      </c>
      <c r="C14">
        <v>0.8</v>
      </c>
    </row>
    <row r="15" spans="1:3" x14ac:dyDescent="0.15">
      <c r="A15">
        <v>14</v>
      </c>
      <c r="B15" s="193" t="s">
        <v>205</v>
      </c>
      <c r="C15">
        <v>0.8</v>
      </c>
    </row>
    <row r="16" spans="1:3" x14ac:dyDescent="0.15">
      <c r="A16">
        <v>15</v>
      </c>
      <c r="B16" s="193" t="s">
        <v>206</v>
      </c>
      <c r="C16">
        <v>0.8</v>
      </c>
    </row>
    <row r="17" spans="1:3" x14ac:dyDescent="0.15">
      <c r="A17">
        <v>16</v>
      </c>
      <c r="B17" s="193" t="s">
        <v>207</v>
      </c>
      <c r="C17">
        <v>0.8</v>
      </c>
    </row>
    <row r="18" spans="1:3" x14ac:dyDescent="0.15">
      <c r="A18">
        <v>17</v>
      </c>
      <c r="B18" s="193" t="s">
        <v>208</v>
      </c>
      <c r="C18">
        <v>0.8</v>
      </c>
    </row>
    <row r="19" spans="1:3" x14ac:dyDescent="0.15">
      <c r="A19">
        <v>18</v>
      </c>
      <c r="B19" s="193" t="s">
        <v>209</v>
      </c>
      <c r="C19">
        <v>0.8</v>
      </c>
    </row>
    <row r="20" spans="1:3" x14ac:dyDescent="0.15">
      <c r="A20">
        <v>19</v>
      </c>
      <c r="B20" s="193" t="s">
        <v>210</v>
      </c>
      <c r="C20">
        <v>0.8</v>
      </c>
    </row>
    <row r="21" spans="1:3" x14ac:dyDescent="0.15">
      <c r="A21">
        <v>20</v>
      </c>
      <c r="B21" s="193" t="s">
        <v>211</v>
      </c>
      <c r="C21">
        <v>0.8</v>
      </c>
    </row>
    <row r="22" spans="1:3" x14ac:dyDescent="0.15">
      <c r="A22">
        <v>21</v>
      </c>
      <c r="B22" s="193" t="s">
        <v>212</v>
      </c>
      <c r="C22">
        <v>0.8</v>
      </c>
    </row>
    <row r="23" spans="1:3" x14ac:dyDescent="0.15">
      <c r="A23">
        <v>22</v>
      </c>
      <c r="B23" s="193" t="s">
        <v>213</v>
      </c>
      <c r="C23">
        <v>0.8</v>
      </c>
    </row>
    <row r="24" spans="1:3" x14ac:dyDescent="0.15">
      <c r="A24">
        <v>23</v>
      </c>
      <c r="B24" s="193" t="s">
        <v>214</v>
      </c>
      <c r="C24">
        <v>0.8</v>
      </c>
    </row>
    <row r="25" spans="1:3" x14ac:dyDescent="0.15">
      <c r="A25">
        <v>24</v>
      </c>
      <c r="B25" s="193" t="s">
        <v>215</v>
      </c>
      <c r="C25">
        <v>0.8</v>
      </c>
    </row>
    <row r="26" spans="1:3" x14ac:dyDescent="0.15">
      <c r="A26">
        <v>25</v>
      </c>
      <c r="B26" s="193" t="s">
        <v>216</v>
      </c>
      <c r="C26">
        <v>0</v>
      </c>
    </row>
    <row r="27" spans="1:3" x14ac:dyDescent="0.15">
      <c r="A27">
        <v>26</v>
      </c>
      <c r="B27" s="193" t="s">
        <v>217</v>
      </c>
      <c r="C27">
        <v>0</v>
      </c>
    </row>
    <row r="28" spans="1:3" x14ac:dyDescent="0.15">
      <c r="A28">
        <v>27</v>
      </c>
      <c r="B28" s="193" t="s">
        <v>218</v>
      </c>
      <c r="C28">
        <v>0</v>
      </c>
    </row>
    <row r="29" spans="1:3" x14ac:dyDescent="0.15">
      <c r="A29">
        <v>28</v>
      </c>
      <c r="B29" s="193" t="s">
        <v>219</v>
      </c>
      <c r="C29">
        <v>0</v>
      </c>
    </row>
    <row r="30" spans="1:3" x14ac:dyDescent="0.15">
      <c r="A30">
        <v>29</v>
      </c>
      <c r="B30" s="193" t="s">
        <v>220</v>
      </c>
      <c r="C30">
        <v>0</v>
      </c>
    </row>
    <row r="31" spans="1:3" x14ac:dyDescent="0.15">
      <c r="A31">
        <v>30</v>
      </c>
      <c r="B31" s="193" t="s">
        <v>221</v>
      </c>
      <c r="C3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L7" sqref="L7"/>
    </sheetView>
  </sheetViews>
  <sheetFormatPr baseColWidth="10" defaultColWidth="8.83203125" defaultRowHeight="15" customHeight="1" x14ac:dyDescent="0.15"/>
  <cols>
    <col min="1" max="1" width="8.83203125" style="79"/>
    <col min="2" max="2" width="41.83203125" style="79" bestFit="1" customWidth="1"/>
    <col min="3" max="3" width="9.33203125" style="79" bestFit="1" customWidth="1"/>
    <col min="4" max="4" width="13" style="79" bestFit="1" customWidth="1"/>
    <col min="5" max="6" width="9.33203125" style="79" bestFit="1" customWidth="1"/>
    <col min="7" max="7" width="9.33203125" style="95" bestFit="1" customWidth="1"/>
    <col min="8" max="8" width="9.33203125" style="79" bestFit="1" customWidth="1"/>
    <col min="9" max="9" width="11" style="79" customWidth="1"/>
    <col min="10" max="10" width="8.83203125" style="79"/>
    <col min="15" max="16384" width="8.83203125" style="79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46">
        <v>1</v>
      </c>
      <c r="B2" s="146" t="s">
        <v>192</v>
      </c>
      <c r="C2" s="8">
        <v>4.4010028839111328</v>
      </c>
      <c r="D2" s="9">
        <v>0.23000000417232513</v>
      </c>
      <c r="E2" s="9">
        <v>0.52173912525177002</v>
      </c>
      <c r="F2" s="9">
        <v>9.5</v>
      </c>
      <c r="G2" s="9">
        <v>0.49999997019767761</v>
      </c>
      <c r="H2" s="9">
        <v>5.4919909685850143E-2</v>
      </c>
      <c r="I2">
        <v>5.9999998658895493E-2</v>
      </c>
      <c r="J2"/>
    </row>
    <row r="3" spans="1:10" ht="15" customHeight="1" x14ac:dyDescent="0.15">
      <c r="A3" s="147">
        <v>2</v>
      </c>
      <c r="B3" s="147" t="s">
        <v>193</v>
      </c>
      <c r="C3" s="8">
        <v>4.3700003623962402</v>
      </c>
      <c r="D3" s="9">
        <v>2.9999999329447746E-2</v>
      </c>
      <c r="E3" s="9">
        <v>2</v>
      </c>
      <c r="F3" s="9">
        <v>11.640000343322754</v>
      </c>
      <c r="G3" s="9">
        <v>0.5</v>
      </c>
      <c r="H3" s="9">
        <v>0.17182129621505737</v>
      </c>
      <c r="I3">
        <v>2.9999999329447746E-2</v>
      </c>
      <c r="J3"/>
    </row>
    <row r="4" spans="1:10" ht="15" customHeight="1" x14ac:dyDescent="0.15">
      <c r="A4" s="148">
        <v>3</v>
      </c>
      <c r="B4" s="148" t="s">
        <v>194</v>
      </c>
      <c r="C4" s="8">
        <v>3.4343514442443848</v>
      </c>
      <c r="D4" s="9">
        <v>0.15000000596046448</v>
      </c>
      <c r="E4" s="9">
        <v>0.40000000596046448</v>
      </c>
      <c r="F4" s="9">
        <v>6.5</v>
      </c>
      <c r="G4" s="9">
        <v>0.49999997019767761</v>
      </c>
      <c r="H4" s="9">
        <v>6.1538461595773697E-2</v>
      </c>
      <c r="I4">
        <v>2.9999999329447746E-2</v>
      </c>
      <c r="J4"/>
    </row>
    <row r="5" spans="1:10" ht="15" customHeight="1" x14ac:dyDescent="0.15">
      <c r="A5" s="149">
        <v>4</v>
      </c>
      <c r="B5" s="149" t="s">
        <v>195</v>
      </c>
      <c r="C5" s="8">
        <v>3.9030318260192871</v>
      </c>
      <c r="D5" s="9">
        <v>0.46222099661827087</v>
      </c>
      <c r="E5" s="9">
        <v>1.7400000095367432</v>
      </c>
      <c r="F5" s="9">
        <v>8.6999998092651367</v>
      </c>
      <c r="G5" s="9">
        <v>0.94999998807907104</v>
      </c>
      <c r="H5" s="9">
        <v>0.20000000298023224</v>
      </c>
      <c r="I5">
        <v>0.17000000178813934</v>
      </c>
      <c r="J5"/>
    </row>
    <row r="6" spans="1:10" ht="15" customHeight="1" x14ac:dyDescent="0.15">
      <c r="A6" s="150">
        <v>5</v>
      </c>
      <c r="B6" s="150" t="s">
        <v>196</v>
      </c>
      <c r="C6" s="8">
        <v>3.9754264354705811</v>
      </c>
      <c r="D6" s="9">
        <v>5.000000074505806E-2</v>
      </c>
      <c r="E6" s="9">
        <v>0.21052631735801697</v>
      </c>
      <c r="F6" s="9">
        <v>8.6999998092651367</v>
      </c>
      <c r="G6" s="9">
        <v>0.94999992847442627</v>
      </c>
      <c r="H6" s="9">
        <v>2.4198427796363831E-2</v>
      </c>
      <c r="I6">
        <v>9.9999997764825821E-3</v>
      </c>
      <c r="J6"/>
    </row>
    <row r="7" spans="1:10" ht="15" customHeight="1" x14ac:dyDescent="0.15">
      <c r="A7" s="151">
        <v>6</v>
      </c>
      <c r="B7" s="151" t="s">
        <v>197</v>
      </c>
      <c r="C7" s="8">
        <v>3.990142822265625</v>
      </c>
      <c r="D7" s="9">
        <v>6.0496064834296703E-3</v>
      </c>
      <c r="E7" s="9">
        <v>1.7400000095367432</v>
      </c>
      <c r="F7" s="9">
        <v>8.6999998092651367</v>
      </c>
      <c r="G7" s="9">
        <v>0.95000004768371582</v>
      </c>
      <c r="H7" s="9">
        <v>0.20000000298023224</v>
      </c>
      <c r="I7">
        <v>9.9999997764825821E-3</v>
      </c>
      <c r="J7"/>
    </row>
    <row r="8" spans="1:10" ht="15" customHeight="1" x14ac:dyDescent="0.15">
      <c r="A8" s="152">
        <v>7</v>
      </c>
      <c r="B8" s="152" t="s">
        <v>198</v>
      </c>
      <c r="C8" s="8">
        <v>4.0986404418945312</v>
      </c>
      <c r="D8" s="9">
        <v>0.14101196825504303</v>
      </c>
      <c r="E8" s="9">
        <v>2.0699999332427979</v>
      </c>
      <c r="F8" s="9">
        <v>8.6999998092651367</v>
      </c>
      <c r="G8" s="9">
        <v>0.94999998807907104</v>
      </c>
      <c r="H8" s="9">
        <v>0.237931028008461</v>
      </c>
      <c r="I8">
        <v>1.9999999552965164E-2</v>
      </c>
      <c r="J8"/>
    </row>
    <row r="9" spans="1:10" ht="15" customHeight="1" x14ac:dyDescent="0.15">
      <c r="A9" s="153">
        <v>8</v>
      </c>
      <c r="B9" s="153" t="s">
        <v>199</v>
      </c>
      <c r="C9" s="8">
        <v>3.5307133197784424</v>
      </c>
      <c r="D9" s="9">
        <v>0.11603715270757675</v>
      </c>
      <c r="E9" s="9">
        <v>0.85000002384185791</v>
      </c>
      <c r="F9" s="9">
        <v>8.6999998092651367</v>
      </c>
      <c r="G9" s="9">
        <v>0.95000004768371582</v>
      </c>
      <c r="H9" s="9">
        <v>9.770115464925766E-2</v>
      </c>
      <c r="I9">
        <v>5.000000074505806E-2</v>
      </c>
      <c r="J9"/>
    </row>
    <row r="10" spans="1:10" ht="15" customHeight="1" x14ac:dyDescent="0.15">
      <c r="A10" s="154">
        <v>9</v>
      </c>
      <c r="B10" s="154" t="s">
        <v>200</v>
      </c>
      <c r="C10" s="8">
        <v>3.522674560546875</v>
      </c>
      <c r="D10" s="9">
        <v>0.31000000238418579</v>
      </c>
      <c r="E10" s="9">
        <v>1.1288285255432129</v>
      </c>
      <c r="F10" s="9">
        <v>8.6999998092651367</v>
      </c>
      <c r="G10" s="9">
        <v>0.95000004768371582</v>
      </c>
      <c r="H10" s="9">
        <v>0.12975040078163147</v>
      </c>
      <c r="I10">
        <v>5.9999998658895493E-2</v>
      </c>
      <c r="J10"/>
    </row>
    <row r="11" spans="1:10" ht="15" customHeight="1" x14ac:dyDescent="0.15">
      <c r="A11" s="155">
        <v>10</v>
      </c>
      <c r="B11" s="155" t="s">
        <v>201</v>
      </c>
      <c r="C11" s="8">
        <v>3.1275093555450439</v>
      </c>
      <c r="D11" s="9">
        <v>0.35914626717567444</v>
      </c>
      <c r="E11" s="9">
        <v>2.369999885559082</v>
      </c>
      <c r="F11" s="9">
        <v>7.9000000953674316</v>
      </c>
      <c r="G11" s="9">
        <v>0.9500001072883606</v>
      </c>
      <c r="H11" s="9">
        <v>0.29999998211860657</v>
      </c>
      <c r="I11">
        <v>1.9999999552965164E-2</v>
      </c>
      <c r="J11"/>
    </row>
    <row r="12" spans="1:10" ht="15" customHeight="1" x14ac:dyDescent="0.15">
      <c r="A12" s="156">
        <v>11</v>
      </c>
      <c r="B12" s="156" t="s">
        <v>202</v>
      </c>
      <c r="C12" s="8">
        <v>3.1145138740539551</v>
      </c>
      <c r="D12" s="9">
        <v>0.37507840991020203</v>
      </c>
      <c r="E12" s="9">
        <v>2.7000000476837158</v>
      </c>
      <c r="F12" s="9">
        <v>7.9000000953674316</v>
      </c>
      <c r="G12" s="9">
        <v>0.95000004768371582</v>
      </c>
      <c r="H12" s="9">
        <v>0.34177213907241821</v>
      </c>
      <c r="I12">
        <v>9.0000003576278687E-2</v>
      </c>
      <c r="J12"/>
    </row>
    <row r="13" spans="1:10" ht="15" customHeight="1" x14ac:dyDescent="0.15">
      <c r="A13" s="157">
        <v>12</v>
      </c>
      <c r="B13" s="157" t="s">
        <v>203</v>
      </c>
      <c r="C13" s="8">
        <v>3.1067113876342773</v>
      </c>
      <c r="D13" s="9">
        <v>0.36660867929458618</v>
      </c>
      <c r="E13" s="9">
        <v>2.0499999523162842</v>
      </c>
      <c r="F13" s="9">
        <v>7.9000000953674316</v>
      </c>
      <c r="G13" s="9">
        <v>0.94999998807907104</v>
      </c>
      <c r="H13" s="9">
        <v>0.25949364900588989</v>
      </c>
      <c r="I13">
        <v>1.9999999552965164E-2</v>
      </c>
      <c r="J13"/>
    </row>
    <row r="14" spans="1:10" ht="15" customHeight="1" x14ac:dyDescent="0.15">
      <c r="A14" s="158">
        <v>13</v>
      </c>
      <c r="B14" s="158" t="s">
        <v>204</v>
      </c>
      <c r="C14" s="8">
        <v>3.2263143062591553</v>
      </c>
      <c r="D14" s="9">
        <v>0.86115097999572754</v>
      </c>
      <c r="E14" s="9">
        <v>2.1500000953674316</v>
      </c>
      <c r="F14" s="9">
        <v>10.75</v>
      </c>
      <c r="G14" s="9">
        <v>0.95000004768371582</v>
      </c>
      <c r="H14" s="9">
        <v>0.20000000298023224</v>
      </c>
      <c r="I14">
        <v>0.37999999523162842</v>
      </c>
      <c r="J14"/>
    </row>
    <row r="15" spans="1:10" ht="15" customHeight="1" x14ac:dyDescent="0.15">
      <c r="A15" s="159">
        <v>14</v>
      </c>
      <c r="B15" s="159" t="s">
        <v>205</v>
      </c>
      <c r="C15" s="8">
        <v>3.1721053123474121</v>
      </c>
      <c r="D15" s="9">
        <v>1.9900000095367432</v>
      </c>
      <c r="E15" s="9">
        <v>0.4629339873790741</v>
      </c>
      <c r="F15" s="9">
        <v>10.75</v>
      </c>
      <c r="G15" s="9">
        <v>0.94999998807907104</v>
      </c>
      <c r="H15" s="9">
        <v>4.3063625693321228E-2</v>
      </c>
      <c r="I15">
        <v>7.9999998211860657E-2</v>
      </c>
      <c r="J15"/>
    </row>
    <row r="16" spans="1:10" ht="15" customHeight="1" x14ac:dyDescent="0.15">
      <c r="A16" s="160">
        <v>15</v>
      </c>
      <c r="B16" s="160" t="s">
        <v>206</v>
      </c>
      <c r="C16" s="8">
        <v>3.1157894134521484</v>
      </c>
      <c r="D16" s="9">
        <v>1.2599999904632568</v>
      </c>
      <c r="E16" s="9">
        <v>0.48750165104866028</v>
      </c>
      <c r="F16" s="9">
        <v>10.75</v>
      </c>
      <c r="G16" s="9">
        <v>0.94999992847442627</v>
      </c>
      <c r="H16" s="9">
        <v>4.5348990708589554E-2</v>
      </c>
      <c r="I16">
        <v>1.9999999552965164E-2</v>
      </c>
      <c r="J16"/>
    </row>
    <row r="17" spans="1:10" ht="15" customHeight="1" x14ac:dyDescent="0.15">
      <c r="A17" s="161">
        <v>16</v>
      </c>
      <c r="B17" s="161" t="s">
        <v>207</v>
      </c>
      <c r="C17" s="8">
        <v>3.2775571346282959</v>
      </c>
      <c r="D17" s="9">
        <v>0.56999999284744263</v>
      </c>
      <c r="E17" s="9">
        <v>1.0499343872070312</v>
      </c>
      <c r="F17" s="9">
        <v>10.75</v>
      </c>
      <c r="G17" s="9">
        <v>0.94999998807907104</v>
      </c>
      <c r="H17" s="9">
        <v>9.766831248998642E-2</v>
      </c>
      <c r="I17">
        <v>4.999999888241291E-3</v>
      </c>
      <c r="J17"/>
    </row>
    <row r="18" spans="1:10" ht="15" customHeight="1" x14ac:dyDescent="0.15">
      <c r="A18" s="162">
        <v>17</v>
      </c>
      <c r="B18" s="162" t="s">
        <v>208</v>
      </c>
      <c r="C18" s="8">
        <v>3.2081167697906494</v>
      </c>
      <c r="D18" s="9">
        <v>0.1818329244852066</v>
      </c>
      <c r="E18" s="9">
        <v>2.1500000953674316</v>
      </c>
      <c r="F18" s="9">
        <v>10.75</v>
      </c>
      <c r="G18" s="9">
        <v>0.95000004768371582</v>
      </c>
      <c r="H18" s="9">
        <v>0.20000000298023224</v>
      </c>
      <c r="I18">
        <v>4.999999888241291E-3</v>
      </c>
      <c r="J18"/>
    </row>
    <row r="19" spans="1:10" ht="15" customHeight="1" x14ac:dyDescent="0.15">
      <c r="A19" s="163">
        <v>18</v>
      </c>
      <c r="B19" s="163" t="s">
        <v>209</v>
      </c>
      <c r="C19" s="8">
        <v>3.1578946113586426</v>
      </c>
      <c r="D19" s="9">
        <v>0.27706626057624817</v>
      </c>
      <c r="E19" s="9">
        <v>2.1500000953674316</v>
      </c>
      <c r="F19" s="9">
        <v>10.75</v>
      </c>
      <c r="G19" s="9">
        <v>0.95000004768371582</v>
      </c>
      <c r="H19" s="9">
        <v>0.20000000298023224</v>
      </c>
      <c r="I19">
        <v>4.999999888241291E-3</v>
      </c>
      <c r="J19"/>
    </row>
    <row r="20" spans="1:10" ht="15" customHeight="1" x14ac:dyDescent="0.15">
      <c r="A20" s="164">
        <v>19</v>
      </c>
      <c r="B20" s="164" t="s">
        <v>210</v>
      </c>
      <c r="C20" s="8">
        <v>2.1052632331848145</v>
      </c>
      <c r="D20" s="9">
        <v>9.8570153117179871E-2</v>
      </c>
      <c r="E20" s="9">
        <v>1.5</v>
      </c>
      <c r="F20" s="9">
        <v>7.5500001907348633</v>
      </c>
      <c r="G20" s="9">
        <v>0.95000004768371582</v>
      </c>
      <c r="H20" s="9">
        <v>0.1986754983663559</v>
      </c>
      <c r="I20">
        <v>4.999999888241291E-3</v>
      </c>
      <c r="J20"/>
    </row>
    <row r="21" spans="1:10" ht="15" customHeight="1" x14ac:dyDescent="0.15">
      <c r="A21" s="165">
        <v>20</v>
      </c>
      <c r="B21" s="165" t="s">
        <v>211</v>
      </c>
      <c r="C21" s="8">
        <v>2.5119473934173584</v>
      </c>
      <c r="D21" s="9">
        <v>7.0365384221076965E-2</v>
      </c>
      <c r="E21" s="9">
        <v>3</v>
      </c>
      <c r="F21" s="9">
        <v>12.5</v>
      </c>
      <c r="G21" s="9">
        <v>0.9500001072883606</v>
      </c>
      <c r="H21" s="9">
        <v>0.23999999463558197</v>
      </c>
      <c r="I21">
        <v>1.9999999552965164E-2</v>
      </c>
      <c r="J21"/>
    </row>
    <row r="22" spans="1:10" ht="15" customHeight="1" x14ac:dyDescent="0.15">
      <c r="A22" s="166">
        <v>21</v>
      </c>
      <c r="B22" s="166" t="s">
        <v>212</v>
      </c>
      <c r="C22" s="8">
        <v>2.8550522327423096</v>
      </c>
      <c r="D22" s="9">
        <v>0.22990845143795013</v>
      </c>
      <c r="E22" s="9">
        <v>4</v>
      </c>
      <c r="F22" s="9">
        <v>21.899999618530273</v>
      </c>
      <c r="G22" s="9">
        <v>0.9500001072883606</v>
      </c>
      <c r="H22" s="9">
        <v>0.18264840543270111</v>
      </c>
      <c r="I22">
        <v>9.9999997764825821E-3</v>
      </c>
      <c r="J22"/>
    </row>
    <row r="23" spans="1:10" ht="15" customHeight="1" x14ac:dyDescent="0.15">
      <c r="A23" s="167">
        <v>22</v>
      </c>
      <c r="B23" s="167" t="s">
        <v>213</v>
      </c>
      <c r="C23" s="8">
        <v>2.7809674739837646</v>
      </c>
      <c r="D23" s="9">
        <v>0.90224272012710571</v>
      </c>
      <c r="E23" s="9">
        <v>4</v>
      </c>
      <c r="F23" s="9">
        <v>21.899999618530273</v>
      </c>
      <c r="G23" s="9">
        <v>0.94999992847442627</v>
      </c>
      <c r="H23" s="9">
        <v>0.18264840543270111</v>
      </c>
      <c r="I23">
        <v>0.2199999988079071</v>
      </c>
      <c r="J23"/>
    </row>
    <row r="24" spans="1:10" ht="15" customHeight="1" x14ac:dyDescent="0.15">
      <c r="A24" s="168">
        <v>23</v>
      </c>
      <c r="B24" s="168" t="s">
        <v>214</v>
      </c>
      <c r="C24" s="8">
        <v>2.4210526943206787</v>
      </c>
      <c r="D24" s="9">
        <v>0.28485685586929321</v>
      </c>
      <c r="E24" s="9">
        <v>62</v>
      </c>
      <c r="F24" s="9">
        <v>310</v>
      </c>
      <c r="G24" s="9">
        <v>0.95000004768371582</v>
      </c>
      <c r="H24" s="9">
        <v>0.20000000298023224</v>
      </c>
      <c r="I24">
        <v>4.999999888241291E-3</v>
      </c>
      <c r="J24"/>
    </row>
    <row r="25" spans="1:10" ht="15" customHeight="1" x14ac:dyDescent="0.15">
      <c r="A25" s="169">
        <v>24</v>
      </c>
      <c r="B25" s="169" t="s">
        <v>215</v>
      </c>
      <c r="C25" s="8">
        <v>2.4210526943206787</v>
      </c>
      <c r="D25" s="9">
        <v>4.9625406265258789</v>
      </c>
      <c r="E25" s="9">
        <v>6.8000001907348633</v>
      </c>
      <c r="F25" s="9">
        <v>27.399999618530273</v>
      </c>
      <c r="G25" s="9">
        <v>0.94999986886978149</v>
      </c>
      <c r="H25" s="9">
        <v>0.24817518889904022</v>
      </c>
      <c r="I25">
        <v>4.999999888241291E-3</v>
      </c>
      <c r="J25"/>
    </row>
    <row r="26" spans="1:10" ht="15" customHeight="1" x14ac:dyDescent="0.15">
      <c r="A26" s="170">
        <v>25</v>
      </c>
      <c r="B26" s="170" t="s">
        <v>216</v>
      </c>
      <c r="C26" s="8">
        <v>2.0526316165924072</v>
      </c>
      <c r="D26" s="9">
        <v>5.0582842826843262</v>
      </c>
      <c r="E26" s="9">
        <v>10</v>
      </c>
      <c r="F26" s="9">
        <v>50</v>
      </c>
      <c r="G26" s="9">
        <v>0.94999998807907104</v>
      </c>
      <c r="H26" s="9">
        <v>0.20000000298023224</v>
      </c>
      <c r="I26">
        <v>0</v>
      </c>
      <c r="J26"/>
    </row>
    <row r="27" spans="1:10" ht="15" customHeight="1" x14ac:dyDescent="0.15">
      <c r="A27" s="171">
        <v>26</v>
      </c>
      <c r="B27" s="171" t="s">
        <v>217</v>
      </c>
      <c r="C27" s="8">
        <v>2.0526316165924072</v>
      </c>
      <c r="D27" s="9">
        <v>1.5672305822372437</v>
      </c>
      <c r="E27" s="9">
        <v>67</v>
      </c>
      <c r="F27" s="9">
        <v>280</v>
      </c>
      <c r="G27" s="9">
        <v>0.95000004768371582</v>
      </c>
      <c r="H27" s="9">
        <v>0.23928570747375488</v>
      </c>
      <c r="I27">
        <v>0</v>
      </c>
      <c r="J27"/>
    </row>
    <row r="28" spans="1:10" ht="15" customHeight="1" x14ac:dyDescent="0.15">
      <c r="A28" s="172">
        <v>27</v>
      </c>
      <c r="B28" s="172" t="s">
        <v>218</v>
      </c>
      <c r="C28" s="8">
        <v>1</v>
      </c>
      <c r="D28" s="9">
        <v>30.715709686279297</v>
      </c>
      <c r="E28" s="9">
        <v>15.350000381469727</v>
      </c>
      <c r="F28" s="10"/>
      <c r="G28" s="9">
        <v>2.9999997466802597E-2</v>
      </c>
      <c r="H28" s="10"/>
      <c r="I28">
        <v>0</v>
      </c>
      <c r="J28"/>
    </row>
    <row r="29" spans="1:10" ht="15" customHeight="1" x14ac:dyDescent="0.15">
      <c r="A29" s="173">
        <v>28</v>
      </c>
      <c r="B29" s="173" t="s">
        <v>219</v>
      </c>
      <c r="C29" s="8">
        <v>1</v>
      </c>
      <c r="D29" s="9">
        <v>10.554863929748535</v>
      </c>
      <c r="E29" s="9">
        <v>71.199996948242188</v>
      </c>
      <c r="F29" s="10"/>
      <c r="G29" s="9">
        <v>0.5</v>
      </c>
      <c r="H29" s="10"/>
      <c r="I29">
        <v>0</v>
      </c>
      <c r="J29"/>
    </row>
    <row r="30" spans="1:10" ht="15" customHeight="1" x14ac:dyDescent="0.15">
      <c r="A30" s="174">
        <v>29</v>
      </c>
      <c r="B30" s="174" t="s">
        <v>220</v>
      </c>
      <c r="C30" s="8">
        <v>1</v>
      </c>
      <c r="D30" s="9">
        <v>120</v>
      </c>
      <c r="E30" s="10"/>
      <c r="F30" s="10"/>
      <c r="G30" s="9">
        <v>0.4013502299785614</v>
      </c>
      <c r="H30" s="10"/>
      <c r="I30">
        <v>0</v>
      </c>
      <c r="J30"/>
    </row>
    <row r="31" spans="1:10" ht="15" customHeight="1" x14ac:dyDescent="0.15">
      <c r="A31" s="175">
        <v>30</v>
      </c>
      <c r="B31" s="175" t="s">
        <v>221</v>
      </c>
      <c r="C31" s="8">
        <v>1</v>
      </c>
      <c r="D31" s="9">
        <v>5</v>
      </c>
      <c r="E31" s="10"/>
      <c r="F31" s="10"/>
      <c r="G31" s="7">
        <v>0</v>
      </c>
      <c r="H31" s="10"/>
      <c r="I31">
        <v>0</v>
      </c>
      <c r="J31"/>
    </row>
    <row r="32" spans="1:10" ht="15" customHeight="1" x14ac:dyDescent="0.15">
      <c r="A32" s="203">
        <v>31</v>
      </c>
      <c r="B32" s="203" t="s">
        <v>222</v>
      </c>
      <c r="C32" s="8">
        <v>4.3322277069091797</v>
      </c>
      <c r="D32" s="10"/>
      <c r="E32" s="10"/>
      <c r="F32" s="10"/>
      <c r="G32" s="10"/>
      <c r="H32" s="10"/>
      <c r="I32">
        <v>1.3299999237060547</v>
      </c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9" bestFit="1" customWidth="1"/>
    <col min="2" max="4" width="9.5" style="79" bestFit="1" customWidth="1"/>
    <col min="5" max="7" width="9" style="79" bestFit="1" customWidth="1"/>
    <col min="8" max="16" width="12.6640625" style="79" bestFit="1" customWidth="1"/>
    <col min="17" max="17" width="12.33203125" style="79" bestFit="1" customWidth="1"/>
    <col min="18" max="18" width="8.83203125" style="79"/>
    <col min="19" max="21" width="9.33203125" style="79" bestFit="1" customWidth="1"/>
    <col min="22" max="23" width="8.83203125" style="79"/>
    <col min="24" max="24" width="9.33203125" style="79" bestFit="1" customWidth="1"/>
    <col min="25" max="27" width="8.83203125" style="79"/>
    <col min="28" max="58" width="9" style="79" bestFit="1" customWidth="1"/>
    <col min="59" max="59" width="12.33203125" style="79" bestFit="1" customWidth="1"/>
    <col min="60" max="60" width="9" style="79" bestFit="1" customWidth="1"/>
    <col min="61" max="61" width="11.33203125" style="79" bestFit="1" customWidth="1"/>
    <col min="62" max="77" width="9" style="79" bestFit="1" customWidth="1"/>
    <col min="78" max="78" width="12.33203125" style="79" bestFit="1" customWidth="1"/>
    <col min="79" max="79" width="9" style="79" bestFit="1" customWidth="1"/>
    <col min="80" max="80" width="12.33203125" style="79" bestFit="1" customWidth="1"/>
    <col min="81" max="107" width="9" style="79" bestFit="1" customWidth="1"/>
    <col min="108" max="108" width="11.33203125" style="79" bestFit="1" customWidth="1"/>
    <col min="109" max="124" width="9" style="79" bestFit="1" customWidth="1"/>
    <col min="125" max="125" width="10.33203125" style="79" bestFit="1" customWidth="1"/>
    <col min="126" max="129" width="9.33203125" style="79" bestFit="1" customWidth="1"/>
    <col min="130" max="130" width="9" style="79" bestFit="1" customWidth="1"/>
    <col min="131" max="134" width="9.33203125" style="79" bestFit="1" customWidth="1"/>
    <col min="135" max="165" width="9" style="79" bestFit="1" customWidth="1"/>
    <col min="166" max="166" width="12.33203125" style="79" bestFit="1" customWidth="1"/>
    <col min="167" max="170" width="9" style="79" bestFit="1" customWidth="1"/>
    <col min="171" max="176" width="8.83203125" style="79"/>
    <col min="177" max="177" width="13.83203125" style="79" bestFit="1" customWidth="1"/>
    <col min="178" max="16384" width="8.83203125" style="79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227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 t="s">
        <v>211</v>
      </c>
      <c r="Y1" t="s">
        <v>212</v>
      </c>
      <c r="Z1" t="s">
        <v>213</v>
      </c>
      <c r="AA1" t="s">
        <v>214</v>
      </c>
      <c r="AB1" t="s">
        <v>215</v>
      </c>
      <c r="AC1" t="s">
        <v>216</v>
      </c>
      <c r="AD1" t="s">
        <v>217</v>
      </c>
      <c r="AE1" t="s">
        <v>218</v>
      </c>
      <c r="AF1" t="s">
        <v>219</v>
      </c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0.52173912525177002</v>
      </c>
      <c r="C2">
        <v>0.2608695924282074</v>
      </c>
      <c r="D2" s="204">
        <v>0.26086956262588501</v>
      </c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2</v>
      </c>
      <c r="C3">
        <v>1</v>
      </c>
      <c r="D3" s="204">
        <v>1</v>
      </c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0.40000000596046448</v>
      </c>
      <c r="C4">
        <v>0.20000001788139343</v>
      </c>
      <c r="D4" s="204">
        <v>0.19999998807907104</v>
      </c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1.7400000095367432</v>
      </c>
      <c r="C5">
        <v>8.700001984834671E-2</v>
      </c>
      <c r="D5" s="205">
        <v>0.36778944730758667</v>
      </c>
      <c r="E5" s="140">
        <v>0.94543534517288208</v>
      </c>
      <c r="F5" s="230">
        <v>0.16788506507873535</v>
      </c>
      <c r="G5"/>
      <c r="H5" s="221">
        <v>8.6999990046024323E-2</v>
      </c>
      <c r="I5"/>
      <c r="J5"/>
      <c r="K5" s="16">
        <v>2.6541510596871376E-2</v>
      </c>
      <c r="L5"/>
      <c r="M5" s="214">
        <v>5.8348711580038071E-2</v>
      </c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0.21052631735801697</v>
      </c>
      <c r="C6">
        <v>1.0526331141591072E-2</v>
      </c>
      <c r="D6" s="206">
        <v>0.19999998807907104</v>
      </c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1.7400000095367432</v>
      </c>
      <c r="C7">
        <v>8.6999915540218353E-2</v>
      </c>
      <c r="D7" s="206">
        <v>1.6529999971389771</v>
      </c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2.0699999332427979</v>
      </c>
      <c r="C8">
        <v>0.10350002348423004</v>
      </c>
      <c r="D8" s="207">
        <v>0.14183193445205688</v>
      </c>
      <c r="E8" s="247">
        <v>1.5495140552520752</v>
      </c>
      <c r="F8" s="220">
        <v>0.27515396475791931</v>
      </c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0.85000002384185791</v>
      </c>
      <c r="C9">
        <v>4.2499959468841553E-2</v>
      </c>
      <c r="D9" s="208">
        <v>0.43089649081230164</v>
      </c>
      <c r="E9" s="226">
        <v>0.37660360336303711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1.1288285255432129</v>
      </c>
      <c r="C10">
        <v>5.6441374123096466E-2</v>
      </c>
      <c r="D10" s="209">
        <v>0.19354838132858276</v>
      </c>
      <c r="E10" s="246">
        <v>0.70483881235122681</v>
      </c>
      <c r="F10"/>
      <c r="G10"/>
      <c r="H10"/>
      <c r="I10"/>
      <c r="J10"/>
      <c r="K10"/>
      <c r="L10"/>
      <c r="M10" s="229">
        <v>0.17399999499320984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2.369999885559082</v>
      </c>
      <c r="C11">
        <v>0.11849974095821381</v>
      </c>
      <c r="D11" s="210">
        <v>5.5687617510557175E-2</v>
      </c>
      <c r="E11" s="252">
        <v>1.216774582862854</v>
      </c>
      <c r="F11" s="219">
        <v>0.10803398489952087</v>
      </c>
      <c r="G11"/>
      <c r="H11" s="243">
        <v>0.5598447322845459</v>
      </c>
      <c r="I11" s="26">
        <v>6.0560282319784164E-2</v>
      </c>
      <c r="J11" s="12">
        <v>7.327317725867033E-3</v>
      </c>
      <c r="K11" s="225">
        <v>0.17079450190067291</v>
      </c>
      <c r="L11"/>
      <c r="M11"/>
      <c r="N11" s="25">
        <v>7.2477065026760101E-2</v>
      </c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2.7000000476837158</v>
      </c>
      <c r="C12">
        <v>0.13499987125396729</v>
      </c>
      <c r="D12" s="211">
        <v>0.23994983732700348</v>
      </c>
      <c r="E12" s="139">
        <v>0.58254492282867432</v>
      </c>
      <c r="F12" s="27">
        <v>0.20689007639884949</v>
      </c>
      <c r="G12"/>
      <c r="H12" s="251">
        <v>1.0721285343170166</v>
      </c>
      <c r="I12"/>
      <c r="J12" s="14">
        <v>7.0160767063498497E-3</v>
      </c>
      <c r="K12" s="145">
        <v>0.16353969275951385</v>
      </c>
      <c r="L12"/>
      <c r="M12" s="231">
        <v>0.21571488678455353</v>
      </c>
      <c r="N12"/>
      <c r="O12"/>
      <c r="P12" s="144">
        <v>7.7216081321239471E-2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2.0499999523162842</v>
      </c>
      <c r="C13">
        <v>0.10250002145767212</v>
      </c>
      <c r="D13" s="24">
        <v>5.4554082453250885E-2</v>
      </c>
      <c r="E13" s="104">
        <v>0.59600341320037842</v>
      </c>
      <c r="F13" s="67">
        <v>0.10583492368459702</v>
      </c>
      <c r="G13"/>
      <c r="H13" s="242">
        <v>0.54844892024993896</v>
      </c>
      <c r="I13"/>
      <c r="J13"/>
      <c r="K13" s="228">
        <v>0.1673179417848587</v>
      </c>
      <c r="L13" s="105">
        <v>0.13768403232097626</v>
      </c>
      <c r="M13"/>
      <c r="N13"/>
      <c r="O13"/>
      <c r="P13"/>
      <c r="Q13"/>
      <c r="R13"/>
      <c r="S13"/>
      <c r="T13" s="239">
        <v>0.33765670657157898</v>
      </c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2.1500000953674316</v>
      </c>
      <c r="C14">
        <v>0.10749990493059158</v>
      </c>
      <c r="D14" s="212">
        <v>0.44126987457275391</v>
      </c>
      <c r="E14" s="29">
        <v>0.10149209946393967</v>
      </c>
      <c r="F14" s="65">
        <v>4.5055978000164032E-2</v>
      </c>
      <c r="G14"/>
      <c r="H14" s="248">
        <v>0.60706186294555664</v>
      </c>
      <c r="I14" s="69">
        <v>0.15154139697551727</v>
      </c>
      <c r="J14" s="23">
        <v>1.2223541736602783E-2</v>
      </c>
      <c r="K14" s="141">
        <v>0.21369148790836334</v>
      </c>
      <c r="L14" s="228">
        <v>0.17584431171417236</v>
      </c>
      <c r="M14" s="225">
        <v>0.15659274160861969</v>
      </c>
      <c r="N14" s="17">
        <v>3.0226832255721092E-2</v>
      </c>
      <c r="O14"/>
      <c r="P14"/>
      <c r="Q14" s="221">
        <v>0.10749999433755875</v>
      </c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0.4629339873790741</v>
      </c>
      <c r="C15">
        <v>2.3146705701947212E-2</v>
      </c>
      <c r="D15" s="213">
        <v>4.0201004594564438E-2</v>
      </c>
      <c r="E15" s="29">
        <v>2.1959803998470306E-2</v>
      </c>
      <c r="F15"/>
      <c r="G15"/>
      <c r="H15" s="245">
        <v>0.10103826224803925</v>
      </c>
      <c r="I15" s="210">
        <v>1.0929647833108902E-2</v>
      </c>
      <c r="J15" s="14">
        <v>1.3224014546722174E-3</v>
      </c>
      <c r="K15" s="220">
        <v>6.1648450791835785E-2</v>
      </c>
      <c r="L15" s="64">
        <v>2.536490373313427E-2</v>
      </c>
      <c r="M15"/>
      <c r="N15" s="248">
        <v>0.13080334663391113</v>
      </c>
      <c r="O15"/>
      <c r="P15"/>
      <c r="Q15" s="141">
        <v>4.6519458293914795E-2</v>
      </c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0.48750165104866028</v>
      </c>
      <c r="C16">
        <v>2.4375118315219879E-2</v>
      </c>
      <c r="D16" s="214">
        <v>1.58730149269104E-2</v>
      </c>
      <c r="E16" s="69">
        <v>3.4682545810937881E-2</v>
      </c>
      <c r="F16"/>
      <c r="G16"/>
      <c r="H16" s="241">
        <v>0.15957629680633545</v>
      </c>
      <c r="I16" s="28">
        <v>1.726190373301506E-2</v>
      </c>
      <c r="J16" s="22">
        <v>4.1771093383431435E-3</v>
      </c>
      <c r="K16" s="238">
        <v>9.7365409135818481E-2</v>
      </c>
      <c r="L16" s="228">
        <v>4.0060445666313171E-2</v>
      </c>
      <c r="M16"/>
      <c r="N16" s="20">
        <v>2.0658623427152634E-2</v>
      </c>
      <c r="O16"/>
      <c r="P16"/>
      <c r="Q16" s="233">
        <v>7.3471210896968842E-2</v>
      </c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1.0499343872070312</v>
      </c>
      <c r="C17">
        <v>5.2496731281280518E-2</v>
      </c>
      <c r="D17" s="22">
        <v>8.7719298899173737E-3</v>
      </c>
      <c r="E17" s="225">
        <v>7.6666682958602905E-2</v>
      </c>
      <c r="F17"/>
      <c r="G17"/>
      <c r="H17" s="240">
        <v>0.35274761915206909</v>
      </c>
      <c r="I17" s="13">
        <v>3.815789520740509E-2</v>
      </c>
      <c r="J17" s="22">
        <v>9.2336097732186317E-3</v>
      </c>
      <c r="K17" s="212">
        <v>0.21522881090641022</v>
      </c>
      <c r="L17" s="215">
        <v>8.8554665446281433E-2</v>
      </c>
      <c r="M17"/>
      <c r="N17" s="20">
        <v>4.5666433870792389E-2</v>
      </c>
      <c r="O17"/>
      <c r="P17"/>
      <c r="Q17" s="229">
        <v>0.16241005063056946</v>
      </c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2.1500000953674316</v>
      </c>
      <c r="C18">
        <v>0.10749990493059158</v>
      </c>
      <c r="D18" s="17">
        <v>2.7497770264744759E-2</v>
      </c>
      <c r="E18" s="224">
        <v>0.24033056199550629</v>
      </c>
      <c r="F18"/>
      <c r="G18"/>
      <c r="H18" s="212">
        <v>0.44230958819389343</v>
      </c>
      <c r="I18" s="64">
        <v>0.11961529403924942</v>
      </c>
      <c r="J18" s="17">
        <v>2.8945019468665123E-2</v>
      </c>
      <c r="K18" s="237">
        <v>0.67468756437301636</v>
      </c>
      <c r="L18"/>
      <c r="M18"/>
      <c r="N18"/>
      <c r="O18"/>
      <c r="P18"/>
      <c r="Q18" s="232">
        <v>0.50911420583724976</v>
      </c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2.1500000953674316</v>
      </c>
      <c r="C19">
        <v>0.10749990493059158</v>
      </c>
      <c r="D19" s="22">
        <v>1.8046224489808083E-2</v>
      </c>
      <c r="E19" s="225">
        <v>0.1577240377664566</v>
      </c>
      <c r="F19"/>
      <c r="G19"/>
      <c r="H19" s="244">
        <v>0.72569692134857178</v>
      </c>
      <c r="I19" s="13">
        <v>7.8501075506210327E-2</v>
      </c>
      <c r="J19" s="12">
        <v>9.4980122521519661E-3</v>
      </c>
      <c r="K19" s="212">
        <v>0.44278368353843689</v>
      </c>
      <c r="L19" s="215">
        <v>0.18218082189559937</v>
      </c>
      <c r="M19"/>
      <c r="N19" s="20">
        <v>9.3948163092136383E-2</v>
      </c>
      <c r="O19"/>
      <c r="P19"/>
      <c r="Q19" s="229">
        <v>0.33412125706672668</v>
      </c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1.5</v>
      </c>
      <c r="C20">
        <v>7.499992847442627E-2</v>
      </c>
      <c r="D20" s="214">
        <v>5.0725292414426804E-2</v>
      </c>
      <c r="E20" s="106">
        <v>0.44333916902542114</v>
      </c>
      <c r="F20"/>
      <c r="G20"/>
      <c r="H20" s="222">
        <v>0.40796551108360291</v>
      </c>
      <c r="I20" s="216">
        <v>0.22065502405166626</v>
      </c>
      <c r="J20" s="28">
        <v>5.3395044058561325E-2</v>
      </c>
      <c r="K20" s="218">
        <v>0.24892003834247589</v>
      </c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3</v>
      </c>
      <c r="C21">
        <v>0.14999967813491821</v>
      </c>
      <c r="D21" s="72">
        <v>0.28423064947128296</v>
      </c>
      <c r="E21" s="223">
        <v>0.62104415893554688</v>
      </c>
      <c r="F21"/>
      <c r="G21" s="234">
        <v>1.3856245279312134</v>
      </c>
      <c r="H21"/>
      <c r="I21" s="217">
        <v>0.30910083651542664</v>
      </c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 s="215">
        <v>0.25</v>
      </c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4</v>
      </c>
      <c r="C22">
        <v>0.19999957084655762</v>
      </c>
      <c r="D22" s="18">
        <v>4.3495573103427887E-2</v>
      </c>
      <c r="E22"/>
      <c r="F22" s="18">
        <v>4.6026226133108139E-2</v>
      </c>
      <c r="G22" s="227">
        <v>0.21204093098640442</v>
      </c>
      <c r="H22" s="211">
        <v>0.34981945157051086</v>
      </c>
      <c r="I22" s="69">
        <v>0.28380864858627319</v>
      </c>
      <c r="J22" s="23">
        <v>2.2892406210303307E-2</v>
      </c>
      <c r="K22" s="220">
        <v>0.53360551595687866</v>
      </c>
      <c r="L22"/>
      <c r="M22" s="249">
        <v>1.1730755567550659</v>
      </c>
      <c r="N22" s="236">
        <v>0.4528735876083374</v>
      </c>
      <c r="O22"/>
      <c r="P22"/>
      <c r="Q22"/>
      <c r="R22"/>
      <c r="S22"/>
      <c r="T22"/>
      <c r="U22" s="235">
        <v>0.42510485649108887</v>
      </c>
      <c r="V22"/>
      <c r="W22"/>
      <c r="X22" s="15">
        <v>3.8257285952568054E-2</v>
      </c>
      <c r="Y22" s="64">
        <v>0.21899998188018799</v>
      </c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4</v>
      </c>
      <c r="C23">
        <v>0.20000028610229492</v>
      </c>
      <c r="D23" s="145">
        <v>0.24383682012557983</v>
      </c>
      <c r="E23"/>
      <c r="F23" s="23">
        <v>2.3456700146198273E-2</v>
      </c>
      <c r="G23" s="64">
        <v>0.21612809598445892</v>
      </c>
      <c r="H23" s="218">
        <v>0.66855448484420776</v>
      </c>
      <c r="I23" s="18">
        <v>4.8213187605142593E-2</v>
      </c>
      <c r="J23" s="11">
        <v>2.916708355769515E-3</v>
      </c>
      <c r="K23" s="19">
        <v>6.7986369132995605E-2</v>
      </c>
      <c r="L23"/>
      <c r="M23" s="224">
        <v>0.4483826756477356</v>
      </c>
      <c r="N23" s="28">
        <v>0.14425091445446014</v>
      </c>
      <c r="O23" s="103">
        <v>0.49262568354606628</v>
      </c>
      <c r="P23" s="138">
        <v>0.48150160908699036</v>
      </c>
      <c r="Q23"/>
      <c r="R23"/>
      <c r="S23"/>
      <c r="T23" s="250">
        <v>0.41160055994987488</v>
      </c>
      <c r="U23" s="24">
        <v>0.10832472890615463</v>
      </c>
      <c r="V23"/>
      <c r="W23"/>
      <c r="X23"/>
      <c r="Y23" s="64">
        <v>0.2232213020324707</v>
      </c>
      <c r="Z23" s="64">
        <v>0.21899998188018799</v>
      </c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62</v>
      </c>
      <c r="C24">
        <v>3.0999970436096191</v>
      </c>
      <c r="D24" s="11">
        <v>1.7552675679326057E-2</v>
      </c>
      <c r="E24"/>
      <c r="F24" s="11">
        <v>2.4765228852629662E-2</v>
      </c>
      <c r="G24" s="22">
        <v>0.51341581344604492</v>
      </c>
      <c r="H24" s="18">
        <v>0.70584970712661743</v>
      </c>
      <c r="I24" s="11">
        <v>3.0541656538844109E-2</v>
      </c>
      <c r="J24"/>
      <c r="K24"/>
      <c r="L24" s="23">
        <v>0.35439667105674744</v>
      </c>
      <c r="M24" s="25">
        <v>1.8935825824737549</v>
      </c>
      <c r="N24" s="22">
        <v>0.45689380168914795</v>
      </c>
      <c r="O24" s="214">
        <v>2.0804269313812256</v>
      </c>
      <c r="P24" s="26">
        <v>1.5250864028930664</v>
      </c>
      <c r="Q24" s="73">
        <v>4.8747501373291016</v>
      </c>
      <c r="R24" s="107">
        <v>11.26486873626709</v>
      </c>
      <c r="S24" s="255">
        <v>7.1325297355651855</v>
      </c>
      <c r="T24" s="227">
        <v>3.2592127323150635</v>
      </c>
      <c r="U24" s="65">
        <v>1.3724113702774048</v>
      </c>
      <c r="V24" s="26">
        <v>1.5683995485305786</v>
      </c>
      <c r="W24"/>
      <c r="X24" s="23">
        <v>0.30877521634101868</v>
      </c>
      <c r="Y24" s="18">
        <v>0.70702105760574341</v>
      </c>
      <c r="Z24" s="240">
        <v>20.809520721435547</v>
      </c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6.8000001907348633</v>
      </c>
      <c r="C25">
        <v>0.34000089764595032</v>
      </c>
      <c r="D25" s="11">
        <v>1.0075484169647098E-3</v>
      </c>
      <c r="E25"/>
      <c r="F25"/>
      <c r="G25" s="18">
        <v>7.8588783740997314E-2</v>
      </c>
      <c r="H25" s="210">
        <v>0.16206710040569305</v>
      </c>
      <c r="I25" s="11">
        <v>1.7531343037262559E-3</v>
      </c>
      <c r="J25" s="11">
        <v>5.3028861293569207E-4</v>
      </c>
      <c r="K25" s="11">
        <v>4.9442588351666927E-3</v>
      </c>
      <c r="L25" s="22">
        <v>5.0857178866863251E-2</v>
      </c>
      <c r="M25" s="210">
        <v>0.16304148733615875</v>
      </c>
      <c r="N25" s="22">
        <v>5.2452702075242996E-2</v>
      </c>
      <c r="O25" s="22">
        <v>5.9709727764129639E-2</v>
      </c>
      <c r="P25" s="22">
        <v>5.8361411094665527E-2</v>
      </c>
      <c r="Q25" s="207">
        <v>0.46636256575584412</v>
      </c>
      <c r="R25" s="258">
        <v>1.9829661846160889</v>
      </c>
      <c r="S25" s="257">
        <v>1.2282518148422241</v>
      </c>
      <c r="T25" s="228">
        <v>0.56125020980834961</v>
      </c>
      <c r="U25" s="19">
        <v>0.11816753447055817</v>
      </c>
      <c r="V25" s="253">
        <v>0.27008503675460815</v>
      </c>
      <c r="W25"/>
      <c r="X25" s="14">
        <v>1.7724134027957916E-2</v>
      </c>
      <c r="Y25" s="254">
        <v>0.38554811477661133</v>
      </c>
      <c r="Z25" s="256">
        <v>0.79633063077926636</v>
      </c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10</v>
      </c>
      <c r="C26">
        <v>0.50000011920928955</v>
      </c>
      <c r="D26"/>
      <c r="E26"/>
      <c r="F26"/>
      <c r="G26" s="11">
        <v>9.6376556903123856E-3</v>
      </c>
      <c r="H26" s="11">
        <v>7.9499734565615654E-3</v>
      </c>
      <c r="I26" s="11">
        <v>8.5997540736570954E-4</v>
      </c>
      <c r="J26"/>
      <c r="K26"/>
      <c r="L26" s="12">
        <v>2.9936732724308968E-2</v>
      </c>
      <c r="M26" s="14">
        <v>2.665923535823822E-2</v>
      </c>
      <c r="N26"/>
      <c r="O26"/>
      <c r="P26"/>
      <c r="Q26" s="64">
        <v>0.54904228448867798</v>
      </c>
      <c r="R26" s="65">
        <v>0.21146003901958466</v>
      </c>
      <c r="S26" s="17">
        <v>0.13388927280902863</v>
      </c>
      <c r="T26" s="23">
        <v>6.1180759221315384E-2</v>
      </c>
      <c r="U26" s="12">
        <v>3.8643617182970047E-2</v>
      </c>
      <c r="V26" s="12">
        <v>2.9441427439451218E-2</v>
      </c>
      <c r="W26"/>
      <c r="X26" s="14">
        <v>1.2172054499387741E-2</v>
      </c>
      <c r="Y26" s="17">
        <v>0.12940144538879395</v>
      </c>
      <c r="Z26" s="21">
        <v>0.19531439244747162</v>
      </c>
      <c r="AA26"/>
      <c r="AB26" s="260">
        <v>8.0644111633300781</v>
      </c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67</v>
      </c>
      <c r="C27">
        <v>3.34999680519104</v>
      </c>
      <c r="D27"/>
      <c r="E27"/>
      <c r="F27"/>
      <c r="G27"/>
      <c r="H27"/>
      <c r="I27"/>
      <c r="J27"/>
      <c r="K27"/>
      <c r="L27"/>
      <c r="M27" s="14">
        <v>8.6043491959571838E-2</v>
      </c>
      <c r="N27" s="18">
        <v>0.83044147491455078</v>
      </c>
      <c r="O27" s="18">
        <v>0.75626891851425171</v>
      </c>
      <c r="P27" s="18">
        <v>0.8131105899810791</v>
      </c>
      <c r="Q27" s="19">
        <v>1.181367039680481</v>
      </c>
      <c r="R27" s="221">
        <v>3.2759697437286377</v>
      </c>
      <c r="S27" s="26">
        <v>1.7285268306732178</v>
      </c>
      <c r="T27" s="18">
        <v>0.78985100984573364</v>
      </c>
      <c r="U27" s="12">
        <v>0.24944688379764557</v>
      </c>
      <c r="V27" s="23">
        <v>0.45611089468002319</v>
      </c>
      <c r="W27" s="11">
        <v>4.7485332936048508E-2</v>
      </c>
      <c r="X27" s="11">
        <v>5.6122396141290665E-2</v>
      </c>
      <c r="Y27" s="14">
        <v>9.638010710477829E-2</v>
      </c>
      <c r="Z27"/>
      <c r="AA27" s="244">
        <v>22.538003921508789</v>
      </c>
      <c r="AB27" s="137">
        <v>8.6760444641113281</v>
      </c>
      <c r="AC27" s="138">
        <v>8.0688257217407227</v>
      </c>
      <c r="AD27" s="259">
        <v>14</v>
      </c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15.350000381469727</v>
      </c>
      <c r="C28">
        <v>14.889500617980957</v>
      </c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 s="11">
        <v>1.4537278562784195E-2</v>
      </c>
      <c r="X28"/>
      <c r="Y28" s="11">
        <v>3.2784491777420044E-3</v>
      </c>
      <c r="Z28"/>
      <c r="AA28"/>
      <c r="AB28" s="144">
        <v>0.44268426299095154</v>
      </c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71.199996948242188</v>
      </c>
      <c r="C29">
        <v>35.599998474121094</v>
      </c>
      <c r="D29"/>
      <c r="E29"/>
      <c r="F29"/>
      <c r="G29"/>
      <c r="H29"/>
      <c r="I29"/>
      <c r="J29"/>
      <c r="K29"/>
      <c r="L29"/>
      <c r="M29"/>
      <c r="N29" s="11">
        <v>4.9322981387376785E-2</v>
      </c>
      <c r="O29" s="11">
        <v>2.8073497116565704E-2</v>
      </c>
      <c r="P29" s="11">
        <v>2.743956446647644E-2</v>
      </c>
      <c r="Q29"/>
      <c r="R29" s="14">
        <v>0.10133953392505646</v>
      </c>
      <c r="S29" s="14">
        <v>0.12832947075366974</v>
      </c>
      <c r="T29"/>
      <c r="U29"/>
      <c r="V29" s="11">
        <v>1.4109429903328419E-2</v>
      </c>
      <c r="W29" s="11">
        <v>2.1152468398213387E-2</v>
      </c>
      <c r="X29" s="11">
        <v>8.3332890644669533E-3</v>
      </c>
      <c r="Y29"/>
      <c r="Z29" s="14">
        <v>9.360194206237793E-2</v>
      </c>
      <c r="AA29" s="66">
        <v>4.1831722259521484</v>
      </c>
      <c r="AB29" s="15">
        <v>0.64412772655487061</v>
      </c>
      <c r="AC29" s="19">
        <v>1.1980931758880615</v>
      </c>
      <c r="AD29" s="261">
        <v>29.102903366088867</v>
      </c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/>
      <c r="C30">
        <v>0.4013502299785614</v>
      </c>
      <c r="D30"/>
      <c r="E30"/>
      <c r="F30"/>
      <c r="G30" s="9">
        <v>4.8750001937150955E-2</v>
      </c>
      <c r="H30"/>
      <c r="I30"/>
      <c r="J30"/>
      <c r="K30"/>
      <c r="L30" s="9">
        <v>0.10095231980085373</v>
      </c>
      <c r="M30" s="9">
        <v>0.10787999629974365</v>
      </c>
      <c r="N30"/>
      <c r="O30" s="9">
        <v>0.14815597236156464</v>
      </c>
      <c r="P30" s="9">
        <v>0.14481043815612793</v>
      </c>
      <c r="Q30" s="9">
        <v>0.37029489874839783</v>
      </c>
      <c r="R30" s="9">
        <v>1.0696250200271606</v>
      </c>
      <c r="S30" s="9">
        <v>0.67725002765655518</v>
      </c>
      <c r="T30" s="9">
        <v>0.37136361002922058</v>
      </c>
      <c r="U30" s="9">
        <v>0.19547039270401001</v>
      </c>
      <c r="V30" s="9">
        <v>0.17870773375034332</v>
      </c>
      <c r="W30"/>
      <c r="X30" s="9">
        <v>0.43978366255760193</v>
      </c>
      <c r="Y30" s="9">
        <v>1.7622482776641846</v>
      </c>
      <c r="Z30" s="9">
        <v>7.7060546875</v>
      </c>
      <c r="AA30" s="9">
        <v>8.8305625915527344</v>
      </c>
      <c r="AB30" s="9">
        <v>61.188121795654297</v>
      </c>
      <c r="AC30" s="9">
        <v>227.62278747558594</v>
      </c>
      <c r="AD30" s="9">
        <v>109.70613861083984</v>
      </c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/>
      <c r="C31">
        <v>0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5.832031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5.832031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95" t="s">
        <v>192</v>
      </c>
      <c r="E5">
        <v>4</v>
      </c>
      <c r="F5">
        <v>3.1</v>
      </c>
      <c r="G5">
        <v>4</v>
      </c>
      <c r="H5" s="196" t="s">
        <v>192</v>
      </c>
      <c r="J5" s="57"/>
      <c r="K5" s="58"/>
    </row>
    <row r="6" spans="1:12" ht="14" thickBot="1" x14ac:dyDescent="0.2">
      <c r="A6" s="41" t="s">
        <v>121</v>
      </c>
      <c r="D6" s="195" t="s">
        <v>193</v>
      </c>
      <c r="E6">
        <v>5</v>
      </c>
      <c r="F6">
        <v>3.14</v>
      </c>
      <c r="G6">
        <v>5</v>
      </c>
      <c r="H6" s="196" t="s">
        <v>193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95" t="s">
        <v>194</v>
      </c>
      <c r="E7">
        <v>6</v>
      </c>
      <c r="F7">
        <v>3.2</v>
      </c>
      <c r="G7">
        <v>6</v>
      </c>
      <c r="H7" s="196" t="s">
        <v>194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95" t="s">
        <v>195</v>
      </c>
      <c r="E8">
        <v>7</v>
      </c>
      <c r="F8">
        <v>3</v>
      </c>
      <c r="G8">
        <v>7</v>
      </c>
      <c r="H8" s="196" t="s">
        <v>195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95" t="s">
        <v>196</v>
      </c>
      <c r="E9">
        <v>8</v>
      </c>
      <c r="F9">
        <v>3.24</v>
      </c>
      <c r="G9">
        <v>8</v>
      </c>
      <c r="H9" s="196" t="s">
        <v>196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95" t="s">
        <v>197</v>
      </c>
      <c r="E10">
        <v>9</v>
      </c>
      <c r="F10">
        <v>3.24</v>
      </c>
      <c r="G10">
        <v>9</v>
      </c>
      <c r="H10" s="196" t="s">
        <v>197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95" t="s">
        <v>198</v>
      </c>
      <c r="E11">
        <v>10</v>
      </c>
      <c r="F11">
        <v>3.14</v>
      </c>
      <c r="G11">
        <v>10</v>
      </c>
      <c r="H11" s="196" t="s">
        <v>198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95" t="s">
        <v>199</v>
      </c>
      <c r="E12">
        <v>11</v>
      </c>
      <c r="F12">
        <v>3.24</v>
      </c>
      <c r="G12">
        <v>11</v>
      </c>
      <c r="H12" s="196" t="s">
        <v>199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95" t="s">
        <v>200</v>
      </c>
      <c r="E13">
        <v>12</v>
      </c>
      <c r="F13">
        <v>3.24</v>
      </c>
      <c r="G13">
        <v>12</v>
      </c>
      <c r="H13" s="196" t="s">
        <v>200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95" t="s">
        <v>201</v>
      </c>
      <c r="E14">
        <v>13</v>
      </c>
      <c r="F14">
        <v>3.14</v>
      </c>
      <c r="G14">
        <v>13</v>
      </c>
      <c r="H14" s="196" t="s">
        <v>201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95" t="s">
        <v>202</v>
      </c>
      <c r="E15">
        <v>14</v>
      </c>
      <c r="F15">
        <v>3.14</v>
      </c>
      <c r="G15">
        <v>14</v>
      </c>
      <c r="H15" s="196" t="s">
        <v>202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95" t="s">
        <v>203</v>
      </c>
      <c r="E16">
        <v>15</v>
      </c>
      <c r="F16">
        <v>3.13</v>
      </c>
      <c r="G16">
        <v>15</v>
      </c>
      <c r="H16" s="196" t="s">
        <v>203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95" t="s">
        <v>204</v>
      </c>
      <c r="E17">
        <v>16</v>
      </c>
      <c r="F17">
        <v>3.24</v>
      </c>
      <c r="G17">
        <v>16</v>
      </c>
      <c r="H17" s="196" t="s">
        <v>204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95" t="s">
        <v>205</v>
      </c>
      <c r="E18">
        <v>17</v>
      </c>
      <c r="F18">
        <v>3.04</v>
      </c>
      <c r="G18">
        <v>17</v>
      </c>
      <c r="H18" s="196" t="s">
        <v>205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95" t="s">
        <v>206</v>
      </c>
      <c r="E19">
        <v>18</v>
      </c>
      <c r="F19">
        <v>3.24</v>
      </c>
      <c r="G19">
        <v>18</v>
      </c>
      <c r="H19" s="196" t="s">
        <v>206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95" t="s">
        <v>207</v>
      </c>
      <c r="E20">
        <v>19</v>
      </c>
      <c r="F20">
        <v>3.24</v>
      </c>
      <c r="G20">
        <v>19</v>
      </c>
      <c r="H20" s="196" t="s">
        <v>207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95" t="s">
        <v>208</v>
      </c>
      <c r="E21">
        <v>20</v>
      </c>
      <c r="F21">
        <v>3.24</v>
      </c>
      <c r="G21">
        <v>20</v>
      </c>
      <c r="H21" s="196" t="s">
        <v>208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95" t="s">
        <v>209</v>
      </c>
      <c r="E22">
        <v>21</v>
      </c>
      <c r="F22">
        <v>3.24</v>
      </c>
      <c r="G22">
        <v>21</v>
      </c>
      <c r="H22" s="196" t="s">
        <v>209</v>
      </c>
    </row>
    <row r="23" spans="1:12" x14ac:dyDescent="0.15">
      <c r="A23" s="36" t="s">
        <v>129</v>
      </c>
      <c r="B23" s="44">
        <v>4</v>
      </c>
      <c r="C23" s="38"/>
      <c r="D23" s="195" t="s">
        <v>210</v>
      </c>
      <c r="E23">
        <v>22</v>
      </c>
      <c r="F23">
        <v>3.24</v>
      </c>
      <c r="G23">
        <v>22</v>
      </c>
      <c r="H23" s="196" t="s">
        <v>210</v>
      </c>
    </row>
    <row r="24" spans="1:12" x14ac:dyDescent="0.15">
      <c r="A24" s="36" t="s">
        <v>122</v>
      </c>
      <c r="B24" s="44">
        <v>4.0999999999999996</v>
      </c>
      <c r="C24" s="38"/>
      <c r="D24" s="195" t="s">
        <v>211</v>
      </c>
      <c r="E24">
        <v>23</v>
      </c>
      <c r="F24">
        <v>3.23</v>
      </c>
      <c r="G24">
        <v>23</v>
      </c>
      <c r="H24" s="196" t="s">
        <v>211</v>
      </c>
    </row>
    <row r="25" spans="1:12" x14ac:dyDescent="0.15">
      <c r="A25" s="36" t="s">
        <v>70</v>
      </c>
      <c r="B25" s="44">
        <v>4.2</v>
      </c>
      <c r="C25" s="38"/>
      <c r="D25" s="195" t="s">
        <v>212</v>
      </c>
      <c r="E25">
        <v>24</v>
      </c>
      <c r="F25">
        <v>3.21</v>
      </c>
      <c r="G25">
        <v>24</v>
      </c>
      <c r="H25" s="196" t="s">
        <v>212</v>
      </c>
    </row>
    <row r="26" spans="1:12" x14ac:dyDescent="0.15">
      <c r="A26" s="36" t="s">
        <v>123</v>
      </c>
      <c r="B26" s="44">
        <v>4.3</v>
      </c>
      <c r="C26" s="38"/>
      <c r="D26" s="195" t="s">
        <v>213</v>
      </c>
      <c r="E26">
        <v>25</v>
      </c>
      <c r="F26">
        <v>3.02</v>
      </c>
      <c r="G26">
        <v>25</v>
      </c>
      <c r="H26" s="196" t="s">
        <v>213</v>
      </c>
    </row>
    <row r="27" spans="1:12" x14ac:dyDescent="0.15">
      <c r="A27" s="36" t="s">
        <v>125</v>
      </c>
      <c r="B27" s="44">
        <v>6.1</v>
      </c>
      <c r="D27" s="195" t="s">
        <v>214</v>
      </c>
      <c r="E27">
        <v>26</v>
      </c>
      <c r="F27">
        <v>3.01</v>
      </c>
      <c r="G27">
        <v>26</v>
      </c>
      <c r="H27" s="196" t="s">
        <v>214</v>
      </c>
    </row>
    <row r="28" spans="1:12" x14ac:dyDescent="0.15">
      <c r="A28" s="36" t="s">
        <v>124</v>
      </c>
      <c r="B28" s="44">
        <v>6.2</v>
      </c>
      <c r="D28" s="195" t="s">
        <v>215</v>
      </c>
      <c r="E28">
        <v>27</v>
      </c>
      <c r="F28">
        <v>3.21</v>
      </c>
      <c r="G28">
        <v>27</v>
      </c>
      <c r="H28" s="196" t="s">
        <v>215</v>
      </c>
    </row>
    <row r="29" spans="1:12" x14ac:dyDescent="0.15">
      <c r="A29" s="36" t="s">
        <v>44</v>
      </c>
      <c r="B29" s="44">
        <v>5</v>
      </c>
      <c r="D29" s="195" t="s">
        <v>216</v>
      </c>
      <c r="E29">
        <v>28</v>
      </c>
      <c r="F29">
        <v>3.21</v>
      </c>
      <c r="G29">
        <v>28</v>
      </c>
      <c r="H29" s="196" t="s">
        <v>216</v>
      </c>
    </row>
    <row r="30" spans="1:12" x14ac:dyDescent="0.15">
      <c r="A30" s="36" t="s">
        <v>73</v>
      </c>
      <c r="B30" s="44">
        <v>7</v>
      </c>
      <c r="D30" s="195" t="s">
        <v>217</v>
      </c>
      <c r="E30">
        <v>29</v>
      </c>
      <c r="F30">
        <v>3.11</v>
      </c>
      <c r="G30">
        <v>29</v>
      </c>
      <c r="H30" s="196" t="s">
        <v>217</v>
      </c>
    </row>
    <row r="31" spans="1:12" x14ac:dyDescent="0.15">
      <c r="A31" s="36" t="s">
        <v>169</v>
      </c>
      <c r="B31" s="44">
        <v>3.14</v>
      </c>
      <c r="D31" s="195" t="s">
        <v>218</v>
      </c>
      <c r="E31">
        <v>30</v>
      </c>
      <c r="F31">
        <v>2.2200000000000002</v>
      </c>
      <c r="G31">
        <v>30</v>
      </c>
      <c r="H31" s="196" t="s">
        <v>218</v>
      </c>
    </row>
    <row r="32" spans="1:12" ht="12" customHeight="1" thickBot="1" x14ac:dyDescent="0.2">
      <c r="A32" s="42" t="s">
        <v>170</v>
      </c>
      <c r="B32" s="45">
        <v>9</v>
      </c>
      <c r="D32" s="195" t="s">
        <v>219</v>
      </c>
      <c r="E32">
        <v>31</v>
      </c>
      <c r="F32">
        <v>2.1</v>
      </c>
      <c r="G32">
        <v>31</v>
      </c>
      <c r="H32" s="196" t="s">
        <v>219</v>
      </c>
    </row>
    <row r="33" spans="4:8" customFormat="1" ht="12" customHeight="1" x14ac:dyDescent="0.15">
      <c r="D33" s="195" t="s">
        <v>220</v>
      </c>
      <c r="E33">
        <v>32</v>
      </c>
      <c r="F33">
        <v>4.0999999999999996</v>
      </c>
      <c r="G33">
        <v>32</v>
      </c>
      <c r="H33" s="196" t="s">
        <v>220</v>
      </c>
    </row>
    <row r="34" spans="4:8" customFormat="1" ht="12" customHeight="1" x14ac:dyDescent="0.15">
      <c r="D34" s="195" t="s">
        <v>221</v>
      </c>
      <c r="E34">
        <v>33</v>
      </c>
      <c r="F34">
        <v>4.3</v>
      </c>
      <c r="G34">
        <v>33</v>
      </c>
      <c r="H34" s="196" t="s">
        <v>221</v>
      </c>
    </row>
    <row r="35" spans="4:8" customFormat="1" x14ac:dyDescent="0.15">
      <c r="D35" s="195" t="s">
        <v>222</v>
      </c>
      <c r="E35">
        <v>34</v>
      </c>
      <c r="F35">
        <v>5</v>
      </c>
      <c r="G35">
        <v>34</v>
      </c>
      <c r="H35" s="196" t="s">
        <v>222</v>
      </c>
    </row>
    <row r="36" spans="4:8" customFormat="1" x14ac:dyDescent="0.15">
      <c r="D36" s="195" t="s">
        <v>138</v>
      </c>
      <c r="E36">
        <v>35</v>
      </c>
      <c r="F36">
        <v>6.1</v>
      </c>
      <c r="G36">
        <v>35</v>
      </c>
      <c r="H36" s="196" t="s">
        <v>138</v>
      </c>
    </row>
    <row r="37" spans="4:8" customFormat="1" ht="12" customHeight="1" x14ac:dyDescent="0.15">
      <c r="D37" s="195" t="s">
        <v>45</v>
      </c>
      <c r="E37">
        <v>36</v>
      </c>
      <c r="F37">
        <v>6.2</v>
      </c>
      <c r="G37">
        <v>36</v>
      </c>
      <c r="H37" s="196" t="s">
        <v>45</v>
      </c>
    </row>
    <row r="38" spans="4:8" customFormat="1" x14ac:dyDescent="0.15"/>
    <row r="39" spans="4:8" customFormat="1" x14ac:dyDescent="0.15"/>
    <row r="40" spans="4:8" customFormat="1" x14ac:dyDescent="0.15"/>
    <row r="41" spans="4:8" customFormat="1" x14ac:dyDescent="0.15"/>
    <row r="42" spans="4:8" customFormat="1" x14ac:dyDescent="0.15"/>
    <row r="43" spans="4:8" customFormat="1" x14ac:dyDescent="0.15"/>
    <row r="44" spans="4:8" customFormat="1" x14ac:dyDescent="0.15"/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6.5" style="80" bestFit="1" customWidth="1"/>
    <col min="2" max="2" width="12.83203125" style="79" customWidth="1"/>
    <col min="3" max="3" width="16.5" style="79" customWidth="1"/>
    <col min="4" max="4" width="11.83203125" style="79" customWidth="1"/>
    <col min="5" max="5" width="12.83203125" style="79" customWidth="1"/>
    <col min="6" max="6" width="25.83203125" style="79" bestFit="1" customWidth="1"/>
    <col min="7" max="9" width="2.33203125" style="79" customWidth="1"/>
    <col min="10" max="10" width="2.33203125" style="79" bestFit="1" customWidth="1"/>
    <col min="11" max="15" width="2.33203125" style="79" customWidth="1"/>
    <col min="16" max="16" width="2.33203125" style="70" customWidth="1"/>
    <col min="17" max="17" width="2.33203125" style="79" customWidth="1"/>
    <col min="18" max="18" width="2.33203125" style="71" customWidth="1"/>
    <col min="19" max="16384" width="11.5" style="79"/>
  </cols>
  <sheetData>
    <row r="1" spans="1:23" ht="15" customHeight="1" thickBot="1" x14ac:dyDescent="0.2">
      <c r="F1" s="1"/>
      <c r="G1" s="68" t="s">
        <v>46</v>
      </c>
      <c r="H1" s="68" t="s">
        <v>47</v>
      </c>
      <c r="I1" s="68" t="s">
        <v>120</v>
      </c>
      <c r="J1" s="68" t="s">
        <v>132</v>
      </c>
      <c r="K1" s="81" t="s">
        <v>48</v>
      </c>
      <c r="L1" s="71"/>
      <c r="M1" s="81" t="s">
        <v>119</v>
      </c>
      <c r="N1" s="71"/>
      <c r="O1" s="81" t="s">
        <v>49</v>
      </c>
      <c r="P1" s="74"/>
      <c r="Q1" s="81" t="s">
        <v>50</v>
      </c>
      <c r="R1" s="68" t="s">
        <v>154</v>
      </c>
    </row>
    <row r="2" spans="1:23" ht="15" customHeight="1" x14ac:dyDescent="0.15">
      <c r="A2" s="81" t="s">
        <v>51</v>
      </c>
      <c r="B2" s="82">
        <v>0.5</v>
      </c>
      <c r="C2" s="80" t="s">
        <v>52</v>
      </c>
      <c r="D2" s="83"/>
      <c r="F2" s="1"/>
      <c r="G2" s="84"/>
      <c r="H2" s="84"/>
      <c r="I2" s="84" t="s">
        <v>133</v>
      </c>
      <c r="J2" s="84" t="s">
        <v>133</v>
      </c>
      <c r="K2" s="84" t="s">
        <v>52</v>
      </c>
      <c r="L2" s="84" t="s">
        <v>53</v>
      </c>
      <c r="M2" s="84" t="s">
        <v>52</v>
      </c>
      <c r="N2" s="84" t="s">
        <v>53</v>
      </c>
      <c r="O2" s="84" t="s">
        <v>52</v>
      </c>
      <c r="P2" s="85" t="s">
        <v>53</v>
      </c>
      <c r="Q2" s="84"/>
      <c r="R2" s="86" t="s">
        <v>155</v>
      </c>
    </row>
    <row r="3" spans="1:23" ht="15" customHeight="1" thickBot="1" x14ac:dyDescent="0.2">
      <c r="A3" s="81" t="s">
        <v>54</v>
      </c>
      <c r="B3" s="87">
        <v>0.5</v>
      </c>
      <c r="C3" s="80" t="s">
        <v>53</v>
      </c>
      <c r="D3" s="83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6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6">
        <v>0</v>
      </c>
      <c r="R4" s="109">
        <v>0</v>
      </c>
    </row>
    <row r="5" spans="1:23" ht="15" customHeight="1" x14ac:dyDescent="0.15">
      <c r="A5" s="81" t="s">
        <v>55</v>
      </c>
      <c r="B5" s="88">
        <v>0.5</v>
      </c>
      <c r="C5" s="80" t="s">
        <v>52</v>
      </c>
      <c r="D5" s="83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6">
        <v>0</v>
      </c>
      <c r="R5" s="109">
        <v>0</v>
      </c>
    </row>
    <row r="6" spans="1:23" ht="15" customHeight="1" thickBot="1" x14ac:dyDescent="0.2">
      <c r="A6" s="81"/>
      <c r="B6" s="89">
        <v>0.5</v>
      </c>
      <c r="C6" s="80" t="s">
        <v>53</v>
      </c>
      <c r="D6" s="83"/>
      <c r="F6" s="197" t="s">
        <v>192</v>
      </c>
      <c r="G6" s="79">
        <v>0</v>
      </c>
      <c r="H6" s="79">
        <v>0</v>
      </c>
      <c r="I6" s="79">
        <v>0</v>
      </c>
      <c r="J6" s="79">
        <v>0</v>
      </c>
      <c r="K6" s="79">
        <v>1</v>
      </c>
      <c r="L6" s="79">
        <v>0</v>
      </c>
      <c r="M6" s="79">
        <v>1</v>
      </c>
      <c r="N6" s="79">
        <v>0</v>
      </c>
      <c r="O6" s="79">
        <v>1</v>
      </c>
      <c r="P6" s="70">
        <v>0</v>
      </c>
      <c r="Q6" s="79">
        <v>0</v>
      </c>
      <c r="R6" s="71">
        <v>1</v>
      </c>
      <c r="S6"/>
      <c r="T6"/>
    </row>
    <row r="7" spans="1:23" ht="15" customHeight="1" thickBot="1" x14ac:dyDescent="0.2">
      <c r="F7" s="197" t="s">
        <v>193</v>
      </c>
      <c r="G7" s="79">
        <v>0</v>
      </c>
      <c r="H7" s="79">
        <v>0</v>
      </c>
      <c r="I7" s="79">
        <v>0</v>
      </c>
      <c r="J7" s="79">
        <v>0</v>
      </c>
      <c r="K7" s="79">
        <v>1</v>
      </c>
      <c r="L7" s="79">
        <v>0</v>
      </c>
      <c r="M7" s="79">
        <v>1</v>
      </c>
      <c r="N7" s="79">
        <v>0</v>
      </c>
      <c r="O7" s="79">
        <v>1</v>
      </c>
      <c r="P7" s="70">
        <v>0</v>
      </c>
      <c r="Q7" s="79">
        <v>0</v>
      </c>
      <c r="R7" s="71">
        <v>1</v>
      </c>
      <c r="S7"/>
      <c r="T7"/>
    </row>
    <row r="8" spans="1:23" ht="15" customHeight="1" x14ac:dyDescent="0.15">
      <c r="A8" s="81" t="s">
        <v>56</v>
      </c>
      <c r="B8" s="88">
        <v>0.38551844318127976</v>
      </c>
      <c r="C8" s="198" t="s">
        <v>218</v>
      </c>
      <c r="D8" s="83" t="s">
        <v>160</v>
      </c>
      <c r="F8" s="197" t="s">
        <v>194</v>
      </c>
      <c r="G8" s="79">
        <v>0</v>
      </c>
      <c r="H8" s="79">
        <v>0</v>
      </c>
      <c r="I8" s="79">
        <v>0</v>
      </c>
      <c r="J8" s="79">
        <v>0</v>
      </c>
      <c r="K8" s="79">
        <v>1</v>
      </c>
      <c r="L8" s="79">
        <v>0</v>
      </c>
      <c r="M8" s="79">
        <v>1</v>
      </c>
      <c r="N8" s="79">
        <v>0</v>
      </c>
      <c r="O8" s="79">
        <v>1</v>
      </c>
      <c r="P8" s="70">
        <v>0</v>
      </c>
      <c r="Q8" s="79">
        <v>0</v>
      </c>
      <c r="R8" s="71">
        <v>1</v>
      </c>
      <c r="S8"/>
      <c r="T8"/>
      <c r="W8"/>
    </row>
    <row r="9" spans="1:23" ht="15" customHeight="1" x14ac:dyDescent="0.15">
      <c r="A9" s="123" t="s">
        <v>168</v>
      </c>
      <c r="B9" s="90">
        <v>0.6144815568187203</v>
      </c>
      <c r="C9" s="198" t="s">
        <v>219</v>
      </c>
      <c r="D9" s="83" t="s">
        <v>160</v>
      </c>
      <c r="F9" s="197" t="s">
        <v>195</v>
      </c>
      <c r="G9" s="79">
        <v>0</v>
      </c>
      <c r="H9" s="79">
        <v>0</v>
      </c>
      <c r="I9" s="79">
        <v>0</v>
      </c>
      <c r="J9" s="79">
        <v>0</v>
      </c>
      <c r="K9" s="79">
        <v>1</v>
      </c>
      <c r="L9" s="79">
        <v>0</v>
      </c>
      <c r="M9" s="79">
        <v>1</v>
      </c>
      <c r="N9" s="79">
        <v>0</v>
      </c>
      <c r="O9" s="79">
        <v>1</v>
      </c>
      <c r="P9" s="70">
        <v>0</v>
      </c>
      <c r="Q9" s="79">
        <v>0</v>
      </c>
      <c r="R9" s="71">
        <v>1</v>
      </c>
      <c r="S9"/>
      <c r="T9"/>
      <c r="W9"/>
    </row>
    <row r="10" spans="1:23" ht="15" customHeight="1" x14ac:dyDescent="0.15">
      <c r="B10" s="90"/>
      <c r="C10" s="78"/>
      <c r="D10" s="83" t="s">
        <v>160</v>
      </c>
      <c r="F10" s="197" t="s">
        <v>196</v>
      </c>
      <c r="G10" s="79">
        <v>0</v>
      </c>
      <c r="H10" s="79">
        <v>0</v>
      </c>
      <c r="I10" s="79">
        <v>0</v>
      </c>
      <c r="J10" s="79">
        <v>0</v>
      </c>
      <c r="K10" s="79">
        <v>1</v>
      </c>
      <c r="L10" s="79">
        <v>0</v>
      </c>
      <c r="M10" s="79">
        <v>1</v>
      </c>
      <c r="N10" s="79">
        <v>0</v>
      </c>
      <c r="O10" s="79">
        <v>1</v>
      </c>
      <c r="P10" s="70">
        <v>0</v>
      </c>
      <c r="Q10" s="79">
        <v>0</v>
      </c>
      <c r="R10" s="71">
        <v>1</v>
      </c>
      <c r="S10"/>
      <c r="T10"/>
      <c r="W10"/>
    </row>
    <row r="11" spans="1:23" ht="15" customHeight="1" x14ac:dyDescent="0.15">
      <c r="A11" s="81"/>
      <c r="B11" s="90"/>
      <c r="C11" s="93"/>
      <c r="D11" s="83" t="s">
        <v>160</v>
      </c>
      <c r="F11" s="197" t="s">
        <v>197</v>
      </c>
      <c r="G11" s="79">
        <v>0</v>
      </c>
      <c r="H11" s="79">
        <v>0</v>
      </c>
      <c r="I11" s="79">
        <v>0</v>
      </c>
      <c r="J11" s="79">
        <v>0</v>
      </c>
      <c r="K11" s="79">
        <v>1</v>
      </c>
      <c r="L11" s="79">
        <v>0</v>
      </c>
      <c r="M11" s="79">
        <v>1</v>
      </c>
      <c r="N11" s="79">
        <v>0</v>
      </c>
      <c r="O11" s="79">
        <v>1</v>
      </c>
      <c r="P11" s="70">
        <v>0</v>
      </c>
      <c r="Q11" s="79">
        <v>0</v>
      </c>
      <c r="R11" s="71">
        <v>1</v>
      </c>
      <c r="S11"/>
      <c r="T11"/>
      <c r="W11"/>
    </row>
    <row r="12" spans="1:23" ht="15" customHeight="1" x14ac:dyDescent="0.15">
      <c r="B12" s="90"/>
      <c r="C12" s="94"/>
      <c r="D12" s="83" t="s">
        <v>160</v>
      </c>
      <c r="F12" s="197" t="s">
        <v>198</v>
      </c>
      <c r="G12" s="79">
        <v>0</v>
      </c>
      <c r="H12" s="79">
        <v>0</v>
      </c>
      <c r="I12" s="79">
        <v>0</v>
      </c>
      <c r="J12" s="79">
        <v>0</v>
      </c>
      <c r="K12" s="79">
        <v>1</v>
      </c>
      <c r="L12" s="79">
        <v>0</v>
      </c>
      <c r="M12" s="79">
        <v>1</v>
      </c>
      <c r="N12" s="79">
        <v>0</v>
      </c>
      <c r="O12" s="79">
        <v>1</v>
      </c>
      <c r="P12" s="70">
        <v>0</v>
      </c>
      <c r="Q12" s="79">
        <v>0</v>
      </c>
      <c r="R12" s="71">
        <v>1</v>
      </c>
      <c r="S12"/>
      <c r="T12"/>
      <c r="W12"/>
    </row>
    <row r="13" spans="1:23" ht="15" customHeight="1" x14ac:dyDescent="0.15">
      <c r="B13" s="90"/>
      <c r="C13" s="94"/>
      <c r="D13" s="83" t="s">
        <v>160</v>
      </c>
      <c r="F13" s="197" t="s">
        <v>199</v>
      </c>
      <c r="G13" s="79">
        <v>0</v>
      </c>
      <c r="H13" s="79">
        <v>0</v>
      </c>
      <c r="I13" s="79">
        <v>0</v>
      </c>
      <c r="J13" s="79">
        <v>0</v>
      </c>
      <c r="K13" s="79">
        <v>1</v>
      </c>
      <c r="L13" s="79">
        <v>0</v>
      </c>
      <c r="M13" s="79">
        <v>1</v>
      </c>
      <c r="N13" s="79">
        <v>0</v>
      </c>
      <c r="O13" s="79">
        <v>1</v>
      </c>
      <c r="P13" s="70">
        <v>0</v>
      </c>
      <c r="Q13" s="79">
        <v>0</v>
      </c>
      <c r="R13" s="71">
        <v>1</v>
      </c>
      <c r="S13"/>
      <c r="T13"/>
      <c r="W13"/>
    </row>
    <row r="14" spans="1:23" ht="15" customHeight="1" x14ac:dyDescent="0.15">
      <c r="B14" s="90"/>
      <c r="C14" s="78"/>
      <c r="D14" s="83" t="s">
        <v>160</v>
      </c>
      <c r="F14" s="197" t="s">
        <v>200</v>
      </c>
      <c r="G14" s="79">
        <v>0</v>
      </c>
      <c r="H14" s="79">
        <v>0</v>
      </c>
      <c r="I14" s="79">
        <v>0</v>
      </c>
      <c r="J14" s="79">
        <v>0</v>
      </c>
      <c r="K14" s="79">
        <v>1</v>
      </c>
      <c r="L14" s="79">
        <v>0</v>
      </c>
      <c r="M14" s="79">
        <v>1</v>
      </c>
      <c r="N14" s="79">
        <v>0</v>
      </c>
      <c r="O14" s="79">
        <v>1</v>
      </c>
      <c r="P14" s="70">
        <v>0</v>
      </c>
      <c r="Q14" s="79">
        <v>0</v>
      </c>
      <c r="R14" s="71">
        <v>1</v>
      </c>
      <c r="S14"/>
      <c r="T14"/>
      <c r="W14"/>
    </row>
    <row r="15" spans="1:23" ht="15" customHeight="1" x14ac:dyDescent="0.15">
      <c r="B15" s="90"/>
      <c r="C15" s="78"/>
      <c r="D15" s="83" t="s">
        <v>160</v>
      </c>
      <c r="F15" s="197" t="s">
        <v>201</v>
      </c>
      <c r="G15" s="79">
        <v>0</v>
      </c>
      <c r="H15" s="79">
        <v>0</v>
      </c>
      <c r="I15" s="79">
        <v>0</v>
      </c>
      <c r="J15" s="79">
        <v>0</v>
      </c>
      <c r="K15" s="79">
        <v>1</v>
      </c>
      <c r="L15" s="79">
        <v>0</v>
      </c>
      <c r="M15" s="79">
        <v>1</v>
      </c>
      <c r="N15" s="79">
        <v>0</v>
      </c>
      <c r="O15" s="79">
        <v>1</v>
      </c>
      <c r="P15" s="70">
        <v>0</v>
      </c>
      <c r="Q15" s="79">
        <v>0</v>
      </c>
      <c r="R15" s="71">
        <v>1</v>
      </c>
      <c r="S15"/>
      <c r="T15"/>
      <c r="W15"/>
    </row>
    <row r="16" spans="1:23" ht="15" customHeight="1" x14ac:dyDescent="0.15">
      <c r="B16" s="90"/>
      <c r="C16" s="78"/>
      <c r="D16" s="83" t="s">
        <v>160</v>
      </c>
      <c r="F16" s="197" t="s">
        <v>202</v>
      </c>
      <c r="G16" s="79">
        <v>0</v>
      </c>
      <c r="H16" s="79">
        <v>0</v>
      </c>
      <c r="I16" s="79">
        <v>0</v>
      </c>
      <c r="J16" s="79">
        <v>0</v>
      </c>
      <c r="K16" s="79">
        <v>1</v>
      </c>
      <c r="L16" s="79">
        <v>0</v>
      </c>
      <c r="M16" s="79">
        <v>1</v>
      </c>
      <c r="N16" s="79">
        <v>0</v>
      </c>
      <c r="O16" s="79">
        <v>1</v>
      </c>
      <c r="P16" s="70">
        <v>0</v>
      </c>
      <c r="Q16" s="79">
        <v>0</v>
      </c>
      <c r="R16" s="71">
        <v>1</v>
      </c>
      <c r="S16"/>
      <c r="T16"/>
    </row>
    <row r="17" spans="1:20" ht="15" customHeight="1" thickBot="1" x14ac:dyDescent="0.2">
      <c r="B17" s="89"/>
      <c r="C17" s="78"/>
      <c r="D17" s="83" t="s">
        <v>160</v>
      </c>
      <c r="F17" s="197" t="s">
        <v>203</v>
      </c>
      <c r="G17" s="79">
        <v>0</v>
      </c>
      <c r="H17" s="79">
        <v>0</v>
      </c>
      <c r="I17" s="79">
        <v>0</v>
      </c>
      <c r="J17" s="79">
        <v>0</v>
      </c>
      <c r="K17" s="79">
        <v>1</v>
      </c>
      <c r="L17" s="79">
        <v>0</v>
      </c>
      <c r="M17" s="79">
        <v>1</v>
      </c>
      <c r="N17" s="79">
        <v>0</v>
      </c>
      <c r="O17" s="79">
        <v>1</v>
      </c>
      <c r="P17" s="70">
        <v>0</v>
      </c>
      <c r="Q17" s="79">
        <v>0</v>
      </c>
      <c r="R17" s="71">
        <v>1</v>
      </c>
      <c r="S17"/>
      <c r="T17"/>
    </row>
    <row r="18" spans="1:20" ht="15" customHeight="1" thickBot="1" x14ac:dyDescent="0.2">
      <c r="B18" s="91"/>
      <c r="F18" s="197" t="s">
        <v>204</v>
      </c>
      <c r="G18" s="79">
        <v>0</v>
      </c>
      <c r="H18" s="79">
        <v>0</v>
      </c>
      <c r="I18" s="79">
        <v>0</v>
      </c>
      <c r="J18" s="79">
        <v>0</v>
      </c>
      <c r="K18" s="79">
        <v>1</v>
      </c>
      <c r="L18" s="79">
        <v>0</v>
      </c>
      <c r="M18" s="79">
        <v>1</v>
      </c>
      <c r="N18" s="79">
        <v>0</v>
      </c>
      <c r="O18" s="79">
        <v>1</v>
      </c>
      <c r="P18" s="70">
        <v>0</v>
      </c>
      <c r="Q18" s="79">
        <v>0</v>
      </c>
      <c r="R18" s="71">
        <v>1</v>
      </c>
      <c r="S18"/>
      <c r="T18"/>
    </row>
    <row r="19" spans="1:20" ht="15" customHeight="1" x14ac:dyDescent="0.15">
      <c r="A19" s="81" t="s">
        <v>57</v>
      </c>
      <c r="B19" s="88">
        <v>0.38551844318127976</v>
      </c>
      <c r="C19" s="199" t="s">
        <v>218</v>
      </c>
      <c r="D19" s="83" t="s">
        <v>160</v>
      </c>
      <c r="F19" s="197" t="s">
        <v>205</v>
      </c>
      <c r="G19" s="79">
        <v>0</v>
      </c>
      <c r="H19" s="79">
        <v>0</v>
      </c>
      <c r="I19" s="79">
        <v>0</v>
      </c>
      <c r="J19" s="79">
        <v>0</v>
      </c>
      <c r="K19" s="79">
        <v>1</v>
      </c>
      <c r="L19" s="79">
        <v>0</v>
      </c>
      <c r="M19" s="79">
        <v>1</v>
      </c>
      <c r="N19" s="79">
        <v>0</v>
      </c>
      <c r="O19" s="79">
        <v>1</v>
      </c>
      <c r="P19" s="70">
        <v>0</v>
      </c>
      <c r="Q19" s="79">
        <v>0</v>
      </c>
      <c r="R19" s="71">
        <v>1</v>
      </c>
      <c r="S19"/>
      <c r="T19"/>
    </row>
    <row r="20" spans="1:20" ht="15" customHeight="1" x14ac:dyDescent="0.15">
      <c r="A20" s="123" t="s">
        <v>168</v>
      </c>
      <c r="B20" s="90">
        <v>0.6144815568187203</v>
      </c>
      <c r="C20" s="199" t="s">
        <v>219</v>
      </c>
      <c r="D20" s="83" t="s">
        <v>160</v>
      </c>
      <c r="F20" s="197" t="s">
        <v>206</v>
      </c>
      <c r="G20" s="79">
        <v>0</v>
      </c>
      <c r="H20" s="79">
        <v>0</v>
      </c>
      <c r="I20" s="79">
        <v>0</v>
      </c>
      <c r="J20" s="79">
        <v>0</v>
      </c>
      <c r="K20" s="79">
        <v>1</v>
      </c>
      <c r="L20" s="79">
        <v>0</v>
      </c>
      <c r="M20" s="79">
        <v>1</v>
      </c>
      <c r="N20" s="79">
        <v>0</v>
      </c>
      <c r="O20" s="79">
        <v>1</v>
      </c>
      <c r="P20" s="70">
        <v>0</v>
      </c>
      <c r="Q20" s="79">
        <v>0</v>
      </c>
      <c r="R20" s="71">
        <v>1</v>
      </c>
      <c r="S20"/>
      <c r="T20"/>
    </row>
    <row r="21" spans="1:20" ht="15" customHeight="1" x14ac:dyDescent="0.15">
      <c r="B21" s="90"/>
      <c r="C21" s="78"/>
      <c r="D21" s="83" t="s">
        <v>160</v>
      </c>
      <c r="F21" s="197" t="s">
        <v>207</v>
      </c>
      <c r="G21" s="79">
        <v>0</v>
      </c>
      <c r="H21" s="79">
        <v>0</v>
      </c>
      <c r="I21" s="79">
        <v>0</v>
      </c>
      <c r="J21" s="79">
        <v>0</v>
      </c>
      <c r="K21" s="79">
        <v>1</v>
      </c>
      <c r="L21" s="79">
        <v>0</v>
      </c>
      <c r="M21" s="79">
        <v>1</v>
      </c>
      <c r="N21" s="79">
        <v>0</v>
      </c>
      <c r="O21" s="79">
        <v>1</v>
      </c>
      <c r="P21" s="70">
        <v>0</v>
      </c>
      <c r="Q21" s="79">
        <v>0</v>
      </c>
      <c r="R21" s="71">
        <v>1</v>
      </c>
      <c r="S21"/>
      <c r="T21"/>
    </row>
    <row r="22" spans="1:20" ht="15" customHeight="1" x14ac:dyDescent="0.15">
      <c r="A22" s="79"/>
      <c r="B22" s="90"/>
      <c r="C22" s="93"/>
      <c r="D22" s="83" t="s">
        <v>160</v>
      </c>
      <c r="F22" s="197" t="s">
        <v>208</v>
      </c>
      <c r="G22" s="79">
        <v>0</v>
      </c>
      <c r="H22" s="79">
        <v>0</v>
      </c>
      <c r="I22" s="79">
        <v>0</v>
      </c>
      <c r="J22" s="79">
        <v>0</v>
      </c>
      <c r="K22" s="79">
        <v>1</v>
      </c>
      <c r="L22" s="79">
        <v>0</v>
      </c>
      <c r="M22" s="79">
        <v>1</v>
      </c>
      <c r="N22" s="79">
        <v>0</v>
      </c>
      <c r="O22" s="79">
        <v>1</v>
      </c>
      <c r="P22" s="70">
        <v>0</v>
      </c>
      <c r="Q22" s="79">
        <v>0</v>
      </c>
      <c r="R22" s="71">
        <v>1</v>
      </c>
      <c r="S22"/>
      <c r="T22"/>
    </row>
    <row r="23" spans="1:20" ht="15" customHeight="1" x14ac:dyDescent="0.15">
      <c r="A23" s="79"/>
      <c r="B23" s="90"/>
      <c r="C23" s="94"/>
      <c r="D23" s="83" t="s">
        <v>160</v>
      </c>
      <c r="F23" s="197" t="s">
        <v>209</v>
      </c>
      <c r="G23" s="79">
        <v>0</v>
      </c>
      <c r="H23" s="79">
        <v>0</v>
      </c>
      <c r="I23" s="79">
        <v>0</v>
      </c>
      <c r="J23" s="79">
        <v>0</v>
      </c>
      <c r="K23" s="79">
        <v>1</v>
      </c>
      <c r="L23" s="79">
        <v>0</v>
      </c>
      <c r="M23" s="79">
        <v>1</v>
      </c>
      <c r="N23" s="79">
        <v>0</v>
      </c>
      <c r="O23" s="79">
        <v>1</v>
      </c>
      <c r="P23" s="70">
        <v>0</v>
      </c>
      <c r="Q23" s="79">
        <v>0</v>
      </c>
      <c r="R23" s="71">
        <v>1</v>
      </c>
      <c r="S23"/>
      <c r="T23"/>
    </row>
    <row r="24" spans="1:20" ht="15" customHeight="1" x14ac:dyDescent="0.15">
      <c r="A24" s="79"/>
      <c r="B24" s="90"/>
      <c r="C24" s="94"/>
      <c r="D24" s="83" t="s">
        <v>160</v>
      </c>
      <c r="F24" s="197" t="s">
        <v>210</v>
      </c>
      <c r="G24" s="79">
        <v>0</v>
      </c>
      <c r="H24" s="79">
        <v>0</v>
      </c>
      <c r="I24" s="79">
        <v>0</v>
      </c>
      <c r="J24" s="79">
        <v>0</v>
      </c>
      <c r="K24" s="79">
        <v>1</v>
      </c>
      <c r="L24" s="79">
        <v>0</v>
      </c>
      <c r="M24" s="79">
        <v>1</v>
      </c>
      <c r="N24" s="79">
        <v>0</v>
      </c>
      <c r="O24" s="79">
        <v>1</v>
      </c>
      <c r="P24" s="70">
        <v>0</v>
      </c>
      <c r="Q24" s="79">
        <v>0</v>
      </c>
      <c r="R24" s="71">
        <v>1</v>
      </c>
      <c r="S24"/>
      <c r="T24"/>
    </row>
    <row r="25" spans="1:20" ht="15" customHeight="1" x14ac:dyDescent="0.15">
      <c r="A25" s="79"/>
      <c r="B25" s="90"/>
      <c r="C25" s="78"/>
      <c r="D25" s="83" t="s">
        <v>160</v>
      </c>
      <c r="F25" s="197" t="s">
        <v>211</v>
      </c>
      <c r="G25" s="79">
        <v>0</v>
      </c>
      <c r="H25" s="79">
        <v>0</v>
      </c>
      <c r="I25" s="79">
        <v>0</v>
      </c>
      <c r="J25" s="79">
        <v>0</v>
      </c>
      <c r="K25" s="79">
        <v>1</v>
      </c>
      <c r="L25" s="79">
        <v>0</v>
      </c>
      <c r="M25" s="79">
        <v>1</v>
      </c>
      <c r="N25" s="79">
        <v>0</v>
      </c>
      <c r="O25" s="79">
        <v>1</v>
      </c>
      <c r="P25" s="70">
        <v>0</v>
      </c>
      <c r="Q25" s="79">
        <v>0</v>
      </c>
      <c r="R25" s="71">
        <v>1</v>
      </c>
      <c r="S25"/>
      <c r="T25"/>
    </row>
    <row r="26" spans="1:20" ht="15" customHeight="1" x14ac:dyDescent="0.15">
      <c r="B26" s="90"/>
      <c r="C26" s="78"/>
      <c r="D26" s="83" t="s">
        <v>160</v>
      </c>
      <c r="F26" s="197" t="s">
        <v>212</v>
      </c>
      <c r="G26" s="79">
        <v>0</v>
      </c>
      <c r="H26" s="79">
        <v>0</v>
      </c>
      <c r="I26" s="79">
        <v>0</v>
      </c>
      <c r="J26" s="79">
        <v>0</v>
      </c>
      <c r="K26" s="79">
        <v>1</v>
      </c>
      <c r="L26" s="79">
        <v>0</v>
      </c>
      <c r="M26" s="79">
        <v>1</v>
      </c>
      <c r="N26" s="79">
        <v>0</v>
      </c>
      <c r="O26" s="79">
        <v>1</v>
      </c>
      <c r="P26" s="70">
        <v>0</v>
      </c>
      <c r="Q26" s="79">
        <v>0</v>
      </c>
      <c r="R26" s="71">
        <v>1</v>
      </c>
      <c r="S26"/>
      <c r="T26"/>
    </row>
    <row r="27" spans="1:20" ht="15" customHeight="1" x14ac:dyDescent="0.15">
      <c r="B27" s="90"/>
      <c r="C27" s="78"/>
      <c r="D27" s="83" t="s">
        <v>160</v>
      </c>
      <c r="F27" s="197" t="s">
        <v>213</v>
      </c>
      <c r="G27" s="79">
        <v>0</v>
      </c>
      <c r="H27" s="79">
        <v>0</v>
      </c>
      <c r="I27" s="79">
        <v>0</v>
      </c>
      <c r="J27" s="79">
        <v>0</v>
      </c>
      <c r="K27" s="79">
        <v>1</v>
      </c>
      <c r="L27" s="79">
        <v>0</v>
      </c>
      <c r="M27" s="79">
        <v>1</v>
      </c>
      <c r="N27" s="79">
        <v>0</v>
      </c>
      <c r="O27" s="79">
        <v>1</v>
      </c>
      <c r="P27" s="70">
        <v>0</v>
      </c>
      <c r="Q27" s="79">
        <v>0</v>
      </c>
      <c r="R27" s="71">
        <v>1</v>
      </c>
      <c r="S27"/>
      <c r="T27"/>
    </row>
    <row r="28" spans="1:20" ht="15" customHeight="1" thickBot="1" x14ac:dyDescent="0.2">
      <c r="B28" s="89"/>
      <c r="C28" s="78"/>
      <c r="D28" s="83" t="s">
        <v>160</v>
      </c>
      <c r="F28" s="197" t="s">
        <v>214</v>
      </c>
      <c r="G28" s="79">
        <v>0</v>
      </c>
      <c r="H28" s="79">
        <v>0</v>
      </c>
      <c r="I28" s="79">
        <v>0</v>
      </c>
      <c r="J28" s="79">
        <v>0</v>
      </c>
      <c r="K28" s="79">
        <v>1</v>
      </c>
      <c r="L28" s="79">
        <v>0</v>
      </c>
      <c r="M28" s="79">
        <v>1</v>
      </c>
      <c r="N28" s="79">
        <v>0</v>
      </c>
      <c r="O28" s="79">
        <v>1</v>
      </c>
      <c r="P28" s="70">
        <v>0</v>
      </c>
      <c r="Q28" s="79">
        <v>0</v>
      </c>
      <c r="R28" s="71">
        <v>1</v>
      </c>
      <c r="S28"/>
      <c r="T28"/>
    </row>
    <row r="29" spans="1:20" ht="15" customHeight="1" x14ac:dyDescent="0.15">
      <c r="F29" s="197" t="s">
        <v>215</v>
      </c>
      <c r="G29" s="79">
        <v>0</v>
      </c>
      <c r="H29" s="79">
        <v>0</v>
      </c>
      <c r="I29" s="79">
        <v>0</v>
      </c>
      <c r="J29" s="79">
        <v>0</v>
      </c>
      <c r="K29" s="79">
        <v>1</v>
      </c>
      <c r="L29" s="79">
        <v>0</v>
      </c>
      <c r="M29" s="79">
        <v>1</v>
      </c>
      <c r="N29" s="79">
        <v>0</v>
      </c>
      <c r="O29" s="79">
        <v>1</v>
      </c>
      <c r="P29" s="70">
        <v>0</v>
      </c>
      <c r="Q29" s="79">
        <v>0</v>
      </c>
      <c r="R29" s="71">
        <v>1</v>
      </c>
      <c r="S29"/>
      <c r="T29"/>
    </row>
    <row r="30" spans="1:20" ht="15" customHeight="1" x14ac:dyDescent="0.15">
      <c r="F30" s="197" t="s">
        <v>216</v>
      </c>
      <c r="G30" s="79">
        <v>0</v>
      </c>
      <c r="H30" s="79">
        <v>0</v>
      </c>
      <c r="I30" s="79">
        <v>0</v>
      </c>
      <c r="J30" s="79">
        <v>0</v>
      </c>
      <c r="K30" s="79">
        <v>1</v>
      </c>
      <c r="L30" s="79">
        <v>0</v>
      </c>
      <c r="M30" s="79">
        <v>1</v>
      </c>
      <c r="N30" s="79">
        <v>0</v>
      </c>
      <c r="O30" s="79">
        <v>1</v>
      </c>
      <c r="P30" s="70">
        <v>0</v>
      </c>
      <c r="Q30" s="79">
        <v>0</v>
      </c>
      <c r="R30" s="71">
        <v>1</v>
      </c>
      <c r="S30"/>
      <c r="T30"/>
    </row>
    <row r="31" spans="1:20" ht="15" customHeight="1" x14ac:dyDescent="0.15">
      <c r="A31" s="124"/>
      <c r="B31" s="134" t="s">
        <v>17</v>
      </c>
      <c r="C31" s="134" t="s">
        <v>1</v>
      </c>
      <c r="D31" s="134" t="s">
        <v>161</v>
      </c>
      <c r="E31" s="135" t="s">
        <v>163</v>
      </c>
      <c r="F31" s="197" t="s">
        <v>217</v>
      </c>
      <c r="G31" s="79">
        <v>0</v>
      </c>
      <c r="H31" s="79">
        <v>0</v>
      </c>
      <c r="I31" s="79">
        <v>0</v>
      </c>
      <c r="J31" s="79">
        <v>0</v>
      </c>
      <c r="K31" s="79">
        <v>1</v>
      </c>
      <c r="L31" s="79">
        <v>0</v>
      </c>
      <c r="M31" s="79">
        <v>1</v>
      </c>
      <c r="N31" s="79">
        <v>0</v>
      </c>
      <c r="O31" s="79">
        <v>1</v>
      </c>
      <c r="P31" s="70">
        <v>0</v>
      </c>
      <c r="Q31" s="79">
        <v>0</v>
      </c>
      <c r="R31" s="71">
        <v>1</v>
      </c>
      <c r="S31"/>
      <c r="T31"/>
    </row>
    <row r="32" spans="1:20" ht="15" customHeight="1" x14ac:dyDescent="0.15">
      <c r="A32" s="200" t="s">
        <v>218</v>
      </c>
      <c r="B32" s="91">
        <v>30.715710000000001</v>
      </c>
      <c r="C32" s="91">
        <v>15.35</v>
      </c>
      <c r="D32" s="91">
        <v>471.48614850000001</v>
      </c>
      <c r="E32" s="125">
        <v>0.38551844318127976</v>
      </c>
      <c r="F32" s="197" t="s">
        <v>218</v>
      </c>
      <c r="G32" s="79">
        <v>0</v>
      </c>
      <c r="H32" s="79">
        <v>0</v>
      </c>
      <c r="I32" s="79">
        <v>0</v>
      </c>
      <c r="J32" s="79">
        <v>0</v>
      </c>
      <c r="K32" s="79">
        <v>0</v>
      </c>
      <c r="L32" s="79">
        <v>0</v>
      </c>
      <c r="M32" s="79">
        <v>1</v>
      </c>
      <c r="N32" s="79">
        <v>0</v>
      </c>
      <c r="O32" s="79">
        <v>0</v>
      </c>
      <c r="P32" s="70">
        <v>0</v>
      </c>
      <c r="Q32" s="79">
        <v>0</v>
      </c>
      <c r="R32" s="71">
        <v>1</v>
      </c>
      <c r="S32"/>
      <c r="T32"/>
    </row>
    <row r="33" spans="1:20" ht="15" customHeight="1" x14ac:dyDescent="0.15">
      <c r="A33" s="200" t="s">
        <v>219</v>
      </c>
      <c r="B33" s="91">
        <v>10.554863900000001</v>
      </c>
      <c r="C33" s="91">
        <v>71.2</v>
      </c>
      <c r="D33" s="91">
        <v>751.50630968000007</v>
      </c>
      <c r="E33" s="125">
        <v>0.6144815568187203</v>
      </c>
      <c r="F33" s="197" t="s">
        <v>219</v>
      </c>
      <c r="G33" s="79">
        <v>0</v>
      </c>
      <c r="H33" s="79">
        <v>0</v>
      </c>
      <c r="I33" s="79">
        <v>0</v>
      </c>
      <c r="J33" s="79">
        <v>0</v>
      </c>
      <c r="K33" s="79">
        <v>0</v>
      </c>
      <c r="L33" s="79">
        <v>0</v>
      </c>
      <c r="M33" s="79">
        <v>1</v>
      </c>
      <c r="N33" s="79">
        <v>0</v>
      </c>
      <c r="O33" s="79">
        <v>0</v>
      </c>
      <c r="P33" s="70">
        <v>0</v>
      </c>
      <c r="Q33" s="79">
        <v>0</v>
      </c>
      <c r="R33" s="71">
        <v>1</v>
      </c>
      <c r="S33"/>
      <c r="T33"/>
    </row>
    <row r="34" spans="1:20" ht="15" customHeight="1" x14ac:dyDescent="0.15">
      <c r="A34" s="126"/>
      <c r="B34" s="91"/>
      <c r="C34" s="91"/>
      <c r="D34" s="91"/>
      <c r="E34" s="125"/>
      <c r="F34" s="197" t="s">
        <v>220</v>
      </c>
      <c r="G34" s="79">
        <v>0</v>
      </c>
      <c r="H34" s="79">
        <v>0</v>
      </c>
      <c r="I34" s="79">
        <v>0</v>
      </c>
      <c r="J34" s="79">
        <v>0</v>
      </c>
      <c r="K34" s="79">
        <v>0</v>
      </c>
      <c r="L34" s="79">
        <v>1</v>
      </c>
      <c r="M34" s="79">
        <v>0</v>
      </c>
      <c r="N34" s="79">
        <v>1</v>
      </c>
      <c r="O34" s="79">
        <v>0</v>
      </c>
      <c r="P34" s="70">
        <v>1</v>
      </c>
      <c r="Q34" s="79">
        <v>0</v>
      </c>
      <c r="R34" s="71">
        <v>1</v>
      </c>
      <c r="S34"/>
      <c r="T34"/>
    </row>
    <row r="35" spans="1:20" ht="15" customHeight="1" x14ac:dyDescent="0.15">
      <c r="A35" s="127"/>
      <c r="B35" s="91"/>
      <c r="C35" s="91"/>
      <c r="D35" s="91"/>
      <c r="E35" s="125"/>
      <c r="F35" s="197" t="s">
        <v>221</v>
      </c>
      <c r="G35" s="79">
        <v>0</v>
      </c>
      <c r="H35" s="79">
        <v>0</v>
      </c>
      <c r="I35" s="79">
        <v>0</v>
      </c>
      <c r="J35" s="79">
        <v>0</v>
      </c>
      <c r="K35" s="79">
        <v>0</v>
      </c>
      <c r="L35" s="79">
        <v>1</v>
      </c>
      <c r="M35" s="79">
        <v>0</v>
      </c>
      <c r="N35" s="79">
        <v>1</v>
      </c>
      <c r="O35" s="79">
        <v>0</v>
      </c>
      <c r="P35" s="70">
        <v>1</v>
      </c>
      <c r="Q35" s="79">
        <v>0</v>
      </c>
      <c r="R35" s="71">
        <v>1</v>
      </c>
      <c r="S35"/>
      <c r="T35"/>
    </row>
    <row r="36" spans="1:20" ht="15" customHeight="1" x14ac:dyDescent="0.15">
      <c r="A36" s="128"/>
      <c r="B36" s="91"/>
      <c r="C36" s="91"/>
      <c r="D36" s="91"/>
      <c r="E36" s="125"/>
      <c r="F36" s="197" t="s">
        <v>222</v>
      </c>
      <c r="G36" s="79">
        <v>0</v>
      </c>
      <c r="H36" s="79">
        <v>0</v>
      </c>
      <c r="I36" s="79">
        <v>0</v>
      </c>
      <c r="J36" s="79">
        <v>0</v>
      </c>
      <c r="K36" s="79">
        <v>0</v>
      </c>
      <c r="L36" s="79">
        <v>1</v>
      </c>
      <c r="M36" s="79">
        <v>0</v>
      </c>
      <c r="N36" s="79">
        <v>0</v>
      </c>
      <c r="O36" s="79">
        <v>0</v>
      </c>
      <c r="P36" s="70">
        <v>0</v>
      </c>
      <c r="Q36" s="79">
        <v>0</v>
      </c>
      <c r="R36" s="71">
        <v>1</v>
      </c>
      <c r="S36"/>
      <c r="T36"/>
    </row>
    <row r="37" spans="1:20" ht="15" customHeight="1" x14ac:dyDescent="0.15">
      <c r="A37" s="128"/>
      <c r="B37" s="91"/>
      <c r="C37" s="91"/>
      <c r="D37" s="91"/>
      <c r="E37" s="125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29"/>
      <c r="B38" s="91"/>
      <c r="C38" s="91"/>
      <c r="D38" s="91"/>
      <c r="E38" s="125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29"/>
      <c r="B39" s="91"/>
      <c r="C39" s="91"/>
      <c r="D39" s="91"/>
      <c r="E39" s="125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29"/>
      <c r="B40" s="91"/>
      <c r="C40" s="91"/>
      <c r="D40" s="91"/>
      <c r="E40" s="125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29"/>
      <c r="B41" s="91"/>
      <c r="C41" s="91"/>
      <c r="D41" s="92"/>
      <c r="E41" s="130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31"/>
      <c r="B42" s="132"/>
      <c r="C42" s="132" t="s">
        <v>162</v>
      </c>
      <c r="D42" s="132">
        <f>SUM(D32:D41)</f>
        <v>1222.9924581800001</v>
      </c>
      <c r="E42" s="133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9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9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9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9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9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9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9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9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9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9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9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9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9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9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9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9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9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9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9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9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9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9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9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9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9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9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9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9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9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9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9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9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9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9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9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9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9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9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9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9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9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9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9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9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9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9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9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9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9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9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9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9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9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9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9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9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9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9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9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9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9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9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9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9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9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9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9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9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9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9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9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9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9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9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9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9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9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9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9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9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9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9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9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9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9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9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9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9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9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9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9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9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9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9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9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9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9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9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9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9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9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9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9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9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9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9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9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9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9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9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9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9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9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9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9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9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9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9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9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9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9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9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9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9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9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9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9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9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M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5.83203125" bestFit="1" customWidth="1"/>
    <col min="2" max="2" width="2.33203125" style="109" customWidth="1"/>
    <col min="3" max="5" width="7.83203125" style="109" customWidth="1"/>
    <col min="6" max="8" width="8.83203125" style="6"/>
    <col min="9" max="9" width="14.1640625" style="6" customWidth="1"/>
    <col min="10" max="10" width="5.33203125" style="6" customWidth="1"/>
    <col min="11" max="11" width="22.5" style="6" customWidth="1"/>
    <col min="12" max="12" width="19.6640625" style="6" customWidth="1"/>
    <col min="13" max="13" width="8.6640625" style="6" customWidth="1"/>
    <col min="14" max="14" width="9.1640625" style="6" customWidth="1"/>
    <col min="15" max="15" width="9.5" style="6" customWidth="1"/>
    <col min="16" max="16" width="14.5" style="6" customWidth="1"/>
    <col min="17" max="17" width="9.5" style="6" customWidth="1"/>
    <col min="18" max="18" width="13.5" style="6" customWidth="1"/>
    <col min="19" max="19" width="17.6640625" style="6" customWidth="1"/>
    <col min="20" max="20" width="7" style="6" customWidth="1"/>
    <col min="21" max="21" width="25.83203125" style="6" customWidth="1"/>
    <col min="22" max="22" width="11.6640625" style="6" customWidth="1"/>
    <col min="23" max="23" width="7.1640625" style="6" customWidth="1"/>
    <col min="24" max="24" width="11.1640625" style="6" customWidth="1"/>
    <col min="25" max="25" width="8.5" style="6" customWidth="1"/>
    <col min="26" max="26" width="8.83203125" style="6" customWidth="1"/>
    <col min="27" max="27" width="18" style="6" customWidth="1"/>
    <col min="28" max="28" width="13.33203125" style="6" customWidth="1"/>
    <col min="29" max="29" width="13.83203125" style="6" customWidth="1"/>
    <col min="30" max="30" width="8.1640625" style="6" customWidth="1"/>
    <col min="31" max="31" width="17.6640625" style="6" customWidth="1"/>
    <col min="32" max="32" width="13" style="6" customWidth="1"/>
    <col min="33" max="33" width="11.83203125" style="6" customWidth="1"/>
    <col min="34" max="34" width="11.33203125" style="6" customWidth="1"/>
    <col min="35" max="35" width="16.5" style="6" customWidth="1"/>
    <col min="36" max="36" width="13.1640625" style="6" customWidth="1"/>
    <col min="37" max="37" width="7.6640625" style="6" customWidth="1"/>
    <col min="38" max="38" width="21.6640625" style="6" customWidth="1"/>
    <col min="39" max="39" width="6.5" customWidth="1"/>
    <col min="81" max="81" width="22.1640625" bestFit="1" customWidth="1"/>
  </cols>
  <sheetData>
    <row r="1" spans="1:39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202" t="s">
        <v>192</v>
      </c>
      <c r="J1" s="202" t="s">
        <v>193</v>
      </c>
      <c r="K1" s="202" t="s">
        <v>194</v>
      </c>
      <c r="L1" s="202" t="s">
        <v>195</v>
      </c>
      <c r="M1" s="202" t="s">
        <v>196</v>
      </c>
      <c r="N1" s="202" t="s">
        <v>197</v>
      </c>
      <c r="O1" s="202" t="s">
        <v>198</v>
      </c>
      <c r="P1" s="202" t="s">
        <v>199</v>
      </c>
      <c r="Q1" s="202" t="s">
        <v>200</v>
      </c>
      <c r="R1" s="202" t="s">
        <v>201</v>
      </c>
      <c r="S1" s="202" t="s">
        <v>202</v>
      </c>
      <c r="T1" s="202" t="s">
        <v>203</v>
      </c>
      <c r="U1" s="202" t="s">
        <v>204</v>
      </c>
      <c r="V1" s="202" t="s">
        <v>205</v>
      </c>
      <c r="W1" s="202" t="s">
        <v>206</v>
      </c>
      <c r="X1" s="202" t="s">
        <v>207</v>
      </c>
      <c r="Y1" s="202" t="s">
        <v>208</v>
      </c>
      <c r="Z1" s="202" t="s">
        <v>209</v>
      </c>
      <c r="AA1" s="202" t="s">
        <v>210</v>
      </c>
      <c r="AB1" s="202" t="s">
        <v>211</v>
      </c>
      <c r="AC1" s="202" t="s">
        <v>212</v>
      </c>
      <c r="AD1" s="202" t="s">
        <v>213</v>
      </c>
      <c r="AE1" s="202" t="s">
        <v>214</v>
      </c>
      <c r="AF1" s="202" t="s">
        <v>215</v>
      </c>
      <c r="AG1" s="202" t="s">
        <v>216</v>
      </c>
      <c r="AH1" s="202" t="s">
        <v>217</v>
      </c>
      <c r="AI1" s="202" t="s">
        <v>218</v>
      </c>
      <c r="AJ1" s="202" t="s">
        <v>219</v>
      </c>
      <c r="AK1" s="202" t="s">
        <v>220</v>
      </c>
      <c r="AL1" s="202" t="s">
        <v>221</v>
      </c>
      <c r="AM1" s="202" t="s">
        <v>222</v>
      </c>
    </row>
    <row r="2" spans="1:39" x14ac:dyDescent="0.15">
      <c r="A2" t="s">
        <v>38</v>
      </c>
      <c r="B2" s="109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9" x14ac:dyDescent="0.15">
      <c r="A3" t="s">
        <v>40</v>
      </c>
      <c r="B3" s="109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9" x14ac:dyDescent="0.15">
      <c r="A4" t="s">
        <v>41</v>
      </c>
      <c r="B4" s="109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9" x14ac:dyDescent="0.15">
      <c r="A5" s="201" t="s">
        <v>192</v>
      </c>
      <c r="B5" s="109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9" x14ac:dyDescent="0.15">
      <c r="A6" s="201" t="s">
        <v>193</v>
      </c>
      <c r="B6" s="109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9" x14ac:dyDescent="0.15">
      <c r="A7" s="201" t="s">
        <v>194</v>
      </c>
      <c r="B7" s="109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9" x14ac:dyDescent="0.15">
      <c r="A8" s="201" t="s">
        <v>195</v>
      </c>
      <c r="B8" s="109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9" x14ac:dyDescent="0.15">
      <c r="A9" s="201" t="s">
        <v>196</v>
      </c>
      <c r="B9" s="109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9" x14ac:dyDescent="0.15">
      <c r="A10" s="201" t="s">
        <v>197</v>
      </c>
      <c r="B10" s="109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9" x14ac:dyDescent="0.15">
      <c r="A11" s="201" t="s">
        <v>198</v>
      </c>
      <c r="B11" s="109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9" x14ac:dyDescent="0.15">
      <c r="A12" s="201" t="s">
        <v>199</v>
      </c>
      <c r="B12" s="109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9" x14ac:dyDescent="0.15">
      <c r="A13" s="201" t="s">
        <v>200</v>
      </c>
      <c r="B13" s="109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9" x14ac:dyDescent="0.15">
      <c r="A14" s="201" t="s">
        <v>201</v>
      </c>
      <c r="B14" s="109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9" x14ac:dyDescent="0.15">
      <c r="A15" s="201" t="s">
        <v>202</v>
      </c>
      <c r="B15" s="109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9" x14ac:dyDescent="0.15">
      <c r="A16" s="201" t="s">
        <v>203</v>
      </c>
      <c r="B16" s="109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1" t="s">
        <v>204</v>
      </c>
      <c r="B17" s="109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1" t="s">
        <v>205</v>
      </c>
      <c r="B18" s="109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1" t="s">
        <v>206</v>
      </c>
      <c r="B19" s="109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1" t="s">
        <v>207</v>
      </c>
      <c r="B20" s="109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1" t="s">
        <v>208</v>
      </c>
      <c r="B21" s="109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1" t="s">
        <v>209</v>
      </c>
      <c r="B22" s="109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1" t="s">
        <v>210</v>
      </c>
      <c r="B23" s="109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1" t="s">
        <v>211</v>
      </c>
      <c r="B24" s="109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1" t="s">
        <v>212</v>
      </c>
      <c r="B25" s="109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1" t="s">
        <v>213</v>
      </c>
      <c r="B26" s="109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1" t="s">
        <v>214</v>
      </c>
      <c r="B27" s="109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1" t="s">
        <v>215</v>
      </c>
      <c r="B28" s="109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1" t="s">
        <v>216</v>
      </c>
      <c r="B29" s="109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1" t="s">
        <v>217</v>
      </c>
      <c r="B30" s="109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1" t="s">
        <v>218</v>
      </c>
      <c r="B31" s="109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1" t="s">
        <v>219</v>
      </c>
      <c r="B32" s="109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1" t="s">
        <v>220</v>
      </c>
      <c r="B33" s="109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1" t="s">
        <v>221</v>
      </c>
      <c r="B34" s="109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1" t="s">
        <v>222</v>
      </c>
      <c r="B35" s="109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B36"/>
      <c r="C36"/>
      <c r="D36"/>
    </row>
    <row r="37" spans="1:38" ht="15" customHeight="1" x14ac:dyDescent="0.15">
      <c r="B37"/>
      <c r="C37"/>
      <c r="D37"/>
    </row>
    <row r="38" spans="1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B39"/>
      <c r="C39"/>
      <c r="D39"/>
    </row>
    <row r="40" spans="1:38" ht="15" customHeight="1" x14ac:dyDescent="0.15">
      <c r="B40"/>
      <c r="C40"/>
      <c r="D40"/>
    </row>
    <row r="41" spans="1:38" ht="15" customHeight="1" x14ac:dyDescent="0.15">
      <c r="B41"/>
      <c r="C41"/>
      <c r="D41"/>
    </row>
    <row r="42" spans="1:38" ht="15" customHeight="1" x14ac:dyDescent="0.15"/>
    <row r="43" spans="1:38" ht="15" customHeight="1" x14ac:dyDescent="0.15"/>
    <row r="44" spans="1:38" ht="15" customHeight="1" x14ac:dyDescent="0.15"/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2022-10-24T03:05:23Z</dcterms:modified>
</cp:coreProperties>
</file>