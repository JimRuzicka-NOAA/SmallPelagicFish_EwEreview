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E4B469A2-8D7F-8041-80DA-37934432F6C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<sst xmlns="http://schemas.openxmlformats.org/spreadsheetml/2006/main" count="722" uniqueCount="218">
  <si>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</si>
  <si>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</si>
  <si>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</si>
  <si>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</si>
  <si>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</si>
  <si>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</si>
  <si>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</si>
  <si>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</si>
  <si>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</si>
  <si>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</si>
  <si>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</si>
  <si>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</si>
  <si>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</si>
  <si>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</si>
  <si>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</si>
  <si>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</si>
  <si>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</si>
  <si>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</si>
  <si>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</si>
  <si>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</si>
  <si>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</si>
  <si>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</si>
  <si>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</si>
  <si>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</si>
  <si>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</si>
  <si>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</si>
  <si>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</si>
  <si>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</si>
  <si>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</si>
  <si>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</si>
  <si>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</si>
  <si>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</si>
  <si>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</si>
  <si>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</si>
  <si>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</si>
  <si>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</si>
  <si>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</si>
  <si>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</si>
  <si>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</si>
  <si>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</si>
  <si>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</si>
  <si>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</si>
  <si>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</si>
  <si>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</si>
  <si>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</si>
  <si>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</si>
  <si>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</si>
  <si>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</si>
  <si>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</si>
  <si>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</si>
  <si>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</si>
  <si>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</si>
  <si>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</si>
  <si>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</si>
  <si>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</si>
  <si>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</si>
  <si>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</si>
  <si>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</si>
  <si>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</si>
  <si>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</si>
  <si>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</si>
  <si>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</si>
  <si>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</si>
  <si>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</si>
  <si>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</si>
  <si>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</si>
  <si>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</si>
  <si>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</si>
  <si>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</si>
  <si>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</si>
  <si>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</si>
  <si>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</si>
  <si>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</si>
  <si>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</si>
  <si>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</si>
  <si>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</si>
  <si>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</si>
  <si>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</si>
  <si>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</si>
  <si>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</si>
  <si>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</si>
  <si>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</si>
  <si>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</si>
  <si>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</si>
  <si>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</si>
  <si>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</si>
  <si>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</si>
  <si>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</si>
  <si>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</si>
  <si>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</si>
  <si>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</si>
  <si>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</si>
  <si>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</si>
  <si>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</si>
  <si>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</si>
  <si>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</si>
  <si>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</si>
  <si>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</si>
  <si>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</si>
  <si>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</si>
  <si>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</si>
  <si>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</si>
  <si>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</si>
  <si>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</si>
  <si>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</si>
  <si>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</si>
  <si>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</si>
  <si>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</si>
  <si>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</si>
  <si>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</si>
  <si>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</si>
  <si>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</si>
  <si>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</si>
  <si>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</si>
  <si>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</si>
  <si>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</si>
  <si>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</si>
  <si>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</si>
  <si>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</si>
  <si>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</si>
  <si>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</si>
  <si>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</si>
  <si>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</si>
  <si>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</si>
  <si>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</si>
  <si>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</si>
  <si>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</si>
  <si>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</si>
  <si>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</si>
  <si>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</si>
  <si>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</si>
  <si>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</si>
  <si>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</si>
  <si>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</si>
  <si>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</si>
  <si>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</si>
  <si>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</si>
  <si>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</si>
  <si>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</si>
  <si>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</si>
  <si>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</si>
  <si>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</si>
  <si>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</si>
  <si>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</si>
  <si>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</si>
  <si>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</si>
  <si>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</si>
  <si>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</si>
  <si>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</si>
  <si>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</si>
  <si>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</si>
  <si>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</si>
  <si>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</si>
  <si>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</si>
  <si>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</si>
  <si>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</si>
  <si>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</si>
  <si>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</si>
  <si>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</si>
  <si>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</si>
  <si>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</si>
  <si>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</si>
  <si>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</si>
  <si>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</si>
  <si>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</si>
  <si>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</si>
  <si>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</si>
  <si>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</si>
  <si>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</si>
  <si>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</si>
  <si>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</si>
  <si>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</si>
  <si>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</si>
  <si>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</si>
  <si>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</si>
  <si>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</si>
  <si>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</si>
  <si>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</si>
  <si>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</si>
  <si>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</si>
  <si>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</si>
  <si>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</si>
  <si>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</si>
  <si>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</si>
  <si>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</si>
  <si>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Sonda de Campeche</t>
  </si>
  <si>
    <t>Mexico</t>
  </si>
  <si>
    <t>BOX(-94.2549463576786 18.4026230094887,-90.9515846705146 20.0921288381945)</t>
  </si>
  <si>
    <t>continental shelf</t>
  </si>
  <si>
    <t>WetWeight</t>
  </si>
  <si>
    <t>; 17/04/2006 06:29:48 p.m.</t>
  </si>
  <si>
    <t>Manickchand-Heileman S.,Soto L.A.,Escobar E.(1998). A Preliminary Trophic Model of the Continental Shelf, South-western Gulf of Mexico Estuarine, Coastal and Shelf Science. pp 885-899</t>
  </si>
  <si>
    <t>Herrings</t>
  </si>
  <si>
    <t>Jacks</t>
  </si>
  <si>
    <t>Mackerels</t>
  </si>
  <si>
    <t>Flatfish</t>
  </si>
  <si>
    <t>Catfish</t>
  </si>
  <si>
    <t>Mojarras</t>
  </si>
  <si>
    <t>Snappers</t>
  </si>
  <si>
    <t>Croakers</t>
  </si>
  <si>
    <t>Groupers</t>
  </si>
  <si>
    <t>Grunts</t>
  </si>
  <si>
    <t>Sharks</t>
  </si>
  <si>
    <t>Other fish</t>
  </si>
  <si>
    <t>Squid</t>
  </si>
  <si>
    <t>Shrimp</t>
  </si>
  <si>
    <t>Epifauna</t>
  </si>
  <si>
    <t>Infauna</t>
  </si>
  <si>
    <t>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</si>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</sst>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C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 applyAlignment="1">
      <alignment horizontal="center"/>
    </xf>
    <xf numFmtId="0" fontId="0" fillId="32" borderId="0" xfId="0" applyFill="1"/>
    <xf numFmtId="0" fontId="0" fillId="3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0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0" borderId="3" xfId="0" applyNumberFormat="1" applyFont="1" applyFill="1" applyBorder="1"/>
    <xf numFmtId="0" fontId="0" fillId="30" borderId="2" xfId="0" applyFont="1" applyFill="1" applyBorder="1"/>
    <xf numFmtId="0" fontId="0" fillId="30" borderId="3" xfId="0" applyFont="1" applyFill="1" applyBorder="1"/>
    <xf numFmtId="0" fontId="0" fillId="30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36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7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6" t="s">
        <v>171</v>
      </c>
      <c r="C53" s="100">
        <v>240</v>
      </c>
      <c r="D53" s="100"/>
    </row>
    <row r="54" spans="2:4" x14ac:dyDescent="0.15">
      <c r="B54" s="156" t="s">
        <v>172</v>
      </c>
      <c r="C54" s="156" t="s">
        <v>185</v>
      </c>
      <c r="D54" s="100"/>
    </row>
    <row r="55" spans="2:4" x14ac:dyDescent="0.15">
      <c r="B55" s="156" t="s">
        <v>173</v>
      </c>
      <c r="C55" s="156" t="s">
        <v>186</v>
      </c>
      <c r="D55" s="100"/>
    </row>
    <row r="56" spans="2:4" x14ac:dyDescent="0.15">
      <c r="B56" s="156" t="s">
        <v>174</v>
      </c>
      <c r="C56" s="100">
        <v>65000</v>
      </c>
      <c r="D56" s="100"/>
    </row>
    <row r="57" spans="2:4" x14ac:dyDescent="0.15">
      <c r="B57" s="156" t="s">
        <v>175</v>
      </c>
      <c r="C57" s="156" t="s">
        <v>187</v>
      </c>
      <c r="D57" s="100"/>
    </row>
    <row r="58" spans="2:4" x14ac:dyDescent="0.15">
      <c r="B58" s="156" t="s">
        <v>176</v>
      </c>
      <c r="C58" s="156" t="s">
        <v>188</v>
      </c>
      <c r="D58" s="100"/>
    </row>
    <row r="59" spans="2:4" x14ac:dyDescent="0.15">
      <c r="B59" s="156" t="s">
        <v>177</v>
      </c>
      <c r="C59" s="156" t="s">
        <v>189</v>
      </c>
      <c r="D59" s="100"/>
    </row>
    <row r="60" spans="2:4" x14ac:dyDescent="0.15">
      <c r="B60" s="156" t="s">
        <v>178</v>
      </c>
      <c r="C60" s="156" t="s">
        <v>190</v>
      </c>
      <c r="D60" s="100"/>
    </row>
    <row r="61" spans="2:4" x14ac:dyDescent="0.15">
      <c r="B61" s="156" t="s">
        <v>179</v>
      </c>
      <c r="C61" s="100">
        <v>19</v>
      </c>
      <c r="D61" s="100"/>
    </row>
    <row r="62" spans="2:4" x14ac:dyDescent="0.15">
      <c r="B62" s="156" t="s">
        <v>180</v>
      </c>
      <c r="C62" s="100">
        <v>1</v>
      </c>
      <c r="D62" s="100"/>
    </row>
    <row r="63" spans="2:4" x14ac:dyDescent="0.15">
      <c r="B63" s="156" t="s">
        <v>181</v>
      </c>
      <c r="C63" s="100">
        <v>1988</v>
      </c>
      <c r="D63" s="100"/>
    </row>
    <row r="64" spans="2:4" x14ac:dyDescent="0.15">
      <c r="B64" s="156" t="s">
        <v>182</v>
      </c>
      <c r="C64" s="100">
        <v>6</v>
      </c>
      <c r="D64" s="100"/>
    </row>
    <row r="65" spans="2:4" x14ac:dyDescent="0.15">
      <c r="B65" s="156" t="s">
        <v>183</v>
      </c>
      <c r="C65" s="156" t="s">
        <v>191</v>
      </c>
      <c r="D65" s="100"/>
    </row>
    <row r="66" spans="2:4" x14ac:dyDescent="0.15">
      <c r="B66" s="156" t="s">
        <v>184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8" sqref="P8"/>
    </sheetView>
  </sheetViews>
  <sheetFormatPr baseColWidth="10" defaultColWidth="8.83203125" defaultRowHeight="15" customHeight="1" x14ac:dyDescent="0.15"/>
  <cols>
    <col min="1" max="1" width="22.5" style="74" customWidth="1"/>
    <col min="2" max="3" width="3.33203125" style="74" customWidth="1"/>
    <col min="4" max="4" width="14.33203125" style="74" customWidth="1"/>
    <col min="5" max="5" width="21.6640625" style="74" bestFit="1" customWidth="1"/>
    <col min="6" max="6" width="2.33203125" style="74" bestFit="1" customWidth="1"/>
    <col min="7" max="7" width="12.83203125" style="74" bestFit="1" customWidth="1"/>
    <col min="8" max="8" width="11.83203125" style="74" customWidth="1"/>
    <col min="9" max="9" width="10.83203125" style="74" customWidth="1"/>
    <col min="10" max="10" width="11.83203125" style="74" customWidth="1"/>
    <col min="11" max="11" width="12.83203125" style="74" customWidth="1"/>
    <col min="12" max="12" width="2.33203125" style="74" customWidth="1"/>
    <col min="13" max="14" width="3.83203125" style="74" customWidth="1"/>
    <col min="16" max="25" width="8.83203125" style="7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4"/>
  </cols>
  <sheetData>
    <row r="1" spans="1:46" s="91" customFormat="1" ht="15" customHeight="1" x14ac:dyDescent="0.15">
      <c r="A1" s="70" t="s">
        <v>18</v>
      </c>
      <c r="C1" s="71" t="s">
        <v>8</v>
      </c>
      <c r="D1" s="70" t="s">
        <v>23</v>
      </c>
      <c r="E1" s="70" t="s">
        <v>0</v>
      </c>
      <c r="F1" s="70" t="s">
        <v>7</v>
      </c>
      <c r="G1" s="72" t="s">
        <v>13</v>
      </c>
      <c r="H1" s="70" t="s">
        <v>1</v>
      </c>
      <c r="I1" s="70" t="s">
        <v>2</v>
      </c>
      <c r="J1" s="70" t="s">
        <v>14</v>
      </c>
      <c r="K1" s="70" t="s">
        <v>3</v>
      </c>
      <c r="L1" s="70" t="s">
        <v>4</v>
      </c>
      <c r="M1" s="70" t="s">
        <v>5</v>
      </c>
      <c r="N1" s="7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1">
        <v>1</v>
      </c>
      <c r="D2"/>
      <c r="E2" s="157" t="s">
        <v>192</v>
      </c>
      <c r="F2" s="74">
        <v>0</v>
      </c>
      <c r="G2" s="74">
        <v>4.0031980000000003</v>
      </c>
      <c r="H2" s="74">
        <v>4.2765300000000002</v>
      </c>
      <c r="I2" s="6">
        <v>13.695531799999999</v>
      </c>
      <c r="J2" s="6">
        <v>0.95730584900000004</v>
      </c>
      <c r="K2" s="6">
        <v>0.31225730000000002</v>
      </c>
      <c r="L2" s="6">
        <v>0</v>
      </c>
      <c r="M2" s="74">
        <v>0.2</v>
      </c>
      <c r="N2" s="74">
        <v>-99</v>
      </c>
    </row>
    <row r="3" spans="1:46" ht="15" customHeight="1" x14ac:dyDescent="0.15">
      <c r="A3" s="1" t="s">
        <v>9</v>
      </c>
      <c r="B3" s="4">
        <v>18</v>
      </c>
      <c r="C3" s="74">
        <v>2</v>
      </c>
      <c r="D3"/>
      <c r="E3" s="157" t="s">
        <v>193</v>
      </c>
      <c r="F3" s="74">
        <v>0</v>
      </c>
      <c r="G3" s="74">
        <v>1.3724451099999999</v>
      </c>
      <c r="H3" s="74">
        <v>0.68033325700000002</v>
      </c>
      <c r="I3" s="74">
        <v>9.4762620000000002</v>
      </c>
      <c r="J3" s="74">
        <v>0.79940849999999997</v>
      </c>
      <c r="K3" s="74">
        <v>7.1793419999999997E-2</v>
      </c>
      <c r="L3" s="74">
        <v>0</v>
      </c>
      <c r="M3" s="74">
        <v>0.2</v>
      </c>
      <c r="N3" s="74">
        <v>-99</v>
      </c>
    </row>
    <row r="4" spans="1:46" ht="15" customHeight="1" x14ac:dyDescent="0.15">
      <c r="A4" s="1" t="s">
        <v>10</v>
      </c>
      <c r="B4" s="4">
        <v>2</v>
      </c>
      <c r="C4" s="74">
        <v>3</v>
      </c>
      <c r="D4"/>
      <c r="E4" s="157" t="s">
        <v>194</v>
      </c>
      <c r="F4" s="74">
        <v>0</v>
      </c>
      <c r="G4" s="74">
        <v>0.76143145599999995</v>
      </c>
      <c r="H4" s="74">
        <v>1.2834099999999999</v>
      </c>
      <c r="I4" s="74">
        <v>8.9972849999999998</v>
      </c>
      <c r="J4" s="74">
        <v>0.75834924000000004</v>
      </c>
      <c r="K4" s="74">
        <v>0.142644137</v>
      </c>
      <c r="L4" s="74">
        <v>0</v>
      </c>
      <c r="M4" s="74">
        <v>0.2</v>
      </c>
      <c r="N4" s="74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4">
        <v>4</v>
      </c>
      <c r="D5"/>
      <c r="E5" s="157" t="s">
        <v>195</v>
      </c>
      <c r="F5" s="74">
        <v>0</v>
      </c>
      <c r="G5" s="74">
        <v>0.91362875700000001</v>
      </c>
      <c r="H5" s="74">
        <v>0.28245055699999999</v>
      </c>
      <c r="I5" s="74">
        <v>9.1998825100000001</v>
      </c>
      <c r="J5" s="74">
        <v>0.77267529999999995</v>
      </c>
      <c r="K5" s="74">
        <v>3.0701539999999999E-2</v>
      </c>
      <c r="L5" s="74">
        <v>0</v>
      </c>
      <c r="M5" s="74">
        <v>0.2</v>
      </c>
      <c r="N5" s="74">
        <v>-99</v>
      </c>
      <c r="P5" s="64"/>
      <c r="Q5" s="64"/>
      <c r="R5" s="64"/>
    </row>
    <row r="6" spans="1:46" ht="15" customHeight="1" thickBot="1" x14ac:dyDescent="0.2">
      <c r="B6" s="1"/>
      <c r="C6" s="74">
        <v>5</v>
      </c>
      <c r="D6"/>
      <c r="E6" s="157" t="s">
        <v>196</v>
      </c>
      <c r="F6" s="74">
        <v>0</v>
      </c>
      <c r="G6" s="74">
        <v>0.66402143199999997</v>
      </c>
      <c r="H6" s="74">
        <v>0.41965937599999997</v>
      </c>
      <c r="I6" s="74">
        <v>9.2877130000000001</v>
      </c>
      <c r="J6" s="74">
        <v>0.89272530000000005</v>
      </c>
      <c r="K6" s="74">
        <v>4.518436E-2</v>
      </c>
      <c r="L6" s="74">
        <v>0</v>
      </c>
      <c r="M6" s="74">
        <v>0.2</v>
      </c>
      <c r="N6" s="74">
        <v>-99</v>
      </c>
      <c r="P6" s="64"/>
      <c r="Q6" s="64"/>
      <c r="R6" s="64"/>
      <c r="W6" s="34" t="s">
        <v>31</v>
      </c>
      <c r="X6" s="50">
        <f>MAX(MainOutputs!G:G)</f>
        <v>0.97666686773300171</v>
      </c>
    </row>
    <row r="7" spans="1:46" ht="15" customHeight="1" x14ac:dyDescent="0.15">
      <c r="A7" s="2" t="s">
        <v>27</v>
      </c>
      <c r="B7" s="74">
        <f ca="1">COUNTIF(OFFSET(cornerDiets,1,1,NumLiving+NumDead+1,NumLiving+NumDead),"&gt;0")+NumLiving+NumDead+1</f>
        <v>137</v>
      </c>
      <c r="C7" s="74">
        <v>6</v>
      </c>
      <c r="D7"/>
      <c r="E7" s="157" t="s">
        <v>197</v>
      </c>
      <c r="F7" s="74">
        <v>0</v>
      </c>
      <c r="G7" s="74">
        <v>0.92125964199999999</v>
      </c>
      <c r="H7" s="74">
        <v>2.3116533800000001</v>
      </c>
      <c r="I7" s="74">
        <v>23.37349</v>
      </c>
      <c r="J7" s="74">
        <v>0.87780519999999995</v>
      </c>
      <c r="K7" s="74">
        <v>9.8900650000000007E-2</v>
      </c>
      <c r="L7" s="74">
        <v>0</v>
      </c>
      <c r="M7" s="74">
        <v>0.2</v>
      </c>
      <c r="N7" s="74">
        <v>-99</v>
      </c>
      <c r="P7" s="64"/>
      <c r="Q7" s="64"/>
      <c r="R7" s="64"/>
    </row>
    <row r="8" spans="1:46" ht="15" customHeight="1" x14ac:dyDescent="0.15">
      <c r="A8" s="2" t="s">
        <v>28</v>
      </c>
      <c r="B8" s="74">
        <f ca="1">COUNTIF(OFFSET(cornerFishing,1,2,NumLiving+NumDead,NumGears),"&gt;0")+NumDead*COUNTIF(OFFSET(cornerDiscards,1,2,NumLiving+NumDead,NumGears),"&gt;0")+NumLiving+NumDead+1</f>
        <v>33</v>
      </c>
      <c r="C8" s="74">
        <v>7</v>
      </c>
      <c r="D8"/>
      <c r="E8" s="157" t="s">
        <v>198</v>
      </c>
      <c r="F8" s="74">
        <v>0</v>
      </c>
      <c r="G8" s="74">
        <v>8.0425895799999994E-2</v>
      </c>
      <c r="H8" s="74">
        <v>0.56307995300000002</v>
      </c>
      <c r="I8" s="74">
        <v>4.2813040000000004</v>
      </c>
      <c r="J8" s="74">
        <v>0.92778575399999996</v>
      </c>
      <c r="K8" s="74">
        <v>0.131520674</v>
      </c>
      <c r="L8" s="74">
        <v>0</v>
      </c>
      <c r="M8" s="74">
        <v>0.2</v>
      </c>
      <c r="N8" s="74">
        <v>-99</v>
      </c>
      <c r="P8" s="64"/>
      <c r="Q8" s="64"/>
      <c r="R8" s="64"/>
    </row>
    <row r="9" spans="1:46" ht="15" customHeight="1" x14ac:dyDescent="0.15">
      <c r="B9" s="1"/>
      <c r="C9" s="74">
        <v>8</v>
      </c>
      <c r="D9"/>
      <c r="E9" s="157" t="s">
        <v>199</v>
      </c>
      <c r="F9" s="74">
        <v>0</v>
      </c>
      <c r="G9" s="74">
        <v>0.41858145600000002</v>
      </c>
      <c r="H9" s="74">
        <v>0.86114990000000002</v>
      </c>
      <c r="I9" s="74">
        <v>6.7404640000000002</v>
      </c>
      <c r="J9" s="74">
        <v>0.88388764900000005</v>
      </c>
      <c r="K9" s="74">
        <v>0.12775824999999999</v>
      </c>
      <c r="L9" s="74">
        <v>0</v>
      </c>
      <c r="M9" s="74">
        <v>0.2</v>
      </c>
      <c r="N9" s="74">
        <v>-99</v>
      </c>
      <c r="P9" s="64"/>
      <c r="Q9" s="64"/>
      <c r="R9" s="64"/>
    </row>
    <row r="10" spans="1:46" ht="15" customHeight="1" x14ac:dyDescent="0.15">
      <c r="B10" s="1"/>
      <c r="C10" s="74">
        <v>9</v>
      </c>
      <c r="D10"/>
      <c r="E10" s="157" t="s">
        <v>200</v>
      </c>
      <c r="F10" s="74">
        <v>0</v>
      </c>
      <c r="G10" s="74">
        <v>0.38137838200000002</v>
      </c>
      <c r="H10" s="74">
        <v>0.48464253499999999</v>
      </c>
      <c r="I10" s="74">
        <v>4.4795265200000003</v>
      </c>
      <c r="J10" s="74">
        <v>0.92168545700000004</v>
      </c>
      <c r="K10" s="74">
        <v>0.108190574</v>
      </c>
      <c r="L10" s="74">
        <v>0</v>
      </c>
      <c r="M10" s="74">
        <v>0.2</v>
      </c>
      <c r="N10" s="74">
        <v>-99</v>
      </c>
    </row>
    <row r="11" spans="1:46" ht="15" customHeight="1" x14ac:dyDescent="0.15">
      <c r="C11" s="74">
        <v>10</v>
      </c>
      <c r="D11"/>
      <c r="E11" s="157" t="s">
        <v>201</v>
      </c>
      <c r="F11" s="74">
        <v>0</v>
      </c>
      <c r="G11" s="74">
        <v>0.19639459300000001</v>
      </c>
      <c r="H11" s="74">
        <v>0.43400746600000001</v>
      </c>
      <c r="I11" s="74">
        <v>8.3464364999999994</v>
      </c>
      <c r="J11" s="74">
        <v>0.87549263200000005</v>
      </c>
      <c r="K11" s="74">
        <v>5.1999133099999997E-2</v>
      </c>
      <c r="L11" s="74">
        <v>0</v>
      </c>
      <c r="M11" s="74">
        <v>0.2</v>
      </c>
      <c r="N11" s="74">
        <v>-99</v>
      </c>
    </row>
    <row r="12" spans="1:46" ht="15" customHeight="1" x14ac:dyDescent="0.15">
      <c r="C12" s="74">
        <v>11</v>
      </c>
      <c r="D12"/>
      <c r="E12" s="157" t="s">
        <v>202</v>
      </c>
      <c r="F12" s="74">
        <v>0</v>
      </c>
      <c r="G12" s="74">
        <v>7.9232209999999997E-2</v>
      </c>
      <c r="H12" s="74">
        <v>0.90667116599999997</v>
      </c>
      <c r="I12" s="74">
        <v>7.3640995</v>
      </c>
      <c r="J12" s="74">
        <v>0.64033359999999995</v>
      </c>
      <c r="K12" s="74">
        <v>0.123120442</v>
      </c>
      <c r="L12" s="74">
        <v>0</v>
      </c>
      <c r="M12" s="74">
        <v>0.2</v>
      </c>
      <c r="N12" s="74">
        <v>-99</v>
      </c>
    </row>
    <row r="13" spans="1:46" ht="15" customHeight="1" x14ac:dyDescent="0.15">
      <c r="C13" s="74">
        <v>12</v>
      </c>
      <c r="D13"/>
      <c r="E13" s="157" t="s">
        <v>203</v>
      </c>
      <c r="F13" s="74">
        <v>0</v>
      </c>
      <c r="G13" s="74">
        <v>0.52688109999999999</v>
      </c>
      <c r="H13" s="74">
        <v>0.29954819999999999</v>
      </c>
      <c r="I13" s="74">
        <v>8.1429989999999997</v>
      </c>
      <c r="J13" s="74">
        <v>0.89727735500000005</v>
      </c>
      <c r="K13" s="74">
        <v>3.6785982500000002E-2</v>
      </c>
      <c r="L13" s="74">
        <v>0</v>
      </c>
      <c r="M13" s="74">
        <v>0.2</v>
      </c>
      <c r="N13" s="74">
        <v>-99</v>
      </c>
    </row>
    <row r="14" spans="1:46" ht="15" customHeight="1" x14ac:dyDescent="0.15">
      <c r="C14" s="74">
        <v>13</v>
      </c>
      <c r="D14"/>
      <c r="E14" s="157" t="s">
        <v>204</v>
      </c>
      <c r="F14" s="74">
        <v>0</v>
      </c>
      <c r="G14" s="74">
        <v>0.110946141</v>
      </c>
      <c r="H14" s="74">
        <v>1.6386506599999999</v>
      </c>
      <c r="I14" s="74">
        <v>37.664154099999998</v>
      </c>
      <c r="J14" s="74">
        <v>0.9314865</v>
      </c>
      <c r="K14" s="74">
        <v>4.3506900000000001E-2</v>
      </c>
      <c r="L14" s="74">
        <v>0</v>
      </c>
      <c r="M14" s="74">
        <v>0.2</v>
      </c>
      <c r="N14" s="74">
        <v>-99</v>
      </c>
    </row>
    <row r="15" spans="1:46" ht="15" customHeight="1" x14ac:dyDescent="0.15">
      <c r="C15" s="74">
        <v>14</v>
      </c>
      <c r="D15"/>
      <c r="E15" s="157" t="s">
        <v>205</v>
      </c>
      <c r="F15" s="74">
        <v>0</v>
      </c>
      <c r="G15" s="74">
        <v>3.3051624300000002</v>
      </c>
      <c r="H15" s="74">
        <v>8.106643</v>
      </c>
      <c r="I15" s="74">
        <v>40.927979999999998</v>
      </c>
      <c r="J15" s="74">
        <v>0.89169085000000003</v>
      </c>
      <c r="K15" s="74">
        <v>0.19807092800000001</v>
      </c>
      <c r="L15" s="74">
        <v>0</v>
      </c>
      <c r="M15" s="74">
        <v>0.2</v>
      </c>
      <c r="N15" s="74">
        <v>-99</v>
      </c>
    </row>
    <row r="16" spans="1:46" ht="15" customHeight="1" x14ac:dyDescent="0.15">
      <c r="C16" s="74">
        <v>15</v>
      </c>
      <c r="D16"/>
      <c r="E16" s="157" t="s">
        <v>206</v>
      </c>
      <c r="F16" s="74">
        <v>0</v>
      </c>
      <c r="G16" s="74">
        <v>2.46846414</v>
      </c>
      <c r="H16" s="74">
        <v>2.0626208799999999</v>
      </c>
      <c r="I16" s="74">
        <v>7.8779170000000001</v>
      </c>
      <c r="J16" s="74">
        <v>0.97666686800000002</v>
      </c>
      <c r="K16" s="74">
        <v>0.26182314800000001</v>
      </c>
      <c r="L16" s="74">
        <v>0</v>
      </c>
      <c r="M16" s="74">
        <v>0.2</v>
      </c>
      <c r="N16" s="74">
        <v>-99</v>
      </c>
    </row>
    <row r="17" spans="1:22" ht="15" customHeight="1" x14ac:dyDescent="0.15">
      <c r="C17" s="74">
        <v>16</v>
      </c>
      <c r="D17"/>
      <c r="E17" s="157" t="s">
        <v>207</v>
      </c>
      <c r="F17" s="74">
        <v>0</v>
      </c>
      <c r="G17" s="74">
        <v>35.823180000000001</v>
      </c>
      <c r="H17" s="74">
        <v>5.3611583700000001</v>
      </c>
      <c r="I17" s="74">
        <v>32.34883</v>
      </c>
      <c r="J17" s="74">
        <v>0.22156494900000001</v>
      </c>
      <c r="K17" s="74">
        <v>0.16572958199999999</v>
      </c>
      <c r="L17" s="74">
        <v>0</v>
      </c>
      <c r="M17" s="74">
        <v>0.2</v>
      </c>
      <c r="N17" s="74">
        <v>-99</v>
      </c>
      <c r="V17" s="1" t="s">
        <v>30</v>
      </c>
    </row>
    <row r="18" spans="1:22" ht="15" customHeight="1" x14ac:dyDescent="0.15">
      <c r="C18" s="74">
        <v>17</v>
      </c>
      <c r="D18"/>
      <c r="E18" s="157" t="s">
        <v>208</v>
      </c>
      <c r="F18" s="74">
        <v>0</v>
      </c>
      <c r="G18" s="74">
        <v>5.3468479999999996</v>
      </c>
      <c r="H18" s="74">
        <v>21.79325</v>
      </c>
      <c r="I18" s="74">
        <v>118.040932</v>
      </c>
      <c r="J18" s="74">
        <v>0.95739479999999999</v>
      </c>
      <c r="K18" s="74">
        <v>0.18462450799999999</v>
      </c>
      <c r="L18" s="74">
        <v>0</v>
      </c>
      <c r="M18" s="74">
        <v>0.2</v>
      </c>
      <c r="N18" s="74">
        <v>-99</v>
      </c>
      <c r="V18" s="1"/>
    </row>
    <row r="19" spans="1:22" ht="15" customHeight="1" x14ac:dyDescent="0.15">
      <c r="C19" s="74">
        <v>18</v>
      </c>
      <c r="D19"/>
      <c r="E19" s="157" t="s">
        <v>209</v>
      </c>
      <c r="F19" s="74">
        <v>1</v>
      </c>
      <c r="G19" s="74">
        <v>43.381790000000002</v>
      </c>
      <c r="H19" s="74">
        <v>117.3494</v>
      </c>
      <c r="I19" s="74">
        <v>0</v>
      </c>
      <c r="J19" s="74">
        <v>8.7876609999999994E-2</v>
      </c>
      <c r="K19" s="74">
        <v>0</v>
      </c>
      <c r="L19" s="74">
        <v>0</v>
      </c>
      <c r="M19" s="74">
        <v>0</v>
      </c>
      <c r="N19" s="74">
        <v>-99</v>
      </c>
    </row>
    <row r="20" spans="1:22" ht="15" customHeight="1" thickBot="1" x14ac:dyDescent="0.2">
      <c r="C20" s="74">
        <v>19</v>
      </c>
      <c r="D20"/>
      <c r="E20" s="157" t="s">
        <v>210</v>
      </c>
      <c r="F20" s="74">
        <v>2</v>
      </c>
      <c r="G20" s="74">
        <v>2.5</v>
      </c>
      <c r="H20" s="74">
        <v>0</v>
      </c>
      <c r="I20" s="74">
        <v>0</v>
      </c>
      <c r="J20" s="74">
        <v>0.28777703599999999</v>
      </c>
      <c r="K20" s="74">
        <v>0</v>
      </c>
      <c r="L20" s="74">
        <v>0</v>
      </c>
      <c r="M20" s="74">
        <v>0</v>
      </c>
      <c r="N20" s="74">
        <v>0</v>
      </c>
    </row>
    <row r="21" spans="1:22" ht="15" customHeight="1" thickBot="1" x14ac:dyDescent="0.2">
      <c r="A21" s="45" t="s">
        <v>137</v>
      </c>
      <c r="B21" s="92"/>
      <c r="C21" s="74">
        <v>20</v>
      </c>
      <c r="D21"/>
      <c r="E21" s="157" t="s">
        <v>211</v>
      </c>
      <c r="F21" s="74">
        <v>2</v>
      </c>
      <c r="G21" s="74">
        <v>5</v>
      </c>
      <c r="H21" s="74">
        <v>0</v>
      </c>
      <c r="I21" s="74">
        <v>0</v>
      </c>
      <c r="J21" s="74">
        <v>0</v>
      </c>
      <c r="K21" s="74">
        <v>0</v>
      </c>
      <c r="L21" s="74">
        <v>0</v>
      </c>
      <c r="M21" s="74">
        <v>0</v>
      </c>
      <c r="N21" s="74">
        <v>0</v>
      </c>
    </row>
    <row r="22" spans="1:22" ht="15" customHeight="1" x14ac:dyDescent="0.15">
      <c r="A22" s="93" t="s">
        <v>58</v>
      </c>
      <c r="B22" s="94">
        <v>0</v>
      </c>
      <c r="C22" s="74">
        <v>21</v>
      </c>
      <c r="D22"/>
      <c r="E22" s="157" t="s">
        <v>212</v>
      </c>
      <c r="F22" s="74">
        <v>3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</row>
    <row r="23" spans="1:22" ht="15" customHeight="1" x14ac:dyDescent="0.15">
      <c r="A23" s="93" t="s">
        <v>59</v>
      </c>
      <c r="B23" s="94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3" t="s">
        <v>60</v>
      </c>
      <c r="B24" s="94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5" t="s">
        <v>44</v>
      </c>
      <c r="B25" s="96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7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2" bestFit="1" customWidth="1"/>
    <col min="2" max="3" width="13.83203125" style="132" bestFit="1" customWidth="1"/>
    <col min="4" max="4" width="14.83203125" style="132" bestFit="1" customWidth="1"/>
    <col min="5" max="5" width="13.83203125" style="132" bestFit="1" customWidth="1"/>
    <col min="6" max="6" width="14.83203125" style="132" bestFit="1" customWidth="1"/>
    <col min="7" max="11" width="13.83203125" style="132" bestFit="1" customWidth="1"/>
    <col min="12" max="13" width="14.83203125" style="132" bestFit="1" customWidth="1"/>
    <col min="14" max="14" width="13.83203125" style="132" bestFit="1" customWidth="1"/>
    <col min="15" max="15" width="12.83203125" style="132" bestFit="1" customWidth="1"/>
    <col min="16" max="16" width="13.83203125" style="132" bestFit="1" customWidth="1"/>
    <col min="17" max="17" width="2.33203125" style="132" bestFit="1" customWidth="1"/>
    <col min="18" max="18" width="13.83203125" style="132" bestFit="1" customWidth="1"/>
    <col min="19" max="21" width="2.33203125" style="132" bestFit="1" customWidth="1"/>
    <col min="22" max="29" width="9" style="132" bestFit="1" customWidth="1"/>
    <col min="30" max="16384" width="8.83203125" style="132"/>
  </cols>
  <sheetData>
    <row r="1" spans="1:34" x14ac:dyDescent="0.15">
      <c r="A1" s="131" t="s">
        <v>19</v>
      </c>
      <c r="B1" s="159" t="s">
        <v>192</v>
      </c>
      <c r="C1" s="159" t="s">
        <v>193</v>
      </c>
      <c r="D1" s="159" t="s">
        <v>194</v>
      </c>
      <c r="E1" s="159" t="s">
        <v>195</v>
      </c>
      <c r="F1" s="159" t="s">
        <v>196</v>
      </c>
      <c r="G1" s="159" t="s">
        <v>197</v>
      </c>
      <c r="H1" s="159" t="s">
        <v>198</v>
      </c>
      <c r="I1" s="159" t="s">
        <v>199</v>
      </c>
      <c r="J1" s="159" t="s">
        <v>200</v>
      </c>
      <c r="K1" s="159" t="s">
        <v>201</v>
      </c>
      <c r="L1" s="159" t="s">
        <v>202</v>
      </c>
      <c r="M1" s="159" t="s">
        <v>203</v>
      </c>
      <c r="N1" s="159" t="s">
        <v>204</v>
      </c>
      <c r="O1" s="159" t="s">
        <v>205</v>
      </c>
      <c r="P1" s="159" t="s">
        <v>206</v>
      </c>
      <c r="Q1" s="159" t="s">
        <v>207</v>
      </c>
      <c r="R1" s="159" t="s">
        <v>208</v>
      </c>
      <c r="S1" s="159" t="s">
        <v>209</v>
      </c>
      <c r="T1" s="159" t="s">
        <v>210</v>
      </c>
      <c r="U1" s="159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8" t="s">
        <v>192</v>
      </c>
      <c r="B2" s="132">
        <v>0</v>
      </c>
      <c r="C2" s="132">
        <v>0.57740585556485358</v>
      </c>
      <c r="D2" s="132">
        <v>0.62649402831752998</v>
      </c>
      <c r="E2" s="132">
        <v>0</v>
      </c>
      <c r="F2" s="132">
        <v>0.10279441106376244</v>
      </c>
      <c r="G2" s="132">
        <v>0</v>
      </c>
      <c r="H2" s="132">
        <v>2.1084337407530119E-2</v>
      </c>
      <c r="I2" s="132">
        <v>1.9860973190863954E-2</v>
      </c>
      <c r="J2" s="132">
        <v>3.1250001546874892E-2</v>
      </c>
      <c r="K2" s="132">
        <v>0</v>
      </c>
      <c r="L2" s="132">
        <v>0.25223436094478641</v>
      </c>
      <c r="M2" s="132">
        <v>0.33661417162716534</v>
      </c>
      <c r="N2" s="132">
        <v>0.53660985063189381</v>
      </c>
      <c r="O2" s="132">
        <v>0</v>
      </c>
      <c r="P2" s="132">
        <v>0</v>
      </c>
      <c r="Q2" s="132">
        <v>0</v>
      </c>
      <c r="R2" s="132">
        <v>0</v>
      </c>
      <c r="S2" s="132">
        <v>0</v>
      </c>
      <c r="T2" s="132">
        <v>0</v>
      </c>
      <c r="U2" s="132">
        <v>0</v>
      </c>
    </row>
    <row r="3" spans="1:34" customFormat="1" x14ac:dyDescent="0.15">
      <c r="A3" s="158" t="s">
        <v>193</v>
      </c>
      <c r="B3" s="132">
        <v>0</v>
      </c>
      <c r="C3" s="132">
        <v>0</v>
      </c>
      <c r="D3" s="132">
        <v>3.0876492595617464E-2</v>
      </c>
      <c r="E3" s="132">
        <v>0</v>
      </c>
      <c r="F3" s="132">
        <v>0</v>
      </c>
      <c r="G3" s="132">
        <v>0</v>
      </c>
      <c r="H3" s="132">
        <v>1.004016038453814E-2</v>
      </c>
      <c r="I3" s="132">
        <v>0</v>
      </c>
      <c r="J3" s="132">
        <v>0.17439516198417329</v>
      </c>
      <c r="K3" s="132">
        <v>0</v>
      </c>
      <c r="L3" s="132">
        <v>2.1847070315690175E-2</v>
      </c>
      <c r="M3" s="132">
        <v>0</v>
      </c>
      <c r="N3" s="132">
        <v>5.115345529388212E-2</v>
      </c>
      <c r="O3" s="132">
        <v>0</v>
      </c>
      <c r="P3" s="132">
        <v>0</v>
      </c>
      <c r="Q3" s="132">
        <v>0</v>
      </c>
      <c r="R3" s="132">
        <v>0</v>
      </c>
      <c r="S3" s="132">
        <v>0</v>
      </c>
      <c r="T3" s="132">
        <v>0</v>
      </c>
      <c r="U3" s="132">
        <v>0</v>
      </c>
    </row>
    <row r="4" spans="1:34" customFormat="1" x14ac:dyDescent="0.15">
      <c r="A4" s="158" t="s">
        <v>194</v>
      </c>
      <c r="B4" s="132">
        <v>0</v>
      </c>
      <c r="C4" s="132">
        <v>1.8828451129288722E-2</v>
      </c>
      <c r="D4" s="132">
        <v>0</v>
      </c>
      <c r="E4" s="132">
        <v>0</v>
      </c>
      <c r="F4" s="132">
        <v>0</v>
      </c>
      <c r="G4" s="132">
        <v>0</v>
      </c>
      <c r="H4" s="132">
        <v>0</v>
      </c>
      <c r="I4" s="132">
        <v>0</v>
      </c>
      <c r="J4" s="132">
        <v>3.9314517291229749E-2</v>
      </c>
      <c r="K4" s="132">
        <v>0</v>
      </c>
      <c r="L4" s="132">
        <v>0.1817278934759686</v>
      </c>
      <c r="M4" s="132">
        <v>0</v>
      </c>
      <c r="N4" s="132">
        <v>6.8204613725175542E-2</v>
      </c>
      <c r="O4" s="132">
        <v>0</v>
      </c>
      <c r="P4" s="132">
        <v>0</v>
      </c>
      <c r="Q4" s="132">
        <v>0</v>
      </c>
      <c r="R4" s="132">
        <v>0</v>
      </c>
      <c r="S4" s="132">
        <v>0</v>
      </c>
      <c r="T4" s="132">
        <v>0</v>
      </c>
      <c r="U4" s="132">
        <v>0</v>
      </c>
    </row>
    <row r="5" spans="1:34" customFormat="1" x14ac:dyDescent="0.15">
      <c r="A5" s="158" t="s">
        <v>195</v>
      </c>
      <c r="B5" s="132">
        <v>0</v>
      </c>
      <c r="C5" s="132">
        <v>0</v>
      </c>
      <c r="D5" s="132">
        <v>0</v>
      </c>
      <c r="E5" s="132">
        <v>0</v>
      </c>
      <c r="F5" s="132">
        <v>9.9800400741517116E-3</v>
      </c>
      <c r="G5" s="132">
        <v>0</v>
      </c>
      <c r="H5" s="132">
        <v>8.0321283076305122E-2</v>
      </c>
      <c r="I5" s="132">
        <v>0</v>
      </c>
      <c r="J5" s="132">
        <v>1.1088709235987933E-2</v>
      </c>
      <c r="K5" s="132">
        <v>0</v>
      </c>
      <c r="L5" s="132">
        <v>1.8867924122641523E-2</v>
      </c>
      <c r="M5" s="132">
        <v>1.8700786434842492E-2</v>
      </c>
      <c r="N5" s="132">
        <v>0</v>
      </c>
      <c r="O5" s="132">
        <v>0</v>
      </c>
      <c r="P5" s="132">
        <v>0</v>
      </c>
      <c r="Q5" s="132">
        <v>0</v>
      </c>
      <c r="R5" s="132">
        <v>0</v>
      </c>
      <c r="S5" s="132">
        <v>0</v>
      </c>
      <c r="T5" s="132">
        <v>0</v>
      </c>
      <c r="U5" s="132">
        <v>0</v>
      </c>
    </row>
    <row r="6" spans="1:34" customFormat="1" x14ac:dyDescent="0.15">
      <c r="A6" s="158" t="s">
        <v>196</v>
      </c>
      <c r="B6" s="132">
        <v>0</v>
      </c>
      <c r="C6" s="132">
        <v>0</v>
      </c>
      <c r="D6" s="132">
        <v>8.9641434051792816E-3</v>
      </c>
      <c r="E6" s="132">
        <v>0</v>
      </c>
      <c r="F6" s="132">
        <v>4.9900199070758424E-3</v>
      </c>
      <c r="G6" s="132">
        <v>0</v>
      </c>
      <c r="H6" s="132">
        <v>3.1124496192068196E-2</v>
      </c>
      <c r="I6" s="132">
        <v>0</v>
      </c>
      <c r="J6" s="132">
        <v>1.0080645105443551E-2</v>
      </c>
      <c r="K6" s="132">
        <v>0</v>
      </c>
      <c r="L6" s="132">
        <v>6.2562067754021761E-2</v>
      </c>
      <c r="M6" s="132">
        <v>9.8425192814960514E-3</v>
      </c>
      <c r="N6" s="132">
        <v>1.0030089077231807E-2</v>
      </c>
      <c r="O6" s="132">
        <v>0</v>
      </c>
      <c r="P6" s="132">
        <v>0</v>
      </c>
      <c r="Q6" s="132">
        <v>0</v>
      </c>
      <c r="R6" s="132">
        <v>0</v>
      </c>
      <c r="S6" s="132">
        <v>0</v>
      </c>
      <c r="T6" s="132">
        <v>0</v>
      </c>
      <c r="U6" s="132">
        <v>0</v>
      </c>
    </row>
    <row r="7" spans="1:34" customFormat="1" x14ac:dyDescent="0.15">
      <c r="A7" s="158" t="s">
        <v>197</v>
      </c>
      <c r="B7" s="132">
        <v>0</v>
      </c>
      <c r="C7" s="132">
        <v>2.928870466778238E-2</v>
      </c>
      <c r="D7" s="132">
        <v>3.7848604710756927E-2</v>
      </c>
      <c r="E7" s="132">
        <v>0</v>
      </c>
      <c r="F7" s="132">
        <v>0</v>
      </c>
      <c r="G7" s="132">
        <v>0</v>
      </c>
      <c r="H7" s="132">
        <v>3.1124496192068196E-2</v>
      </c>
      <c r="I7" s="132">
        <v>0</v>
      </c>
      <c r="J7" s="132">
        <v>0.19556452452560424</v>
      </c>
      <c r="K7" s="132">
        <v>0</v>
      </c>
      <c r="L7" s="132">
        <v>8.8381331927110174E-2</v>
      </c>
      <c r="M7" s="132">
        <v>9.8425192814960514E-3</v>
      </c>
      <c r="N7" s="132">
        <v>0.18655967483650995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0</v>
      </c>
    </row>
    <row r="8" spans="1:34" customFormat="1" x14ac:dyDescent="0.15">
      <c r="A8" s="158" t="s">
        <v>198</v>
      </c>
      <c r="B8" s="132">
        <v>0</v>
      </c>
      <c r="C8" s="132">
        <v>0</v>
      </c>
      <c r="D8" s="132">
        <v>0</v>
      </c>
      <c r="E8" s="132">
        <v>0</v>
      </c>
      <c r="F8" s="132">
        <v>0</v>
      </c>
      <c r="G8" s="132">
        <v>0</v>
      </c>
      <c r="H8" s="132">
        <v>0</v>
      </c>
      <c r="I8" s="132">
        <v>0</v>
      </c>
      <c r="J8" s="132">
        <v>1.0080645105443551E-2</v>
      </c>
      <c r="K8" s="132">
        <v>0</v>
      </c>
      <c r="L8" s="132">
        <v>9.9304866434955282E-3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0</v>
      </c>
    </row>
    <row r="9" spans="1:34" customFormat="1" x14ac:dyDescent="0.15">
      <c r="A9" s="158" t="s">
        <v>199</v>
      </c>
      <c r="B9" s="132">
        <v>0</v>
      </c>
      <c r="C9" s="132">
        <v>0</v>
      </c>
      <c r="D9" s="132">
        <v>0</v>
      </c>
      <c r="E9" s="132">
        <v>0</v>
      </c>
      <c r="F9" s="132">
        <v>0</v>
      </c>
      <c r="G9" s="132">
        <v>0</v>
      </c>
      <c r="H9" s="132">
        <v>3.7148591422791047E-2</v>
      </c>
      <c r="I9" s="132">
        <v>0</v>
      </c>
      <c r="J9" s="132">
        <v>4.4354836943951731E-2</v>
      </c>
      <c r="K9" s="132">
        <v>0</v>
      </c>
      <c r="L9" s="132">
        <v>8.9374376791459872E-3</v>
      </c>
      <c r="M9" s="132">
        <v>3.9370076025984177E-2</v>
      </c>
      <c r="N9" s="132">
        <v>1.0030089077231807E-2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0</v>
      </c>
    </row>
    <row r="10" spans="1:34" customFormat="1" x14ac:dyDescent="0.15">
      <c r="A10" s="158" t="s">
        <v>200</v>
      </c>
      <c r="B10" s="132">
        <v>0</v>
      </c>
      <c r="C10" s="132">
        <v>0</v>
      </c>
      <c r="D10" s="132">
        <v>0</v>
      </c>
      <c r="E10" s="132">
        <v>0</v>
      </c>
      <c r="F10" s="132">
        <v>0</v>
      </c>
      <c r="G10" s="132">
        <v>0</v>
      </c>
      <c r="H10" s="132">
        <v>0.13453814915281109</v>
      </c>
      <c r="I10" s="132">
        <v>0</v>
      </c>
      <c r="J10" s="132">
        <v>0</v>
      </c>
      <c r="K10" s="132">
        <v>0</v>
      </c>
      <c r="L10" s="132">
        <v>5.1638530546176752E-2</v>
      </c>
      <c r="M10" s="132">
        <v>2.1653542919291325E-2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0</v>
      </c>
    </row>
    <row r="11" spans="1:34" customFormat="1" x14ac:dyDescent="0.15">
      <c r="A11" s="158" t="s">
        <v>201</v>
      </c>
      <c r="B11" s="132">
        <v>0</v>
      </c>
      <c r="C11" s="132">
        <v>0</v>
      </c>
      <c r="D11" s="132">
        <v>0</v>
      </c>
      <c r="E11" s="132">
        <v>0</v>
      </c>
      <c r="F11" s="132">
        <v>0</v>
      </c>
      <c r="G11" s="132">
        <v>0</v>
      </c>
      <c r="H11" s="132">
        <v>4.1164661576606532E-2</v>
      </c>
      <c r="I11" s="132">
        <v>0</v>
      </c>
      <c r="J11" s="132">
        <v>1.0080645105443551E-2</v>
      </c>
      <c r="K11" s="132">
        <v>0</v>
      </c>
      <c r="L11" s="132">
        <v>0</v>
      </c>
      <c r="M11" s="132">
        <v>9.8425192814960514E-3</v>
      </c>
      <c r="N11" s="132">
        <v>0</v>
      </c>
      <c r="O11" s="132">
        <v>0</v>
      </c>
      <c r="P11" s="132">
        <v>0</v>
      </c>
      <c r="Q11" s="132">
        <v>0</v>
      </c>
      <c r="R11" s="132">
        <v>0</v>
      </c>
      <c r="S11" s="132">
        <v>0</v>
      </c>
      <c r="T11" s="132">
        <v>0</v>
      </c>
      <c r="U11" s="132">
        <v>0</v>
      </c>
    </row>
    <row r="12" spans="1:34" customFormat="1" x14ac:dyDescent="0.15">
      <c r="A12" s="158" t="s">
        <v>202</v>
      </c>
      <c r="B12" s="132">
        <v>0</v>
      </c>
      <c r="C12" s="132">
        <v>0</v>
      </c>
      <c r="D12" s="132">
        <v>0</v>
      </c>
      <c r="E12" s="132">
        <v>0</v>
      </c>
      <c r="F12" s="132">
        <v>0</v>
      </c>
      <c r="G12" s="132">
        <v>0</v>
      </c>
      <c r="H12" s="132">
        <v>0</v>
      </c>
      <c r="I12" s="132">
        <v>0</v>
      </c>
      <c r="J12" s="132">
        <v>0</v>
      </c>
      <c r="K12" s="132">
        <v>0</v>
      </c>
      <c r="L12" s="132">
        <v>0</v>
      </c>
      <c r="M12" s="132">
        <v>0</v>
      </c>
      <c r="N12" s="132">
        <v>0</v>
      </c>
      <c r="O12" s="132">
        <v>0</v>
      </c>
      <c r="P12" s="132">
        <v>0</v>
      </c>
      <c r="Q12" s="132">
        <v>0</v>
      </c>
      <c r="R12" s="132">
        <v>0</v>
      </c>
      <c r="S12" s="132">
        <v>0</v>
      </c>
      <c r="T12" s="132">
        <v>0</v>
      </c>
      <c r="U12" s="132">
        <v>0</v>
      </c>
    </row>
    <row r="13" spans="1:34" customFormat="1" x14ac:dyDescent="0.15">
      <c r="A13" s="158" t="s">
        <v>203</v>
      </c>
      <c r="B13" s="132">
        <v>0</v>
      </c>
      <c r="C13" s="132">
        <v>0</v>
      </c>
      <c r="D13" s="132">
        <v>0</v>
      </c>
      <c r="E13" s="132">
        <v>0</v>
      </c>
      <c r="F13" s="132">
        <v>0</v>
      </c>
      <c r="G13" s="132">
        <v>0</v>
      </c>
      <c r="H13" s="132">
        <v>2.9116464015160569E-2</v>
      </c>
      <c r="I13" s="132">
        <v>0</v>
      </c>
      <c r="J13" s="132">
        <v>0</v>
      </c>
      <c r="K13" s="132">
        <v>0</v>
      </c>
      <c r="L13" s="132">
        <v>1.9860972886991072E-2</v>
      </c>
      <c r="M13" s="132">
        <v>0</v>
      </c>
      <c r="N13" s="132">
        <v>0</v>
      </c>
      <c r="O13" s="132">
        <v>0</v>
      </c>
      <c r="P13" s="132">
        <v>0</v>
      </c>
      <c r="Q13" s="132">
        <v>0</v>
      </c>
      <c r="R13" s="132">
        <v>0</v>
      </c>
      <c r="S13" s="132">
        <v>0</v>
      </c>
      <c r="T13" s="132">
        <v>0</v>
      </c>
      <c r="U13" s="132">
        <v>0</v>
      </c>
    </row>
    <row r="14" spans="1:34" customFormat="1" x14ac:dyDescent="0.15">
      <c r="A14" s="158" t="s">
        <v>204</v>
      </c>
      <c r="B14" s="132">
        <v>0</v>
      </c>
      <c r="C14" s="132">
        <v>0</v>
      </c>
      <c r="D14" s="132">
        <v>9.9601594501992057E-3</v>
      </c>
      <c r="E14" s="132">
        <v>0</v>
      </c>
      <c r="F14" s="132">
        <v>0</v>
      </c>
      <c r="G14" s="132">
        <v>0</v>
      </c>
      <c r="H14" s="132">
        <v>4.6184738968875497E-2</v>
      </c>
      <c r="I14" s="132">
        <v>0</v>
      </c>
      <c r="J14" s="132">
        <v>1.0080645105443551E-2</v>
      </c>
      <c r="K14" s="132">
        <v>0</v>
      </c>
      <c r="L14" s="132">
        <v>4.4687191295729831E-2</v>
      </c>
      <c r="M14" s="132">
        <v>0</v>
      </c>
      <c r="N14" s="132">
        <v>1.0030089077231807E-2</v>
      </c>
      <c r="O14" s="132">
        <v>0</v>
      </c>
      <c r="P14" s="132">
        <v>0</v>
      </c>
      <c r="Q14" s="132">
        <v>0</v>
      </c>
      <c r="R14" s="132">
        <v>0</v>
      </c>
      <c r="S14" s="132">
        <v>0</v>
      </c>
      <c r="T14" s="132">
        <v>0</v>
      </c>
      <c r="U14" s="132">
        <v>0</v>
      </c>
    </row>
    <row r="15" spans="1:34" customFormat="1" x14ac:dyDescent="0.15">
      <c r="A15" s="158" t="s">
        <v>205</v>
      </c>
      <c r="B15" s="132">
        <v>0.15980392171049018</v>
      </c>
      <c r="C15" s="132">
        <v>1.0460250738493731E-2</v>
      </c>
      <c r="D15" s="132">
        <v>0.18525896337370512</v>
      </c>
      <c r="E15" s="132">
        <v>0.16700406013917082</v>
      </c>
      <c r="F15" s="132">
        <v>0.28143713029107831</v>
      </c>
      <c r="G15" s="132">
        <v>0.20495049803247525</v>
      </c>
      <c r="H15" s="132">
        <v>0.27208835942098414</v>
      </c>
      <c r="I15" s="132">
        <v>0.14796425095193644</v>
      </c>
      <c r="J15" s="132">
        <v>0.20766128569213738</v>
      </c>
      <c r="K15" s="132">
        <v>0.22647059062647074</v>
      </c>
      <c r="L15" s="132">
        <v>6.8520357540119162E-2</v>
      </c>
      <c r="M15" s="132">
        <v>6.2007876073425262E-2</v>
      </c>
      <c r="N15" s="132">
        <v>7.5225673079238095E-2</v>
      </c>
      <c r="O15" s="132">
        <v>0</v>
      </c>
      <c r="P15" s="132">
        <v>0.21968191012733607</v>
      </c>
      <c r="Q15" s="132">
        <v>0</v>
      </c>
      <c r="R15" s="132">
        <v>0</v>
      </c>
      <c r="S15" s="132">
        <v>0</v>
      </c>
      <c r="T15" s="132">
        <v>0</v>
      </c>
      <c r="U15" s="132">
        <v>0</v>
      </c>
    </row>
    <row r="16" spans="1:34" customFormat="1" x14ac:dyDescent="0.15">
      <c r="A16" s="158" t="s">
        <v>206</v>
      </c>
      <c r="B16" s="132">
        <v>1.176470571058824E-2</v>
      </c>
      <c r="C16" s="132">
        <v>3.2426779189330519E-2</v>
      </c>
      <c r="D16" s="132">
        <v>4.9800796850996011E-2</v>
      </c>
      <c r="E16" s="132">
        <v>1.0121457975101247E-2</v>
      </c>
      <c r="F16" s="132">
        <v>7.485030805613864E-2</v>
      </c>
      <c r="G16" s="132">
        <v>1.9801979809900994E-2</v>
      </c>
      <c r="H16" s="132">
        <v>0.12248995669136532</v>
      </c>
      <c r="I16" s="132">
        <v>0.14796425095193644</v>
      </c>
      <c r="J16" s="132">
        <v>0.25604838235826644</v>
      </c>
      <c r="K16" s="132">
        <v>0.281372536414705</v>
      </c>
      <c r="L16" s="132">
        <v>0.17080437486812294</v>
      </c>
      <c r="M16" s="132">
        <v>0.1643700797009843</v>
      </c>
      <c r="N16" s="132">
        <v>1.0030089077231807E-2</v>
      </c>
      <c r="O16" s="132">
        <v>0</v>
      </c>
      <c r="P16" s="132">
        <v>1.9880714816500954E-2</v>
      </c>
      <c r="Q16" s="132">
        <v>0</v>
      </c>
      <c r="R16" s="132">
        <v>0</v>
      </c>
      <c r="S16" s="132">
        <v>0</v>
      </c>
      <c r="T16" s="132">
        <v>0</v>
      </c>
      <c r="U16" s="132">
        <v>0</v>
      </c>
    </row>
    <row r="17" spans="1:21" customFormat="1" x14ac:dyDescent="0.15">
      <c r="A17" s="158" t="s">
        <v>207</v>
      </c>
      <c r="B17" s="132">
        <v>0</v>
      </c>
      <c r="C17" s="132">
        <v>9.2050207698744793E-2</v>
      </c>
      <c r="D17" s="132">
        <v>4.0836651845816661E-2</v>
      </c>
      <c r="E17" s="132">
        <v>0.6751012060292505</v>
      </c>
      <c r="F17" s="132">
        <v>0.32634729712475957</v>
      </c>
      <c r="G17" s="132">
        <v>5.6435644058217826E-2</v>
      </c>
      <c r="H17" s="132">
        <v>0.14357430549889585</v>
      </c>
      <c r="I17" s="132">
        <v>0.35451837669692149</v>
      </c>
      <c r="J17" s="132">
        <v>0</v>
      </c>
      <c r="K17" s="132">
        <v>0.24901961718235358</v>
      </c>
      <c r="L17" s="132">
        <v>0</v>
      </c>
      <c r="M17" s="132">
        <v>0.32775590937381899</v>
      </c>
      <c r="N17" s="132">
        <v>0</v>
      </c>
      <c r="O17" s="132">
        <v>0.15407555308449328</v>
      </c>
      <c r="P17" s="132">
        <v>0.43538766107137117</v>
      </c>
      <c r="Q17" s="132">
        <v>0</v>
      </c>
      <c r="R17" s="132">
        <v>0</v>
      </c>
      <c r="S17" s="132">
        <v>0</v>
      </c>
      <c r="T17" s="132">
        <v>0</v>
      </c>
      <c r="U17" s="132">
        <v>0</v>
      </c>
    </row>
    <row r="18" spans="1:21" customFormat="1" x14ac:dyDescent="0.15">
      <c r="A18" s="158" t="s">
        <v>208</v>
      </c>
      <c r="B18" s="132">
        <v>0.82843137257892152</v>
      </c>
      <c r="C18" s="132">
        <v>0.23953975101150621</v>
      </c>
      <c r="D18" s="132">
        <v>9.9601594501992057E-3</v>
      </c>
      <c r="E18" s="132">
        <v>0</v>
      </c>
      <c r="F18" s="132">
        <v>9.9800400741517116E-3</v>
      </c>
      <c r="G18" s="132">
        <v>0.52871286392435657</v>
      </c>
      <c r="H18" s="132">
        <v>0</v>
      </c>
      <c r="I18" s="132">
        <v>0.32969214820834175</v>
      </c>
      <c r="J18" s="132">
        <v>0</v>
      </c>
      <c r="K18" s="132">
        <v>0.22450980649117663</v>
      </c>
      <c r="L18" s="132">
        <v>0</v>
      </c>
      <c r="M18" s="132">
        <v>0</v>
      </c>
      <c r="N18" s="132">
        <v>4.2126376124373401E-2</v>
      </c>
      <c r="O18" s="132">
        <v>0.14512922378926441</v>
      </c>
      <c r="P18" s="132">
        <v>0.1023856897199803</v>
      </c>
      <c r="Q18" s="132">
        <v>0</v>
      </c>
      <c r="R18" s="132">
        <v>4.5019155323275793E-2</v>
      </c>
      <c r="S18" s="132">
        <v>0</v>
      </c>
      <c r="T18" s="132">
        <v>0</v>
      </c>
      <c r="U18" s="132">
        <v>0</v>
      </c>
    </row>
    <row r="19" spans="1:21" customFormat="1" x14ac:dyDescent="0.15">
      <c r="A19" s="158" t="s">
        <v>209</v>
      </c>
      <c r="B19" s="132">
        <v>0</v>
      </c>
      <c r="C19" s="132">
        <v>0</v>
      </c>
      <c r="D19" s="132">
        <v>0</v>
      </c>
      <c r="E19" s="132">
        <v>0</v>
      </c>
      <c r="F19" s="132">
        <v>0</v>
      </c>
      <c r="G19" s="132">
        <v>0</v>
      </c>
      <c r="H19" s="132">
        <v>0</v>
      </c>
      <c r="I19" s="132">
        <v>0</v>
      </c>
      <c r="J19" s="132">
        <v>0</v>
      </c>
      <c r="K19" s="132">
        <v>0</v>
      </c>
      <c r="L19" s="132">
        <v>0</v>
      </c>
      <c r="M19" s="132">
        <v>0</v>
      </c>
      <c r="N19" s="132">
        <v>0</v>
      </c>
      <c r="O19" s="132">
        <v>0</v>
      </c>
      <c r="P19" s="132">
        <v>0</v>
      </c>
      <c r="Q19" s="132">
        <v>0</v>
      </c>
      <c r="R19" s="132">
        <v>0.7088122657068967</v>
      </c>
      <c r="S19" s="132">
        <v>0</v>
      </c>
      <c r="T19" s="132">
        <v>0</v>
      </c>
      <c r="U19" s="132">
        <v>0</v>
      </c>
    </row>
    <row r="20" spans="1:21" customFormat="1" x14ac:dyDescent="0.15">
      <c r="A20" s="158" t="s">
        <v>210</v>
      </c>
      <c r="B20" s="132">
        <v>0</v>
      </c>
      <c r="C20" s="132">
        <v>0</v>
      </c>
      <c r="D20" s="132">
        <v>0</v>
      </c>
      <c r="E20" s="132">
        <v>0.14777327585647751</v>
      </c>
      <c r="F20" s="132">
        <v>0.18962075340888168</v>
      </c>
      <c r="G20" s="132">
        <v>0.19009901417504949</v>
      </c>
      <c r="H20" s="132">
        <v>0</v>
      </c>
      <c r="I20" s="132">
        <v>0</v>
      </c>
      <c r="J20" s="132">
        <v>0</v>
      </c>
      <c r="K20" s="132">
        <v>1.8627449285294001E-2</v>
      </c>
      <c r="L20" s="132">
        <v>0</v>
      </c>
      <c r="M20" s="132">
        <v>0</v>
      </c>
      <c r="N20" s="132">
        <v>0</v>
      </c>
      <c r="O20" s="132">
        <v>0.70079522312624232</v>
      </c>
      <c r="P20" s="132">
        <v>0.22266402426481152</v>
      </c>
      <c r="Q20" s="132">
        <v>1</v>
      </c>
      <c r="R20" s="132">
        <v>0.24616857896982747</v>
      </c>
      <c r="S20" s="132">
        <v>0</v>
      </c>
      <c r="T20" s="132">
        <v>0</v>
      </c>
      <c r="U20" s="132">
        <v>0</v>
      </c>
    </row>
    <row r="21" spans="1:21" customFormat="1" x14ac:dyDescent="0.15">
      <c r="A21" s="158" t="s">
        <v>211</v>
      </c>
      <c r="B21" s="132">
        <v>0</v>
      </c>
      <c r="C21" s="132">
        <v>0</v>
      </c>
      <c r="D21" s="132">
        <v>0</v>
      </c>
      <c r="E21" s="132">
        <v>0</v>
      </c>
      <c r="F21" s="132">
        <v>0</v>
      </c>
      <c r="G21" s="132">
        <v>0</v>
      </c>
      <c r="H21" s="132">
        <v>0</v>
      </c>
      <c r="I21" s="132">
        <v>0</v>
      </c>
      <c r="J21" s="132">
        <v>0</v>
      </c>
      <c r="K21" s="132">
        <v>0</v>
      </c>
      <c r="L21" s="132">
        <v>0</v>
      </c>
      <c r="M21" s="132">
        <v>0</v>
      </c>
      <c r="N21" s="132">
        <v>0</v>
      </c>
      <c r="O21" s="132">
        <v>0</v>
      </c>
      <c r="P21" s="132">
        <v>0</v>
      </c>
      <c r="Q21" s="132">
        <v>0</v>
      </c>
      <c r="R21" s="132">
        <v>0</v>
      </c>
      <c r="S21" s="132">
        <v>0</v>
      </c>
      <c r="T21" s="132">
        <v>0</v>
      </c>
      <c r="U21" s="132">
        <v>0</v>
      </c>
    </row>
    <row r="22" spans="1:21" customFormat="1" x14ac:dyDescent="0.15">
      <c r="A22" s="158" t="s">
        <v>213</v>
      </c>
      <c r="B22" s="132">
        <v>0</v>
      </c>
      <c r="C22" s="132">
        <v>0</v>
      </c>
      <c r="D22" s="132">
        <v>0</v>
      </c>
      <c r="E22" s="132">
        <v>0</v>
      </c>
      <c r="F22" s="132">
        <v>0</v>
      </c>
      <c r="G22" s="132">
        <v>0</v>
      </c>
      <c r="H22" s="132">
        <v>0</v>
      </c>
      <c r="I22" s="132">
        <v>0</v>
      </c>
      <c r="J22" s="132">
        <v>0</v>
      </c>
      <c r="K22" s="132">
        <v>0</v>
      </c>
      <c r="L22" s="132">
        <v>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2">
        <v>0</v>
      </c>
      <c r="S22" s="132">
        <v>0</v>
      </c>
      <c r="T22" s="132">
        <v>0</v>
      </c>
      <c r="U22" s="132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3" customWidth="1"/>
    <col min="5" max="6" width="2.33203125" style="102" bestFit="1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1" t="s">
        <v>210</v>
      </c>
      <c r="D1" s="161" t="s">
        <v>211</v>
      </c>
      <c r="E1" s="161" t="s">
        <v>214</v>
      </c>
      <c r="F1" s="161" t="s">
        <v>215</v>
      </c>
      <c r="G1"/>
      <c r="H1"/>
    </row>
    <row r="2" spans="1:8" x14ac:dyDescent="0.15">
      <c r="A2">
        <v>1</v>
      </c>
      <c r="B2" s="160" t="s">
        <v>192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0" t="s">
        <v>193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0" t="s">
        <v>194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0" t="s">
        <v>195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0" t="s">
        <v>196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0" t="s">
        <v>197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0" t="s">
        <v>198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0" t="s">
        <v>199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0" t="s">
        <v>200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0" t="s">
        <v>201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0" t="s">
        <v>202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0" t="s">
        <v>203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0" t="s">
        <v>204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0" t="s">
        <v>205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0" t="s">
        <v>206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0" t="s">
        <v>207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0" t="s">
        <v>208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0" t="s">
        <v>209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0" t="s">
        <v>210</v>
      </c>
      <c r="C20" s="103">
        <v>0</v>
      </c>
      <c r="D20" s="103">
        <v>1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0" t="s">
        <v>211</v>
      </c>
      <c r="C21" s="103">
        <v>0</v>
      </c>
      <c r="D21" s="103">
        <v>0</v>
      </c>
      <c r="E21" s="102">
        <v>1</v>
      </c>
      <c r="F21" s="102">
        <v>1</v>
      </c>
      <c r="G21"/>
      <c r="H21"/>
    </row>
    <row r="22" spans="1:8" ht="15" customHeight="1" x14ac:dyDescent="0.15">
      <c r="A22">
        <v>21</v>
      </c>
      <c r="B22" s="160" t="s">
        <v>212</v>
      </c>
      <c r="C22" s="103">
        <v>0</v>
      </c>
      <c r="D22" s="103">
        <v>1</v>
      </c>
      <c r="E22" s="102">
        <v>0</v>
      </c>
      <c r="F22" s="102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4" width="5.8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63" t="s">
        <v>212</v>
      </c>
      <c r="D1" s="163" t="s">
        <v>216</v>
      </c>
      <c r="E1"/>
    </row>
    <row r="2" spans="1:5" ht="15" customHeight="1" x14ac:dyDescent="0.15">
      <c r="A2">
        <v>1</v>
      </c>
      <c r="B2" s="162" t="s">
        <v>192</v>
      </c>
      <c r="C2">
        <v>3.0000000000000001E-3</v>
      </c>
      <c r="D2">
        <v>3.0000000000000001E-3</v>
      </c>
    </row>
    <row r="3" spans="1:5" ht="15" customHeight="1" x14ac:dyDescent="0.15">
      <c r="A3">
        <v>2</v>
      </c>
      <c r="B3" s="162" t="s">
        <v>193</v>
      </c>
      <c r="C3">
        <v>7.0000000000000001E-3</v>
      </c>
      <c r="D3">
        <v>7.0000000000000001E-3</v>
      </c>
    </row>
    <row r="4" spans="1:5" ht="15" customHeight="1" x14ac:dyDescent="0.15">
      <c r="A4">
        <v>3</v>
      </c>
      <c r="B4" s="162" t="s">
        <v>194</v>
      </c>
      <c r="C4">
        <v>3.7999999999999999E-2</v>
      </c>
      <c r="D4">
        <v>3.7999999999999999E-2</v>
      </c>
    </row>
    <row r="5" spans="1:5" ht="15" customHeight="1" x14ac:dyDescent="0.15">
      <c r="A5">
        <v>4</v>
      </c>
      <c r="B5" s="162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2" t="s">
        <v>196</v>
      </c>
      <c r="C6">
        <v>8.0000000000000002E-3</v>
      </c>
      <c r="D6">
        <v>8.0000000000000002E-3</v>
      </c>
    </row>
    <row r="7" spans="1:5" ht="15" customHeight="1" x14ac:dyDescent="0.15">
      <c r="A7">
        <v>6</v>
      </c>
      <c r="B7" s="162" t="s">
        <v>197</v>
      </c>
      <c r="C7">
        <v>1.0999999999999999E-2</v>
      </c>
      <c r="D7">
        <v>1.0999999999999999E-2</v>
      </c>
    </row>
    <row r="8" spans="1:5" ht="15" customHeight="1" x14ac:dyDescent="0.15">
      <c r="A8">
        <v>7</v>
      </c>
      <c r="B8" s="162" t="s">
        <v>198</v>
      </c>
      <c r="C8">
        <v>1.9E-2</v>
      </c>
      <c r="D8">
        <v>1.9E-2</v>
      </c>
    </row>
    <row r="9" spans="1:5" ht="15" customHeight="1" x14ac:dyDescent="0.15">
      <c r="A9">
        <v>8</v>
      </c>
      <c r="B9" s="162" t="s">
        <v>199</v>
      </c>
      <c r="C9">
        <v>1.4E-2</v>
      </c>
      <c r="D9">
        <v>1.4E-2</v>
      </c>
    </row>
    <row r="10" spans="1:5" ht="15" customHeight="1" x14ac:dyDescent="0.15">
      <c r="A10">
        <v>9</v>
      </c>
      <c r="B10" s="162" t="s">
        <v>200</v>
      </c>
      <c r="C10">
        <v>1E-3</v>
      </c>
      <c r="D10">
        <v>1E-3</v>
      </c>
    </row>
    <row r="11" spans="1:5" ht="15" customHeight="1" x14ac:dyDescent="0.15">
      <c r="A11">
        <v>10</v>
      </c>
      <c r="B11" s="162" t="s">
        <v>201</v>
      </c>
      <c r="C11">
        <v>1E-3</v>
      </c>
      <c r="D11">
        <v>1E-3</v>
      </c>
    </row>
    <row r="12" spans="1:5" ht="15" customHeight="1" x14ac:dyDescent="0.15">
      <c r="A12">
        <v>11</v>
      </c>
      <c r="B12" s="162" t="s">
        <v>202</v>
      </c>
      <c r="C12">
        <v>4.5999999999999999E-2</v>
      </c>
      <c r="D12">
        <v>4.5999999999999999E-2</v>
      </c>
    </row>
    <row r="13" spans="1:5" ht="15" customHeight="1" x14ac:dyDescent="0.15">
      <c r="A13">
        <v>12</v>
      </c>
      <c r="B13" s="162" t="s">
        <v>203</v>
      </c>
      <c r="C13">
        <v>0.12</v>
      </c>
      <c r="D13">
        <v>0.12</v>
      </c>
    </row>
    <row r="14" spans="1:5" ht="15" customHeight="1" x14ac:dyDescent="0.15">
      <c r="A14">
        <v>13</v>
      </c>
      <c r="B14" s="162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62" t="s">
        <v>205</v>
      </c>
      <c r="C15">
        <v>4.2999999999999997E-2</v>
      </c>
      <c r="D15">
        <v>4.2999999999999997E-2</v>
      </c>
    </row>
    <row r="16" spans="1:5" ht="15" customHeight="1" x14ac:dyDescent="0.15">
      <c r="A16">
        <v>15</v>
      </c>
      <c r="B16" s="162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2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2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2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2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2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1640625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65" t="s">
        <v>212</v>
      </c>
      <c r="D1" s="165" t="s">
        <v>216</v>
      </c>
    </row>
    <row r="2" spans="1:4" x14ac:dyDescent="0.15">
      <c r="A2">
        <v>1</v>
      </c>
      <c r="B2" s="164" t="s">
        <v>192</v>
      </c>
      <c r="C2">
        <v>0</v>
      </c>
      <c r="D2">
        <v>0</v>
      </c>
    </row>
    <row r="3" spans="1:4" x14ac:dyDescent="0.15">
      <c r="A3">
        <v>2</v>
      </c>
      <c r="B3" s="164" t="s">
        <v>193</v>
      </c>
      <c r="C3">
        <v>0</v>
      </c>
      <c r="D3">
        <v>0</v>
      </c>
    </row>
    <row r="4" spans="1:4" x14ac:dyDescent="0.15">
      <c r="A4">
        <v>3</v>
      </c>
      <c r="B4" s="164" t="s">
        <v>194</v>
      </c>
      <c r="C4">
        <v>0</v>
      </c>
      <c r="D4">
        <v>0</v>
      </c>
    </row>
    <row r="5" spans="1:4" x14ac:dyDescent="0.15">
      <c r="A5">
        <v>4</v>
      </c>
      <c r="B5" s="164" t="s">
        <v>195</v>
      </c>
      <c r="C5">
        <v>0</v>
      </c>
      <c r="D5">
        <v>0</v>
      </c>
    </row>
    <row r="6" spans="1:4" x14ac:dyDescent="0.15">
      <c r="A6">
        <v>5</v>
      </c>
      <c r="B6" s="164" t="s">
        <v>196</v>
      </c>
      <c r="C6">
        <v>0</v>
      </c>
      <c r="D6">
        <v>0</v>
      </c>
    </row>
    <row r="7" spans="1:4" x14ac:dyDescent="0.15">
      <c r="A7">
        <v>6</v>
      </c>
      <c r="B7" s="164" t="s">
        <v>197</v>
      </c>
      <c r="C7">
        <v>0</v>
      </c>
      <c r="D7">
        <v>0</v>
      </c>
    </row>
    <row r="8" spans="1:4" x14ac:dyDescent="0.15">
      <c r="A8">
        <v>7</v>
      </c>
      <c r="B8" s="164" t="s">
        <v>198</v>
      </c>
      <c r="C8">
        <v>0</v>
      </c>
      <c r="D8">
        <v>0</v>
      </c>
    </row>
    <row r="9" spans="1:4" x14ac:dyDescent="0.15">
      <c r="A9">
        <v>8</v>
      </c>
      <c r="B9" s="164" t="s">
        <v>199</v>
      </c>
      <c r="C9">
        <v>0</v>
      </c>
      <c r="D9">
        <v>0</v>
      </c>
    </row>
    <row r="10" spans="1:4" x14ac:dyDescent="0.15">
      <c r="A10">
        <v>9</v>
      </c>
      <c r="B10" s="164" t="s">
        <v>200</v>
      </c>
      <c r="C10">
        <v>0</v>
      </c>
      <c r="D10">
        <v>0</v>
      </c>
    </row>
    <row r="11" spans="1:4" x14ac:dyDescent="0.15">
      <c r="A11">
        <v>10</v>
      </c>
      <c r="B11" s="164" t="s">
        <v>201</v>
      </c>
      <c r="C11">
        <v>0</v>
      </c>
      <c r="D11">
        <v>0</v>
      </c>
    </row>
    <row r="12" spans="1:4" x14ac:dyDescent="0.15">
      <c r="A12">
        <v>11</v>
      </c>
      <c r="B12" s="164" t="s">
        <v>202</v>
      </c>
      <c r="C12">
        <v>0</v>
      </c>
      <c r="D12">
        <v>0</v>
      </c>
    </row>
    <row r="13" spans="1:4" x14ac:dyDescent="0.15">
      <c r="A13">
        <v>12</v>
      </c>
      <c r="B13" s="164" t="s">
        <v>203</v>
      </c>
      <c r="C13">
        <v>0</v>
      </c>
      <c r="D13">
        <v>0</v>
      </c>
    </row>
    <row r="14" spans="1:4" x14ac:dyDescent="0.15">
      <c r="A14">
        <v>13</v>
      </c>
      <c r="B14" s="164" t="s">
        <v>204</v>
      </c>
      <c r="C14">
        <v>0</v>
      </c>
      <c r="D14">
        <v>0</v>
      </c>
    </row>
    <row r="15" spans="1:4" x14ac:dyDescent="0.15">
      <c r="A15">
        <v>14</v>
      </c>
      <c r="B15" s="164" t="s">
        <v>205</v>
      </c>
      <c r="C15">
        <v>0</v>
      </c>
      <c r="D15">
        <v>0</v>
      </c>
    </row>
    <row r="16" spans="1:4" x14ac:dyDescent="0.15">
      <c r="A16">
        <v>15</v>
      </c>
      <c r="B16" s="164" t="s">
        <v>206</v>
      </c>
      <c r="C16">
        <v>0</v>
      </c>
      <c r="D16">
        <v>0</v>
      </c>
    </row>
    <row r="17" spans="1:4" x14ac:dyDescent="0.15">
      <c r="A17">
        <v>16</v>
      </c>
      <c r="B17" s="164" t="s">
        <v>207</v>
      </c>
      <c r="C17">
        <v>0</v>
      </c>
      <c r="D17">
        <v>0</v>
      </c>
    </row>
    <row r="18" spans="1:4" x14ac:dyDescent="0.15">
      <c r="A18">
        <v>17</v>
      </c>
      <c r="B18" s="164" t="s">
        <v>208</v>
      </c>
      <c r="C18">
        <v>0</v>
      </c>
      <c r="D18">
        <v>0</v>
      </c>
    </row>
    <row r="19" spans="1:4" x14ac:dyDescent="0.15">
      <c r="A19">
        <v>18</v>
      </c>
      <c r="B19" s="164" t="s">
        <v>209</v>
      </c>
      <c r="C19">
        <v>0</v>
      </c>
      <c r="D19">
        <v>0</v>
      </c>
    </row>
    <row r="20" spans="1:4" x14ac:dyDescent="0.15">
      <c r="A20">
        <v>19</v>
      </c>
      <c r="B20" s="164" t="s">
        <v>210</v>
      </c>
      <c r="C20">
        <v>0</v>
      </c>
      <c r="D20">
        <v>0</v>
      </c>
    </row>
    <row r="21" spans="1:4" x14ac:dyDescent="0.15">
      <c r="A21">
        <v>20</v>
      </c>
      <c r="B21" s="164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3.164062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66" t="s">
        <v>192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66" t="s">
        <v>193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66" t="s">
        <v>194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66" t="s">
        <v>195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66" t="s">
        <v>196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66" t="s">
        <v>197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66" t="s">
        <v>198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9" t="s">
        <v>150</v>
      </c>
      <c r="D9">
        <v>8</v>
      </c>
      <c r="E9" s="166" t="s">
        <v>199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9" t="s">
        <v>150</v>
      </c>
      <c r="D10">
        <v>9</v>
      </c>
      <c r="E10" s="166" t="s">
        <v>200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66" t="s">
        <v>201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66" t="s">
        <v>202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66" t="s">
        <v>203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66" t="s">
        <v>204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66" t="s">
        <v>205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66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66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66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66" t="s">
        <v>209</v>
      </c>
      <c r="F19">
        <v>0.98</v>
      </c>
      <c r="G19">
        <v>0.8</v>
      </c>
      <c r="H19">
        <v>0.8</v>
      </c>
      <c r="I19">
        <v>0</v>
      </c>
      <c r="J19" s="103">
        <v>0</v>
      </c>
      <c r="K19" s="103">
        <v>0</v>
      </c>
    </row>
    <row r="20" spans="4:33" ht="15" customHeight="1" x14ac:dyDescent="0.15">
      <c r="D20">
        <v>19</v>
      </c>
      <c r="E20" s="166" t="s">
        <v>210</v>
      </c>
      <c r="F20">
        <v>0.98</v>
      </c>
      <c r="G20">
        <v>0.8</v>
      </c>
      <c r="H20">
        <v>0</v>
      </c>
      <c r="I20">
        <v>0</v>
      </c>
      <c r="J20" s="103">
        <v>0</v>
      </c>
      <c r="K20" s="103">
        <v>0</v>
      </c>
    </row>
    <row r="21" spans="4:33" ht="15" customHeight="1" x14ac:dyDescent="0.15">
      <c r="D21">
        <v>20</v>
      </c>
      <c r="E21" s="166" t="s">
        <v>211</v>
      </c>
      <c r="F21">
        <v>0.98</v>
      </c>
      <c r="G21">
        <v>0.8</v>
      </c>
      <c r="H21">
        <v>0</v>
      </c>
      <c r="I21">
        <v>0</v>
      </c>
      <c r="J21" s="103">
        <v>0</v>
      </c>
      <c r="K21" s="103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18" width="3.83203125" style="100" customWidth="1"/>
    <col min="19" max="21" width="2.33203125" style="100" customWidth="1"/>
    <col min="22" max="16384" width="10.83203125" style="100"/>
  </cols>
  <sheetData>
    <row r="1" spans="1:30" x14ac:dyDescent="0.15">
      <c r="A1" s="61" t="s">
        <v>118</v>
      </c>
      <c r="B1" s="168" t="s">
        <v>192</v>
      </c>
      <c r="C1" s="168" t="s">
        <v>193</v>
      </c>
      <c r="D1" s="168" t="s">
        <v>194</v>
      </c>
      <c r="E1" s="168" t="s">
        <v>195</v>
      </c>
      <c r="F1" s="168" t="s">
        <v>196</v>
      </c>
      <c r="G1" s="168" t="s">
        <v>197</v>
      </c>
      <c r="H1" s="168" t="s">
        <v>198</v>
      </c>
      <c r="I1" s="168" t="s">
        <v>199</v>
      </c>
      <c r="J1" s="168" t="s">
        <v>200</v>
      </c>
      <c r="K1" s="168" t="s">
        <v>201</v>
      </c>
      <c r="L1" s="168" t="s">
        <v>202</v>
      </c>
      <c r="M1" s="168" t="s">
        <v>203</v>
      </c>
      <c r="N1" s="168" t="s">
        <v>204</v>
      </c>
      <c r="O1" s="168" t="s">
        <v>205</v>
      </c>
      <c r="P1" s="168" t="s">
        <v>206</v>
      </c>
      <c r="Q1" s="168" t="s">
        <v>207</v>
      </c>
      <c r="R1" s="168" t="s">
        <v>208</v>
      </c>
      <c r="S1" s="168" t="s">
        <v>209</v>
      </c>
      <c r="T1" s="168" t="s">
        <v>210</v>
      </c>
      <c r="U1" s="168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67" t="s">
        <v>192</v>
      </c>
      <c r="B2" s="100">
        <v>0</v>
      </c>
      <c r="C2" s="100">
        <v>0.8</v>
      </c>
      <c r="D2" s="100">
        <v>0.8</v>
      </c>
      <c r="E2" s="100">
        <v>0</v>
      </c>
      <c r="F2" s="100">
        <v>0.8</v>
      </c>
      <c r="G2" s="100">
        <v>0</v>
      </c>
      <c r="H2" s="100">
        <v>0.8</v>
      </c>
      <c r="I2" s="100">
        <v>0.8</v>
      </c>
      <c r="J2" s="100">
        <v>0.8</v>
      </c>
      <c r="K2" s="100">
        <v>0</v>
      </c>
      <c r="L2" s="100">
        <v>0.8</v>
      </c>
      <c r="M2" s="100">
        <v>0.8</v>
      </c>
      <c r="N2" s="100">
        <v>0.8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</row>
    <row r="3" spans="1:30" customFormat="1" x14ac:dyDescent="0.15">
      <c r="A3" s="167" t="s">
        <v>193</v>
      </c>
      <c r="B3" s="100">
        <v>0</v>
      </c>
      <c r="C3" s="100">
        <v>0</v>
      </c>
      <c r="D3" s="100">
        <v>0.8</v>
      </c>
      <c r="E3" s="100">
        <v>0</v>
      </c>
      <c r="F3" s="100">
        <v>0</v>
      </c>
      <c r="G3" s="100">
        <v>0</v>
      </c>
      <c r="H3" s="100">
        <v>0.8</v>
      </c>
      <c r="I3" s="100">
        <v>0</v>
      </c>
      <c r="J3" s="100">
        <v>0.8</v>
      </c>
      <c r="K3" s="100">
        <v>0</v>
      </c>
      <c r="L3" s="100">
        <v>0.8</v>
      </c>
      <c r="M3" s="100">
        <v>0</v>
      </c>
      <c r="N3" s="100">
        <v>0.8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</row>
    <row r="4" spans="1:30" customFormat="1" x14ac:dyDescent="0.15">
      <c r="A4" s="167" t="s">
        <v>194</v>
      </c>
      <c r="B4" s="100">
        <v>0</v>
      </c>
      <c r="C4" s="100">
        <v>0.8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0.8</v>
      </c>
      <c r="K4" s="100">
        <v>0</v>
      </c>
      <c r="L4" s="100">
        <v>0.8</v>
      </c>
      <c r="M4" s="100">
        <v>0</v>
      </c>
      <c r="N4" s="100">
        <v>0.8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</row>
    <row r="5" spans="1:30" customFormat="1" x14ac:dyDescent="0.15">
      <c r="A5" s="167" t="s">
        <v>195</v>
      </c>
      <c r="B5" s="100">
        <v>0</v>
      </c>
      <c r="C5" s="100">
        <v>0</v>
      </c>
      <c r="D5" s="100">
        <v>0</v>
      </c>
      <c r="E5" s="100">
        <v>0</v>
      </c>
      <c r="F5" s="100">
        <v>0.8</v>
      </c>
      <c r="G5" s="100">
        <v>0</v>
      </c>
      <c r="H5" s="100">
        <v>0.8</v>
      </c>
      <c r="I5" s="100">
        <v>0</v>
      </c>
      <c r="J5" s="100">
        <v>0.8</v>
      </c>
      <c r="K5" s="100">
        <v>0</v>
      </c>
      <c r="L5" s="100">
        <v>0.8</v>
      </c>
      <c r="M5" s="100">
        <v>0.8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</row>
    <row r="6" spans="1:30" customFormat="1" x14ac:dyDescent="0.15">
      <c r="A6" s="167" t="s">
        <v>196</v>
      </c>
      <c r="B6" s="100">
        <v>0</v>
      </c>
      <c r="C6" s="100">
        <v>0</v>
      </c>
      <c r="D6" s="100">
        <v>0.8</v>
      </c>
      <c r="E6" s="100">
        <v>0</v>
      </c>
      <c r="F6" s="100">
        <v>0.8</v>
      </c>
      <c r="G6" s="100">
        <v>0</v>
      </c>
      <c r="H6" s="100">
        <v>0.8</v>
      </c>
      <c r="I6" s="100">
        <v>0</v>
      </c>
      <c r="J6" s="100">
        <v>0.8</v>
      </c>
      <c r="K6" s="100">
        <v>0</v>
      </c>
      <c r="L6" s="100">
        <v>0.8</v>
      </c>
      <c r="M6" s="100">
        <v>0.8</v>
      </c>
      <c r="N6" s="100">
        <v>0.8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</row>
    <row r="7" spans="1:30" customFormat="1" x14ac:dyDescent="0.15">
      <c r="A7" s="167" t="s">
        <v>197</v>
      </c>
      <c r="B7" s="100">
        <v>0</v>
      </c>
      <c r="C7" s="100">
        <v>0.8</v>
      </c>
      <c r="D7" s="100">
        <v>0.8</v>
      </c>
      <c r="E7" s="100">
        <v>0</v>
      </c>
      <c r="F7" s="100">
        <v>0</v>
      </c>
      <c r="G7" s="100">
        <v>0</v>
      </c>
      <c r="H7" s="100">
        <v>0.8</v>
      </c>
      <c r="I7" s="100">
        <v>0</v>
      </c>
      <c r="J7" s="100">
        <v>0.8</v>
      </c>
      <c r="K7" s="100">
        <v>0</v>
      </c>
      <c r="L7" s="100">
        <v>0.8</v>
      </c>
      <c r="M7" s="100">
        <v>0.8</v>
      </c>
      <c r="N7" s="100">
        <v>0.8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</row>
    <row r="8" spans="1:30" customFormat="1" x14ac:dyDescent="0.15">
      <c r="A8" s="167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0.8</v>
      </c>
      <c r="K8" s="100">
        <v>0</v>
      </c>
      <c r="L8" s="100">
        <v>0.8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</row>
    <row r="9" spans="1:30" customFormat="1" x14ac:dyDescent="0.15">
      <c r="A9" s="167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0.8</v>
      </c>
      <c r="I9" s="100">
        <v>0</v>
      </c>
      <c r="J9" s="100">
        <v>0.8</v>
      </c>
      <c r="K9" s="100">
        <v>0</v>
      </c>
      <c r="L9" s="100">
        <v>0.8</v>
      </c>
      <c r="M9" s="100">
        <v>0.8</v>
      </c>
      <c r="N9" s="100">
        <v>0.8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</row>
    <row r="10" spans="1:30" customFormat="1" x14ac:dyDescent="0.15">
      <c r="A10" s="167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0.8</v>
      </c>
      <c r="I10" s="100">
        <v>0</v>
      </c>
      <c r="J10" s="100">
        <v>0</v>
      </c>
      <c r="K10" s="100">
        <v>0</v>
      </c>
      <c r="L10" s="100">
        <v>0.8</v>
      </c>
      <c r="M10" s="100">
        <v>0.8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</row>
    <row r="11" spans="1:30" customFormat="1" x14ac:dyDescent="0.15">
      <c r="A11" s="167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0.8</v>
      </c>
      <c r="I11" s="100">
        <v>0</v>
      </c>
      <c r="J11" s="100">
        <v>0.8</v>
      </c>
      <c r="K11" s="100">
        <v>0</v>
      </c>
      <c r="L11" s="100">
        <v>0</v>
      </c>
      <c r="M11" s="100">
        <v>0.8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</row>
    <row r="12" spans="1:30" customFormat="1" x14ac:dyDescent="0.15">
      <c r="A12" s="167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</row>
    <row r="13" spans="1:30" customFormat="1" x14ac:dyDescent="0.15">
      <c r="A13" s="167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0.8</v>
      </c>
      <c r="I13" s="100">
        <v>0</v>
      </c>
      <c r="J13" s="100">
        <v>0</v>
      </c>
      <c r="K13" s="100">
        <v>0</v>
      </c>
      <c r="L13" s="100">
        <v>0.8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</row>
    <row r="14" spans="1:30" customFormat="1" x14ac:dyDescent="0.15">
      <c r="A14" s="167" t="s">
        <v>204</v>
      </c>
      <c r="B14" s="100">
        <v>0</v>
      </c>
      <c r="C14" s="100">
        <v>0</v>
      </c>
      <c r="D14" s="100">
        <v>0.8</v>
      </c>
      <c r="E14" s="100">
        <v>0</v>
      </c>
      <c r="F14" s="100">
        <v>0</v>
      </c>
      <c r="G14" s="100">
        <v>0</v>
      </c>
      <c r="H14" s="100">
        <v>0.8</v>
      </c>
      <c r="I14" s="100">
        <v>0</v>
      </c>
      <c r="J14" s="100">
        <v>0.8</v>
      </c>
      <c r="K14" s="100">
        <v>0</v>
      </c>
      <c r="L14" s="100">
        <v>0.8</v>
      </c>
      <c r="M14" s="100">
        <v>0</v>
      </c>
      <c r="N14" s="100">
        <v>0.8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</row>
    <row r="15" spans="1:30" customFormat="1" x14ac:dyDescent="0.15">
      <c r="A15" s="167" t="s">
        <v>205</v>
      </c>
      <c r="B15" s="100">
        <v>0.8</v>
      </c>
      <c r="C15" s="100">
        <v>0.8</v>
      </c>
      <c r="D15" s="100">
        <v>0.8</v>
      </c>
      <c r="E15" s="100">
        <v>0.8</v>
      </c>
      <c r="F15" s="100">
        <v>0.8</v>
      </c>
      <c r="G15" s="100">
        <v>0.8</v>
      </c>
      <c r="H15" s="100">
        <v>0.8</v>
      </c>
      <c r="I15" s="100">
        <v>0.8</v>
      </c>
      <c r="J15" s="100">
        <v>0.8</v>
      </c>
      <c r="K15" s="100">
        <v>0.8</v>
      </c>
      <c r="L15" s="100">
        <v>0.8</v>
      </c>
      <c r="M15" s="100">
        <v>0.8</v>
      </c>
      <c r="N15" s="100">
        <v>0.8</v>
      </c>
      <c r="O15" s="100">
        <v>0</v>
      </c>
      <c r="P15" s="100">
        <v>0.8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</row>
    <row r="16" spans="1:30" customFormat="1" x14ac:dyDescent="0.15">
      <c r="A16" s="167" t="s">
        <v>206</v>
      </c>
      <c r="B16" s="100">
        <v>0.8</v>
      </c>
      <c r="C16" s="100">
        <v>0.8</v>
      </c>
      <c r="D16" s="100">
        <v>0.8</v>
      </c>
      <c r="E16" s="100">
        <v>0.8</v>
      </c>
      <c r="F16" s="100">
        <v>0.8</v>
      </c>
      <c r="G16" s="100">
        <v>0.8</v>
      </c>
      <c r="H16" s="100">
        <v>0.8</v>
      </c>
      <c r="I16" s="100">
        <v>0.8</v>
      </c>
      <c r="J16" s="100">
        <v>0.8</v>
      </c>
      <c r="K16" s="100">
        <v>0.8</v>
      </c>
      <c r="L16" s="100">
        <v>0.8</v>
      </c>
      <c r="M16" s="100">
        <v>0.8</v>
      </c>
      <c r="N16" s="100">
        <v>0.8</v>
      </c>
      <c r="O16" s="100">
        <v>0</v>
      </c>
      <c r="P16" s="100">
        <v>0.8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</row>
    <row r="17" spans="1:21" customFormat="1" x14ac:dyDescent="0.15">
      <c r="A17" s="167" t="s">
        <v>207</v>
      </c>
      <c r="B17" s="100">
        <v>0</v>
      </c>
      <c r="C17" s="100">
        <v>0.8</v>
      </c>
      <c r="D17" s="100">
        <v>0.8</v>
      </c>
      <c r="E17" s="100">
        <v>0.8</v>
      </c>
      <c r="F17" s="100">
        <v>0.8</v>
      </c>
      <c r="G17" s="100">
        <v>0.8</v>
      </c>
      <c r="H17" s="100">
        <v>0.8</v>
      </c>
      <c r="I17" s="100">
        <v>0.8</v>
      </c>
      <c r="J17" s="100">
        <v>0</v>
      </c>
      <c r="K17" s="100">
        <v>0.8</v>
      </c>
      <c r="L17" s="100">
        <v>0</v>
      </c>
      <c r="M17" s="100">
        <v>0.8</v>
      </c>
      <c r="N17" s="100">
        <v>0</v>
      </c>
      <c r="O17" s="100">
        <v>0.8</v>
      </c>
      <c r="P17" s="100">
        <v>0.8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</row>
    <row r="18" spans="1:21" customFormat="1" x14ac:dyDescent="0.15">
      <c r="A18" s="167" t="s">
        <v>208</v>
      </c>
      <c r="B18" s="100">
        <v>0.8</v>
      </c>
      <c r="C18" s="100">
        <v>0.8</v>
      </c>
      <c r="D18" s="100">
        <v>0.8</v>
      </c>
      <c r="E18" s="100">
        <v>0</v>
      </c>
      <c r="F18" s="100">
        <v>0.8</v>
      </c>
      <c r="G18" s="100">
        <v>0.8</v>
      </c>
      <c r="H18" s="100">
        <v>0</v>
      </c>
      <c r="I18" s="100">
        <v>0.8</v>
      </c>
      <c r="J18" s="100">
        <v>0</v>
      </c>
      <c r="K18" s="100">
        <v>0.8</v>
      </c>
      <c r="L18" s="100">
        <v>0</v>
      </c>
      <c r="M18" s="100">
        <v>0</v>
      </c>
      <c r="N18" s="100">
        <v>0.8</v>
      </c>
      <c r="O18" s="100">
        <v>0.8</v>
      </c>
      <c r="P18" s="100">
        <v>0.8</v>
      </c>
      <c r="Q18" s="100">
        <v>0</v>
      </c>
      <c r="R18" s="100">
        <v>0.8</v>
      </c>
      <c r="S18" s="100">
        <v>0</v>
      </c>
      <c r="T18" s="100">
        <v>0</v>
      </c>
      <c r="U18" s="100">
        <v>0</v>
      </c>
    </row>
    <row r="19" spans="1:21" customFormat="1" x14ac:dyDescent="0.15">
      <c r="A19" s="167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0.8</v>
      </c>
      <c r="S19" s="100">
        <v>0</v>
      </c>
      <c r="T19" s="100">
        <v>0</v>
      </c>
      <c r="U19" s="100">
        <v>0</v>
      </c>
    </row>
    <row r="20" spans="1:21" customFormat="1" x14ac:dyDescent="0.15">
      <c r="A20" s="167" t="s">
        <v>210</v>
      </c>
      <c r="B20" s="100">
        <v>0</v>
      </c>
      <c r="C20" s="100">
        <v>0</v>
      </c>
      <c r="D20" s="100">
        <v>0</v>
      </c>
      <c r="E20" s="100">
        <v>0.8</v>
      </c>
      <c r="F20" s="100">
        <v>0.8</v>
      </c>
      <c r="G20" s="100">
        <v>0.8</v>
      </c>
      <c r="H20" s="100">
        <v>0</v>
      </c>
      <c r="I20" s="100">
        <v>0</v>
      </c>
      <c r="J20" s="100">
        <v>0</v>
      </c>
      <c r="K20" s="100">
        <v>0.8</v>
      </c>
      <c r="L20" s="100">
        <v>0</v>
      </c>
      <c r="M20" s="100">
        <v>0</v>
      </c>
      <c r="N20" s="100">
        <v>0</v>
      </c>
      <c r="O20" s="100">
        <v>0.8</v>
      </c>
      <c r="P20" s="100">
        <v>0.8</v>
      </c>
      <c r="Q20" s="100">
        <v>0.8</v>
      </c>
      <c r="R20" s="100">
        <v>0.8</v>
      </c>
      <c r="S20" s="100">
        <v>0</v>
      </c>
      <c r="T20" s="100">
        <v>0</v>
      </c>
      <c r="U20" s="100">
        <v>0</v>
      </c>
    </row>
    <row r="21" spans="1:21" customFormat="1" x14ac:dyDescent="0.15">
      <c r="A21" s="167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</row>
    <row r="22" spans="1:21" customFormat="1" x14ac:dyDescent="0.15">
      <c r="A22" s="167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0" bestFit="1" customWidth="1"/>
    <col min="2" max="21" width="2.33203125" style="100" customWidth="1"/>
    <col min="22" max="16384" width="10.83203125" style="100"/>
  </cols>
  <sheetData>
    <row r="1" spans="1:31" x14ac:dyDescent="0.15">
      <c r="A1" s="61" t="s">
        <v>139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202</v>
      </c>
      <c r="M1" s="170" t="s">
        <v>203</v>
      </c>
      <c r="N1" s="170" t="s">
        <v>204</v>
      </c>
      <c r="O1" s="170" t="s">
        <v>205</v>
      </c>
      <c r="P1" s="170" t="s">
        <v>206</v>
      </c>
      <c r="Q1" s="170" t="s">
        <v>207</v>
      </c>
      <c r="R1" s="170" t="s">
        <v>208</v>
      </c>
      <c r="S1" s="170" t="s">
        <v>209</v>
      </c>
      <c r="T1" s="170" t="s">
        <v>210</v>
      </c>
      <c r="U1" s="170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9" t="s">
        <v>192</v>
      </c>
      <c r="B2" s="100">
        <v>0</v>
      </c>
      <c r="C2" s="100">
        <v>1</v>
      </c>
      <c r="D2" s="100">
        <v>1</v>
      </c>
      <c r="E2" s="100">
        <v>0</v>
      </c>
      <c r="F2" s="100">
        <v>1</v>
      </c>
      <c r="G2" s="100">
        <v>0</v>
      </c>
      <c r="H2" s="100">
        <v>1</v>
      </c>
      <c r="I2" s="100">
        <v>1</v>
      </c>
      <c r="J2" s="100">
        <v>1</v>
      </c>
      <c r="K2" s="100">
        <v>0</v>
      </c>
      <c r="L2" s="100">
        <v>1</v>
      </c>
      <c r="M2" s="100">
        <v>1</v>
      </c>
      <c r="N2" s="100">
        <v>1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</row>
    <row r="3" spans="1:31" customFormat="1" x14ac:dyDescent="0.15">
      <c r="A3" s="169" t="s">
        <v>193</v>
      </c>
      <c r="B3" s="100">
        <v>0</v>
      </c>
      <c r="C3" s="100">
        <v>0</v>
      </c>
      <c r="D3" s="100">
        <v>1</v>
      </c>
      <c r="E3" s="100">
        <v>0</v>
      </c>
      <c r="F3" s="100">
        <v>0</v>
      </c>
      <c r="G3" s="100">
        <v>0</v>
      </c>
      <c r="H3" s="100">
        <v>1</v>
      </c>
      <c r="I3" s="100">
        <v>0</v>
      </c>
      <c r="J3" s="100">
        <v>1</v>
      </c>
      <c r="K3" s="100">
        <v>0</v>
      </c>
      <c r="L3" s="100">
        <v>1</v>
      </c>
      <c r="M3" s="100">
        <v>0</v>
      </c>
      <c r="N3" s="100">
        <v>1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</row>
    <row r="4" spans="1:31" customFormat="1" x14ac:dyDescent="0.15">
      <c r="A4" s="169" t="s">
        <v>194</v>
      </c>
      <c r="B4" s="100">
        <v>0</v>
      </c>
      <c r="C4" s="100">
        <v>1</v>
      </c>
      <c r="D4" s="100">
        <v>0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1</v>
      </c>
      <c r="K4" s="100">
        <v>0</v>
      </c>
      <c r="L4" s="100">
        <v>1</v>
      </c>
      <c r="M4" s="100">
        <v>0</v>
      </c>
      <c r="N4" s="100">
        <v>1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</row>
    <row r="5" spans="1:31" customFormat="1" x14ac:dyDescent="0.15">
      <c r="A5" s="169" t="s">
        <v>195</v>
      </c>
      <c r="B5" s="100">
        <v>0</v>
      </c>
      <c r="C5" s="100">
        <v>0</v>
      </c>
      <c r="D5" s="100">
        <v>0</v>
      </c>
      <c r="E5" s="100">
        <v>0</v>
      </c>
      <c r="F5" s="100">
        <v>1</v>
      </c>
      <c r="G5" s="100">
        <v>0</v>
      </c>
      <c r="H5" s="100">
        <v>1</v>
      </c>
      <c r="I5" s="100">
        <v>0</v>
      </c>
      <c r="J5" s="100">
        <v>1</v>
      </c>
      <c r="K5" s="100">
        <v>0</v>
      </c>
      <c r="L5" s="100">
        <v>1</v>
      </c>
      <c r="M5" s="100">
        <v>1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</row>
    <row r="6" spans="1:31" customFormat="1" x14ac:dyDescent="0.15">
      <c r="A6" s="169" t="s">
        <v>196</v>
      </c>
      <c r="B6" s="100">
        <v>0</v>
      </c>
      <c r="C6" s="100">
        <v>0</v>
      </c>
      <c r="D6" s="100">
        <v>1</v>
      </c>
      <c r="E6" s="100">
        <v>0</v>
      </c>
      <c r="F6" s="100">
        <v>1</v>
      </c>
      <c r="G6" s="100">
        <v>0</v>
      </c>
      <c r="H6" s="100">
        <v>1</v>
      </c>
      <c r="I6" s="100">
        <v>0</v>
      </c>
      <c r="J6" s="100">
        <v>1</v>
      </c>
      <c r="K6" s="100">
        <v>0</v>
      </c>
      <c r="L6" s="100">
        <v>1</v>
      </c>
      <c r="M6" s="100">
        <v>1</v>
      </c>
      <c r="N6" s="100">
        <v>1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</row>
    <row r="7" spans="1:31" customFormat="1" x14ac:dyDescent="0.15">
      <c r="A7" s="169" t="s">
        <v>197</v>
      </c>
      <c r="B7" s="100">
        <v>0</v>
      </c>
      <c r="C7" s="100">
        <v>1</v>
      </c>
      <c r="D7" s="100">
        <v>1</v>
      </c>
      <c r="E7" s="100">
        <v>0</v>
      </c>
      <c r="F7" s="100">
        <v>0</v>
      </c>
      <c r="G7" s="100">
        <v>0</v>
      </c>
      <c r="H7" s="100">
        <v>1</v>
      </c>
      <c r="I7" s="100">
        <v>0</v>
      </c>
      <c r="J7" s="100">
        <v>1</v>
      </c>
      <c r="K7" s="100">
        <v>0</v>
      </c>
      <c r="L7" s="100">
        <v>1</v>
      </c>
      <c r="M7" s="100">
        <v>1</v>
      </c>
      <c r="N7" s="100">
        <v>1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</row>
    <row r="8" spans="1:31" customFormat="1" x14ac:dyDescent="0.15">
      <c r="A8" s="169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1</v>
      </c>
      <c r="K8" s="100">
        <v>0</v>
      </c>
      <c r="L8" s="100">
        <v>1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</row>
    <row r="9" spans="1:31" customFormat="1" x14ac:dyDescent="0.15">
      <c r="A9" s="169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1</v>
      </c>
      <c r="I9" s="100">
        <v>0</v>
      </c>
      <c r="J9" s="100">
        <v>1</v>
      </c>
      <c r="K9" s="100">
        <v>0</v>
      </c>
      <c r="L9" s="100">
        <v>1</v>
      </c>
      <c r="M9" s="100">
        <v>1</v>
      </c>
      <c r="N9" s="100">
        <v>1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</row>
    <row r="10" spans="1:31" customFormat="1" x14ac:dyDescent="0.15">
      <c r="A10" s="169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1</v>
      </c>
      <c r="I10" s="100">
        <v>0</v>
      </c>
      <c r="J10" s="100">
        <v>0</v>
      </c>
      <c r="K10" s="100">
        <v>0</v>
      </c>
      <c r="L10" s="100">
        <v>1</v>
      </c>
      <c r="M10" s="100">
        <v>1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</row>
    <row r="11" spans="1:31" customFormat="1" x14ac:dyDescent="0.15">
      <c r="A11" s="169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1</v>
      </c>
      <c r="I11" s="100">
        <v>0</v>
      </c>
      <c r="J11" s="100">
        <v>1</v>
      </c>
      <c r="K11" s="100">
        <v>0</v>
      </c>
      <c r="L11" s="100">
        <v>0</v>
      </c>
      <c r="M11" s="100">
        <v>1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</row>
    <row r="12" spans="1:31" customFormat="1" x14ac:dyDescent="0.15">
      <c r="A12" s="169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</row>
    <row r="13" spans="1:31" customFormat="1" x14ac:dyDescent="0.15">
      <c r="A13" s="169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1</v>
      </c>
      <c r="I13" s="100">
        <v>0</v>
      </c>
      <c r="J13" s="100">
        <v>0</v>
      </c>
      <c r="K13" s="100">
        <v>0</v>
      </c>
      <c r="L13" s="100">
        <v>1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</row>
    <row r="14" spans="1:31" customFormat="1" x14ac:dyDescent="0.15">
      <c r="A14" s="169" t="s">
        <v>204</v>
      </c>
      <c r="B14" s="100">
        <v>0</v>
      </c>
      <c r="C14" s="100">
        <v>0</v>
      </c>
      <c r="D14" s="100">
        <v>1</v>
      </c>
      <c r="E14" s="100">
        <v>0</v>
      </c>
      <c r="F14" s="100">
        <v>0</v>
      </c>
      <c r="G14" s="100">
        <v>0</v>
      </c>
      <c r="H14" s="100">
        <v>1</v>
      </c>
      <c r="I14" s="100">
        <v>0</v>
      </c>
      <c r="J14" s="100">
        <v>1</v>
      </c>
      <c r="K14" s="100">
        <v>0</v>
      </c>
      <c r="L14" s="100">
        <v>1</v>
      </c>
      <c r="M14" s="100">
        <v>0</v>
      </c>
      <c r="N14" s="100">
        <v>1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</row>
    <row r="15" spans="1:31" customFormat="1" x14ac:dyDescent="0.15">
      <c r="A15" s="169" t="s">
        <v>205</v>
      </c>
      <c r="B15" s="100">
        <v>1</v>
      </c>
      <c r="C15" s="100">
        <v>1</v>
      </c>
      <c r="D15" s="100">
        <v>1</v>
      </c>
      <c r="E15" s="100">
        <v>1</v>
      </c>
      <c r="F15" s="100">
        <v>1</v>
      </c>
      <c r="G15" s="100">
        <v>1</v>
      </c>
      <c r="H15" s="100">
        <v>1</v>
      </c>
      <c r="I15" s="100">
        <v>1</v>
      </c>
      <c r="J15" s="100">
        <v>1</v>
      </c>
      <c r="K15" s="100">
        <v>1</v>
      </c>
      <c r="L15" s="100">
        <v>1</v>
      </c>
      <c r="M15" s="100">
        <v>1</v>
      </c>
      <c r="N15" s="100">
        <v>1</v>
      </c>
      <c r="O15" s="100">
        <v>0</v>
      </c>
      <c r="P15" s="100">
        <v>1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</row>
    <row r="16" spans="1:31" customFormat="1" x14ac:dyDescent="0.15">
      <c r="A16" s="169" t="s">
        <v>206</v>
      </c>
      <c r="B16" s="100">
        <v>1</v>
      </c>
      <c r="C16" s="100">
        <v>1</v>
      </c>
      <c r="D16" s="100">
        <v>1</v>
      </c>
      <c r="E16" s="100">
        <v>1</v>
      </c>
      <c r="F16" s="100">
        <v>1</v>
      </c>
      <c r="G16" s="100">
        <v>1</v>
      </c>
      <c r="H16" s="100">
        <v>1</v>
      </c>
      <c r="I16" s="100">
        <v>1</v>
      </c>
      <c r="J16" s="100">
        <v>1</v>
      </c>
      <c r="K16" s="100">
        <v>1</v>
      </c>
      <c r="L16" s="100">
        <v>1</v>
      </c>
      <c r="M16" s="100">
        <v>1</v>
      </c>
      <c r="N16" s="100">
        <v>1</v>
      </c>
      <c r="O16" s="100">
        <v>0</v>
      </c>
      <c r="P16" s="100">
        <v>1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</row>
    <row r="17" spans="1:21" customFormat="1" x14ac:dyDescent="0.15">
      <c r="A17" s="169" t="s">
        <v>207</v>
      </c>
      <c r="B17" s="100">
        <v>0</v>
      </c>
      <c r="C17" s="100">
        <v>1</v>
      </c>
      <c r="D17" s="100">
        <v>1</v>
      </c>
      <c r="E17" s="100">
        <v>1</v>
      </c>
      <c r="F17" s="100">
        <v>1</v>
      </c>
      <c r="G17" s="100">
        <v>1</v>
      </c>
      <c r="H17" s="100">
        <v>1</v>
      </c>
      <c r="I17" s="100">
        <v>1</v>
      </c>
      <c r="J17" s="100">
        <v>0</v>
      </c>
      <c r="K17" s="100">
        <v>1</v>
      </c>
      <c r="L17" s="100">
        <v>0</v>
      </c>
      <c r="M17" s="100">
        <v>1</v>
      </c>
      <c r="N17" s="100">
        <v>0</v>
      </c>
      <c r="O17" s="100">
        <v>1</v>
      </c>
      <c r="P17" s="100">
        <v>1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</row>
    <row r="18" spans="1:21" customFormat="1" x14ac:dyDescent="0.15">
      <c r="A18" s="169" t="s">
        <v>208</v>
      </c>
      <c r="B18" s="100">
        <v>1</v>
      </c>
      <c r="C18" s="100">
        <v>1</v>
      </c>
      <c r="D18" s="100">
        <v>1</v>
      </c>
      <c r="E18" s="100">
        <v>0</v>
      </c>
      <c r="F18" s="100">
        <v>1</v>
      </c>
      <c r="G18" s="100">
        <v>1</v>
      </c>
      <c r="H18" s="100">
        <v>0</v>
      </c>
      <c r="I18" s="100">
        <v>1</v>
      </c>
      <c r="J18" s="100">
        <v>0</v>
      </c>
      <c r="K18" s="100">
        <v>1</v>
      </c>
      <c r="L18" s="100">
        <v>0</v>
      </c>
      <c r="M18" s="100">
        <v>0</v>
      </c>
      <c r="N18" s="100">
        <v>1</v>
      </c>
      <c r="O18" s="100">
        <v>1</v>
      </c>
      <c r="P18" s="100">
        <v>1</v>
      </c>
      <c r="Q18" s="100">
        <v>0</v>
      </c>
      <c r="R18" s="100">
        <v>1</v>
      </c>
      <c r="S18" s="100">
        <v>0</v>
      </c>
      <c r="T18" s="100">
        <v>0</v>
      </c>
      <c r="U18" s="100">
        <v>0</v>
      </c>
    </row>
    <row r="19" spans="1:21" customFormat="1" x14ac:dyDescent="0.15">
      <c r="A19" s="169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1</v>
      </c>
      <c r="S19" s="100">
        <v>0</v>
      </c>
      <c r="T19" s="100">
        <v>0</v>
      </c>
      <c r="U19" s="100">
        <v>0</v>
      </c>
    </row>
    <row r="20" spans="1:21" customFormat="1" x14ac:dyDescent="0.15">
      <c r="A20" s="169" t="s">
        <v>210</v>
      </c>
      <c r="B20" s="100">
        <v>0</v>
      </c>
      <c r="C20" s="100">
        <v>0</v>
      </c>
      <c r="D20" s="100">
        <v>0</v>
      </c>
      <c r="E20" s="100">
        <v>1</v>
      </c>
      <c r="F20" s="100">
        <v>1</v>
      </c>
      <c r="G20" s="100">
        <v>1</v>
      </c>
      <c r="H20" s="100">
        <v>0</v>
      </c>
      <c r="I20" s="100">
        <v>0</v>
      </c>
      <c r="J20" s="100">
        <v>0</v>
      </c>
      <c r="K20" s="100">
        <v>1</v>
      </c>
      <c r="L20" s="100">
        <v>0</v>
      </c>
      <c r="M20" s="100">
        <v>0</v>
      </c>
      <c r="N20" s="100">
        <v>0</v>
      </c>
      <c r="O20" s="100">
        <v>1</v>
      </c>
      <c r="P20" s="100">
        <v>1</v>
      </c>
      <c r="Q20" s="100">
        <v>1</v>
      </c>
      <c r="R20" s="100">
        <v>1</v>
      </c>
      <c r="S20" s="100">
        <v>0</v>
      </c>
      <c r="T20" s="100">
        <v>0</v>
      </c>
      <c r="U20" s="100">
        <v>0</v>
      </c>
    </row>
    <row r="21" spans="1:21" customFormat="1" x14ac:dyDescent="0.15">
      <c r="A21" s="169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</row>
    <row r="22" spans="1:21" customFormat="1" x14ac:dyDescent="0.15">
      <c r="A22" s="169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2" t="s">
        <v>212</v>
      </c>
    </row>
    <row r="2" spans="1:3" x14ac:dyDescent="0.15">
      <c r="A2">
        <v>1</v>
      </c>
      <c r="B2" s="171" t="s">
        <v>192</v>
      </c>
      <c r="C2">
        <v>0.8</v>
      </c>
    </row>
    <row r="3" spans="1:3" x14ac:dyDescent="0.15">
      <c r="A3">
        <v>2</v>
      </c>
      <c r="B3" s="171" t="s">
        <v>193</v>
      </c>
      <c r="C3">
        <v>0.8</v>
      </c>
    </row>
    <row r="4" spans="1:3" x14ac:dyDescent="0.15">
      <c r="A4">
        <v>3</v>
      </c>
      <c r="B4" s="171" t="s">
        <v>194</v>
      </c>
      <c r="C4">
        <v>0.8</v>
      </c>
    </row>
    <row r="5" spans="1:3" x14ac:dyDescent="0.15">
      <c r="A5">
        <v>4</v>
      </c>
      <c r="B5" s="171" t="s">
        <v>195</v>
      </c>
      <c r="C5">
        <v>0</v>
      </c>
    </row>
    <row r="6" spans="1:3" x14ac:dyDescent="0.15">
      <c r="A6">
        <v>5</v>
      </c>
      <c r="B6" s="171" t="s">
        <v>196</v>
      </c>
      <c r="C6">
        <v>0.8</v>
      </c>
    </row>
    <row r="7" spans="1:3" x14ac:dyDescent="0.15">
      <c r="A7">
        <v>6</v>
      </c>
      <c r="B7" s="171" t="s">
        <v>197</v>
      </c>
      <c r="C7">
        <v>0.8</v>
      </c>
    </row>
    <row r="8" spans="1:3" x14ac:dyDescent="0.15">
      <c r="A8">
        <v>7</v>
      </c>
      <c r="B8" s="171" t="s">
        <v>198</v>
      </c>
      <c r="C8">
        <v>0.8</v>
      </c>
    </row>
    <row r="9" spans="1:3" x14ac:dyDescent="0.15">
      <c r="A9">
        <v>8</v>
      </c>
      <c r="B9" s="171" t="s">
        <v>199</v>
      </c>
      <c r="C9">
        <v>0.8</v>
      </c>
    </row>
    <row r="10" spans="1:3" x14ac:dyDescent="0.15">
      <c r="A10">
        <v>9</v>
      </c>
      <c r="B10" s="171" t="s">
        <v>200</v>
      </c>
      <c r="C10">
        <v>0.8</v>
      </c>
    </row>
    <row r="11" spans="1:3" x14ac:dyDescent="0.15">
      <c r="A11">
        <v>10</v>
      </c>
      <c r="B11" s="171" t="s">
        <v>201</v>
      </c>
      <c r="C11">
        <v>0.8</v>
      </c>
    </row>
    <row r="12" spans="1:3" x14ac:dyDescent="0.15">
      <c r="A12">
        <v>11</v>
      </c>
      <c r="B12" s="171" t="s">
        <v>202</v>
      </c>
      <c r="C12">
        <v>0.8</v>
      </c>
    </row>
    <row r="13" spans="1:3" x14ac:dyDescent="0.15">
      <c r="A13">
        <v>12</v>
      </c>
      <c r="B13" s="171" t="s">
        <v>203</v>
      </c>
      <c r="C13">
        <v>0.8</v>
      </c>
    </row>
    <row r="14" spans="1:3" x14ac:dyDescent="0.15">
      <c r="A14">
        <v>13</v>
      </c>
      <c r="B14" s="171" t="s">
        <v>204</v>
      </c>
      <c r="C14">
        <v>0</v>
      </c>
    </row>
    <row r="15" spans="1:3" x14ac:dyDescent="0.15">
      <c r="A15">
        <v>14</v>
      </c>
      <c r="B15" s="171" t="s">
        <v>205</v>
      </c>
      <c r="C15">
        <v>0.8</v>
      </c>
    </row>
    <row r="16" spans="1:3" x14ac:dyDescent="0.15">
      <c r="A16">
        <v>15</v>
      </c>
      <c r="B16" s="171" t="s">
        <v>206</v>
      </c>
      <c r="C16">
        <v>0</v>
      </c>
    </row>
    <row r="17" spans="1:3" x14ac:dyDescent="0.15">
      <c r="A17">
        <v>16</v>
      </c>
      <c r="B17" s="171" t="s">
        <v>207</v>
      </c>
      <c r="C17">
        <v>0</v>
      </c>
    </row>
    <row r="18" spans="1:3" x14ac:dyDescent="0.15">
      <c r="A18">
        <v>17</v>
      </c>
      <c r="B18" s="171" t="s">
        <v>208</v>
      </c>
      <c r="C18">
        <v>0</v>
      </c>
    </row>
    <row r="19" spans="1:3" x14ac:dyDescent="0.15">
      <c r="A19">
        <v>18</v>
      </c>
      <c r="B19" s="171" t="s">
        <v>209</v>
      </c>
      <c r="C19">
        <v>0</v>
      </c>
    </row>
    <row r="20" spans="1:3" x14ac:dyDescent="0.15">
      <c r="A20">
        <v>19</v>
      </c>
      <c r="B20" s="171" t="s">
        <v>210</v>
      </c>
      <c r="C20">
        <v>0</v>
      </c>
    </row>
    <row r="21" spans="1:3" x14ac:dyDescent="0.15">
      <c r="A21">
        <v>20</v>
      </c>
      <c r="B21" s="171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4" t="s">
        <v>212</v>
      </c>
    </row>
    <row r="2" spans="1:3" x14ac:dyDescent="0.15">
      <c r="A2">
        <v>1</v>
      </c>
      <c r="B2" s="173" t="s">
        <v>192</v>
      </c>
      <c r="C2">
        <v>0.8</v>
      </c>
    </row>
    <row r="3" spans="1:3" x14ac:dyDescent="0.15">
      <c r="A3">
        <v>2</v>
      </c>
      <c r="B3" s="173" t="s">
        <v>193</v>
      </c>
      <c r="C3">
        <v>0.8</v>
      </c>
    </row>
    <row r="4" spans="1:3" x14ac:dyDescent="0.15">
      <c r="A4">
        <v>3</v>
      </c>
      <c r="B4" s="173" t="s">
        <v>194</v>
      </c>
      <c r="C4">
        <v>0.8</v>
      </c>
    </row>
    <row r="5" spans="1:3" x14ac:dyDescent="0.15">
      <c r="A5">
        <v>4</v>
      </c>
      <c r="B5" s="173" t="s">
        <v>195</v>
      </c>
      <c r="C5">
        <v>0</v>
      </c>
    </row>
    <row r="6" spans="1:3" x14ac:dyDescent="0.15">
      <c r="A6">
        <v>5</v>
      </c>
      <c r="B6" s="173" t="s">
        <v>196</v>
      </c>
      <c r="C6">
        <v>0.8</v>
      </c>
    </row>
    <row r="7" spans="1:3" x14ac:dyDescent="0.15">
      <c r="A7">
        <v>6</v>
      </c>
      <c r="B7" s="173" t="s">
        <v>197</v>
      </c>
      <c r="C7">
        <v>0.8</v>
      </c>
    </row>
    <row r="8" spans="1:3" x14ac:dyDescent="0.15">
      <c r="A8">
        <v>7</v>
      </c>
      <c r="B8" s="173" t="s">
        <v>198</v>
      </c>
      <c r="C8">
        <v>0.8</v>
      </c>
    </row>
    <row r="9" spans="1:3" x14ac:dyDescent="0.15">
      <c r="A9">
        <v>8</v>
      </c>
      <c r="B9" s="173" t="s">
        <v>199</v>
      </c>
      <c r="C9">
        <v>0.8</v>
      </c>
    </row>
    <row r="10" spans="1:3" x14ac:dyDescent="0.15">
      <c r="A10">
        <v>9</v>
      </c>
      <c r="B10" s="173" t="s">
        <v>200</v>
      </c>
      <c r="C10">
        <v>0.8</v>
      </c>
    </row>
    <row r="11" spans="1:3" x14ac:dyDescent="0.15">
      <c r="A11">
        <v>10</v>
      </c>
      <c r="B11" s="173" t="s">
        <v>201</v>
      </c>
      <c r="C11">
        <v>0.8</v>
      </c>
    </row>
    <row r="12" spans="1:3" x14ac:dyDescent="0.15">
      <c r="A12">
        <v>11</v>
      </c>
      <c r="B12" s="173" t="s">
        <v>202</v>
      </c>
      <c r="C12">
        <v>0.8</v>
      </c>
    </row>
    <row r="13" spans="1:3" x14ac:dyDescent="0.15">
      <c r="A13">
        <v>12</v>
      </c>
      <c r="B13" s="173" t="s">
        <v>203</v>
      </c>
      <c r="C13">
        <v>0.8</v>
      </c>
    </row>
    <row r="14" spans="1:3" x14ac:dyDescent="0.15">
      <c r="A14">
        <v>13</v>
      </c>
      <c r="B14" s="173" t="s">
        <v>204</v>
      </c>
      <c r="C14">
        <v>0</v>
      </c>
    </row>
    <row r="15" spans="1:3" x14ac:dyDescent="0.15">
      <c r="A15">
        <v>14</v>
      </c>
      <c r="B15" s="173" t="s">
        <v>205</v>
      </c>
      <c r="C15">
        <v>0.8</v>
      </c>
    </row>
    <row r="16" spans="1:3" x14ac:dyDescent="0.15">
      <c r="A16">
        <v>15</v>
      </c>
      <c r="B16" s="173" t="s">
        <v>206</v>
      </c>
      <c r="C16">
        <v>0</v>
      </c>
    </row>
    <row r="17" spans="1:3" x14ac:dyDescent="0.15">
      <c r="A17">
        <v>16</v>
      </c>
      <c r="B17" s="173" t="s">
        <v>207</v>
      </c>
      <c r="C17">
        <v>0</v>
      </c>
    </row>
    <row r="18" spans="1:3" x14ac:dyDescent="0.15">
      <c r="A18">
        <v>17</v>
      </c>
      <c r="B18" s="173" t="s">
        <v>208</v>
      </c>
      <c r="C18">
        <v>0</v>
      </c>
    </row>
    <row r="19" spans="1:3" x14ac:dyDescent="0.15">
      <c r="A19">
        <v>18</v>
      </c>
      <c r="B19" s="173" t="s">
        <v>209</v>
      </c>
      <c r="C19">
        <v>0</v>
      </c>
    </row>
    <row r="20" spans="1:3" x14ac:dyDescent="0.15">
      <c r="A20">
        <v>19</v>
      </c>
      <c r="B20" s="173" t="s">
        <v>210</v>
      </c>
      <c r="C20">
        <v>0</v>
      </c>
    </row>
    <row r="21" spans="1:3" x14ac:dyDescent="0.15">
      <c r="A21">
        <v>20</v>
      </c>
      <c r="B21" s="173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74"/>
    <col min="2" max="2" width="41.83203125" style="74" bestFit="1" customWidth="1"/>
    <col min="3" max="3" width="9.33203125" style="74" bestFit="1" customWidth="1"/>
    <col min="4" max="4" width="13" style="74" bestFit="1" customWidth="1"/>
    <col min="5" max="6" width="9.33203125" style="74" bestFit="1" customWidth="1"/>
    <col min="7" max="7" width="9.33203125" style="90" bestFit="1" customWidth="1"/>
    <col min="8" max="8" width="9.33203125" style="74" bestFit="1" customWidth="1"/>
    <col min="9" max="9" width="11" style="74" customWidth="1"/>
    <col min="10" max="10" width="8.83203125" style="74"/>
    <col min="15" max="16384" width="8.83203125" style="7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3.0981564521789551</v>
      </c>
      <c r="D2" s="9">
        <v>4.0031981468200684</v>
      </c>
      <c r="E2" s="9">
        <v>4.2765297889709473</v>
      </c>
      <c r="F2" s="9">
        <v>13.695531845092773</v>
      </c>
      <c r="G2" s="9">
        <v>0.95730584859848022</v>
      </c>
      <c r="H2" s="9">
        <v>0.31225728988647461</v>
      </c>
      <c r="I2">
        <v>3.0000000260770321E-3</v>
      </c>
      <c r="J2"/>
    </row>
    <row r="3" spans="1:10" ht="15" customHeight="1" x14ac:dyDescent="0.15">
      <c r="A3" s="136">
        <v>2</v>
      </c>
      <c r="B3" s="136" t="s">
        <v>193</v>
      </c>
      <c r="C3" s="8">
        <v>3.7393720149993896</v>
      </c>
      <c r="D3" s="9">
        <v>1.3724451065063477</v>
      </c>
      <c r="E3" s="9">
        <v>0.68033325672149658</v>
      </c>
      <c r="F3" s="9">
        <v>9.476262092590332</v>
      </c>
      <c r="G3" s="9">
        <v>0.7994084358215332</v>
      </c>
      <c r="H3" s="9">
        <v>7.1793422102928162E-2</v>
      </c>
      <c r="I3">
        <v>7.0000002160668373E-3</v>
      </c>
      <c r="J3"/>
    </row>
    <row r="4" spans="1:10" ht="15" customHeight="1" x14ac:dyDescent="0.15">
      <c r="A4" s="137">
        <v>3</v>
      </c>
      <c r="B4" s="137" t="s">
        <v>194</v>
      </c>
      <c r="C4" s="8">
        <v>3.9068868160247803</v>
      </c>
      <c r="D4" s="9">
        <v>0.76143145561218262</v>
      </c>
      <c r="E4" s="9">
        <v>1.2834099531173706</v>
      </c>
      <c r="F4" s="9">
        <v>8.9972848892211914</v>
      </c>
      <c r="G4" s="9">
        <v>0.75834912061691284</v>
      </c>
      <c r="H4" s="9">
        <v>0.14264413714408875</v>
      </c>
      <c r="I4">
        <v>3.7999998778104782E-2</v>
      </c>
      <c r="J4"/>
    </row>
    <row r="5" spans="1:10" ht="15" customHeight="1" x14ac:dyDescent="0.15">
      <c r="A5" s="138">
        <v>4</v>
      </c>
      <c r="B5" s="138" t="s">
        <v>195</v>
      </c>
      <c r="C5" s="8">
        <v>2.9121091365814209</v>
      </c>
      <c r="D5" s="9">
        <v>0.91362875699996948</v>
      </c>
      <c r="E5" s="9">
        <v>0.28245055675506592</v>
      </c>
      <c r="F5" s="9">
        <v>9.1998825073242188</v>
      </c>
      <c r="G5" s="9">
        <v>0.77267533540725708</v>
      </c>
      <c r="H5" s="9">
        <v>3.0701540410518646E-2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3.0892724990844727</v>
      </c>
      <c r="D6" s="9">
        <v>0.66402143239974976</v>
      </c>
      <c r="E6" s="9">
        <v>0.41965937614440918</v>
      </c>
      <c r="F6" s="9">
        <v>9.2877130508422852</v>
      </c>
      <c r="G6" s="9">
        <v>0.89272534847259521</v>
      </c>
      <c r="H6" s="9">
        <v>4.5184358954429626E-2</v>
      </c>
      <c r="I6">
        <v>8.0000003799796104E-3</v>
      </c>
      <c r="J6"/>
    </row>
    <row r="7" spans="1:10" ht="15" customHeight="1" x14ac:dyDescent="0.15">
      <c r="A7" s="140">
        <v>6</v>
      </c>
      <c r="B7" s="140" t="s">
        <v>197</v>
      </c>
      <c r="C7" s="8">
        <v>2.914710521697998</v>
      </c>
      <c r="D7" s="9">
        <v>0.92125964164733887</v>
      </c>
      <c r="E7" s="9">
        <v>2.3116533756256104</v>
      </c>
      <c r="F7" s="9">
        <v>23.373489379882812</v>
      </c>
      <c r="G7" s="9">
        <v>0.87780517339706421</v>
      </c>
      <c r="H7" s="9">
        <v>9.8900653421878815E-2</v>
      </c>
      <c r="I7">
        <v>1.0999999940395355E-2</v>
      </c>
      <c r="J7"/>
    </row>
    <row r="8" spans="1:10" ht="15" customHeight="1" x14ac:dyDescent="0.15">
      <c r="A8" s="141">
        <v>7</v>
      </c>
      <c r="B8" s="141" t="s">
        <v>198</v>
      </c>
      <c r="C8" s="8">
        <v>3.8777246475219727</v>
      </c>
      <c r="D8" s="9">
        <v>8.0425895750522614E-2</v>
      </c>
      <c r="E8" s="9">
        <v>0.56307995319366455</v>
      </c>
      <c r="F8" s="9">
        <v>4.281303882598877</v>
      </c>
      <c r="G8" s="9">
        <v>0.92778569459915161</v>
      </c>
      <c r="H8" s="9">
        <v>0.13152067363262177</v>
      </c>
      <c r="I8">
        <v>1.8999999389052391E-2</v>
      </c>
      <c r="J8"/>
    </row>
    <row r="9" spans="1:10" ht="15" customHeight="1" x14ac:dyDescent="0.15">
      <c r="A9" s="142">
        <v>8</v>
      </c>
      <c r="B9" s="142" t="s">
        <v>199</v>
      </c>
      <c r="C9" s="8">
        <v>3.2108659744262695</v>
      </c>
      <c r="D9" s="9">
        <v>0.41858145594596863</v>
      </c>
      <c r="E9" s="9">
        <v>0.86114990711212158</v>
      </c>
      <c r="F9" s="9">
        <v>6.7404642105102539</v>
      </c>
      <c r="G9" s="9">
        <v>0.88388746976852417</v>
      </c>
      <c r="H9" s="9">
        <v>0.12775824964046478</v>
      </c>
      <c r="I9">
        <v>1.4000000432133675E-2</v>
      </c>
      <c r="J9"/>
    </row>
    <row r="10" spans="1:10" ht="15" customHeight="1" x14ac:dyDescent="0.15">
      <c r="A10" s="143">
        <v>9</v>
      </c>
      <c r="B10" s="143" t="s">
        <v>200</v>
      </c>
      <c r="C10" s="8">
        <v>4.00457763671875</v>
      </c>
      <c r="D10" s="9">
        <v>0.38137838244438171</v>
      </c>
      <c r="E10" s="9">
        <v>0.48464253544807434</v>
      </c>
      <c r="F10" s="9">
        <v>4.4795265197753906</v>
      </c>
      <c r="G10" s="9">
        <v>0.92168545722961426</v>
      </c>
      <c r="H10" s="9">
        <v>0.10819057375192642</v>
      </c>
      <c r="I10">
        <v>1.0000000474974513E-3</v>
      </c>
      <c r="J10"/>
    </row>
    <row r="11" spans="1:10" ht="15" customHeight="1" x14ac:dyDescent="0.15">
      <c r="A11" s="144">
        <v>10</v>
      </c>
      <c r="B11" s="144" t="s">
        <v>201</v>
      </c>
      <c r="C11" s="8">
        <v>3.3051111698150635</v>
      </c>
      <c r="D11" s="9">
        <v>0.19639459252357483</v>
      </c>
      <c r="E11" s="9">
        <v>0.43400746583938599</v>
      </c>
      <c r="F11" s="9">
        <v>8.3464365005493164</v>
      </c>
      <c r="G11" s="9">
        <v>0.8754926323890686</v>
      </c>
      <c r="H11" s="9">
        <v>5.1999133080244064E-2</v>
      </c>
      <c r="I11">
        <v>1.0000000474974513E-3</v>
      </c>
      <c r="J11"/>
    </row>
    <row r="12" spans="1:10" ht="15" customHeight="1" x14ac:dyDescent="0.15">
      <c r="A12" s="145">
        <v>11</v>
      </c>
      <c r="B12" s="145" t="s">
        <v>202</v>
      </c>
      <c r="C12" s="8">
        <v>4.2547993659973145</v>
      </c>
      <c r="D12" s="9">
        <v>7.9232208430767059E-2</v>
      </c>
      <c r="E12" s="9">
        <v>0.90667116641998291</v>
      </c>
      <c r="F12" s="9">
        <v>7.3640995025634766</v>
      </c>
      <c r="G12" s="9">
        <v>0.64033359289169312</v>
      </c>
      <c r="H12" s="9">
        <v>0.12312044203281403</v>
      </c>
      <c r="I12">
        <v>4.6000000089406967E-2</v>
      </c>
      <c r="J12"/>
    </row>
    <row r="13" spans="1:10" ht="15" customHeight="1" x14ac:dyDescent="0.15">
      <c r="A13" s="146">
        <v>12</v>
      </c>
      <c r="B13" s="146" t="s">
        <v>203</v>
      </c>
      <c r="C13" s="8">
        <v>3.6717841625213623</v>
      </c>
      <c r="D13" s="9">
        <v>0.52688109874725342</v>
      </c>
      <c r="E13" s="9">
        <v>0.29954820871353149</v>
      </c>
      <c r="F13" s="9">
        <v>8.1429986953735352</v>
      </c>
      <c r="G13" s="9">
        <v>0.89727741479873657</v>
      </c>
      <c r="H13" s="9">
        <v>3.6785982549190521E-2</v>
      </c>
      <c r="I13">
        <v>0.11999999731779099</v>
      </c>
      <c r="J13"/>
    </row>
    <row r="14" spans="1:10" ht="15" customHeight="1" x14ac:dyDescent="0.15">
      <c r="A14" s="147">
        <v>13</v>
      </c>
      <c r="B14" s="147" t="s">
        <v>204</v>
      </c>
      <c r="C14" s="8">
        <v>4.0563597679138184</v>
      </c>
      <c r="D14" s="9">
        <v>0.11094614118337631</v>
      </c>
      <c r="E14" s="9">
        <v>1.63865065574646</v>
      </c>
      <c r="F14" s="9">
        <v>37.664154052734375</v>
      </c>
      <c r="G14" s="9">
        <v>0.93148660659790039</v>
      </c>
      <c r="H14" s="9">
        <v>4.350690171122551E-2</v>
      </c>
      <c r="I14">
        <v>0</v>
      </c>
      <c r="J14"/>
    </row>
    <row r="15" spans="1:10" ht="15" customHeight="1" x14ac:dyDescent="0.15">
      <c r="A15" s="148">
        <v>14</v>
      </c>
      <c r="B15" s="148" t="s">
        <v>205</v>
      </c>
      <c r="C15" s="8">
        <v>2.3060462474822998</v>
      </c>
      <c r="D15" s="9">
        <v>3.3051624298095703</v>
      </c>
      <c r="E15" s="9">
        <v>8.1066427230834961</v>
      </c>
      <c r="F15" s="9">
        <v>40.927978515625</v>
      </c>
      <c r="G15" s="9">
        <v>0.89169085025787354</v>
      </c>
      <c r="H15" s="9">
        <v>0.19807092845439911</v>
      </c>
      <c r="I15">
        <v>4.3000001460313797E-2</v>
      </c>
      <c r="J15"/>
    </row>
    <row r="16" spans="1:10" ht="15" customHeight="1" x14ac:dyDescent="0.15">
      <c r="A16" s="149">
        <v>15</v>
      </c>
      <c r="B16" s="149" t="s">
        <v>206</v>
      </c>
      <c r="C16" s="8">
        <v>2.8666248321533203</v>
      </c>
      <c r="D16" s="9">
        <v>2.4684641361236572</v>
      </c>
      <c r="E16" s="9">
        <v>2.0626208782196045</v>
      </c>
      <c r="F16" s="9">
        <v>7.8779168128967285</v>
      </c>
      <c r="G16" s="9">
        <v>0.97666686773300171</v>
      </c>
      <c r="H16" s="9">
        <v>0.2618231475353241</v>
      </c>
      <c r="I16">
        <v>0</v>
      </c>
      <c r="J16"/>
    </row>
    <row r="17" spans="1:10" ht="15" customHeight="1" x14ac:dyDescent="0.15">
      <c r="A17" s="150">
        <v>16</v>
      </c>
      <c r="B17" s="150" t="s">
        <v>207</v>
      </c>
      <c r="C17" s="8">
        <v>2</v>
      </c>
      <c r="D17" s="9">
        <v>35.82318115234375</v>
      </c>
      <c r="E17" s="9">
        <v>5.3611583709716797</v>
      </c>
      <c r="F17" s="9">
        <v>32.348831176757812</v>
      </c>
      <c r="G17" s="9">
        <v>0.22156494855880737</v>
      </c>
      <c r="H17" s="9">
        <v>0.1657295823097229</v>
      </c>
      <c r="I17">
        <v>0</v>
      </c>
      <c r="J17"/>
    </row>
    <row r="18" spans="1:10" ht="15" customHeight="1" x14ac:dyDescent="0.15">
      <c r="A18" s="151">
        <v>17</v>
      </c>
      <c r="B18" s="151" t="s">
        <v>208</v>
      </c>
      <c r="C18" s="8">
        <v>2.0471413135528564</v>
      </c>
      <c r="D18" s="9">
        <v>5.3468480110168457</v>
      </c>
      <c r="E18" s="9">
        <v>21.793249130249023</v>
      </c>
      <c r="F18" s="9">
        <v>118.04093170166016</v>
      </c>
      <c r="G18" s="9">
        <v>0.95739483833312988</v>
      </c>
      <c r="H18" s="9">
        <v>0.18462450802326202</v>
      </c>
      <c r="I18">
        <v>0</v>
      </c>
      <c r="J18"/>
    </row>
    <row r="19" spans="1:10" ht="15" customHeight="1" x14ac:dyDescent="0.15">
      <c r="A19" s="152">
        <v>18</v>
      </c>
      <c r="B19" s="152" t="s">
        <v>209</v>
      </c>
      <c r="C19" s="8">
        <v>1</v>
      </c>
      <c r="D19" s="9">
        <v>43.381790161132812</v>
      </c>
      <c r="E19" s="9">
        <v>117.34940338134766</v>
      </c>
      <c r="F19" s="10"/>
      <c r="G19" s="9">
        <v>8.7876610457897186E-2</v>
      </c>
      <c r="H19" s="10"/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1</v>
      </c>
      <c r="D20" s="9">
        <v>2.5</v>
      </c>
      <c r="E20" s="10"/>
      <c r="F20" s="10"/>
      <c r="G20" s="9">
        <v>0.27217340469360352</v>
      </c>
      <c r="H20" s="10"/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4.5438623428344727</v>
      </c>
      <c r="D22" s="10"/>
      <c r="E22" s="10"/>
      <c r="F22" s="10"/>
      <c r="G22" s="10"/>
      <c r="H22" s="10"/>
      <c r="I22">
        <v>0.31100001931190491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4" bestFit="1" customWidth="1"/>
    <col min="2" max="4" width="9.5" style="74" bestFit="1" customWidth="1"/>
    <col min="5" max="7" width="9" style="74" bestFit="1" customWidth="1"/>
    <col min="8" max="16" width="12.6640625" style="74" bestFit="1" customWidth="1"/>
    <col min="17" max="17" width="12.33203125" style="74" bestFit="1" customWidth="1"/>
    <col min="18" max="18" width="8.83203125" style="74"/>
    <col min="19" max="21" width="9.33203125" style="74" bestFit="1" customWidth="1"/>
    <col min="22" max="23" width="8.83203125" style="74"/>
    <col min="24" max="24" width="9.33203125" style="74" bestFit="1" customWidth="1"/>
    <col min="25" max="27" width="8.83203125" style="74"/>
    <col min="28" max="58" width="9" style="74" bestFit="1" customWidth="1"/>
    <col min="59" max="59" width="12.33203125" style="74" bestFit="1" customWidth="1"/>
    <col min="60" max="60" width="9" style="74" bestFit="1" customWidth="1"/>
    <col min="61" max="61" width="11.33203125" style="74" bestFit="1" customWidth="1"/>
    <col min="62" max="77" width="9" style="74" bestFit="1" customWidth="1"/>
    <col min="78" max="78" width="12.33203125" style="74" bestFit="1" customWidth="1"/>
    <col min="79" max="79" width="9" style="74" bestFit="1" customWidth="1"/>
    <col min="80" max="80" width="12.33203125" style="74" bestFit="1" customWidth="1"/>
    <col min="81" max="107" width="9" style="74" bestFit="1" customWidth="1"/>
    <col min="108" max="108" width="11.33203125" style="74" bestFit="1" customWidth="1"/>
    <col min="109" max="124" width="9" style="74" bestFit="1" customWidth="1"/>
    <col min="125" max="125" width="10.33203125" style="74" bestFit="1" customWidth="1"/>
    <col min="126" max="129" width="9.33203125" style="74" bestFit="1" customWidth="1"/>
    <col min="130" max="130" width="9" style="74" bestFit="1" customWidth="1"/>
    <col min="131" max="134" width="9.33203125" style="74" bestFit="1" customWidth="1"/>
    <col min="135" max="165" width="9" style="74" bestFit="1" customWidth="1"/>
    <col min="166" max="166" width="12.33203125" style="74" bestFit="1" customWidth="1"/>
    <col min="167" max="170" width="9" style="74" bestFit="1" customWidth="1"/>
    <col min="171" max="176" width="8.83203125" style="74"/>
    <col min="177" max="177" width="13.83203125" style="74" bestFit="1" customWidth="1"/>
    <col min="178" max="16384" width="8.83203125" style="7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4.2765297889709473</v>
      </c>
      <c r="C2">
        <v>0.18258281052112579</v>
      </c>
      <c r="D2" s="11">
        <v>7.4940081685781479E-4</v>
      </c>
      <c r="E2"/>
      <c r="F2" s="225">
        <v>1.8758846521377563</v>
      </c>
      <c r="G2" s="134">
        <v>1.0721416473388672</v>
      </c>
      <c r="H2"/>
      <c r="I2" s="13">
        <v>0.15836283564567566</v>
      </c>
      <c r="J2"/>
      <c r="K2" s="11">
        <v>1.813530339859426E-3</v>
      </c>
      <c r="L2" s="12">
        <v>1.3997911475598812E-2</v>
      </c>
      <c r="M2" s="12">
        <v>1.333616953343153E-2</v>
      </c>
      <c r="N2"/>
      <c r="O2" s="22">
        <v>3.6763649433851242E-2</v>
      </c>
      <c r="P2" s="217">
        <v>0.36076322197914124</v>
      </c>
      <c r="Q2" s="197">
        <v>0.56013399362564087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0.68033325672149658</v>
      </c>
      <c r="C3">
        <v>0.13646911084651947</v>
      </c>
      <c r="D3" s="22">
        <v>5.1003862172365189E-3</v>
      </c>
      <c r="E3"/>
      <c r="F3"/>
      <c r="G3" s="210">
        <v>0.15412577986717224</v>
      </c>
      <c r="H3"/>
      <c r="I3"/>
      <c r="J3"/>
      <c r="K3" s="12">
        <v>2.5189388543367386E-3</v>
      </c>
      <c r="L3"/>
      <c r="M3" s="214">
        <v>0.21708391606807709</v>
      </c>
      <c r="N3"/>
      <c r="O3" s="17">
        <v>9.287944994866848E-3</v>
      </c>
      <c r="P3"/>
      <c r="Q3" s="211">
        <v>0.15574726462364197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1.2834099531173706</v>
      </c>
      <c r="C4">
        <v>0.31013715267181396</v>
      </c>
      <c r="D4" s="183">
        <v>4.990600049495697E-2</v>
      </c>
      <c r="E4"/>
      <c r="F4" s="134">
        <v>0.32159987092018127</v>
      </c>
      <c r="G4"/>
      <c r="H4"/>
      <c r="I4"/>
      <c r="J4"/>
      <c r="K4"/>
      <c r="L4"/>
      <c r="M4" s="205">
        <v>8.8208474218845367E-2</v>
      </c>
      <c r="N4"/>
      <c r="O4" s="194">
        <v>0.13925544917583466</v>
      </c>
      <c r="P4"/>
      <c r="Q4" s="213">
        <v>0.37430304288864136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0.28245055675506592</v>
      </c>
      <c r="C5">
        <v>6.4207978546619415E-2</v>
      </c>
      <c r="D5"/>
      <c r="E5"/>
      <c r="F5"/>
      <c r="G5"/>
      <c r="H5"/>
      <c r="I5" s="204">
        <v>6.7367963492870331E-2</v>
      </c>
      <c r="J5"/>
      <c r="K5" s="194">
        <v>3.0271422117948532E-2</v>
      </c>
      <c r="L5"/>
      <c r="M5" s="188">
        <v>2.0734779536724091E-2</v>
      </c>
      <c r="N5"/>
      <c r="O5" s="20">
        <v>1.2049687094986439E-2</v>
      </c>
      <c r="P5" s="207">
        <v>8.7818711996078491E-2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0.41965937614440918</v>
      </c>
      <c r="C6">
        <v>4.5018814504146576E-2</v>
      </c>
      <c r="D6" s="133">
        <v>1.2047804892063141E-2</v>
      </c>
      <c r="E6"/>
      <c r="F6"/>
      <c r="G6" s="203">
        <v>9.2484511435031891E-2</v>
      </c>
      <c r="H6"/>
      <c r="I6" s="196">
        <v>4.6345874667167664E-2</v>
      </c>
      <c r="J6"/>
      <c r="K6" s="183">
        <v>1.6139578074216843E-2</v>
      </c>
      <c r="L6"/>
      <c r="M6" s="62">
        <v>2.593548595905304E-2</v>
      </c>
      <c r="N6"/>
      <c r="O6" s="197">
        <v>5.4973125457763672E-2</v>
      </c>
      <c r="P6" s="199">
        <v>6.3594743609428406E-2</v>
      </c>
      <c r="Q6" s="199">
        <v>6.311943382024765E-2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2.3116533756256104</v>
      </c>
      <c r="C7">
        <v>0.28247207403182983</v>
      </c>
      <c r="D7" s="23">
        <v>1.1940173804759979E-2</v>
      </c>
      <c r="E7"/>
      <c r="F7" s="215">
        <v>0.41347590088844299</v>
      </c>
      <c r="G7" s="212">
        <v>0.28145572543144226</v>
      </c>
      <c r="H7"/>
      <c r="I7"/>
      <c r="J7"/>
      <c r="K7" s="23">
        <v>1.1633013375103474E-2</v>
      </c>
      <c r="L7"/>
      <c r="M7" s="98">
        <v>0.3626570999622345</v>
      </c>
      <c r="N7"/>
      <c r="O7" s="202">
        <v>5.5975750088691711E-2</v>
      </c>
      <c r="P7" s="21">
        <v>4.5837532728910446E-2</v>
      </c>
      <c r="Q7" s="221">
        <v>0.84620606899261475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0.56307995319366455</v>
      </c>
      <c r="C8">
        <v>4.0662426501512527E-2</v>
      </c>
      <c r="D8" s="184">
        <v>0.23624230921268463</v>
      </c>
      <c r="E8"/>
      <c r="F8"/>
      <c r="G8"/>
      <c r="H8"/>
      <c r="I8"/>
      <c r="J8"/>
      <c r="K8"/>
      <c r="L8"/>
      <c r="M8" s="191">
        <v>0.21413151919841766</v>
      </c>
      <c r="N8"/>
      <c r="O8" s="187">
        <v>7.2043709456920624E-2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0.86114990711212158</v>
      </c>
      <c r="C9">
        <v>9.9990293383598328E-2</v>
      </c>
      <c r="D9" s="183">
        <v>3.34462970495224E-2</v>
      </c>
      <c r="E9"/>
      <c r="F9"/>
      <c r="G9"/>
      <c r="H9"/>
      <c r="I9"/>
      <c r="J9"/>
      <c r="K9" s="26">
        <v>3.0558660626411438E-2</v>
      </c>
      <c r="L9"/>
      <c r="M9" s="206">
        <v>0.18102943897247314</v>
      </c>
      <c r="N9"/>
      <c r="O9" s="17">
        <v>1.2458176352083683E-2</v>
      </c>
      <c r="P9" s="209">
        <v>0.40353688597679138</v>
      </c>
      <c r="Q9" s="200">
        <v>0.10013023018836975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0.48464253544807434</v>
      </c>
      <c r="C10">
        <v>3.7954557687044144E-2</v>
      </c>
      <c r="D10" s="23">
        <v>2.622067928314209E-3</v>
      </c>
      <c r="E10"/>
      <c r="F10"/>
      <c r="G10"/>
      <c r="H10"/>
      <c r="I10"/>
      <c r="J10"/>
      <c r="K10" s="134">
        <v>0.12146784365177155</v>
      </c>
      <c r="L10"/>
      <c r="M10"/>
      <c r="N10"/>
      <c r="O10" s="195">
        <v>7.9002201557159424E-2</v>
      </c>
      <c r="P10" s="208">
        <v>0.24359582364559174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0.43400746583938599</v>
      </c>
      <c r="C11">
        <v>5.4037127643823624E-2</v>
      </c>
      <c r="D11" s="18">
        <v>5.091790109872818E-3</v>
      </c>
      <c r="E11"/>
      <c r="F11"/>
      <c r="G11"/>
      <c r="H11"/>
      <c r="I11"/>
      <c r="J11"/>
      <c r="K11" s="189">
        <v>7.2171710431575775E-2</v>
      </c>
      <c r="L11"/>
      <c r="M11" s="192">
        <v>8.768937736749649E-2</v>
      </c>
      <c r="N11"/>
      <c r="O11"/>
      <c r="P11" s="201">
        <v>0.21501748263835907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0.90667116641998291</v>
      </c>
      <c r="C12">
        <v>0.32609915733337402</v>
      </c>
      <c r="D12" s="185">
        <v>0.58057200908660889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0.29954820871353149</v>
      </c>
      <c r="C13">
        <v>3.0770367011427879E-2</v>
      </c>
      <c r="D13" s="186">
        <v>0.22775536775588989</v>
      </c>
      <c r="E13"/>
      <c r="F13"/>
      <c r="G13"/>
      <c r="H13"/>
      <c r="I13"/>
      <c r="J13"/>
      <c r="K13" s="62">
        <v>1.9028211012482643E-2</v>
      </c>
      <c r="L13"/>
      <c r="M13"/>
      <c r="N13"/>
      <c r="O13" s="188">
        <v>2.1994259208440781E-2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1.63865065574646</v>
      </c>
      <c r="C14">
        <v>0.11226951330900192</v>
      </c>
      <c r="D14"/>
      <c r="E14"/>
      <c r="F14"/>
      <c r="G14" s="101">
        <v>0.61503010988235474</v>
      </c>
      <c r="H14"/>
      <c r="I14"/>
      <c r="J14"/>
      <c r="K14" s="190">
        <v>0.14333698153495789</v>
      </c>
      <c r="L14"/>
      <c r="M14" s="66">
        <v>0.15522593259811401</v>
      </c>
      <c r="N14"/>
      <c r="O14" s="193">
        <v>0.2350132167339325</v>
      </c>
      <c r="P14"/>
      <c r="Q14" s="198">
        <v>0.37777480483055115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8.1066427230834961</v>
      </c>
      <c r="C15">
        <v>0.87802356481552124</v>
      </c>
      <c r="D15" s="14">
        <v>1.3009951449930668E-2</v>
      </c>
      <c r="E15" s="226">
        <v>2.6508224010467529</v>
      </c>
      <c r="F15" s="23">
        <v>4.1160564869642258E-2</v>
      </c>
      <c r="G15" s="27">
        <v>0.38399779796600342</v>
      </c>
      <c r="H15" s="222">
        <v>0.4247039258480072</v>
      </c>
      <c r="I15" s="68">
        <v>0.52514529228210449</v>
      </c>
      <c r="J15" s="224">
        <v>1.3352475166320801</v>
      </c>
      <c r="K15" s="12">
        <v>2.8345825150609016E-2</v>
      </c>
      <c r="L15" s="16">
        <v>0.1263088583946228</v>
      </c>
      <c r="M15" s="17">
        <v>0.1073373481631279</v>
      </c>
      <c r="N15" s="17">
        <v>0.11231806874275208</v>
      </c>
      <c r="O15" s="14">
        <v>1.2096179649233818E-2</v>
      </c>
      <c r="P15" s="15">
        <v>8.0491684377193451E-2</v>
      </c>
      <c r="Q15" s="18">
        <v>9.5107272267341614E-2</v>
      </c>
      <c r="R15"/>
      <c r="S15" s="223">
        <v>1.2925271987915039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2.0626208782196045</v>
      </c>
      <c r="C16">
        <v>4.8127405345439911E-2</v>
      </c>
      <c r="D16"/>
      <c r="E16" s="187">
        <v>0.26130050420761108</v>
      </c>
      <c r="F16" s="216">
        <v>0.17084765434265137</v>
      </c>
      <c r="G16" s="99">
        <v>0.13821391761302948</v>
      </c>
      <c r="H16" s="19">
        <v>3.4464210271835327E-2</v>
      </c>
      <c r="I16" s="219">
        <v>0.18700690567493439</v>
      </c>
      <c r="J16" s="217">
        <v>0.17273780703544617</v>
      </c>
      <c r="K16" s="22">
        <v>1.7086204141378403E-2</v>
      </c>
      <c r="L16" s="216">
        <v>0.1691218763589859</v>
      </c>
      <c r="M16" s="218">
        <v>0.17720802128314972</v>
      </c>
      <c r="N16" s="219">
        <v>0.18684673309326172</v>
      </c>
      <c r="O16" s="21">
        <v>4.0373239666223526E-2</v>
      </c>
      <c r="P16" s="220">
        <v>0.2856886088848114</v>
      </c>
      <c r="Q16" s="22">
        <v>1.6979245468974113E-2</v>
      </c>
      <c r="R16"/>
      <c r="S16" s="25">
        <v>0.15661861002445221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5.3611583709716797</v>
      </c>
      <c r="C17">
        <v>4.1733136177062988</v>
      </c>
      <c r="D17"/>
      <c r="E17"/>
      <c r="F17" s="23">
        <v>3.3418942242860794E-2</v>
      </c>
      <c r="G17" s="14">
        <v>7.8095905482769012E-3</v>
      </c>
      <c r="H17" s="133">
        <v>0.15840058028697968</v>
      </c>
      <c r="I17" s="15">
        <v>5.6183233857154846E-2</v>
      </c>
      <c r="J17" s="23">
        <v>3.3923052251338959E-2</v>
      </c>
      <c r="K17" s="11">
        <v>1.3800173765048385E-3</v>
      </c>
      <c r="L17" s="23">
        <v>2.7921862900257111E-2</v>
      </c>
      <c r="M17"/>
      <c r="N17" s="14">
        <v>1.1394624598324299E-2</v>
      </c>
      <c r="O17"/>
      <c r="P17" s="22">
        <v>3.9253950119018555E-2</v>
      </c>
      <c r="Q17"/>
      <c r="R17" s="194">
        <v>0.58181196451187134</v>
      </c>
      <c r="S17" s="20">
        <v>0.23634704947471619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21.793249130249023</v>
      </c>
      <c r="C18">
        <v>0.92850488424301147</v>
      </c>
      <c r="D18"/>
      <c r="E18" s="229">
        <v>8.494633674621582</v>
      </c>
      <c r="F18" s="24">
        <v>0.58265542984008789</v>
      </c>
      <c r="G18" s="11">
        <v>1.2761765159666538E-2</v>
      </c>
      <c r="H18"/>
      <c r="I18" s="11">
        <v>1.1511324904859066E-2</v>
      </c>
      <c r="J18" s="227">
        <v>2.1292548179626465</v>
      </c>
      <c r="K18"/>
      <c r="L18" s="22">
        <v>0.173972487449646</v>
      </c>
      <c r="M18"/>
      <c r="N18" s="12">
        <v>6.8828463554382324E-2</v>
      </c>
      <c r="O18"/>
      <c r="P18"/>
      <c r="Q18" s="14">
        <v>3.2922793179750443E-2</v>
      </c>
      <c r="R18" s="69">
        <v>3.671724796295166</v>
      </c>
      <c r="S18" s="19">
        <v>0.3723742663860321</v>
      </c>
      <c r="T18"/>
      <c r="U18" s="228">
        <v>5.3141026496887207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117.34940338134766</v>
      </c>
      <c r="C19">
        <v>107.03713226318359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 s="190">
        <v>10.312268257141113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0.27217340469360352</v>
      </c>
      <c r="D20"/>
      <c r="E20"/>
      <c r="F20"/>
      <c r="G20"/>
      <c r="H20" s="9">
        <v>1.2420754432678223</v>
      </c>
      <c r="I20" s="9">
        <v>1.1694366931915283</v>
      </c>
      <c r="J20" s="9">
        <v>4.093411922454834</v>
      </c>
      <c r="K20"/>
      <c r="L20"/>
      <c r="M20"/>
      <c r="N20" s="9">
        <v>3.053402341902256E-2</v>
      </c>
      <c r="O20"/>
      <c r="P20"/>
      <c r="Q20"/>
      <c r="R20" s="9">
        <v>94.799102783203125</v>
      </c>
      <c r="S20" s="9">
        <v>4.3300037384033203</v>
      </c>
      <c r="T20" s="9">
        <v>1158.8380126953125</v>
      </c>
      <c r="U20" s="9">
        <v>155.36854553222656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5" t="s">
        <v>192</v>
      </c>
      <c r="E5">
        <v>4</v>
      </c>
      <c r="F5">
        <v>3.14</v>
      </c>
      <c r="G5">
        <v>4</v>
      </c>
      <c r="H5" s="176" t="s">
        <v>192</v>
      </c>
      <c r="J5" s="55"/>
      <c r="K5" s="56"/>
    </row>
    <row r="6" spans="1:12" ht="14" thickBot="1" x14ac:dyDescent="0.2">
      <c r="A6" s="39" t="s">
        <v>121</v>
      </c>
      <c r="D6" s="175" t="s">
        <v>193</v>
      </c>
      <c r="E6">
        <v>5</v>
      </c>
      <c r="F6">
        <v>3.14</v>
      </c>
      <c r="G6">
        <v>5</v>
      </c>
      <c r="H6" s="176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5" t="s">
        <v>194</v>
      </c>
      <c r="E7">
        <v>6</v>
      </c>
      <c r="F7">
        <v>3.14</v>
      </c>
      <c r="G7">
        <v>6</v>
      </c>
      <c r="H7" s="176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5" t="s">
        <v>195</v>
      </c>
      <c r="E8">
        <v>7</v>
      </c>
      <c r="F8">
        <v>3.24</v>
      </c>
      <c r="G8">
        <v>7</v>
      </c>
      <c r="H8" s="176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5" t="s">
        <v>196</v>
      </c>
      <c r="E9">
        <v>8</v>
      </c>
      <c r="F9">
        <v>3.24</v>
      </c>
      <c r="G9">
        <v>8</v>
      </c>
      <c r="H9" s="176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5" t="s">
        <v>197</v>
      </c>
      <c r="E10">
        <v>9</v>
      </c>
      <c r="F10">
        <v>3.04</v>
      </c>
      <c r="G10">
        <v>9</v>
      </c>
      <c r="H10" s="176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5" t="s">
        <v>198</v>
      </c>
      <c r="E11">
        <v>10</v>
      </c>
      <c r="F11">
        <v>3.24</v>
      </c>
      <c r="G11">
        <v>10</v>
      </c>
      <c r="H11" s="176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5" t="s">
        <v>199</v>
      </c>
      <c r="E12">
        <v>11</v>
      </c>
      <c r="F12">
        <v>3.24</v>
      </c>
      <c r="G12">
        <v>11</v>
      </c>
      <c r="H12" s="176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5" t="s">
        <v>200</v>
      </c>
      <c r="E13">
        <v>12</v>
      </c>
      <c r="F13">
        <v>3.24</v>
      </c>
      <c r="G13">
        <v>12</v>
      </c>
      <c r="H13" s="176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5" t="s">
        <v>201</v>
      </c>
      <c r="E14">
        <v>13</v>
      </c>
      <c r="F14">
        <v>3.24</v>
      </c>
      <c r="G14">
        <v>13</v>
      </c>
      <c r="H14" s="176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5" t="s">
        <v>202</v>
      </c>
      <c r="E15">
        <v>14</v>
      </c>
      <c r="F15">
        <v>3.14</v>
      </c>
      <c r="G15">
        <v>14</v>
      </c>
      <c r="H15" s="176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5" t="s">
        <v>203</v>
      </c>
      <c r="E16">
        <v>15</v>
      </c>
      <c r="F16">
        <v>3.04</v>
      </c>
      <c r="G16">
        <v>15</v>
      </c>
      <c r="H16" s="176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5" t="s">
        <v>204</v>
      </c>
      <c r="E17">
        <v>16</v>
      </c>
      <c r="F17">
        <v>3.13</v>
      </c>
      <c r="G17">
        <v>16</v>
      </c>
      <c r="H17" s="176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5" t="s">
        <v>205</v>
      </c>
      <c r="E18">
        <v>17</v>
      </c>
      <c r="F18">
        <v>3.02</v>
      </c>
      <c r="G18">
        <v>17</v>
      </c>
      <c r="H18" s="176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5" t="s">
        <v>206</v>
      </c>
      <c r="E19">
        <v>18</v>
      </c>
      <c r="F19">
        <v>3.21</v>
      </c>
      <c r="G19">
        <v>18</v>
      </c>
      <c r="H19" s="176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5" t="s">
        <v>207</v>
      </c>
      <c r="E20">
        <v>19</v>
      </c>
      <c r="F20">
        <v>3.21</v>
      </c>
      <c r="G20">
        <v>19</v>
      </c>
      <c r="H20" s="176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5" t="s">
        <v>208</v>
      </c>
      <c r="E21">
        <v>20</v>
      </c>
      <c r="F21">
        <v>3.11</v>
      </c>
      <c r="G21">
        <v>20</v>
      </c>
      <c r="H21" s="176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5" t="s">
        <v>209</v>
      </c>
      <c r="E22">
        <v>21</v>
      </c>
      <c r="F22">
        <v>2.1</v>
      </c>
      <c r="G22">
        <v>21</v>
      </c>
      <c r="H22" s="176" t="s">
        <v>209</v>
      </c>
    </row>
    <row r="23" spans="1:12" x14ac:dyDescent="0.15">
      <c r="A23" s="34" t="s">
        <v>129</v>
      </c>
      <c r="B23" s="42">
        <v>4</v>
      </c>
      <c r="C23" s="36"/>
      <c r="D23" s="175" t="s">
        <v>210</v>
      </c>
      <c r="E23">
        <v>22</v>
      </c>
      <c r="F23">
        <v>4.0999999999999996</v>
      </c>
      <c r="G23">
        <v>22</v>
      </c>
      <c r="H23" s="176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75" t="s">
        <v>211</v>
      </c>
      <c r="E24">
        <v>23</v>
      </c>
      <c r="F24">
        <v>4.3</v>
      </c>
      <c r="G24">
        <v>23</v>
      </c>
      <c r="H24" s="176" t="s">
        <v>211</v>
      </c>
    </row>
    <row r="25" spans="1:12" x14ac:dyDescent="0.15">
      <c r="A25" s="34" t="s">
        <v>70</v>
      </c>
      <c r="B25" s="42">
        <v>4.2</v>
      </c>
      <c r="C25" s="36"/>
      <c r="D25" s="175" t="s">
        <v>212</v>
      </c>
      <c r="E25">
        <v>24</v>
      </c>
      <c r="F25">
        <v>5</v>
      </c>
      <c r="G25">
        <v>24</v>
      </c>
      <c r="H25" s="176" t="s">
        <v>212</v>
      </c>
    </row>
    <row r="26" spans="1:12" x14ac:dyDescent="0.15">
      <c r="A26" s="34" t="s">
        <v>123</v>
      </c>
      <c r="B26" s="42">
        <v>4.3</v>
      </c>
      <c r="C26" s="36"/>
      <c r="D26" s="175" t="s">
        <v>138</v>
      </c>
      <c r="E26">
        <v>25</v>
      </c>
      <c r="F26">
        <v>6.1</v>
      </c>
      <c r="G26">
        <v>25</v>
      </c>
      <c r="H26" s="176" t="s">
        <v>138</v>
      </c>
    </row>
    <row r="27" spans="1:12" x14ac:dyDescent="0.15">
      <c r="A27" s="34" t="s">
        <v>125</v>
      </c>
      <c r="B27" s="42">
        <v>6.1</v>
      </c>
      <c r="D27" s="175" t="s">
        <v>45</v>
      </c>
      <c r="E27">
        <v>26</v>
      </c>
      <c r="F27">
        <v>6.2</v>
      </c>
      <c r="G27">
        <v>26</v>
      </c>
      <c r="H27" s="176" t="s">
        <v>45</v>
      </c>
    </row>
    <row r="28" spans="1:12" x14ac:dyDescent="0.15">
      <c r="A28" s="34" t="s">
        <v>124</v>
      </c>
      <c r="B28" s="42">
        <v>6.2</v>
      </c>
    </row>
    <row r="29" spans="1:12" x14ac:dyDescent="0.15">
      <c r="A29" s="34" t="s">
        <v>44</v>
      </c>
      <c r="B29" s="42">
        <v>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5" bestFit="1" customWidth="1"/>
    <col min="2" max="2" width="8.83203125" style="74" customWidth="1"/>
    <col min="3" max="3" width="13.1640625" style="74" customWidth="1"/>
    <col min="4" max="4" width="39.6640625" style="74" customWidth="1"/>
    <col min="5" max="5" width="8.1640625" style="74" customWidth="1"/>
    <col min="6" max="6" width="21.6640625" style="74" bestFit="1" customWidth="1"/>
    <col min="7" max="9" width="2.33203125" style="74" customWidth="1"/>
    <col min="10" max="10" width="2.33203125" style="74" bestFit="1" customWidth="1"/>
    <col min="11" max="15" width="2.33203125" style="74" customWidth="1"/>
    <col min="16" max="16" width="2.33203125" style="64" customWidth="1"/>
    <col min="17" max="17" width="2.33203125" style="74" customWidth="1"/>
    <col min="18" max="18" width="2.33203125" style="65" customWidth="1"/>
    <col min="19" max="16384" width="11.5" style="74"/>
  </cols>
  <sheetData>
    <row r="1" spans="1:23" ht="15" customHeight="1" thickBot="1" x14ac:dyDescent="0.2">
      <c r="F1" s="1"/>
      <c r="G1" s="63" t="s">
        <v>46</v>
      </c>
      <c r="H1" s="63" t="s">
        <v>47</v>
      </c>
      <c r="I1" s="63" t="s">
        <v>120</v>
      </c>
      <c r="J1" s="63" t="s">
        <v>132</v>
      </c>
      <c r="K1" s="76" t="s">
        <v>48</v>
      </c>
      <c r="L1" s="65"/>
      <c r="M1" s="76" t="s">
        <v>119</v>
      </c>
      <c r="N1" s="65"/>
      <c r="O1" s="76" t="s">
        <v>49</v>
      </c>
      <c r="P1" s="67"/>
      <c r="Q1" s="76" t="s">
        <v>50</v>
      </c>
      <c r="R1" s="63" t="s">
        <v>154</v>
      </c>
    </row>
    <row r="2" spans="1:23" ht="15" customHeight="1" x14ac:dyDescent="0.15">
      <c r="A2" s="76" t="s">
        <v>51</v>
      </c>
      <c r="B2" s="77">
        <v>0.5</v>
      </c>
      <c r="C2" s="75" t="s">
        <v>52</v>
      </c>
      <c r="D2" s="78"/>
      <c r="F2" s="1"/>
      <c r="G2" s="79"/>
      <c r="H2" s="79"/>
      <c r="I2" s="79" t="s">
        <v>133</v>
      </c>
      <c r="J2" s="79" t="s">
        <v>133</v>
      </c>
      <c r="K2" s="79" t="s">
        <v>52</v>
      </c>
      <c r="L2" s="79" t="s">
        <v>53</v>
      </c>
      <c r="M2" s="79" t="s">
        <v>52</v>
      </c>
      <c r="N2" s="79" t="s">
        <v>53</v>
      </c>
      <c r="O2" s="79" t="s">
        <v>52</v>
      </c>
      <c r="P2" s="80" t="s">
        <v>53</v>
      </c>
      <c r="Q2" s="79"/>
      <c r="R2" s="81" t="s">
        <v>155</v>
      </c>
    </row>
    <row r="3" spans="1:23" ht="15" customHeight="1" thickBot="1" x14ac:dyDescent="0.2">
      <c r="A3" s="76" t="s">
        <v>54</v>
      </c>
      <c r="B3" s="82">
        <v>0.5</v>
      </c>
      <c r="C3" s="75" t="s">
        <v>53</v>
      </c>
      <c r="D3" s="7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2">
        <v>0</v>
      </c>
    </row>
    <row r="5" spans="1:23" ht="15" customHeight="1" x14ac:dyDescent="0.15">
      <c r="A5" s="76" t="s">
        <v>55</v>
      </c>
      <c r="B5" s="83">
        <v>0.5</v>
      </c>
      <c r="C5" s="75" t="s">
        <v>52</v>
      </c>
      <c r="D5" s="7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2">
        <v>0</v>
      </c>
    </row>
    <row r="6" spans="1:23" ht="15" customHeight="1" thickBot="1" x14ac:dyDescent="0.2">
      <c r="A6" s="76"/>
      <c r="B6" s="84">
        <v>0.5</v>
      </c>
      <c r="C6" s="75" t="s">
        <v>53</v>
      </c>
      <c r="D6" s="78"/>
      <c r="F6" s="177" t="s">
        <v>192</v>
      </c>
      <c r="G6" s="74">
        <v>0</v>
      </c>
      <c r="H6" s="74">
        <v>0</v>
      </c>
      <c r="I6" s="74">
        <v>0</v>
      </c>
      <c r="J6" s="74">
        <v>0</v>
      </c>
      <c r="K6" s="74">
        <v>1</v>
      </c>
      <c r="L6" s="74">
        <v>0</v>
      </c>
      <c r="M6" s="74">
        <v>1</v>
      </c>
      <c r="N6" s="74">
        <v>0</v>
      </c>
      <c r="O6" s="74">
        <v>1</v>
      </c>
      <c r="P6" s="64">
        <v>0</v>
      </c>
      <c r="Q6" s="74">
        <v>0</v>
      </c>
      <c r="R6" s="65">
        <v>1</v>
      </c>
      <c r="S6"/>
      <c r="T6"/>
    </row>
    <row r="7" spans="1:23" ht="15" customHeight="1" thickBot="1" x14ac:dyDescent="0.2">
      <c r="F7" s="177" t="s">
        <v>193</v>
      </c>
      <c r="G7" s="74">
        <v>0</v>
      </c>
      <c r="H7" s="74">
        <v>0</v>
      </c>
      <c r="I7" s="74">
        <v>0</v>
      </c>
      <c r="J7" s="74">
        <v>0</v>
      </c>
      <c r="K7" s="74">
        <v>1</v>
      </c>
      <c r="L7" s="74">
        <v>0</v>
      </c>
      <c r="M7" s="74">
        <v>1</v>
      </c>
      <c r="N7" s="74">
        <v>0</v>
      </c>
      <c r="O7" s="74">
        <v>1</v>
      </c>
      <c r="P7" s="64">
        <v>0</v>
      </c>
      <c r="Q7" s="74">
        <v>0</v>
      </c>
      <c r="R7" s="65">
        <v>1</v>
      </c>
      <c r="S7"/>
      <c r="T7"/>
    </row>
    <row r="8" spans="1:23" ht="15" customHeight="1" x14ac:dyDescent="0.15">
      <c r="A8" s="76" t="s">
        <v>56</v>
      </c>
      <c r="B8" s="83">
        <v>1</v>
      </c>
      <c r="C8" s="178" t="s">
        <v>209</v>
      </c>
      <c r="D8" s="78" t="s">
        <v>160</v>
      </c>
      <c r="F8" s="177" t="s">
        <v>194</v>
      </c>
      <c r="G8" s="74">
        <v>0</v>
      </c>
      <c r="H8" s="74">
        <v>0</v>
      </c>
      <c r="I8" s="74">
        <v>0</v>
      </c>
      <c r="J8" s="74">
        <v>0</v>
      </c>
      <c r="K8" s="74">
        <v>1</v>
      </c>
      <c r="L8" s="74">
        <v>0</v>
      </c>
      <c r="M8" s="74">
        <v>1</v>
      </c>
      <c r="N8" s="74">
        <v>0</v>
      </c>
      <c r="O8" s="74">
        <v>1</v>
      </c>
      <c r="P8" s="64">
        <v>0</v>
      </c>
      <c r="Q8" s="74">
        <v>0</v>
      </c>
      <c r="R8" s="65">
        <v>1</v>
      </c>
      <c r="S8"/>
      <c r="T8"/>
      <c r="W8"/>
    </row>
    <row r="9" spans="1:23" ht="15" customHeight="1" x14ac:dyDescent="0.15">
      <c r="A9" s="116" t="s">
        <v>168</v>
      </c>
      <c r="B9" s="85"/>
      <c r="C9" s="73"/>
      <c r="D9" s="78" t="s">
        <v>160</v>
      </c>
      <c r="F9" s="177" t="s">
        <v>195</v>
      </c>
      <c r="G9" s="74">
        <v>0</v>
      </c>
      <c r="H9" s="74">
        <v>0</v>
      </c>
      <c r="I9" s="74">
        <v>0</v>
      </c>
      <c r="J9" s="74">
        <v>0</v>
      </c>
      <c r="K9" s="74">
        <v>1</v>
      </c>
      <c r="L9" s="74">
        <v>0</v>
      </c>
      <c r="M9" s="74">
        <v>1</v>
      </c>
      <c r="N9" s="74">
        <v>0</v>
      </c>
      <c r="O9" s="74">
        <v>1</v>
      </c>
      <c r="P9" s="64">
        <v>0</v>
      </c>
      <c r="Q9" s="74">
        <v>0</v>
      </c>
      <c r="R9" s="65">
        <v>1</v>
      </c>
      <c r="S9"/>
      <c r="T9"/>
      <c r="W9"/>
    </row>
    <row r="10" spans="1:23" ht="15" customHeight="1" x14ac:dyDescent="0.15">
      <c r="B10" s="85"/>
      <c r="C10" s="73"/>
      <c r="D10" s="78" t="s">
        <v>160</v>
      </c>
      <c r="F10" s="177" t="s">
        <v>196</v>
      </c>
      <c r="G10" s="74">
        <v>0</v>
      </c>
      <c r="H10" s="74">
        <v>0</v>
      </c>
      <c r="I10" s="74">
        <v>0</v>
      </c>
      <c r="J10" s="74">
        <v>0</v>
      </c>
      <c r="K10" s="74">
        <v>1</v>
      </c>
      <c r="L10" s="74">
        <v>0</v>
      </c>
      <c r="M10" s="74">
        <v>1</v>
      </c>
      <c r="N10" s="74">
        <v>0</v>
      </c>
      <c r="O10" s="74">
        <v>1</v>
      </c>
      <c r="P10" s="64">
        <v>0</v>
      </c>
      <c r="Q10" s="74">
        <v>0</v>
      </c>
      <c r="R10" s="65">
        <v>1</v>
      </c>
      <c r="S10"/>
      <c r="T10"/>
      <c r="W10"/>
    </row>
    <row r="11" spans="1:23" ht="15" customHeight="1" x14ac:dyDescent="0.15">
      <c r="A11" s="76"/>
      <c r="B11" s="85"/>
      <c r="C11" s="88"/>
      <c r="D11" s="78" t="s">
        <v>160</v>
      </c>
      <c r="F11" s="177" t="s">
        <v>197</v>
      </c>
      <c r="G11" s="74">
        <v>0</v>
      </c>
      <c r="H11" s="74">
        <v>0</v>
      </c>
      <c r="I11" s="74">
        <v>0</v>
      </c>
      <c r="J11" s="74">
        <v>0</v>
      </c>
      <c r="K11" s="74">
        <v>1</v>
      </c>
      <c r="L11" s="74">
        <v>0</v>
      </c>
      <c r="M11" s="74">
        <v>1</v>
      </c>
      <c r="N11" s="74">
        <v>0</v>
      </c>
      <c r="O11" s="74">
        <v>1</v>
      </c>
      <c r="P11" s="64">
        <v>0</v>
      </c>
      <c r="Q11" s="74">
        <v>0</v>
      </c>
      <c r="R11" s="65">
        <v>1</v>
      </c>
      <c r="S11"/>
      <c r="T11"/>
      <c r="W11"/>
    </row>
    <row r="12" spans="1:23" ht="15" customHeight="1" x14ac:dyDescent="0.15">
      <c r="B12" s="85"/>
      <c r="C12" s="89"/>
      <c r="D12" s="78" t="s">
        <v>160</v>
      </c>
      <c r="F12" s="177" t="s">
        <v>198</v>
      </c>
      <c r="G12" s="74">
        <v>0</v>
      </c>
      <c r="H12" s="74">
        <v>0</v>
      </c>
      <c r="I12" s="74">
        <v>0</v>
      </c>
      <c r="J12" s="74">
        <v>0</v>
      </c>
      <c r="K12" s="74">
        <v>1</v>
      </c>
      <c r="L12" s="74">
        <v>0</v>
      </c>
      <c r="M12" s="74">
        <v>1</v>
      </c>
      <c r="N12" s="74">
        <v>0</v>
      </c>
      <c r="O12" s="74">
        <v>1</v>
      </c>
      <c r="P12" s="64">
        <v>0</v>
      </c>
      <c r="Q12" s="74">
        <v>0</v>
      </c>
      <c r="R12" s="65">
        <v>1</v>
      </c>
      <c r="S12"/>
      <c r="T12"/>
      <c r="W12"/>
    </row>
    <row r="13" spans="1:23" ht="15" customHeight="1" x14ac:dyDescent="0.15">
      <c r="B13" s="85"/>
      <c r="C13" s="89"/>
      <c r="D13" s="78" t="s">
        <v>160</v>
      </c>
      <c r="F13" s="177" t="s">
        <v>199</v>
      </c>
      <c r="G13" s="74">
        <v>0</v>
      </c>
      <c r="H13" s="74">
        <v>0</v>
      </c>
      <c r="I13" s="74">
        <v>0</v>
      </c>
      <c r="J13" s="74">
        <v>0</v>
      </c>
      <c r="K13" s="74">
        <v>1</v>
      </c>
      <c r="L13" s="74">
        <v>0</v>
      </c>
      <c r="M13" s="74">
        <v>1</v>
      </c>
      <c r="N13" s="74">
        <v>0</v>
      </c>
      <c r="O13" s="74">
        <v>1</v>
      </c>
      <c r="P13" s="64">
        <v>0</v>
      </c>
      <c r="Q13" s="74">
        <v>0</v>
      </c>
      <c r="R13" s="65">
        <v>1</v>
      </c>
      <c r="S13"/>
      <c r="T13"/>
      <c r="W13"/>
    </row>
    <row r="14" spans="1:23" ht="15" customHeight="1" x14ac:dyDescent="0.15">
      <c r="B14" s="85"/>
      <c r="C14" s="73"/>
      <c r="D14" s="78" t="s">
        <v>160</v>
      </c>
      <c r="F14" s="177" t="s">
        <v>200</v>
      </c>
      <c r="G14" s="74">
        <v>0</v>
      </c>
      <c r="H14" s="74">
        <v>0</v>
      </c>
      <c r="I14" s="74">
        <v>0</v>
      </c>
      <c r="J14" s="74">
        <v>0</v>
      </c>
      <c r="K14" s="74">
        <v>1</v>
      </c>
      <c r="L14" s="74">
        <v>0</v>
      </c>
      <c r="M14" s="74">
        <v>1</v>
      </c>
      <c r="N14" s="74">
        <v>0</v>
      </c>
      <c r="O14" s="74">
        <v>1</v>
      </c>
      <c r="P14" s="64">
        <v>0</v>
      </c>
      <c r="Q14" s="74">
        <v>0</v>
      </c>
      <c r="R14" s="65">
        <v>1</v>
      </c>
      <c r="S14"/>
      <c r="T14"/>
      <c r="W14"/>
    </row>
    <row r="15" spans="1:23" ht="15" customHeight="1" x14ac:dyDescent="0.15">
      <c r="B15" s="85"/>
      <c r="C15" s="73"/>
      <c r="D15" s="78" t="s">
        <v>160</v>
      </c>
      <c r="F15" s="177" t="s">
        <v>201</v>
      </c>
      <c r="G15" s="74">
        <v>0</v>
      </c>
      <c r="H15" s="74">
        <v>0</v>
      </c>
      <c r="I15" s="74">
        <v>0</v>
      </c>
      <c r="J15" s="74">
        <v>0</v>
      </c>
      <c r="K15" s="74">
        <v>1</v>
      </c>
      <c r="L15" s="74">
        <v>0</v>
      </c>
      <c r="M15" s="74">
        <v>1</v>
      </c>
      <c r="N15" s="74">
        <v>0</v>
      </c>
      <c r="O15" s="74">
        <v>1</v>
      </c>
      <c r="P15" s="64">
        <v>0</v>
      </c>
      <c r="Q15" s="74">
        <v>0</v>
      </c>
      <c r="R15" s="65">
        <v>1</v>
      </c>
      <c r="S15"/>
      <c r="T15"/>
      <c r="W15"/>
    </row>
    <row r="16" spans="1:23" ht="15" customHeight="1" x14ac:dyDescent="0.15">
      <c r="B16" s="85"/>
      <c r="C16" s="73"/>
      <c r="D16" s="78" t="s">
        <v>160</v>
      </c>
      <c r="F16" s="177" t="s">
        <v>202</v>
      </c>
      <c r="G16" s="74">
        <v>0</v>
      </c>
      <c r="H16" s="74">
        <v>0</v>
      </c>
      <c r="I16" s="74">
        <v>0</v>
      </c>
      <c r="J16" s="74">
        <v>0</v>
      </c>
      <c r="K16" s="74">
        <v>1</v>
      </c>
      <c r="L16" s="74">
        <v>0</v>
      </c>
      <c r="M16" s="74">
        <v>1</v>
      </c>
      <c r="N16" s="74">
        <v>0</v>
      </c>
      <c r="O16" s="74">
        <v>1</v>
      </c>
      <c r="P16" s="64">
        <v>0</v>
      </c>
      <c r="Q16" s="74">
        <v>0</v>
      </c>
      <c r="R16" s="65">
        <v>1</v>
      </c>
      <c r="S16"/>
      <c r="T16"/>
    </row>
    <row r="17" spans="1:20" ht="15" customHeight="1" thickBot="1" x14ac:dyDescent="0.2">
      <c r="B17" s="84"/>
      <c r="C17" s="73"/>
      <c r="D17" s="78" t="s">
        <v>160</v>
      </c>
      <c r="F17" s="177" t="s">
        <v>203</v>
      </c>
      <c r="G17" s="74">
        <v>0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>
        <v>1</v>
      </c>
      <c r="N17" s="74">
        <v>0</v>
      </c>
      <c r="O17" s="74">
        <v>1</v>
      </c>
      <c r="P17" s="64">
        <v>0</v>
      </c>
      <c r="Q17" s="74">
        <v>0</v>
      </c>
      <c r="R17" s="65">
        <v>1</v>
      </c>
      <c r="S17"/>
      <c r="T17"/>
    </row>
    <row r="18" spans="1:20" ht="15" customHeight="1" thickBot="1" x14ac:dyDescent="0.2">
      <c r="B18" s="86"/>
      <c r="F18" s="177" t="s">
        <v>204</v>
      </c>
      <c r="G18" s="74">
        <v>0</v>
      </c>
      <c r="H18" s="74">
        <v>0</v>
      </c>
      <c r="I18" s="74">
        <v>0</v>
      </c>
      <c r="J18" s="74">
        <v>0</v>
      </c>
      <c r="K18" s="74">
        <v>1</v>
      </c>
      <c r="L18" s="74">
        <v>0</v>
      </c>
      <c r="M18" s="74">
        <v>1</v>
      </c>
      <c r="N18" s="74">
        <v>0</v>
      </c>
      <c r="O18" s="74">
        <v>1</v>
      </c>
      <c r="P18" s="64">
        <v>0</v>
      </c>
      <c r="Q18" s="74">
        <v>0</v>
      </c>
      <c r="R18" s="65">
        <v>1</v>
      </c>
      <c r="S18"/>
      <c r="T18"/>
    </row>
    <row r="19" spans="1:20" ht="15" customHeight="1" x14ac:dyDescent="0.15">
      <c r="A19" s="76" t="s">
        <v>57</v>
      </c>
      <c r="B19" s="83">
        <v>1</v>
      </c>
      <c r="C19" s="179" t="s">
        <v>209</v>
      </c>
      <c r="D19" s="78" t="s">
        <v>160</v>
      </c>
      <c r="F19" s="177" t="s">
        <v>205</v>
      </c>
      <c r="G19" s="74">
        <v>0</v>
      </c>
      <c r="H19" s="74">
        <v>0</v>
      </c>
      <c r="I19" s="74">
        <v>0</v>
      </c>
      <c r="J19" s="74">
        <v>0</v>
      </c>
      <c r="K19" s="74">
        <v>1</v>
      </c>
      <c r="L19" s="74">
        <v>0</v>
      </c>
      <c r="M19" s="74">
        <v>1</v>
      </c>
      <c r="N19" s="74">
        <v>0</v>
      </c>
      <c r="O19" s="74">
        <v>1</v>
      </c>
      <c r="P19" s="64">
        <v>0</v>
      </c>
      <c r="Q19" s="74">
        <v>0</v>
      </c>
      <c r="R19" s="65">
        <v>1</v>
      </c>
      <c r="S19"/>
      <c r="T19"/>
    </row>
    <row r="20" spans="1:20" ht="15" customHeight="1" x14ac:dyDescent="0.15">
      <c r="A20" s="116" t="s">
        <v>168</v>
      </c>
      <c r="B20" s="85"/>
      <c r="C20" s="73"/>
      <c r="D20" s="78" t="s">
        <v>160</v>
      </c>
      <c r="F20" s="177" t="s">
        <v>206</v>
      </c>
      <c r="G20" s="74">
        <v>0</v>
      </c>
      <c r="H20" s="74">
        <v>0</v>
      </c>
      <c r="I20" s="74">
        <v>0</v>
      </c>
      <c r="J20" s="74">
        <v>0</v>
      </c>
      <c r="K20" s="74">
        <v>1</v>
      </c>
      <c r="L20" s="74">
        <v>0</v>
      </c>
      <c r="M20" s="74">
        <v>1</v>
      </c>
      <c r="N20" s="74">
        <v>0</v>
      </c>
      <c r="O20" s="74">
        <v>1</v>
      </c>
      <c r="P20" s="64">
        <v>0</v>
      </c>
      <c r="Q20" s="74">
        <v>0</v>
      </c>
      <c r="R20" s="65">
        <v>1</v>
      </c>
      <c r="S20"/>
      <c r="T20"/>
    </row>
    <row r="21" spans="1:20" ht="15" customHeight="1" x14ac:dyDescent="0.15">
      <c r="B21" s="85"/>
      <c r="C21" s="73"/>
      <c r="D21" s="78" t="s">
        <v>160</v>
      </c>
      <c r="F21" s="177" t="s">
        <v>207</v>
      </c>
      <c r="G21" s="74">
        <v>0</v>
      </c>
      <c r="H21" s="74">
        <v>0</v>
      </c>
      <c r="I21" s="74">
        <v>0</v>
      </c>
      <c r="J21" s="74">
        <v>0</v>
      </c>
      <c r="K21" s="74">
        <v>1</v>
      </c>
      <c r="L21" s="74">
        <v>0</v>
      </c>
      <c r="M21" s="74">
        <v>1</v>
      </c>
      <c r="N21" s="74">
        <v>0</v>
      </c>
      <c r="O21" s="74">
        <v>1</v>
      </c>
      <c r="P21" s="64">
        <v>0</v>
      </c>
      <c r="Q21" s="74">
        <v>0</v>
      </c>
      <c r="R21" s="65">
        <v>1</v>
      </c>
      <c r="S21"/>
      <c r="T21"/>
    </row>
    <row r="22" spans="1:20" ht="15" customHeight="1" x14ac:dyDescent="0.15">
      <c r="A22" s="74"/>
      <c r="B22" s="85"/>
      <c r="C22" s="88"/>
      <c r="D22" s="78" t="s">
        <v>160</v>
      </c>
      <c r="F22" s="177" t="s">
        <v>208</v>
      </c>
      <c r="G22" s="74">
        <v>0</v>
      </c>
      <c r="H22" s="74">
        <v>0</v>
      </c>
      <c r="I22" s="74">
        <v>0</v>
      </c>
      <c r="J22" s="74">
        <v>0</v>
      </c>
      <c r="K22" s="74">
        <v>1</v>
      </c>
      <c r="L22" s="74">
        <v>0</v>
      </c>
      <c r="M22" s="74">
        <v>1</v>
      </c>
      <c r="N22" s="74">
        <v>0</v>
      </c>
      <c r="O22" s="74">
        <v>1</v>
      </c>
      <c r="P22" s="64">
        <v>0</v>
      </c>
      <c r="Q22" s="74">
        <v>0</v>
      </c>
      <c r="R22" s="65">
        <v>1</v>
      </c>
      <c r="S22"/>
      <c r="T22"/>
    </row>
    <row r="23" spans="1:20" ht="15" customHeight="1" x14ac:dyDescent="0.15">
      <c r="A23" s="74"/>
      <c r="B23" s="85"/>
      <c r="C23" s="89"/>
      <c r="D23" s="78" t="s">
        <v>160</v>
      </c>
      <c r="F23" s="177" t="s">
        <v>209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1</v>
      </c>
      <c r="N23" s="74">
        <v>0</v>
      </c>
      <c r="O23" s="74">
        <v>0</v>
      </c>
      <c r="P23" s="64">
        <v>0</v>
      </c>
      <c r="Q23" s="74">
        <v>0</v>
      </c>
      <c r="R23" s="65">
        <v>1</v>
      </c>
      <c r="S23"/>
      <c r="T23"/>
    </row>
    <row r="24" spans="1:20" ht="15" customHeight="1" x14ac:dyDescent="0.15">
      <c r="A24" s="74"/>
      <c r="B24" s="85"/>
      <c r="C24" s="89"/>
      <c r="D24" s="78" t="s">
        <v>160</v>
      </c>
      <c r="F24" s="177" t="s">
        <v>210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1</v>
      </c>
      <c r="O24" s="74">
        <v>0</v>
      </c>
      <c r="P24" s="64">
        <v>1</v>
      </c>
      <c r="Q24" s="74">
        <v>0</v>
      </c>
      <c r="R24" s="65">
        <v>1</v>
      </c>
      <c r="S24"/>
      <c r="T24"/>
    </row>
    <row r="25" spans="1:20" ht="15" customHeight="1" x14ac:dyDescent="0.15">
      <c r="A25" s="74"/>
      <c r="B25" s="85"/>
      <c r="C25" s="73"/>
      <c r="D25" s="78" t="s">
        <v>160</v>
      </c>
      <c r="F25" s="177" t="s">
        <v>211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1</v>
      </c>
      <c r="M25" s="74">
        <v>0</v>
      </c>
      <c r="N25" s="74">
        <v>1</v>
      </c>
      <c r="O25" s="74">
        <v>0</v>
      </c>
      <c r="P25" s="64">
        <v>1</v>
      </c>
      <c r="Q25" s="74">
        <v>0</v>
      </c>
      <c r="R25" s="65">
        <v>1</v>
      </c>
      <c r="S25"/>
      <c r="T25"/>
    </row>
    <row r="26" spans="1:20" ht="15" customHeight="1" x14ac:dyDescent="0.15">
      <c r="B26" s="85"/>
      <c r="C26" s="73"/>
      <c r="D26" s="78" t="s">
        <v>160</v>
      </c>
      <c r="F26" s="177" t="s">
        <v>212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1</v>
      </c>
      <c r="M26" s="74">
        <v>0</v>
      </c>
      <c r="N26" s="74">
        <v>0</v>
      </c>
      <c r="O26" s="74">
        <v>0</v>
      </c>
      <c r="P26" s="64">
        <v>0</v>
      </c>
      <c r="Q26" s="74">
        <v>0</v>
      </c>
      <c r="R26" s="65">
        <v>1</v>
      </c>
      <c r="S26"/>
      <c r="T26"/>
    </row>
    <row r="27" spans="1:20" ht="15" customHeight="1" x14ac:dyDescent="0.15">
      <c r="B27" s="85"/>
      <c r="C27" s="73"/>
      <c r="D27" s="78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4"/>
      <c r="C28" s="73"/>
      <c r="D28" s="78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7"/>
      <c r="B31" s="128" t="s">
        <v>17</v>
      </c>
      <c r="C31" s="128" t="s">
        <v>1</v>
      </c>
      <c r="D31" s="128" t="s">
        <v>161</v>
      </c>
      <c r="E31" s="12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0" t="s">
        <v>209</v>
      </c>
      <c r="B32" s="86">
        <v>43.381790000000002</v>
      </c>
      <c r="C32" s="86">
        <v>117.3494</v>
      </c>
      <c r="D32" s="86">
        <v>5090.8270274260003</v>
      </c>
      <c r="E32" s="119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8"/>
      <c r="B33" s="86"/>
      <c r="C33" s="86"/>
      <c r="D33" s="86"/>
      <c r="E33" s="11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0"/>
      <c r="B34" s="86"/>
      <c r="C34" s="86"/>
      <c r="D34" s="86"/>
      <c r="E34" s="11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6"/>
      <c r="C35" s="86"/>
      <c r="D35" s="86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6"/>
      <c r="C36" s="86"/>
      <c r="D36" s="86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6"/>
      <c r="C37" s="86"/>
      <c r="D37" s="86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6"/>
      <c r="C38" s="86"/>
      <c r="D38" s="86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6"/>
      <c r="C39" s="86"/>
      <c r="D39" s="86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6"/>
      <c r="C40" s="86"/>
      <c r="D40" s="86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6"/>
      <c r="C41" s="86"/>
      <c r="D41" s="87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5090.8270274260003</v>
      </c>
      <c r="E42" s="12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2" customWidth="1"/>
    <col min="3" max="5" width="7.83203125" style="102" customWidth="1"/>
    <col min="6" max="8" width="8.83203125" style="6"/>
    <col min="9" max="9" width="8.1640625" style="6" customWidth="1"/>
    <col min="10" max="10" width="6.1640625" style="6" customWidth="1"/>
    <col min="11" max="11" width="9.83203125" style="6" customWidth="1"/>
    <col min="12" max="12" width="7.33203125" style="6" customWidth="1"/>
    <col min="13" max="13" width="7" style="6" customWidth="1"/>
    <col min="14" max="14" width="8.5" style="6" customWidth="1"/>
    <col min="15" max="15" width="9.1640625" style="6" customWidth="1"/>
    <col min="16" max="16" width="8.6640625" style="6" customWidth="1"/>
    <col min="17" max="17" width="8.83203125" style="6" customWidth="1"/>
    <col min="18" max="18" width="6.83203125" style="6" customWidth="1"/>
    <col min="19" max="19" width="7.1640625" style="6" customWidth="1"/>
    <col min="20" max="20" width="9.33203125" style="6" customWidth="1"/>
    <col min="21" max="21" width="6" style="6" customWidth="1"/>
    <col min="22" max="22" width="7.1640625" style="6" customWidth="1"/>
    <col min="23" max="23" width="8.5" style="6" customWidth="1"/>
    <col min="24" max="24" width="7.1640625" style="6" customWidth="1"/>
    <col min="25" max="25" width="11.33203125" style="6" customWidth="1"/>
    <col min="26" max="26" width="13.164062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2" t="s">
        <v>192</v>
      </c>
      <c r="J1" s="182" t="s">
        <v>193</v>
      </c>
      <c r="K1" s="182" t="s">
        <v>194</v>
      </c>
      <c r="L1" s="182" t="s">
        <v>195</v>
      </c>
      <c r="M1" s="182" t="s">
        <v>196</v>
      </c>
      <c r="N1" s="182" t="s">
        <v>197</v>
      </c>
      <c r="O1" s="182" t="s">
        <v>198</v>
      </c>
      <c r="P1" s="182" t="s">
        <v>199</v>
      </c>
      <c r="Q1" s="182" t="s">
        <v>200</v>
      </c>
      <c r="R1" s="182" t="s">
        <v>201</v>
      </c>
      <c r="S1" s="182" t="s">
        <v>202</v>
      </c>
      <c r="T1" s="182" t="s">
        <v>203</v>
      </c>
      <c r="U1" s="182" t="s">
        <v>204</v>
      </c>
      <c r="V1" s="182" t="s">
        <v>205</v>
      </c>
      <c r="W1" s="182" t="s">
        <v>206</v>
      </c>
      <c r="X1" s="182" t="s">
        <v>207</v>
      </c>
      <c r="Y1" s="182" t="s">
        <v>208</v>
      </c>
      <c r="Z1" s="182" t="s">
        <v>209</v>
      </c>
      <c r="AA1" s="182" t="s">
        <v>210</v>
      </c>
      <c r="AB1" s="182" t="s">
        <v>211</v>
      </c>
      <c r="AC1" s="182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1" t="s">
        <v>192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1" t="s">
        <v>193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1" t="s">
        <v>194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1" t="s">
        <v>195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1" t="s">
        <v>196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1" t="s">
        <v>197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1" t="s">
        <v>198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1" t="s">
        <v>199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1" t="s">
        <v>200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1" t="s">
        <v>201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1" t="s">
        <v>202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1" t="s">
        <v>203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1" t="s">
        <v>204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1" t="s">
        <v>205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1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1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1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1" t="s">
        <v>209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1" t="s">
        <v>210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1" t="s">
        <v>211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1" t="s">
        <v>212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2022-10-23T21:56:57Z</dcterms:modified>
</cp:coreProperties>
</file>