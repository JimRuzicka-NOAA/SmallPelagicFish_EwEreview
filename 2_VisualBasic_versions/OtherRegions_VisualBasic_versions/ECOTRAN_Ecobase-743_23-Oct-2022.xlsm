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295640C4-2D27-0440-8717-3F1F78B30139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Main!$C$2:$N$28</definedName>
    <definedName name="matDetritus">Detritus!$C$2:$E$28</definedName>
    <definedName name="matDiet">Diets!$B$2:$Y$28</definedName>
    <definedName name="matDiscards">Discards!$C$2:$C$27</definedName>
    <definedName name="matFishery">Fishing!$C$2:$C$27</definedName>
    <definedName name="matFishing">Fishing!#REF!</definedName>
    <definedName name="matMort">Mortalities!$A$1:$AD$27</definedName>
    <definedName name="matOut">MainOutputs!$A$2:$I$28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<sst xmlns="http://schemas.openxmlformats.org/spreadsheetml/2006/main" count="855" uniqueCount="225">
  <si>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</si>
  <si>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</si>
  <si>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</si>
  <si>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</si>
  <si>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</si>
  <si>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</si>
  <si>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</si>
  <si>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</si>
  <si>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</si>
  <si>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</si>
  <si>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</si>
  <si>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</si>
  <si>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</si>
  <si>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</si>
  <si>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</si>
  <si>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</si>
  <si>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</si>
  <si>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</si>
  <si>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</si>
  <si>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</si>
  <si>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</si>
  <si>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</si>
  <si>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</si>
  <si>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</si>
  <si>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</si>
  <si>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</si>
  <si>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</si>
  <si>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</si>
  <si>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</si>
  <si>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</si>
  <si>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</si>
  <si>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</si>
  <si>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</si>
  <si>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</si>
  <si>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</si>
  <si>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</si>
  <si>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</si>
  <si>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</si>
  <si>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</si>
  <si>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</si>
  <si>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</si>
  <si>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</si>
  <si>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</si>
  <si>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</si>
  <si>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</si>
  <si>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</si>
  <si>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</si>
  <si>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</si>
  <si>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</si>
  <si>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</si>
  <si>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</si>
  <si>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</si>
  <si>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</si>
  <si>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</si>
  <si>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</si>
  <si>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</si>
  <si>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</si>
  <si>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</si>
  <si>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</si>
  <si>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</si>
  <si>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</si>
  <si>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</si>
  <si>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</si>
  <si>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</si>
  <si>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</si>
  <si>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</si>
  <si>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</si>
  <si>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</si>
  <si>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</si>
  <si>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</si>
  <si>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</si>
  <si>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</si>
  <si>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</si>
  <si>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</si>
  <si>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</si>
  <si>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</si>
  <si>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</si>
  <si>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</si>
  <si>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</si>
  <si>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</si>
  <si>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</si>
  <si>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</si>
  <si>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</si>
  <si>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</si>
  <si>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</si>
  <si>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</si>
  <si>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</si>
  <si>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</si>
  <si>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</si>
  <si>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</si>
  <si>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</si>
  <si>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</si>
  <si>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</si>
  <si>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</si>
  <si>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</si>
  <si>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</si>
  <si>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</si>
  <si>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</si>
  <si>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</si>
  <si>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</si>
  <si>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</si>
  <si>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</si>
  <si>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</si>
  <si>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</si>
  <si>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</si>
  <si>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</si>
  <si>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</si>
  <si>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</si>
  <si>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</si>
  <si>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</si>
  <si>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</si>
  <si>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</si>
  <si>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</si>
  <si>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</si>
  <si>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</si>
  <si>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</si>
  <si>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</si>
  <si>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</si>
  <si>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</si>
  <si>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</si>
  <si>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</si>
  <si>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</si>
  <si>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</si>
  <si>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</si>
  <si>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</si>
  <si>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</si>
  <si>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</si>
  <si>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</si>
  <si>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</si>
  <si>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</si>
  <si>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</si>
  <si>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</si>
  <si>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</si>
  <si>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</si>
  <si>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</si>
  <si>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</si>
  <si>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</si>
  <si>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</si>
  <si>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</si>
  <si>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</si>
  <si>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</si>
  <si>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</si>
  <si>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</si>
  <si>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</si>
  <si>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</si>
  <si>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</si>
  <si>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</si>
  <si>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</si>
  <si>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</si>
  <si>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</si>
  <si>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</si>
  <si>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</si>
  <si>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</si>
  <si>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</si>
  <si>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</si>
  <si>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</si>
  <si>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</si>
  <si>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</si>
  <si>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</si>
  <si>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</si>
  <si>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</si>
  <si>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</si>
  <si>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</si>
  <si>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</si>
  <si>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</si>
  <si>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</si>
  <si>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</si>
  <si>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</si>
  <si>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</si>
  <si>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</si>
  <si>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</si>
  <si>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</si>
  <si>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</si>
  <si>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</si>
  <si>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</si>
  <si>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</si>
  <si>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</si>
  <si>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</si>
  <si>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</si>
  <si>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</si>
  <si>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</si>
  <si>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</si>
  <si>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</si>
  <si>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</si>
  <si>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</si>
  <si>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Sirinhaém River</t>
  </si>
  <si>
    <t>Brazil</t>
  </si>
  <si>
    <t>BOX(-35.07 -8.61,-35.03 -8.57)</t>
  </si>
  <si>
    <t>Estuary</t>
  </si>
  <si>
    <t>WetWeight</t>
  </si>
  <si>
    <t>We developed an Ecopath model in the Estuary of Sirinhaém River (SIR), a small-sized system surrounded by mangroves, subject to high impact, mainly by sugar cane industry and other farming industries in order to describe the food web structure and trophic interactions.</t>
  </si>
  <si>
    <t>https://www.sciencedirect.com/science/article/pii/S0924796317303482</t>
  </si>
  <si>
    <t>https://doi.org/10.1016/j.jmarsys.2018.02.007</t>
  </si>
  <si>
    <t>Phythoplankton</t>
  </si>
  <si>
    <t>Zooplakton</t>
  </si>
  <si>
    <t>Epiphyton</t>
  </si>
  <si>
    <t xml:space="preserve">Microphytobenthos </t>
  </si>
  <si>
    <t>Fiddler crabs</t>
  </si>
  <si>
    <t>Polychaetas</t>
  </si>
  <si>
    <t>Bivalves</t>
  </si>
  <si>
    <t>Gastropods</t>
  </si>
  <si>
    <t xml:space="preserve">Blue crab </t>
  </si>
  <si>
    <t xml:space="preserve">Shrimp </t>
  </si>
  <si>
    <t>Sardines</t>
  </si>
  <si>
    <t xml:space="preserve">Mullet  </t>
  </si>
  <si>
    <t>Flatfish</t>
  </si>
  <si>
    <t>Puffer</t>
  </si>
  <si>
    <t>Mojarra(Eucinostomus spp)</t>
  </si>
  <si>
    <t>Mojarra(Diapterus spp)</t>
  </si>
  <si>
    <t>Snapper</t>
  </si>
  <si>
    <t>Pemecou sea catfish</t>
  </si>
  <si>
    <t>Others Catfish</t>
  </si>
  <si>
    <t xml:space="preserve">Drum </t>
  </si>
  <si>
    <t>Grunt</t>
  </si>
  <si>
    <t>Croaker</t>
  </si>
  <si>
    <t>Snook</t>
  </si>
  <si>
    <t>jack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</si>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</sst>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8E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1" borderId="3" xfId="0" applyNumberFormat="1" applyFont="1" applyFill="1" applyBorder="1"/>
    <xf numFmtId="0" fontId="0" fillId="31" borderId="2" xfId="0" applyFont="1" applyFill="1" applyBorder="1"/>
    <xf numFmtId="0" fontId="0" fillId="31" borderId="3" xfId="0" applyFont="1" applyFill="1" applyBorder="1"/>
    <xf numFmtId="0" fontId="0" fillId="3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25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61" t="s">
        <v>171</v>
      </c>
      <c r="C53" s="100">
        <v>743</v>
      </c>
      <c r="D53" s="100"/>
    </row>
    <row r="54" spans="2:4" x14ac:dyDescent="0.15">
      <c r="B54" s="161" t="s">
        <v>172</v>
      </c>
      <c r="C54" s="161" t="s">
        <v>185</v>
      </c>
      <c r="D54" s="100"/>
    </row>
    <row r="55" spans="2:4" x14ac:dyDescent="0.15">
      <c r="B55" s="161" t="s">
        <v>173</v>
      </c>
      <c r="C55" s="161" t="s">
        <v>186</v>
      </c>
      <c r="D55" s="100"/>
    </row>
    <row r="56" spans="2:4" x14ac:dyDescent="0.15">
      <c r="B56" s="161" t="s">
        <v>174</v>
      </c>
      <c r="C56" s="100">
        <v>2</v>
      </c>
      <c r="D56" s="100"/>
    </row>
    <row r="57" spans="2:4" x14ac:dyDescent="0.15">
      <c r="B57" s="161" t="s">
        <v>175</v>
      </c>
      <c r="C57" s="161" t="s">
        <v>187</v>
      </c>
      <c r="D57" s="100"/>
    </row>
    <row r="58" spans="2:4" x14ac:dyDescent="0.15">
      <c r="B58" s="161" t="s">
        <v>176</v>
      </c>
      <c r="C58" s="161" t="s">
        <v>188</v>
      </c>
      <c r="D58" s="100"/>
    </row>
    <row r="59" spans="2:4" x14ac:dyDescent="0.15">
      <c r="B59" s="161" t="s">
        <v>177</v>
      </c>
      <c r="C59" s="161" t="s">
        <v>189</v>
      </c>
      <c r="D59" s="100"/>
    </row>
    <row r="60" spans="2:4" x14ac:dyDescent="0.15">
      <c r="B60" s="161" t="s">
        <v>178</v>
      </c>
      <c r="C60" s="161" t="s">
        <v>190</v>
      </c>
      <c r="D60" s="100"/>
    </row>
    <row r="61" spans="2:4" x14ac:dyDescent="0.15">
      <c r="B61" s="161" t="s">
        <v>179</v>
      </c>
      <c r="C61" s="100">
        <v>25</v>
      </c>
      <c r="D61" s="100"/>
    </row>
    <row r="62" spans="2:4" x14ac:dyDescent="0.15">
      <c r="B62" s="161" t="s">
        <v>180</v>
      </c>
      <c r="C62" s="100">
        <v>1</v>
      </c>
      <c r="D62" s="100"/>
    </row>
    <row r="63" spans="2:4" x14ac:dyDescent="0.15">
      <c r="B63" s="161" t="s">
        <v>181</v>
      </c>
      <c r="C63" s="100">
        <v>2013</v>
      </c>
      <c r="D63" s="100"/>
    </row>
    <row r="64" spans="2:4" x14ac:dyDescent="0.15">
      <c r="B64" s="161" t="s">
        <v>182</v>
      </c>
      <c r="C64" s="100">
        <v>2</v>
      </c>
      <c r="D64" s="100"/>
    </row>
    <row r="65" spans="2:4" x14ac:dyDescent="0.15">
      <c r="B65" s="161" t="s">
        <v>183</v>
      </c>
      <c r="C65" s="161" t="s">
        <v>191</v>
      </c>
      <c r="D65" s="100"/>
    </row>
    <row r="66" spans="2:4" x14ac:dyDescent="0.15">
      <c r="B66" s="161" t="s">
        <v>184</v>
      </c>
      <c r="C66" s="161" t="s">
        <v>192</v>
      </c>
      <c r="D66" s="100"/>
    </row>
    <row r="67" spans="2:4" x14ac:dyDescent="0.15">
      <c r="B67" s="100"/>
      <c r="C67" s="100"/>
      <c r="D67" s="100"/>
    </row>
    <row r="68" spans="2:4" x14ac:dyDescent="0.15">
      <c r="B68" s="100"/>
      <c r="C68" s="100"/>
      <c r="D68" s="10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7" sqref="P7"/>
    </sheetView>
  </sheetViews>
  <sheetFormatPr baseColWidth="10" defaultColWidth="8.83203125" defaultRowHeight="15" customHeight="1" x14ac:dyDescent="0.15"/>
  <cols>
    <col min="1" max="1" width="22.5" style="73" customWidth="1"/>
    <col min="2" max="3" width="3.33203125" style="73" customWidth="1"/>
    <col min="4" max="4" width="14.33203125" style="73" customWidth="1"/>
    <col min="5" max="5" width="24" style="73" bestFit="1" customWidth="1"/>
    <col min="6" max="6" width="2.33203125" style="73" bestFit="1" customWidth="1"/>
    <col min="7" max="7" width="12.83203125" style="73" bestFit="1" customWidth="1"/>
    <col min="8" max="9" width="6.83203125" style="73" customWidth="1"/>
    <col min="10" max="11" width="12.83203125" style="73" customWidth="1"/>
    <col min="12" max="12" width="2.33203125" style="73" customWidth="1"/>
    <col min="13" max="13" width="3.83203125" style="73" customWidth="1"/>
    <col min="14" max="14" width="2.33203125" style="73" customWidth="1"/>
    <col min="16" max="25" width="8.83203125" style="7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3"/>
  </cols>
  <sheetData>
    <row r="1" spans="1:46" s="90" customFormat="1" ht="15" customHeight="1" x14ac:dyDescent="0.15">
      <c r="A1" s="69" t="s">
        <v>18</v>
      </c>
      <c r="C1" s="70" t="s">
        <v>8</v>
      </c>
      <c r="D1" s="69" t="s">
        <v>23</v>
      </c>
      <c r="E1" s="69" t="s">
        <v>0</v>
      </c>
      <c r="F1" s="69" t="s">
        <v>7</v>
      </c>
      <c r="G1" s="71" t="s">
        <v>13</v>
      </c>
      <c r="H1" s="69" t="s">
        <v>1</v>
      </c>
      <c r="I1" s="69" t="s">
        <v>2</v>
      </c>
      <c r="J1" s="69" t="s">
        <v>14</v>
      </c>
      <c r="K1" s="69" t="s">
        <v>3</v>
      </c>
      <c r="L1" s="69" t="s">
        <v>4</v>
      </c>
      <c r="M1" s="69" t="s">
        <v>5</v>
      </c>
      <c r="N1" s="6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0">
        <v>1</v>
      </c>
      <c r="D2"/>
      <c r="E2" s="162" t="s">
        <v>193</v>
      </c>
      <c r="F2" s="73">
        <v>1</v>
      </c>
      <c r="G2" s="73">
        <v>2.2200000000000002</v>
      </c>
      <c r="H2" s="73">
        <v>652.71</v>
      </c>
      <c r="I2" s="6">
        <v>0</v>
      </c>
      <c r="J2" s="6">
        <v>0.21484030800000001</v>
      </c>
      <c r="K2" s="6">
        <v>0</v>
      </c>
      <c r="L2" s="6">
        <v>0</v>
      </c>
      <c r="M2" s="73">
        <v>0</v>
      </c>
      <c r="N2" s="73">
        <v>0</v>
      </c>
    </row>
    <row r="3" spans="1:46" ht="15" customHeight="1" x14ac:dyDescent="0.15">
      <c r="A3" s="1" t="s">
        <v>9</v>
      </c>
      <c r="B3" s="4">
        <v>24</v>
      </c>
      <c r="C3" s="73">
        <v>2</v>
      </c>
      <c r="D3"/>
      <c r="E3" s="162" t="s">
        <v>194</v>
      </c>
      <c r="F3" s="73">
        <v>0</v>
      </c>
      <c r="G3" s="73">
        <v>1.8452103099999999</v>
      </c>
      <c r="H3" s="73">
        <v>50.21</v>
      </c>
      <c r="I3" s="73">
        <v>150.65</v>
      </c>
      <c r="J3" s="73">
        <v>0.9</v>
      </c>
      <c r="K3" s="73">
        <v>0.3332891</v>
      </c>
      <c r="L3" s="73">
        <v>0</v>
      </c>
      <c r="M3" s="73">
        <v>0.4</v>
      </c>
      <c r="N3" s="73">
        <v>0</v>
      </c>
    </row>
    <row r="4" spans="1:46" ht="15" customHeight="1" x14ac:dyDescent="0.15">
      <c r="A4" s="1" t="s">
        <v>10</v>
      </c>
      <c r="B4" s="4">
        <v>2</v>
      </c>
      <c r="C4" s="73">
        <v>3</v>
      </c>
      <c r="D4"/>
      <c r="E4" s="162" t="s">
        <v>195</v>
      </c>
      <c r="F4" s="73">
        <v>1</v>
      </c>
      <c r="G4" s="73">
        <v>1.37</v>
      </c>
      <c r="H4" s="73">
        <v>153.31</v>
      </c>
      <c r="I4" s="73">
        <v>0</v>
      </c>
      <c r="J4" s="73">
        <v>0.71732370000000001</v>
      </c>
      <c r="K4" s="73">
        <v>0</v>
      </c>
      <c r="L4" s="73">
        <v>0</v>
      </c>
      <c r="M4" s="73">
        <v>0</v>
      </c>
      <c r="N4" s="7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3">
        <v>4</v>
      </c>
      <c r="D5"/>
      <c r="E5" s="162" t="s">
        <v>196</v>
      </c>
      <c r="F5" s="73">
        <v>1</v>
      </c>
      <c r="G5" s="73">
        <v>2.0837364200000001</v>
      </c>
      <c r="H5" s="73">
        <v>209.61</v>
      </c>
      <c r="I5" s="73">
        <v>0</v>
      </c>
      <c r="J5" s="73">
        <v>0.501</v>
      </c>
      <c r="K5" s="73">
        <v>0</v>
      </c>
      <c r="L5" s="73">
        <v>0</v>
      </c>
      <c r="M5" s="73">
        <v>0</v>
      </c>
      <c r="N5" s="73">
        <v>0</v>
      </c>
      <c r="P5" s="65"/>
      <c r="Q5" s="65"/>
      <c r="R5" s="65"/>
    </row>
    <row r="6" spans="1:46" ht="15" customHeight="1" thickBot="1" x14ac:dyDescent="0.2">
      <c r="B6" s="1"/>
      <c r="C6" s="73">
        <v>5</v>
      </c>
      <c r="D6"/>
      <c r="E6" s="162" t="s">
        <v>197</v>
      </c>
      <c r="F6" s="73">
        <v>0</v>
      </c>
      <c r="G6" s="73">
        <v>16</v>
      </c>
      <c r="H6" s="73">
        <v>7.3</v>
      </c>
      <c r="I6" s="73">
        <v>31.89</v>
      </c>
      <c r="J6" s="73">
        <v>0.50940399999999997</v>
      </c>
      <c r="K6" s="73">
        <v>0.22891189200000001</v>
      </c>
      <c r="L6" s="73">
        <v>0</v>
      </c>
      <c r="M6" s="73">
        <v>0.2</v>
      </c>
      <c r="N6" s="73">
        <v>0</v>
      </c>
      <c r="P6" s="65"/>
      <c r="Q6" s="65"/>
      <c r="R6" s="65"/>
      <c r="W6" s="34" t="s">
        <v>31</v>
      </c>
      <c r="X6" s="50">
        <f>MAX(MainOutputs!G:G)</f>
        <v>0.96632212400436401</v>
      </c>
    </row>
    <row r="7" spans="1:46" ht="15" customHeight="1" x14ac:dyDescent="0.15">
      <c r="A7" s="2" t="s">
        <v>27</v>
      </c>
      <c r="B7" s="73">
        <f ca="1">COUNTIF(OFFSET(cornerDiets,1,1,NumLiving+NumDead+1,NumLiving+NumDead),"&gt;0")+NumLiving+NumDead+1</f>
        <v>183</v>
      </c>
      <c r="C7" s="73">
        <v>6</v>
      </c>
      <c r="D7"/>
      <c r="E7" s="162" t="s">
        <v>198</v>
      </c>
      <c r="F7" s="73">
        <v>0</v>
      </c>
      <c r="G7" s="73">
        <v>4.2843249999999999</v>
      </c>
      <c r="H7" s="73">
        <v>2.91</v>
      </c>
      <c r="I7" s="73">
        <v>17.260000000000002</v>
      </c>
      <c r="J7" s="73">
        <v>0.95</v>
      </c>
      <c r="K7" s="73">
        <v>0.16859792200000001</v>
      </c>
      <c r="L7" s="73">
        <v>0</v>
      </c>
      <c r="M7" s="73">
        <v>0.4</v>
      </c>
      <c r="N7" s="73">
        <v>0</v>
      </c>
      <c r="P7" s="65"/>
      <c r="Q7" s="65"/>
      <c r="R7" s="65"/>
    </row>
    <row r="8" spans="1:46" ht="15" customHeight="1" x14ac:dyDescent="0.15">
      <c r="A8" s="2" t="s">
        <v>28</v>
      </c>
      <c r="B8" s="73">
        <f ca="1">COUNTIF(OFFSET(cornerFishing,1,2,NumLiving+NumDead,NumGears),"&gt;0")+NumDead*COUNTIF(OFFSET(cornerDiscards,1,2,NumLiving+NumDead,NumGears),"&gt;0")+NumLiving+NumDead+1</f>
        <v>32</v>
      </c>
      <c r="C8" s="73">
        <v>7</v>
      </c>
      <c r="D8"/>
      <c r="E8" s="162" t="s">
        <v>199</v>
      </c>
      <c r="F8" s="73">
        <v>0</v>
      </c>
      <c r="G8" s="73">
        <v>6.33988</v>
      </c>
      <c r="H8" s="73">
        <v>2</v>
      </c>
      <c r="I8" s="73">
        <v>9</v>
      </c>
      <c r="J8" s="73">
        <v>0.95</v>
      </c>
      <c r="K8" s="73">
        <v>0.222222224</v>
      </c>
      <c r="L8" s="73">
        <v>0</v>
      </c>
      <c r="M8" s="73">
        <v>0.4</v>
      </c>
      <c r="N8" s="73">
        <v>0</v>
      </c>
      <c r="P8" s="65"/>
      <c r="Q8" s="65"/>
      <c r="R8" s="65"/>
    </row>
    <row r="9" spans="1:46" ht="15" customHeight="1" x14ac:dyDescent="0.15">
      <c r="B9" s="1"/>
      <c r="C9" s="73">
        <v>8</v>
      </c>
      <c r="D9"/>
      <c r="E9" s="162" t="s">
        <v>200</v>
      </c>
      <c r="F9" s="73">
        <v>0</v>
      </c>
      <c r="G9" s="73">
        <v>5.270111</v>
      </c>
      <c r="H9" s="73">
        <v>2.65</v>
      </c>
      <c r="I9" s="73">
        <v>38.83</v>
      </c>
      <c r="J9" s="73">
        <v>0.95</v>
      </c>
      <c r="K9" s="73">
        <v>6.8246200000000007E-2</v>
      </c>
      <c r="L9" s="73">
        <v>0</v>
      </c>
      <c r="M9" s="73">
        <v>0.2</v>
      </c>
      <c r="N9" s="73">
        <v>0</v>
      </c>
      <c r="P9" s="65"/>
      <c r="Q9" s="65"/>
      <c r="R9" s="65"/>
    </row>
    <row r="10" spans="1:46" ht="15" customHeight="1" x14ac:dyDescent="0.15">
      <c r="B10" s="1"/>
      <c r="C10" s="73">
        <v>9</v>
      </c>
      <c r="D10"/>
      <c r="E10" s="162" t="s">
        <v>201</v>
      </c>
      <c r="F10" s="73">
        <v>0</v>
      </c>
      <c r="G10" s="73">
        <v>3.74022722</v>
      </c>
      <c r="H10" s="73">
        <v>2</v>
      </c>
      <c r="I10" s="73">
        <v>8</v>
      </c>
      <c r="J10" s="73">
        <v>0.76</v>
      </c>
      <c r="K10" s="73">
        <v>0.25</v>
      </c>
      <c r="L10" s="73">
        <v>0</v>
      </c>
      <c r="M10" s="73">
        <v>0.2</v>
      </c>
      <c r="N10" s="73">
        <v>0</v>
      </c>
    </row>
    <row r="11" spans="1:46" ht="15" customHeight="1" x14ac:dyDescent="0.15">
      <c r="C11" s="73">
        <v>10</v>
      </c>
      <c r="D11"/>
      <c r="E11" s="162" t="s">
        <v>202</v>
      </c>
      <c r="F11" s="73">
        <v>0</v>
      </c>
      <c r="G11" s="73">
        <v>4.2566889999999997</v>
      </c>
      <c r="H11" s="73">
        <v>2.81</v>
      </c>
      <c r="I11" s="73">
        <v>26.9</v>
      </c>
      <c r="J11" s="73">
        <v>0.95</v>
      </c>
      <c r="K11" s="73">
        <v>0.10446097</v>
      </c>
      <c r="L11" s="73">
        <v>0</v>
      </c>
      <c r="M11" s="73">
        <v>0.4</v>
      </c>
      <c r="N11" s="73">
        <v>0</v>
      </c>
    </row>
    <row r="12" spans="1:46" ht="15" customHeight="1" x14ac:dyDescent="0.15">
      <c r="C12" s="73">
        <v>11</v>
      </c>
      <c r="D12"/>
      <c r="E12" s="162" t="s">
        <v>203</v>
      </c>
      <c r="F12" s="73">
        <v>0</v>
      </c>
      <c r="G12" s="73">
        <v>0.30481760000000002</v>
      </c>
      <c r="H12" s="73">
        <v>2.11</v>
      </c>
      <c r="I12" s="73">
        <v>56.86</v>
      </c>
      <c r="J12" s="73">
        <v>0.82439030000000002</v>
      </c>
      <c r="K12" s="73">
        <v>3.7108685799999999E-2</v>
      </c>
      <c r="L12" s="73">
        <v>0</v>
      </c>
      <c r="M12" s="73">
        <v>0.4</v>
      </c>
      <c r="N12" s="73">
        <v>0</v>
      </c>
    </row>
    <row r="13" spans="1:46" ht="15" customHeight="1" x14ac:dyDescent="0.15">
      <c r="C13" s="73">
        <v>12</v>
      </c>
      <c r="D13"/>
      <c r="E13" s="162" t="s">
        <v>204</v>
      </c>
      <c r="F13" s="73">
        <v>0</v>
      </c>
      <c r="G13" s="73">
        <v>3.2370990000000002</v>
      </c>
      <c r="H13" s="73">
        <v>1.88</v>
      </c>
      <c r="I13" s="73">
        <v>43.15</v>
      </c>
      <c r="J13" s="73">
        <v>0.55000000000000004</v>
      </c>
      <c r="K13" s="73">
        <v>4.3568942700000002E-2</v>
      </c>
      <c r="L13" s="73">
        <v>0</v>
      </c>
      <c r="M13" s="73">
        <v>0.4</v>
      </c>
      <c r="N13" s="73">
        <v>0</v>
      </c>
    </row>
    <row r="14" spans="1:46" ht="15" customHeight="1" x14ac:dyDescent="0.15">
      <c r="C14" s="73">
        <v>13</v>
      </c>
      <c r="D14"/>
      <c r="E14" s="162" t="s">
        <v>205</v>
      </c>
      <c r="F14" s="73">
        <v>0</v>
      </c>
      <c r="G14" s="73">
        <v>0.91222340000000002</v>
      </c>
      <c r="H14" s="73">
        <v>3.16</v>
      </c>
      <c r="I14" s="73">
        <v>13.43</v>
      </c>
      <c r="J14" s="73">
        <v>0.555830359</v>
      </c>
      <c r="K14" s="73">
        <v>0.235294119</v>
      </c>
      <c r="L14" s="73">
        <v>0</v>
      </c>
      <c r="M14" s="73">
        <v>0.2</v>
      </c>
      <c r="N14" s="73">
        <v>0</v>
      </c>
    </row>
    <row r="15" spans="1:46" ht="15" customHeight="1" x14ac:dyDescent="0.15">
      <c r="C15" s="73">
        <v>14</v>
      </c>
      <c r="D15"/>
      <c r="E15" s="162" t="s">
        <v>206</v>
      </c>
      <c r="F15" s="73">
        <v>0</v>
      </c>
      <c r="G15" s="73">
        <v>0.87091629999999998</v>
      </c>
      <c r="H15" s="73">
        <v>3.17</v>
      </c>
      <c r="I15" s="73">
        <v>11.06</v>
      </c>
      <c r="J15" s="73">
        <v>0.52846729999999997</v>
      </c>
      <c r="K15" s="73">
        <v>0.286618441</v>
      </c>
      <c r="L15" s="73">
        <v>0</v>
      </c>
      <c r="M15" s="73">
        <v>0.2</v>
      </c>
      <c r="N15" s="73">
        <v>0</v>
      </c>
    </row>
    <row r="16" spans="1:46" ht="15" customHeight="1" x14ac:dyDescent="0.15">
      <c r="C16" s="73">
        <v>15</v>
      </c>
      <c r="D16"/>
      <c r="E16" s="162" t="s">
        <v>207</v>
      </c>
      <c r="F16" s="73">
        <v>0</v>
      </c>
      <c r="G16" s="73">
        <v>2.8205303500000001E-2</v>
      </c>
      <c r="H16" s="73">
        <v>1.33</v>
      </c>
      <c r="I16" s="73">
        <v>12.843999999999999</v>
      </c>
      <c r="J16" s="73">
        <v>0.84982263999999996</v>
      </c>
      <c r="K16" s="73">
        <v>0.1035503</v>
      </c>
      <c r="L16" s="73">
        <v>0</v>
      </c>
      <c r="M16" s="73">
        <v>0.2</v>
      </c>
      <c r="N16" s="73">
        <v>0</v>
      </c>
    </row>
    <row r="17" spans="1:22" ht="15" customHeight="1" x14ac:dyDescent="0.15">
      <c r="C17" s="73">
        <v>16</v>
      </c>
      <c r="D17"/>
      <c r="E17" s="162" t="s">
        <v>208</v>
      </c>
      <c r="F17" s="73">
        <v>0</v>
      </c>
      <c r="G17" s="73">
        <v>1.6120926099999999</v>
      </c>
      <c r="H17" s="73">
        <v>2.9</v>
      </c>
      <c r="I17" s="73">
        <v>10.61</v>
      </c>
      <c r="J17" s="73">
        <v>0.3559794</v>
      </c>
      <c r="K17" s="73">
        <v>0.273327082</v>
      </c>
      <c r="L17" s="73">
        <v>0</v>
      </c>
      <c r="M17" s="73">
        <v>0.2</v>
      </c>
      <c r="N17" s="73">
        <v>0</v>
      </c>
      <c r="V17" s="1" t="s">
        <v>30</v>
      </c>
    </row>
    <row r="18" spans="1:22" ht="15" customHeight="1" x14ac:dyDescent="0.15">
      <c r="C18" s="73">
        <v>17</v>
      </c>
      <c r="D18"/>
      <c r="E18" s="162" t="s">
        <v>209</v>
      </c>
      <c r="F18" s="73">
        <v>0</v>
      </c>
      <c r="G18" s="73">
        <v>7.3668259999999999E-2</v>
      </c>
      <c r="H18" s="73">
        <v>0.33129999999999998</v>
      </c>
      <c r="I18" s="73">
        <v>6.4290000000000003</v>
      </c>
      <c r="J18" s="73">
        <v>6.0111451900000001E-2</v>
      </c>
      <c r="K18" s="73">
        <v>5.1532120000000001E-2</v>
      </c>
      <c r="L18" s="73">
        <v>0</v>
      </c>
      <c r="M18" s="73">
        <v>0.2</v>
      </c>
      <c r="N18" s="73">
        <v>0</v>
      </c>
      <c r="V18" s="1"/>
    </row>
    <row r="19" spans="1:22" ht="15" customHeight="1" x14ac:dyDescent="0.15">
      <c r="C19" s="73">
        <v>18</v>
      </c>
      <c r="D19"/>
      <c r="E19" s="162" t="s">
        <v>210</v>
      </c>
      <c r="F19" s="73">
        <v>0</v>
      </c>
      <c r="G19" s="73">
        <v>4.5734959999999996</v>
      </c>
      <c r="H19" s="73">
        <v>1.38</v>
      </c>
      <c r="I19" s="73">
        <v>9.94</v>
      </c>
      <c r="J19" s="73">
        <v>0.53703080000000003</v>
      </c>
      <c r="K19" s="73">
        <v>0.13883300000000001</v>
      </c>
      <c r="L19" s="73">
        <v>0</v>
      </c>
      <c r="M19" s="73">
        <v>0.2</v>
      </c>
      <c r="N19" s="73">
        <v>0</v>
      </c>
    </row>
    <row r="20" spans="1:22" ht="15" customHeight="1" thickBot="1" x14ac:dyDescent="0.2">
      <c r="C20" s="73">
        <v>19</v>
      </c>
      <c r="D20"/>
      <c r="E20" s="162" t="s">
        <v>211</v>
      </c>
      <c r="F20" s="73">
        <v>0</v>
      </c>
      <c r="G20" s="73">
        <v>1.7989069200000001</v>
      </c>
      <c r="H20" s="73">
        <v>1.1299999999999999</v>
      </c>
      <c r="I20" s="73">
        <v>12.5</v>
      </c>
      <c r="J20" s="73">
        <v>0.57952326499999995</v>
      </c>
      <c r="K20" s="73">
        <v>9.0399999999999994E-2</v>
      </c>
      <c r="L20" s="73">
        <v>0</v>
      </c>
      <c r="M20" s="73">
        <v>0.2</v>
      </c>
      <c r="N20" s="73">
        <v>0</v>
      </c>
    </row>
    <row r="21" spans="1:22" ht="15" customHeight="1" thickBot="1" x14ac:dyDescent="0.2">
      <c r="A21" s="45" t="s">
        <v>137</v>
      </c>
      <c r="B21" s="91"/>
      <c r="C21" s="73">
        <v>20</v>
      </c>
      <c r="D21"/>
      <c r="E21" s="162" t="s">
        <v>212</v>
      </c>
      <c r="F21" s="73">
        <v>0</v>
      </c>
      <c r="G21" s="73">
        <v>0.14974464500000001</v>
      </c>
      <c r="H21" s="73">
        <v>1.73</v>
      </c>
      <c r="I21" s="73">
        <v>9.4350000000000005</v>
      </c>
      <c r="J21" s="73">
        <v>0.46933180000000002</v>
      </c>
      <c r="K21" s="73">
        <v>0.183359832</v>
      </c>
      <c r="L21" s="73">
        <v>0</v>
      </c>
      <c r="M21" s="73">
        <v>0.2</v>
      </c>
      <c r="N21" s="73">
        <v>0</v>
      </c>
    </row>
    <row r="22" spans="1:22" ht="15" customHeight="1" x14ac:dyDescent="0.15">
      <c r="A22" s="92" t="s">
        <v>58</v>
      </c>
      <c r="B22" s="93">
        <v>0</v>
      </c>
      <c r="C22" s="73">
        <v>21</v>
      </c>
      <c r="D22"/>
      <c r="E22" s="162" t="s">
        <v>213</v>
      </c>
      <c r="F22" s="73">
        <v>0</v>
      </c>
      <c r="G22" s="73">
        <v>0.1173</v>
      </c>
      <c r="H22" s="73">
        <v>0.92969999999999997</v>
      </c>
      <c r="I22" s="73">
        <v>8.7850000000000001</v>
      </c>
      <c r="J22" s="73">
        <v>0.86846595999999998</v>
      </c>
      <c r="K22" s="73">
        <v>0.105828121</v>
      </c>
      <c r="L22" s="73">
        <v>0</v>
      </c>
      <c r="M22" s="73">
        <v>0.2</v>
      </c>
      <c r="N22" s="73">
        <v>0</v>
      </c>
    </row>
    <row r="23" spans="1:22" ht="15" customHeight="1" x14ac:dyDescent="0.15">
      <c r="A23" s="92" t="s">
        <v>59</v>
      </c>
      <c r="B23" s="93">
        <v>1</v>
      </c>
      <c r="C23" s="73">
        <v>22</v>
      </c>
      <c r="D23"/>
      <c r="E23" s="162" t="s">
        <v>214</v>
      </c>
      <c r="F23" s="73">
        <v>0</v>
      </c>
      <c r="G23" s="73">
        <v>0.43099999999999999</v>
      </c>
      <c r="H23" s="73">
        <v>0.2122</v>
      </c>
      <c r="I23" s="73">
        <v>6.9</v>
      </c>
      <c r="J23" s="73">
        <v>0.96632200000000001</v>
      </c>
      <c r="K23" s="73">
        <v>3.07536237E-2</v>
      </c>
      <c r="L23" s="73">
        <v>0</v>
      </c>
      <c r="M23" s="73">
        <v>0.2</v>
      </c>
      <c r="N23" s="73">
        <v>0</v>
      </c>
    </row>
    <row r="24" spans="1:22" ht="15" customHeight="1" x14ac:dyDescent="0.15">
      <c r="A24" s="92" t="s">
        <v>60</v>
      </c>
      <c r="B24" s="93">
        <v>2</v>
      </c>
      <c r="C24" s="73">
        <v>23</v>
      </c>
      <c r="D24"/>
      <c r="E24" s="162" t="s">
        <v>215</v>
      </c>
      <c r="F24" s="73">
        <v>0</v>
      </c>
      <c r="G24" s="73">
        <v>2.5739999999999998</v>
      </c>
      <c r="H24" s="73">
        <v>1.68</v>
      </c>
      <c r="I24" s="73">
        <v>5.7</v>
      </c>
      <c r="J24" s="73">
        <v>0.55569440000000003</v>
      </c>
      <c r="K24" s="73">
        <v>0.294736832</v>
      </c>
      <c r="L24" s="73">
        <v>0</v>
      </c>
      <c r="M24" s="73">
        <v>0.2</v>
      </c>
      <c r="N24" s="73">
        <v>0</v>
      </c>
    </row>
    <row r="25" spans="1:22" ht="15" customHeight="1" thickBot="1" x14ac:dyDescent="0.2">
      <c r="A25" s="94" t="s">
        <v>44</v>
      </c>
      <c r="B25" s="95">
        <v>3</v>
      </c>
      <c r="C25" s="73">
        <v>24</v>
      </c>
      <c r="D25"/>
      <c r="E25" s="162" t="s">
        <v>216</v>
      </c>
      <c r="F25" s="73">
        <v>0</v>
      </c>
      <c r="G25" s="73">
        <v>0.22606031600000001</v>
      </c>
      <c r="H25" s="73">
        <v>0.46560000000000001</v>
      </c>
      <c r="I25" s="73">
        <v>6.66</v>
      </c>
      <c r="J25" s="73">
        <v>0.14879021000000001</v>
      </c>
      <c r="K25" s="73">
        <v>6.99099153E-2</v>
      </c>
      <c r="L25" s="73">
        <v>0</v>
      </c>
      <c r="M25" s="73">
        <v>0.2</v>
      </c>
      <c r="N25" s="73">
        <v>0</v>
      </c>
    </row>
    <row r="26" spans="1:22" ht="15" customHeight="1" x14ac:dyDescent="0.15">
      <c r="A26" s="96" t="s">
        <v>140</v>
      </c>
      <c r="C26" s="73">
        <v>25</v>
      </c>
      <c r="D26"/>
      <c r="E26" s="162" t="s">
        <v>217</v>
      </c>
      <c r="F26" s="73">
        <v>2</v>
      </c>
      <c r="G26" s="73">
        <v>2.76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</row>
    <row r="27" spans="1:22" ht="15" customHeight="1" x14ac:dyDescent="0.15">
      <c r="C27" s="73">
        <v>26</v>
      </c>
      <c r="D27"/>
      <c r="E27" s="162" t="s">
        <v>218</v>
      </c>
      <c r="F27" s="73">
        <v>2</v>
      </c>
      <c r="G27" s="73">
        <v>5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</row>
    <row r="28" spans="1:22" ht="15" customHeight="1" x14ac:dyDescent="0.15">
      <c r="C28" s="73">
        <v>27</v>
      </c>
      <c r="D28"/>
      <c r="E28" s="162" t="s">
        <v>219</v>
      </c>
      <c r="F28" s="73">
        <v>3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4" style="130" bestFit="1" customWidth="1"/>
    <col min="2" max="2" width="2.33203125" style="130" bestFit="1" customWidth="1"/>
    <col min="3" max="3" width="3.83203125" style="130" bestFit="1" customWidth="1"/>
    <col min="4" max="5" width="2.33203125" style="130" bestFit="1" customWidth="1"/>
    <col min="6" max="6" width="14.83203125" style="130" bestFit="1" customWidth="1"/>
    <col min="7" max="7" width="13.83203125" style="130" bestFit="1" customWidth="1"/>
    <col min="8" max="8" width="3.83203125" style="130" bestFit="1" customWidth="1"/>
    <col min="9" max="9" width="12.83203125" style="130" bestFit="1" customWidth="1"/>
    <col min="10" max="11" width="14.83203125" style="130" bestFit="1" customWidth="1"/>
    <col min="12" max="12" width="3.83203125" style="130" bestFit="1" customWidth="1"/>
    <col min="13" max="13" width="13.83203125" style="130" bestFit="1" customWidth="1"/>
    <col min="14" max="14" width="14.83203125" style="130" bestFit="1" customWidth="1"/>
    <col min="15" max="15" width="13.83203125" style="130" bestFit="1" customWidth="1"/>
    <col min="16" max="16" width="15.83203125" style="130" bestFit="1" customWidth="1"/>
    <col min="17" max="17" width="14.83203125" style="130" bestFit="1" customWidth="1"/>
    <col min="18" max="21" width="15.83203125" style="130" bestFit="1" customWidth="1"/>
    <col min="22" max="24" width="14.83203125" style="130" bestFit="1" customWidth="1"/>
    <col min="25" max="25" width="15.83203125" style="130" bestFit="1" customWidth="1"/>
    <col min="26" max="27" width="2.33203125" style="130" bestFit="1" customWidth="1"/>
    <col min="28" max="29" width="9" style="130" bestFit="1" customWidth="1"/>
    <col min="30" max="16384" width="8.83203125" style="130"/>
  </cols>
  <sheetData>
    <row r="1" spans="1:34" x14ac:dyDescent="0.15">
      <c r="A1" s="129" t="s">
        <v>19</v>
      </c>
      <c r="B1" s="164" t="s">
        <v>193</v>
      </c>
      <c r="C1" s="164" t="s">
        <v>194</v>
      </c>
      <c r="D1" s="164" t="s">
        <v>195</v>
      </c>
      <c r="E1" s="164" t="s">
        <v>196</v>
      </c>
      <c r="F1" s="164" t="s">
        <v>197</v>
      </c>
      <c r="G1" s="164" t="s">
        <v>198</v>
      </c>
      <c r="H1" s="164" t="s">
        <v>199</v>
      </c>
      <c r="I1" s="164" t="s">
        <v>200</v>
      </c>
      <c r="J1" s="164" t="s">
        <v>201</v>
      </c>
      <c r="K1" s="164" t="s">
        <v>202</v>
      </c>
      <c r="L1" s="164" t="s">
        <v>203</v>
      </c>
      <c r="M1" s="164" t="s">
        <v>204</v>
      </c>
      <c r="N1" s="164" t="s">
        <v>205</v>
      </c>
      <c r="O1" s="164" t="s">
        <v>206</v>
      </c>
      <c r="P1" s="164" t="s">
        <v>207</v>
      </c>
      <c r="Q1" s="164" t="s">
        <v>208</v>
      </c>
      <c r="R1" s="164" t="s">
        <v>209</v>
      </c>
      <c r="S1" s="164" t="s">
        <v>210</v>
      </c>
      <c r="T1" s="164" t="s">
        <v>211</v>
      </c>
      <c r="U1" s="164" t="s">
        <v>212</v>
      </c>
      <c r="V1" s="164" t="s">
        <v>213</v>
      </c>
      <c r="W1" s="164" t="s">
        <v>214</v>
      </c>
      <c r="X1" s="164" t="s">
        <v>215</v>
      </c>
      <c r="Y1" s="164" t="s">
        <v>216</v>
      </c>
      <c r="Z1" s="164" t="s">
        <v>217</v>
      </c>
      <c r="AA1" s="164" t="s">
        <v>218</v>
      </c>
      <c r="AB1"/>
      <c r="AC1"/>
      <c r="AD1"/>
      <c r="AE1"/>
      <c r="AF1"/>
      <c r="AG1"/>
      <c r="AH1"/>
    </row>
    <row r="2" spans="1:34" customFormat="1" x14ac:dyDescent="0.15">
      <c r="A2" s="163" t="s">
        <v>193</v>
      </c>
      <c r="B2" s="130">
        <v>0</v>
      </c>
      <c r="C2" s="130">
        <v>0.8</v>
      </c>
      <c r="D2" s="130">
        <v>0</v>
      </c>
      <c r="E2" s="130">
        <v>0</v>
      </c>
      <c r="F2" s="130">
        <v>0</v>
      </c>
      <c r="G2" s="130">
        <v>0.10872543011987193</v>
      </c>
      <c r="H2" s="130">
        <v>0.6</v>
      </c>
      <c r="I2" s="130">
        <v>0</v>
      </c>
      <c r="J2" s="130">
        <v>0</v>
      </c>
      <c r="K2" s="130">
        <v>0.1439395384742409</v>
      </c>
      <c r="L2" s="130">
        <v>0.5</v>
      </c>
      <c r="M2" s="130">
        <v>0.15391718183207612</v>
      </c>
      <c r="N2" s="130">
        <v>0</v>
      </c>
      <c r="O2" s="130">
        <v>0</v>
      </c>
      <c r="P2" s="130">
        <v>0</v>
      </c>
      <c r="Q2" s="130">
        <v>0</v>
      </c>
      <c r="R2" s="130">
        <v>0</v>
      </c>
      <c r="S2" s="130">
        <v>0</v>
      </c>
      <c r="T2" s="130">
        <v>0</v>
      </c>
      <c r="U2" s="130">
        <v>0</v>
      </c>
      <c r="V2" s="130">
        <v>0</v>
      </c>
      <c r="W2" s="130">
        <v>0</v>
      </c>
      <c r="X2" s="130">
        <v>0</v>
      </c>
      <c r="Y2" s="130">
        <v>0</v>
      </c>
      <c r="Z2" s="130">
        <v>0</v>
      </c>
      <c r="AA2" s="130">
        <v>0</v>
      </c>
    </row>
    <row r="3" spans="1:34" customFormat="1" x14ac:dyDescent="0.15">
      <c r="A3" s="163" t="s">
        <v>194</v>
      </c>
      <c r="B3" s="130">
        <v>0</v>
      </c>
      <c r="C3" s="130">
        <v>0.1</v>
      </c>
      <c r="D3" s="130">
        <v>0</v>
      </c>
      <c r="E3" s="130">
        <v>0</v>
      </c>
      <c r="F3" s="130">
        <v>2.9532796978039297E-3</v>
      </c>
      <c r="G3" s="130">
        <v>0.15221561656782084</v>
      </c>
      <c r="H3" s="130">
        <v>0</v>
      </c>
      <c r="I3" s="130">
        <v>0</v>
      </c>
      <c r="J3" s="130">
        <v>1.6125070127388053E-2</v>
      </c>
      <c r="K3" s="130">
        <v>0.20091561787029444</v>
      </c>
      <c r="L3" s="130">
        <v>0.5</v>
      </c>
      <c r="M3" s="130">
        <v>1.5391718883207627E-2</v>
      </c>
      <c r="N3" s="130">
        <v>6.0643280915713528E-3</v>
      </c>
      <c r="O3" s="130">
        <v>2.3255890404652493E-2</v>
      </c>
      <c r="P3" s="130">
        <v>0.22690342576984671</v>
      </c>
      <c r="Q3" s="130">
        <v>0.41291538774967707</v>
      </c>
      <c r="R3" s="130">
        <v>0</v>
      </c>
      <c r="S3" s="130">
        <v>0</v>
      </c>
      <c r="T3" s="130">
        <v>0</v>
      </c>
      <c r="U3" s="130">
        <v>6.3111894274159655E-2</v>
      </c>
      <c r="V3" s="130">
        <v>0</v>
      </c>
      <c r="W3" s="130">
        <v>7.2209629381267577E-3</v>
      </c>
      <c r="X3" s="130">
        <v>5.6866300071082877E-2</v>
      </c>
      <c r="Y3" s="130">
        <v>8.6317479612175563E-2</v>
      </c>
      <c r="Z3" s="130">
        <v>0</v>
      </c>
      <c r="AA3" s="130">
        <v>0</v>
      </c>
    </row>
    <row r="4" spans="1:34" customFormat="1" x14ac:dyDescent="0.15">
      <c r="A4" s="163" t="s">
        <v>195</v>
      </c>
      <c r="B4" s="130">
        <v>0</v>
      </c>
      <c r="C4" s="130">
        <v>0</v>
      </c>
      <c r="D4" s="130">
        <v>0</v>
      </c>
      <c r="E4" s="130">
        <v>0</v>
      </c>
      <c r="F4" s="130">
        <v>0.1500345588402722</v>
      </c>
      <c r="G4" s="130">
        <v>0</v>
      </c>
      <c r="H4" s="130">
        <v>0</v>
      </c>
      <c r="I4" s="130">
        <v>3.6585171499992027E-2</v>
      </c>
      <c r="J4" s="130">
        <v>3.6782580290582387E-2</v>
      </c>
      <c r="K4" s="130">
        <v>0</v>
      </c>
      <c r="L4" s="130">
        <v>0</v>
      </c>
      <c r="M4" s="130">
        <v>0.46175158849622921</v>
      </c>
      <c r="N4" s="130">
        <v>0</v>
      </c>
      <c r="O4" s="130">
        <v>0</v>
      </c>
      <c r="P4" s="130">
        <v>4.2178720328994022E-2</v>
      </c>
      <c r="Q4" s="130">
        <v>5.897795124974279E-2</v>
      </c>
      <c r="R4" s="130">
        <v>0</v>
      </c>
      <c r="S4" s="130">
        <v>0</v>
      </c>
      <c r="T4" s="130">
        <v>0</v>
      </c>
      <c r="U4" s="130">
        <v>0</v>
      </c>
      <c r="V4" s="130">
        <v>0</v>
      </c>
      <c r="W4" s="130">
        <v>0</v>
      </c>
      <c r="X4" s="130">
        <v>0</v>
      </c>
      <c r="Y4" s="130">
        <v>0</v>
      </c>
      <c r="Z4" s="130">
        <v>0</v>
      </c>
      <c r="AA4" s="130">
        <v>0</v>
      </c>
    </row>
    <row r="5" spans="1:34" customFormat="1" x14ac:dyDescent="0.15">
      <c r="A5" s="163" t="s">
        <v>196</v>
      </c>
      <c r="B5" s="130">
        <v>0</v>
      </c>
      <c r="C5" s="130">
        <v>0</v>
      </c>
      <c r="D5" s="130">
        <v>0</v>
      </c>
      <c r="E5" s="130">
        <v>0</v>
      </c>
      <c r="F5" s="130">
        <v>2.9532792378039394E-3</v>
      </c>
      <c r="G5" s="130">
        <v>0.32617631935961611</v>
      </c>
      <c r="H5" s="130">
        <v>0.2</v>
      </c>
      <c r="I5" s="130">
        <v>0.59375926334412976</v>
      </c>
      <c r="J5" s="130">
        <v>0.26667374610672262</v>
      </c>
      <c r="K5" s="130">
        <v>0.14993703241066744</v>
      </c>
      <c r="L5" s="130">
        <v>0</v>
      </c>
      <c r="M5" s="130">
        <v>0.23087579424811461</v>
      </c>
      <c r="N5" s="130">
        <v>0.15160820228928382</v>
      </c>
      <c r="O5" s="130">
        <v>0</v>
      </c>
      <c r="P5" s="130">
        <v>4.2178720328994022E-2</v>
      </c>
      <c r="Q5" s="130">
        <v>5.897795124974279E-2</v>
      </c>
      <c r="R5" s="130">
        <v>0</v>
      </c>
      <c r="S5" s="130">
        <v>0</v>
      </c>
      <c r="T5" s="130">
        <v>0</v>
      </c>
      <c r="U5" s="130">
        <v>0</v>
      </c>
      <c r="V5" s="130">
        <v>0</v>
      </c>
      <c r="W5" s="130">
        <v>0</v>
      </c>
      <c r="X5" s="130">
        <v>0</v>
      </c>
      <c r="Y5" s="130">
        <v>0</v>
      </c>
      <c r="Z5" s="130">
        <v>0</v>
      </c>
      <c r="AA5" s="130">
        <v>0</v>
      </c>
    </row>
    <row r="6" spans="1:34" customFormat="1" x14ac:dyDescent="0.15">
      <c r="A6" s="163" t="s">
        <v>197</v>
      </c>
      <c r="B6" s="130">
        <v>0</v>
      </c>
      <c r="C6" s="130">
        <v>0</v>
      </c>
      <c r="D6" s="130">
        <v>0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30">
        <v>0</v>
      </c>
      <c r="K6" s="130">
        <v>1.7892485310339656E-2</v>
      </c>
      <c r="L6" s="130">
        <v>0</v>
      </c>
      <c r="M6" s="130">
        <v>0</v>
      </c>
      <c r="N6" s="130">
        <v>4.0001540604023257E-2</v>
      </c>
      <c r="O6" s="130">
        <v>4.9993046469879003E-2</v>
      </c>
      <c r="P6" s="130">
        <v>4.9974160389798451E-4</v>
      </c>
      <c r="Q6" s="130">
        <v>0</v>
      </c>
      <c r="R6" s="130">
        <v>0.42307258737035519</v>
      </c>
      <c r="S6" s="130">
        <v>0.81702126770481687</v>
      </c>
      <c r="T6" s="130">
        <v>0.65106599921872077</v>
      </c>
      <c r="U6" s="130">
        <v>0.40444540303859833</v>
      </c>
      <c r="V6" s="130">
        <v>9.9968539808060405E-3</v>
      </c>
      <c r="W6" s="130">
        <v>0</v>
      </c>
      <c r="X6" s="130">
        <v>0.24991284331239105</v>
      </c>
      <c r="Y6" s="130">
        <v>0.16388061526368441</v>
      </c>
      <c r="Z6" s="130">
        <v>0</v>
      </c>
      <c r="AA6" s="130">
        <v>0</v>
      </c>
    </row>
    <row r="7" spans="1:34" customFormat="1" x14ac:dyDescent="0.15">
      <c r="A7" s="163" t="s">
        <v>198</v>
      </c>
      <c r="B7" s="130">
        <v>0</v>
      </c>
      <c r="C7" s="130">
        <v>0</v>
      </c>
      <c r="D7" s="130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30">
        <v>0.1500427731853379</v>
      </c>
      <c r="K7" s="130">
        <v>4.9949009470540507E-3</v>
      </c>
      <c r="L7" s="130">
        <v>0</v>
      </c>
      <c r="M7" s="130">
        <v>0</v>
      </c>
      <c r="N7" s="130">
        <v>0.26001000392615103</v>
      </c>
      <c r="O7" s="130">
        <v>0</v>
      </c>
      <c r="P7" s="130">
        <v>0.45995110358761859</v>
      </c>
      <c r="Q7" s="130">
        <v>0.19995902923713182</v>
      </c>
      <c r="R7" s="130">
        <v>0</v>
      </c>
      <c r="S7" s="130">
        <v>0</v>
      </c>
      <c r="T7" s="130">
        <v>0</v>
      </c>
      <c r="U7" s="130">
        <v>7.3004565748483298E-3</v>
      </c>
      <c r="V7" s="130">
        <v>0</v>
      </c>
      <c r="W7" s="130">
        <v>0</v>
      </c>
      <c r="X7" s="130">
        <v>0</v>
      </c>
      <c r="Y7" s="130">
        <v>0</v>
      </c>
      <c r="Z7" s="130">
        <v>0</v>
      </c>
      <c r="AA7" s="130">
        <v>0</v>
      </c>
    </row>
    <row r="8" spans="1:34" customFormat="1" x14ac:dyDescent="0.15">
      <c r="A8" s="163" t="s">
        <v>199</v>
      </c>
      <c r="B8" s="130">
        <v>0</v>
      </c>
      <c r="C8" s="130">
        <v>0</v>
      </c>
      <c r="D8" s="130">
        <v>0</v>
      </c>
      <c r="E8" s="130">
        <v>0</v>
      </c>
      <c r="F8" s="130">
        <v>0</v>
      </c>
      <c r="G8" s="130">
        <v>1.0902986012300756E-2</v>
      </c>
      <c r="H8" s="130">
        <v>0</v>
      </c>
      <c r="I8" s="130">
        <v>0</v>
      </c>
      <c r="J8" s="130">
        <v>0.20005703158045057</v>
      </c>
      <c r="K8" s="130">
        <v>2.698866431392016E-2</v>
      </c>
      <c r="L8" s="130">
        <v>0</v>
      </c>
      <c r="M8" s="130">
        <v>0</v>
      </c>
      <c r="N8" s="130">
        <v>0</v>
      </c>
      <c r="O8" s="130">
        <v>0.18097482914896201</v>
      </c>
      <c r="P8" s="130">
        <v>0</v>
      </c>
      <c r="Q8" s="130">
        <v>0</v>
      </c>
      <c r="R8" s="130">
        <v>0</v>
      </c>
      <c r="S8" s="130">
        <v>0</v>
      </c>
      <c r="T8" s="130">
        <v>4.9975209940029746E-4</v>
      </c>
      <c r="U8" s="130">
        <v>0</v>
      </c>
      <c r="V8" s="130">
        <v>9.9968539808060405E-3</v>
      </c>
      <c r="W8" s="130">
        <v>5.2094092800057494E-2</v>
      </c>
      <c r="X8" s="130">
        <v>1.4541989218177485E-2</v>
      </c>
      <c r="Y8" s="130">
        <v>1.9985441010205416E-2</v>
      </c>
      <c r="Z8" s="130">
        <v>0</v>
      </c>
      <c r="AA8" s="130">
        <v>0</v>
      </c>
    </row>
    <row r="9" spans="1:34" customFormat="1" x14ac:dyDescent="0.15">
      <c r="A9" s="163" t="s">
        <v>200</v>
      </c>
      <c r="B9" s="130">
        <v>0</v>
      </c>
      <c r="C9" s="130">
        <v>0</v>
      </c>
      <c r="D9" s="130">
        <v>0</v>
      </c>
      <c r="E9" s="130">
        <v>0</v>
      </c>
      <c r="F9" s="130">
        <v>0</v>
      </c>
      <c r="G9" s="130">
        <v>1.0872543911987203E-2</v>
      </c>
      <c r="H9" s="130">
        <v>0</v>
      </c>
      <c r="I9" s="130">
        <v>0</v>
      </c>
      <c r="J9" s="130">
        <v>0.10502993382973649</v>
      </c>
      <c r="K9" s="130">
        <v>4.5380942018962013E-2</v>
      </c>
      <c r="L9" s="130">
        <v>0</v>
      </c>
      <c r="M9" s="130">
        <v>0</v>
      </c>
      <c r="N9" s="130">
        <v>6.0010020906151304E-2</v>
      </c>
      <c r="O9" s="130">
        <v>0.22765784396124647</v>
      </c>
      <c r="P9" s="130">
        <v>2.1932931771076868E-2</v>
      </c>
      <c r="Q9" s="130">
        <v>1.1795588349948517E-3</v>
      </c>
      <c r="R9" s="130">
        <v>1.9737466283804772E-3</v>
      </c>
      <c r="S9" s="130">
        <v>1.5420407615285654E-3</v>
      </c>
      <c r="T9" s="130">
        <v>2.2681499972782199E-2</v>
      </c>
      <c r="U9" s="130">
        <v>5.4562907109931117E-4</v>
      </c>
      <c r="V9" s="130">
        <v>9.9968539808060405E-3</v>
      </c>
      <c r="W9" s="130">
        <v>5.0006716387861E-2</v>
      </c>
      <c r="X9" s="130">
        <v>2.8493274035616592E-2</v>
      </c>
      <c r="Y9" s="130">
        <v>6.2398179719644984E-3</v>
      </c>
      <c r="Z9" s="130">
        <v>0</v>
      </c>
      <c r="AA9" s="130">
        <v>0</v>
      </c>
    </row>
    <row r="10" spans="1:34" customFormat="1" x14ac:dyDescent="0.15">
      <c r="A10" s="163" t="s">
        <v>201</v>
      </c>
      <c r="B10" s="130">
        <v>0</v>
      </c>
      <c r="C10" s="130">
        <v>0</v>
      </c>
      <c r="D10" s="130">
        <v>0</v>
      </c>
      <c r="E10" s="130">
        <v>0</v>
      </c>
      <c r="F10" s="130">
        <v>0</v>
      </c>
      <c r="G10" s="130">
        <v>0</v>
      </c>
      <c r="H10" s="130">
        <v>0</v>
      </c>
      <c r="I10" s="130">
        <v>0</v>
      </c>
      <c r="J10" s="130">
        <v>0</v>
      </c>
      <c r="K10" s="130">
        <v>0</v>
      </c>
      <c r="L10" s="130">
        <v>0</v>
      </c>
      <c r="M10" s="130">
        <v>0</v>
      </c>
      <c r="N10" s="130">
        <v>1.7228203160145863E-2</v>
      </c>
      <c r="O10" s="130">
        <v>0.19219741534423501</v>
      </c>
      <c r="P10" s="130">
        <v>8.4357440657988045E-2</v>
      </c>
      <c r="Q10" s="130">
        <v>0</v>
      </c>
      <c r="R10" s="130">
        <v>0.17594767031282926</v>
      </c>
      <c r="S10" s="130">
        <v>3.0000783213396014E-3</v>
      </c>
      <c r="T10" s="130">
        <v>4.2376279949148464E-2</v>
      </c>
      <c r="U10" s="130">
        <v>5.05556765798248E-2</v>
      </c>
      <c r="V10" s="130">
        <v>0</v>
      </c>
      <c r="W10" s="130">
        <v>0</v>
      </c>
      <c r="X10" s="130">
        <v>0.15666326919582907</v>
      </c>
      <c r="Y10" s="130">
        <v>3.297597525183895E-2</v>
      </c>
      <c r="Z10" s="130">
        <v>0</v>
      </c>
      <c r="AA10" s="130">
        <v>0</v>
      </c>
    </row>
    <row r="11" spans="1:34" customFormat="1" x14ac:dyDescent="0.15">
      <c r="A11" s="163" t="s">
        <v>202</v>
      </c>
      <c r="B11" s="130">
        <v>0</v>
      </c>
      <c r="C11" s="130">
        <v>0</v>
      </c>
      <c r="D11" s="130">
        <v>0</v>
      </c>
      <c r="E11" s="130">
        <v>0</v>
      </c>
      <c r="F11" s="130">
        <v>0</v>
      </c>
      <c r="G11" s="130">
        <v>0</v>
      </c>
      <c r="H11" s="130">
        <v>0</v>
      </c>
      <c r="I11" s="130">
        <v>0</v>
      </c>
      <c r="J11" s="130">
        <v>5.2261320412864435E-3</v>
      </c>
      <c r="K11" s="130">
        <v>0</v>
      </c>
      <c r="L11" s="130">
        <v>0</v>
      </c>
      <c r="M11" s="130">
        <v>0</v>
      </c>
      <c r="N11" s="130">
        <v>0.4170696802977521</v>
      </c>
      <c r="O11" s="130">
        <v>0</v>
      </c>
      <c r="P11" s="130">
        <v>0</v>
      </c>
      <c r="Q11" s="130">
        <v>5.897795124974279E-2</v>
      </c>
      <c r="R11" s="130">
        <v>0.3602087888294378</v>
      </c>
      <c r="S11" s="130">
        <v>6.168162126114243E-4</v>
      </c>
      <c r="T11" s="130">
        <v>5.0005067039993918E-2</v>
      </c>
      <c r="U11" s="130">
        <v>0.40003455000545957</v>
      </c>
      <c r="V11" s="130">
        <v>0.88372189830325398</v>
      </c>
      <c r="W11" s="130">
        <v>7.8010484193063515E-2</v>
      </c>
      <c r="X11" s="130">
        <v>9.9985490124981855E-2</v>
      </c>
      <c r="Y11" s="130">
        <v>0.39228879823744645</v>
      </c>
      <c r="Z11" s="130">
        <v>0</v>
      </c>
      <c r="AA11" s="130">
        <v>0</v>
      </c>
    </row>
    <row r="12" spans="1:34" customFormat="1" x14ac:dyDescent="0.15">
      <c r="A12" s="163" t="s">
        <v>203</v>
      </c>
      <c r="B12" s="130">
        <v>0</v>
      </c>
      <c r="C12" s="130">
        <v>0</v>
      </c>
      <c r="D12" s="130">
        <v>0</v>
      </c>
      <c r="E12" s="130">
        <v>0</v>
      </c>
      <c r="F12" s="130">
        <v>0</v>
      </c>
      <c r="G12" s="130">
        <v>0</v>
      </c>
      <c r="H12" s="130">
        <v>0</v>
      </c>
      <c r="I12" s="130">
        <v>0</v>
      </c>
      <c r="J12" s="130">
        <v>0</v>
      </c>
      <c r="K12" s="130">
        <v>0</v>
      </c>
      <c r="L12" s="130">
        <v>0</v>
      </c>
      <c r="M12" s="130">
        <v>0</v>
      </c>
      <c r="N12" s="130">
        <v>0</v>
      </c>
      <c r="O12" s="130">
        <v>0</v>
      </c>
      <c r="P12" s="130">
        <v>0</v>
      </c>
      <c r="Q12" s="130">
        <v>0</v>
      </c>
      <c r="R12" s="130">
        <v>6.9978364615309666E-3</v>
      </c>
      <c r="S12" s="130">
        <v>7.7102037976428271E-4</v>
      </c>
      <c r="T12" s="130">
        <v>0</v>
      </c>
      <c r="U12" s="130">
        <v>0</v>
      </c>
      <c r="V12" s="130">
        <v>2.9990559942418126E-2</v>
      </c>
      <c r="W12" s="130">
        <v>0</v>
      </c>
      <c r="X12" s="130">
        <v>3.0990483238738101E-2</v>
      </c>
      <c r="Y12" s="130">
        <v>4.1598789813096643E-3</v>
      </c>
      <c r="Z12" s="130">
        <v>0</v>
      </c>
      <c r="AA12" s="130">
        <v>0</v>
      </c>
    </row>
    <row r="13" spans="1:34" customFormat="1" x14ac:dyDescent="0.15">
      <c r="A13" s="163" t="s">
        <v>204</v>
      </c>
      <c r="B13" s="130">
        <v>0</v>
      </c>
      <c r="C13" s="130">
        <v>0</v>
      </c>
      <c r="D13" s="130">
        <v>0</v>
      </c>
      <c r="E13" s="130">
        <v>0</v>
      </c>
      <c r="F13" s="130">
        <v>0</v>
      </c>
      <c r="G13" s="130">
        <v>0</v>
      </c>
      <c r="H13" s="130">
        <v>0</v>
      </c>
      <c r="I13" s="130">
        <v>0</v>
      </c>
      <c r="J13" s="130">
        <v>0</v>
      </c>
      <c r="K13" s="130">
        <v>0</v>
      </c>
      <c r="L13" s="130">
        <v>0</v>
      </c>
      <c r="M13" s="130">
        <v>0</v>
      </c>
      <c r="N13" s="130">
        <v>0</v>
      </c>
      <c r="O13" s="130">
        <v>0</v>
      </c>
      <c r="P13" s="130">
        <v>0</v>
      </c>
      <c r="Q13" s="130">
        <v>0</v>
      </c>
      <c r="R13" s="130">
        <v>0</v>
      </c>
      <c r="S13" s="130">
        <v>0</v>
      </c>
      <c r="T13" s="130">
        <v>0</v>
      </c>
      <c r="U13" s="130">
        <v>0</v>
      </c>
      <c r="V13" s="130">
        <v>0</v>
      </c>
      <c r="W13" s="130">
        <v>0</v>
      </c>
      <c r="X13" s="130">
        <v>2.4991285131239105E-2</v>
      </c>
      <c r="Y13" s="130">
        <v>1.9470162712520558E-4</v>
      </c>
      <c r="Z13" s="130">
        <v>0</v>
      </c>
      <c r="AA13" s="130">
        <v>0</v>
      </c>
    </row>
    <row r="14" spans="1:34" customFormat="1" x14ac:dyDescent="0.15">
      <c r="A14" s="163" t="s">
        <v>205</v>
      </c>
      <c r="B14" s="130">
        <v>0</v>
      </c>
      <c r="C14" s="130">
        <v>0</v>
      </c>
      <c r="D14" s="130">
        <v>0</v>
      </c>
      <c r="E14" s="130">
        <v>0</v>
      </c>
      <c r="F14" s="130">
        <v>0</v>
      </c>
      <c r="G14" s="130">
        <v>0</v>
      </c>
      <c r="H14" s="130">
        <v>0</v>
      </c>
      <c r="I14" s="130">
        <v>0</v>
      </c>
      <c r="J14" s="130">
        <v>2.0005701258045041E-2</v>
      </c>
      <c r="K14" s="130">
        <v>0</v>
      </c>
      <c r="L14" s="130">
        <v>0</v>
      </c>
      <c r="M14" s="130">
        <v>0</v>
      </c>
      <c r="N14" s="130">
        <v>0</v>
      </c>
      <c r="O14" s="130">
        <v>0</v>
      </c>
      <c r="P14" s="130">
        <v>0</v>
      </c>
      <c r="Q14" s="130">
        <v>0</v>
      </c>
      <c r="R14" s="130">
        <v>0</v>
      </c>
      <c r="S14" s="130">
        <v>0</v>
      </c>
      <c r="T14" s="130">
        <v>0</v>
      </c>
      <c r="U14" s="130">
        <v>5.6004837620764344E-2</v>
      </c>
      <c r="V14" s="130">
        <v>8.9998669827202563E-3</v>
      </c>
      <c r="W14" s="130">
        <v>0</v>
      </c>
      <c r="X14" s="130">
        <v>5.498082566872603E-2</v>
      </c>
      <c r="Y14" s="130">
        <v>7.2116829675979099E-2</v>
      </c>
      <c r="Z14" s="130">
        <v>0</v>
      </c>
      <c r="AA14" s="130">
        <v>0</v>
      </c>
    </row>
    <row r="15" spans="1:34" customFormat="1" x14ac:dyDescent="0.15">
      <c r="A15" s="163" t="s">
        <v>206</v>
      </c>
      <c r="B15" s="130">
        <v>0</v>
      </c>
      <c r="C15" s="130">
        <v>0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4.9307609940830867E-2</v>
      </c>
      <c r="U15" s="130">
        <v>0</v>
      </c>
      <c r="V15" s="130">
        <v>2.9990559942418126E-3</v>
      </c>
      <c r="W15" s="130">
        <v>0</v>
      </c>
      <c r="X15" s="130">
        <v>1.6994075821242596E-2</v>
      </c>
      <c r="Y15" s="130">
        <v>6.4974679708068778E-2</v>
      </c>
      <c r="Z15" s="130">
        <v>0</v>
      </c>
      <c r="AA15" s="130">
        <v>0</v>
      </c>
    </row>
    <row r="16" spans="1:34" customFormat="1" x14ac:dyDescent="0.15">
      <c r="A16" s="163" t="s">
        <v>207</v>
      </c>
      <c r="B16" s="130">
        <v>0</v>
      </c>
      <c r="C16" s="130">
        <v>0</v>
      </c>
      <c r="D16" s="130">
        <v>0</v>
      </c>
      <c r="E16" s="130">
        <v>0</v>
      </c>
      <c r="F16" s="130">
        <v>0</v>
      </c>
      <c r="G16" s="130">
        <v>0</v>
      </c>
      <c r="H16" s="130">
        <v>0</v>
      </c>
      <c r="I16" s="130">
        <v>0</v>
      </c>
      <c r="J16" s="130">
        <v>0</v>
      </c>
      <c r="K16" s="130">
        <v>0</v>
      </c>
      <c r="L16" s="130">
        <v>0</v>
      </c>
      <c r="M16" s="130">
        <v>0</v>
      </c>
      <c r="N16" s="130">
        <v>0</v>
      </c>
      <c r="O16" s="130">
        <v>0</v>
      </c>
      <c r="P16" s="130">
        <v>0</v>
      </c>
      <c r="Q16" s="130">
        <v>0</v>
      </c>
      <c r="R16" s="130">
        <v>0</v>
      </c>
      <c r="S16" s="130">
        <v>0</v>
      </c>
      <c r="T16" s="130">
        <v>0</v>
      </c>
      <c r="U16" s="130">
        <v>0</v>
      </c>
      <c r="V16" s="130">
        <v>2.9990559942418126E-3</v>
      </c>
      <c r="W16" s="130">
        <v>0</v>
      </c>
      <c r="X16" s="130">
        <v>1.8596745823245932E-3</v>
      </c>
      <c r="Y16" s="130">
        <v>9.9909839551105091E-4</v>
      </c>
      <c r="Z16" s="130">
        <v>0</v>
      </c>
      <c r="AA16" s="130">
        <v>0</v>
      </c>
    </row>
    <row r="17" spans="1:27" customFormat="1" x14ac:dyDescent="0.15">
      <c r="A17" s="163" t="s">
        <v>208</v>
      </c>
      <c r="B17" s="130">
        <v>0</v>
      </c>
      <c r="C17" s="130">
        <v>0</v>
      </c>
      <c r="D17" s="130">
        <v>0</v>
      </c>
      <c r="E17" s="130">
        <v>0</v>
      </c>
      <c r="F17" s="130">
        <v>0</v>
      </c>
      <c r="G17" s="130">
        <v>0</v>
      </c>
      <c r="H17" s="130">
        <v>0</v>
      </c>
      <c r="I17" s="130">
        <v>0</v>
      </c>
      <c r="J17" s="130">
        <v>0</v>
      </c>
      <c r="K17" s="130">
        <v>0</v>
      </c>
      <c r="L17" s="130">
        <v>0</v>
      </c>
      <c r="M17" s="130">
        <v>0</v>
      </c>
      <c r="N17" s="130">
        <v>0</v>
      </c>
      <c r="O17" s="130">
        <v>0</v>
      </c>
      <c r="P17" s="130">
        <v>0</v>
      </c>
      <c r="Q17" s="130">
        <v>0</v>
      </c>
      <c r="R17" s="130">
        <v>8.8818602177121574E-3</v>
      </c>
      <c r="S17" s="130">
        <v>0</v>
      </c>
      <c r="T17" s="130">
        <v>0</v>
      </c>
      <c r="U17" s="130">
        <v>0</v>
      </c>
      <c r="V17" s="130">
        <v>0</v>
      </c>
      <c r="W17" s="130">
        <v>0</v>
      </c>
      <c r="X17" s="130">
        <v>4.8994153761242693E-2</v>
      </c>
      <c r="Y17" s="130">
        <v>1.9985441010205416E-2</v>
      </c>
      <c r="Z17" s="130">
        <v>0</v>
      </c>
      <c r="AA17" s="130">
        <v>0</v>
      </c>
    </row>
    <row r="18" spans="1:27" customFormat="1" x14ac:dyDescent="0.15">
      <c r="A18" s="163" t="s">
        <v>209</v>
      </c>
      <c r="B18" s="130">
        <v>0</v>
      </c>
      <c r="C18" s="130">
        <v>0</v>
      </c>
      <c r="D18" s="130">
        <v>0</v>
      </c>
      <c r="E18" s="130">
        <v>0</v>
      </c>
      <c r="F18" s="130">
        <v>0</v>
      </c>
      <c r="G18" s="130">
        <v>0</v>
      </c>
      <c r="H18" s="130">
        <v>0</v>
      </c>
      <c r="I18" s="130">
        <v>0</v>
      </c>
      <c r="J18" s="130">
        <v>0</v>
      </c>
      <c r="K18" s="130">
        <v>0</v>
      </c>
      <c r="L18" s="130">
        <v>0</v>
      </c>
      <c r="M18" s="130">
        <v>0</v>
      </c>
      <c r="N18" s="130">
        <v>0</v>
      </c>
      <c r="O18" s="130">
        <v>0</v>
      </c>
      <c r="P18" s="130">
        <v>0</v>
      </c>
      <c r="Q18" s="130">
        <v>0</v>
      </c>
      <c r="R18" s="130">
        <v>0</v>
      </c>
      <c r="S18" s="130">
        <v>0</v>
      </c>
      <c r="T18" s="130">
        <v>0</v>
      </c>
      <c r="U18" s="130">
        <v>0</v>
      </c>
      <c r="V18" s="130">
        <v>0</v>
      </c>
      <c r="W18" s="130">
        <v>0</v>
      </c>
      <c r="X18" s="130">
        <v>0</v>
      </c>
      <c r="Y18" s="130">
        <v>9.7445206062178689E-4</v>
      </c>
      <c r="Z18" s="130">
        <v>0</v>
      </c>
      <c r="AA18" s="130">
        <v>0</v>
      </c>
    </row>
    <row r="19" spans="1:27" customFormat="1" x14ac:dyDescent="0.15">
      <c r="A19" s="163" t="s">
        <v>210</v>
      </c>
      <c r="B19" s="130">
        <v>0</v>
      </c>
      <c r="C19" s="130">
        <v>0</v>
      </c>
      <c r="D19" s="130">
        <v>0</v>
      </c>
      <c r="E19" s="130">
        <v>0</v>
      </c>
      <c r="F19" s="130">
        <v>0</v>
      </c>
      <c r="G19" s="130">
        <v>0</v>
      </c>
      <c r="H19" s="130">
        <v>0</v>
      </c>
      <c r="I19" s="130">
        <v>0</v>
      </c>
      <c r="J19" s="130">
        <v>0</v>
      </c>
      <c r="K19" s="130">
        <v>0</v>
      </c>
      <c r="L19" s="130">
        <v>0</v>
      </c>
      <c r="M19" s="130">
        <v>0</v>
      </c>
      <c r="N19" s="130">
        <v>0</v>
      </c>
      <c r="O19" s="130">
        <v>0</v>
      </c>
      <c r="P19" s="130">
        <v>0</v>
      </c>
      <c r="Q19" s="130">
        <v>0</v>
      </c>
      <c r="R19" s="130">
        <v>4.934366560951193E-4</v>
      </c>
      <c r="S19" s="130">
        <v>0</v>
      </c>
      <c r="T19" s="130">
        <v>0</v>
      </c>
      <c r="U19" s="130">
        <v>0</v>
      </c>
      <c r="V19" s="130">
        <v>0</v>
      </c>
      <c r="W19" s="130">
        <v>0</v>
      </c>
      <c r="X19" s="130">
        <v>4.2993757953742197E-2</v>
      </c>
      <c r="Y19" s="130">
        <v>0</v>
      </c>
      <c r="Z19" s="130">
        <v>0</v>
      </c>
      <c r="AA19" s="130">
        <v>0</v>
      </c>
    </row>
    <row r="20" spans="1:27" customFormat="1" x14ac:dyDescent="0.15">
      <c r="A20" s="163" t="s">
        <v>211</v>
      </c>
      <c r="B20" s="130">
        <v>0</v>
      </c>
      <c r="C20" s="130">
        <v>0</v>
      </c>
      <c r="D20" s="130">
        <v>0</v>
      </c>
      <c r="E20" s="130">
        <v>0</v>
      </c>
      <c r="F20" s="130">
        <v>0</v>
      </c>
      <c r="G20" s="130">
        <v>0</v>
      </c>
      <c r="H20" s="130">
        <v>0</v>
      </c>
      <c r="I20" s="130">
        <v>0</v>
      </c>
      <c r="J20" s="130">
        <v>0</v>
      </c>
      <c r="K20" s="130">
        <v>0</v>
      </c>
      <c r="L20" s="130">
        <v>0</v>
      </c>
      <c r="M20" s="130">
        <v>0</v>
      </c>
      <c r="N20" s="130">
        <v>0</v>
      </c>
      <c r="O20" s="130">
        <v>0</v>
      </c>
      <c r="P20" s="130">
        <v>0</v>
      </c>
      <c r="Q20" s="130">
        <v>0</v>
      </c>
      <c r="R20" s="130">
        <v>4.934366560951193E-4</v>
      </c>
      <c r="S20" s="130">
        <v>0</v>
      </c>
      <c r="T20" s="130">
        <v>0</v>
      </c>
      <c r="U20" s="130">
        <v>0</v>
      </c>
      <c r="V20" s="130">
        <v>0</v>
      </c>
      <c r="W20" s="130">
        <v>0</v>
      </c>
      <c r="X20" s="130">
        <v>4.4984314656230394E-2</v>
      </c>
      <c r="Y20" s="130">
        <v>0</v>
      </c>
      <c r="Z20" s="130">
        <v>0</v>
      </c>
      <c r="AA20" s="130">
        <v>0</v>
      </c>
    </row>
    <row r="21" spans="1:27" customFormat="1" x14ac:dyDescent="0.15">
      <c r="A21" s="163" t="s">
        <v>212</v>
      </c>
      <c r="B21" s="130">
        <v>0</v>
      </c>
      <c r="C21" s="130">
        <v>0</v>
      </c>
      <c r="D21" s="130">
        <v>0</v>
      </c>
      <c r="E21" s="130">
        <v>0</v>
      </c>
      <c r="F21" s="130">
        <v>0</v>
      </c>
      <c r="G21" s="130">
        <v>0</v>
      </c>
      <c r="H21" s="130">
        <v>0</v>
      </c>
      <c r="I21" s="130">
        <v>0</v>
      </c>
      <c r="J21" s="130">
        <v>0</v>
      </c>
      <c r="K21" s="130">
        <v>0</v>
      </c>
      <c r="L21" s="130">
        <v>0</v>
      </c>
      <c r="M21" s="130">
        <v>0</v>
      </c>
      <c r="N21" s="130">
        <v>0</v>
      </c>
      <c r="O21" s="130">
        <v>0</v>
      </c>
      <c r="P21" s="130">
        <v>0</v>
      </c>
      <c r="Q21" s="130">
        <v>0</v>
      </c>
      <c r="R21" s="130">
        <v>4.9343664509511904E-3</v>
      </c>
      <c r="S21" s="130">
        <v>0</v>
      </c>
      <c r="T21" s="130">
        <v>0</v>
      </c>
      <c r="U21" s="130">
        <v>0</v>
      </c>
      <c r="V21" s="130">
        <v>1.2995909175047855E-3</v>
      </c>
      <c r="W21" s="130">
        <v>0</v>
      </c>
      <c r="X21" s="130">
        <v>6.4977340081221677E-3</v>
      </c>
      <c r="Y21" s="130">
        <v>1.4994163032631225E-2</v>
      </c>
      <c r="Z21" s="130">
        <v>0</v>
      </c>
      <c r="AA21" s="130">
        <v>0</v>
      </c>
    </row>
    <row r="22" spans="1:27" customFormat="1" x14ac:dyDescent="0.15">
      <c r="A22" s="163" t="s">
        <v>213</v>
      </c>
      <c r="B22" s="130">
        <v>0</v>
      </c>
      <c r="C22" s="130">
        <v>0</v>
      </c>
      <c r="D22" s="130">
        <v>0</v>
      </c>
      <c r="E22" s="130">
        <v>0</v>
      </c>
      <c r="F22" s="130">
        <v>0</v>
      </c>
      <c r="G22" s="130">
        <v>0</v>
      </c>
      <c r="H22" s="130">
        <v>0</v>
      </c>
      <c r="I22" s="130">
        <v>0</v>
      </c>
      <c r="J22" s="130">
        <v>0</v>
      </c>
      <c r="K22" s="130">
        <v>0</v>
      </c>
      <c r="L22" s="130">
        <v>0</v>
      </c>
      <c r="M22" s="130">
        <v>0</v>
      </c>
      <c r="N22" s="130">
        <v>0</v>
      </c>
      <c r="O22" s="130">
        <v>0</v>
      </c>
      <c r="P22" s="130">
        <v>0</v>
      </c>
      <c r="Q22" s="130">
        <v>0</v>
      </c>
      <c r="R22" s="130">
        <v>0</v>
      </c>
      <c r="S22" s="130">
        <v>0</v>
      </c>
      <c r="T22" s="130">
        <v>0</v>
      </c>
      <c r="U22" s="130">
        <v>0</v>
      </c>
      <c r="V22" s="130">
        <v>0</v>
      </c>
      <c r="W22" s="130">
        <v>0</v>
      </c>
      <c r="X22" s="130">
        <v>4.1985353552481692E-3</v>
      </c>
      <c r="Y22" s="130">
        <v>2.1991429901192506E-2</v>
      </c>
      <c r="Z22" s="130">
        <v>0</v>
      </c>
      <c r="AA22" s="130">
        <v>0</v>
      </c>
    </row>
    <row r="23" spans="1:27" customFormat="1" x14ac:dyDescent="0.15">
      <c r="A23" s="163" t="s">
        <v>214</v>
      </c>
      <c r="B23" s="130">
        <v>0</v>
      </c>
      <c r="C23" s="130">
        <v>0</v>
      </c>
      <c r="D23" s="130">
        <v>0</v>
      </c>
      <c r="E23" s="130">
        <v>0</v>
      </c>
      <c r="F23" s="130">
        <v>0</v>
      </c>
      <c r="G23" s="130">
        <v>0</v>
      </c>
      <c r="H23" s="130">
        <v>0</v>
      </c>
      <c r="I23" s="130">
        <v>0</v>
      </c>
      <c r="J23" s="130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30">
        <v>0</v>
      </c>
      <c r="V23" s="130">
        <v>0</v>
      </c>
      <c r="W23" s="130">
        <v>0</v>
      </c>
      <c r="X23" s="130">
        <v>4.9982564562478212E-3</v>
      </c>
      <c r="Y23" s="130">
        <v>9.9927209551027053E-3</v>
      </c>
      <c r="Z23" s="130">
        <v>0</v>
      </c>
      <c r="AA23" s="130">
        <v>0</v>
      </c>
    </row>
    <row r="24" spans="1:27" customFormat="1" x14ac:dyDescent="0.15">
      <c r="A24" s="163" t="s">
        <v>215</v>
      </c>
      <c r="B24" s="130">
        <v>0</v>
      </c>
      <c r="C24" s="130">
        <v>0</v>
      </c>
      <c r="D24" s="130">
        <v>0</v>
      </c>
      <c r="E24" s="130">
        <v>0</v>
      </c>
      <c r="F24" s="130">
        <v>0</v>
      </c>
      <c r="G24" s="130">
        <v>0</v>
      </c>
      <c r="H24" s="130">
        <v>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</row>
    <row r="25" spans="1:27" customFormat="1" x14ac:dyDescent="0.15">
      <c r="A25" s="163" t="s">
        <v>216</v>
      </c>
      <c r="B25" s="130">
        <v>0</v>
      </c>
      <c r="C25" s="130">
        <v>0</v>
      </c>
      <c r="D25" s="130">
        <v>0</v>
      </c>
      <c r="E25" s="130">
        <v>0</v>
      </c>
      <c r="F25" s="130">
        <v>0</v>
      </c>
      <c r="G25" s="130">
        <v>0</v>
      </c>
      <c r="H25" s="130">
        <v>0</v>
      </c>
      <c r="I25" s="130">
        <v>0</v>
      </c>
      <c r="J25" s="130">
        <v>0</v>
      </c>
      <c r="K25" s="130">
        <v>0</v>
      </c>
      <c r="L25" s="130">
        <v>0</v>
      </c>
      <c r="M25" s="130">
        <v>0</v>
      </c>
      <c r="N25" s="130">
        <v>0</v>
      </c>
      <c r="O25" s="130">
        <v>0</v>
      </c>
      <c r="P25" s="130">
        <v>0</v>
      </c>
      <c r="Q25" s="130">
        <v>0</v>
      </c>
      <c r="R25" s="130">
        <v>0</v>
      </c>
      <c r="S25" s="130">
        <v>0</v>
      </c>
      <c r="T25" s="130">
        <v>0</v>
      </c>
      <c r="U25" s="130">
        <v>0</v>
      </c>
      <c r="V25" s="130">
        <v>0</v>
      </c>
      <c r="W25" s="130">
        <v>0</v>
      </c>
      <c r="X25" s="130">
        <v>1.0674027713342535E-3</v>
      </c>
      <c r="Y25" s="130">
        <v>0</v>
      </c>
      <c r="Z25" s="130">
        <v>0</v>
      </c>
      <c r="AA25" s="130">
        <v>0</v>
      </c>
    </row>
    <row r="26" spans="1:27" customFormat="1" x14ac:dyDescent="0.15">
      <c r="A26" s="163" t="s">
        <v>217</v>
      </c>
      <c r="B26" s="130">
        <v>0</v>
      </c>
      <c r="C26" s="130">
        <v>0.1</v>
      </c>
      <c r="D26" s="130">
        <v>0</v>
      </c>
      <c r="E26" s="130">
        <v>0</v>
      </c>
      <c r="F26" s="130">
        <v>0.84405888222411996</v>
      </c>
      <c r="G26" s="130">
        <v>0.39110710402840315</v>
      </c>
      <c r="H26" s="130">
        <v>0.2</v>
      </c>
      <c r="I26" s="130">
        <v>0.36965556515587811</v>
      </c>
      <c r="J26" s="130">
        <v>0.20005703158045057</v>
      </c>
      <c r="K26" s="130">
        <v>0.40995081865452132</v>
      </c>
      <c r="L26" s="130">
        <v>0</v>
      </c>
      <c r="M26" s="130">
        <v>0.13806371654037239</v>
      </c>
      <c r="N26" s="130">
        <v>4.8008020724921101E-2</v>
      </c>
      <c r="O26" s="130">
        <v>0.32592097467102493</v>
      </c>
      <c r="P26" s="130">
        <v>0.12199791595158374</v>
      </c>
      <c r="Q26" s="130">
        <v>0.20901217042896789</v>
      </c>
      <c r="R26" s="130">
        <v>1.6996270416612579E-2</v>
      </c>
      <c r="S26" s="130">
        <v>0.17704877661993929</v>
      </c>
      <c r="T26" s="130">
        <v>0.18406379177912344</v>
      </c>
      <c r="U26" s="130">
        <v>1.8001552835245665E-2</v>
      </c>
      <c r="V26" s="130">
        <v>3.9999409923201133E-2</v>
      </c>
      <c r="W26" s="130">
        <v>0.81266774368089123</v>
      </c>
      <c r="X26" s="130">
        <v>8.8989384611236733E-2</v>
      </c>
      <c r="Y26" s="130">
        <v>4.4967245097962169E-2</v>
      </c>
      <c r="Z26" s="130">
        <v>0</v>
      </c>
      <c r="AA26" s="130">
        <v>0</v>
      </c>
    </row>
    <row r="27" spans="1:27" customFormat="1" x14ac:dyDescent="0.15">
      <c r="A27" s="163" t="s">
        <v>218</v>
      </c>
      <c r="B27" s="130">
        <v>0</v>
      </c>
      <c r="C27" s="130">
        <v>0</v>
      </c>
      <c r="D27" s="130">
        <v>0</v>
      </c>
      <c r="E27" s="130">
        <v>0</v>
      </c>
      <c r="F27" s="130">
        <v>0</v>
      </c>
      <c r="G27" s="130">
        <v>0</v>
      </c>
      <c r="H27" s="130">
        <v>0</v>
      </c>
      <c r="I27" s="130">
        <v>0</v>
      </c>
      <c r="J27" s="130">
        <v>0</v>
      </c>
      <c r="K27" s="130">
        <v>0</v>
      </c>
      <c r="L27" s="130">
        <v>0</v>
      </c>
      <c r="M27" s="130">
        <v>0</v>
      </c>
      <c r="N27" s="130">
        <v>0</v>
      </c>
      <c r="O27" s="130">
        <v>0</v>
      </c>
      <c r="P27" s="130">
        <v>0</v>
      </c>
      <c r="Q27" s="130">
        <v>0</v>
      </c>
      <c r="R27" s="130">
        <v>0</v>
      </c>
      <c r="S27" s="130">
        <v>0</v>
      </c>
      <c r="T27" s="130">
        <v>0</v>
      </c>
      <c r="U27" s="130">
        <v>0</v>
      </c>
      <c r="V27" s="130">
        <v>0</v>
      </c>
      <c r="W27" s="130">
        <v>0</v>
      </c>
      <c r="X27" s="130">
        <v>0</v>
      </c>
      <c r="Y27" s="130">
        <v>0</v>
      </c>
      <c r="Z27" s="130">
        <v>0</v>
      </c>
      <c r="AA27" s="130">
        <v>0</v>
      </c>
    </row>
    <row r="28" spans="1:27" customFormat="1" x14ac:dyDescent="0.15">
      <c r="A28" s="163" t="s">
        <v>220</v>
      </c>
      <c r="B28" s="130">
        <v>0</v>
      </c>
      <c r="C28" s="130">
        <v>0</v>
      </c>
      <c r="D28" s="130">
        <v>0</v>
      </c>
      <c r="E28" s="130">
        <v>0</v>
      </c>
      <c r="F28" s="130">
        <v>0</v>
      </c>
      <c r="G28" s="130">
        <v>0</v>
      </c>
      <c r="H28" s="130">
        <v>0</v>
      </c>
      <c r="I28" s="130">
        <v>0</v>
      </c>
      <c r="J28" s="130">
        <v>0</v>
      </c>
      <c r="K28" s="130">
        <v>0</v>
      </c>
      <c r="L28" s="130">
        <v>0</v>
      </c>
      <c r="M28" s="130">
        <v>0</v>
      </c>
      <c r="N28" s="130">
        <v>0</v>
      </c>
      <c r="O28" s="130">
        <v>0</v>
      </c>
      <c r="P28" s="130">
        <v>0</v>
      </c>
      <c r="Q28" s="130">
        <v>0</v>
      </c>
      <c r="R28" s="130">
        <v>0</v>
      </c>
      <c r="S28" s="130">
        <v>0</v>
      </c>
      <c r="T28" s="130">
        <v>0</v>
      </c>
      <c r="U28" s="130">
        <v>0</v>
      </c>
      <c r="V28" s="130">
        <v>0</v>
      </c>
      <c r="W28" s="130">
        <v>0</v>
      </c>
      <c r="X28" s="130">
        <v>2.0996950026246186E-2</v>
      </c>
      <c r="Y28" s="130">
        <v>4.2961232206975182E-2</v>
      </c>
      <c r="Z28" s="130">
        <v>0</v>
      </c>
      <c r="AA28" s="130">
        <v>0</v>
      </c>
    </row>
    <row r="29" spans="1:27" customFormat="1" x14ac:dyDescent="0.15"/>
    <row r="30" spans="1:27" customFormat="1" x14ac:dyDescent="0.15"/>
    <row r="31" spans="1:27" customFormat="1" x14ac:dyDescent="0.15"/>
    <row r="32" spans="1:27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" customWidth="1"/>
    <col min="3" max="4" width="2.33203125" style="102" customWidth="1"/>
    <col min="5" max="6" width="2.33203125" style="101" bestFit="1" customWidth="1"/>
    <col min="7" max="8" width="8.83203125" style="102"/>
  </cols>
  <sheetData>
    <row r="1" spans="1:8" ht="70" x14ac:dyDescent="0.15">
      <c r="A1" s="5" t="s">
        <v>20</v>
      </c>
      <c r="B1" s="1" t="s">
        <v>0</v>
      </c>
      <c r="C1" s="166" t="s">
        <v>217</v>
      </c>
      <c r="D1" s="166" t="s">
        <v>218</v>
      </c>
      <c r="E1" s="166" t="s">
        <v>221</v>
      </c>
      <c r="F1" s="166" t="s">
        <v>222</v>
      </c>
      <c r="G1"/>
      <c r="H1"/>
    </row>
    <row r="2" spans="1:8" x14ac:dyDescent="0.15">
      <c r="A2">
        <v>1</v>
      </c>
      <c r="B2" s="165" t="s">
        <v>193</v>
      </c>
      <c r="C2" s="102">
        <v>1</v>
      </c>
      <c r="D2" s="102">
        <v>0</v>
      </c>
      <c r="E2" s="101">
        <v>0</v>
      </c>
      <c r="F2" s="101">
        <v>1</v>
      </c>
      <c r="G2"/>
      <c r="H2"/>
    </row>
    <row r="3" spans="1:8" x14ac:dyDescent="0.15">
      <c r="A3">
        <v>2</v>
      </c>
      <c r="B3" s="165" t="s">
        <v>194</v>
      </c>
      <c r="C3" s="102">
        <v>1</v>
      </c>
      <c r="D3" s="102">
        <v>0</v>
      </c>
      <c r="E3" s="101">
        <v>0</v>
      </c>
      <c r="F3" s="101">
        <v>1</v>
      </c>
      <c r="G3"/>
      <c r="H3"/>
    </row>
    <row r="4" spans="1:8" x14ac:dyDescent="0.15">
      <c r="A4">
        <v>3</v>
      </c>
      <c r="B4" s="165" t="s">
        <v>195</v>
      </c>
      <c r="C4" s="102">
        <v>1</v>
      </c>
      <c r="D4" s="102">
        <v>0</v>
      </c>
      <c r="E4" s="101">
        <v>0</v>
      </c>
      <c r="F4" s="101">
        <v>1</v>
      </c>
      <c r="G4"/>
      <c r="H4"/>
    </row>
    <row r="5" spans="1:8" x14ac:dyDescent="0.15">
      <c r="A5">
        <v>4</v>
      </c>
      <c r="B5" s="165" t="s">
        <v>196</v>
      </c>
      <c r="C5" s="102">
        <v>1</v>
      </c>
      <c r="D5" s="102">
        <v>0</v>
      </c>
      <c r="E5" s="101">
        <v>0</v>
      </c>
      <c r="F5" s="101">
        <v>1</v>
      </c>
      <c r="G5"/>
      <c r="H5"/>
    </row>
    <row r="6" spans="1:8" x14ac:dyDescent="0.15">
      <c r="A6">
        <v>5</v>
      </c>
      <c r="B6" s="165" t="s">
        <v>197</v>
      </c>
      <c r="C6" s="102">
        <v>1</v>
      </c>
      <c r="D6" s="102">
        <v>0</v>
      </c>
      <c r="E6" s="101">
        <v>0</v>
      </c>
      <c r="F6" s="101">
        <v>1</v>
      </c>
      <c r="G6"/>
      <c r="H6"/>
    </row>
    <row r="7" spans="1:8" x14ac:dyDescent="0.15">
      <c r="A7">
        <v>6</v>
      </c>
      <c r="B7" s="165" t="s">
        <v>198</v>
      </c>
      <c r="C7" s="102">
        <v>1</v>
      </c>
      <c r="D7" s="102">
        <v>0</v>
      </c>
      <c r="E7" s="101">
        <v>0</v>
      </c>
      <c r="F7" s="101">
        <v>1</v>
      </c>
      <c r="G7"/>
      <c r="H7"/>
    </row>
    <row r="8" spans="1:8" x14ac:dyDescent="0.15">
      <c r="A8">
        <v>7</v>
      </c>
      <c r="B8" s="165" t="s">
        <v>199</v>
      </c>
      <c r="C8" s="102">
        <v>1</v>
      </c>
      <c r="D8" s="102">
        <v>0</v>
      </c>
      <c r="E8" s="101">
        <v>0</v>
      </c>
      <c r="F8" s="101">
        <v>1</v>
      </c>
      <c r="G8"/>
      <c r="H8"/>
    </row>
    <row r="9" spans="1:8" x14ac:dyDescent="0.15">
      <c r="A9">
        <v>8</v>
      </c>
      <c r="B9" s="165" t="s">
        <v>200</v>
      </c>
      <c r="C9" s="102">
        <v>1</v>
      </c>
      <c r="D9" s="102">
        <v>0</v>
      </c>
      <c r="E9" s="101">
        <v>0</v>
      </c>
      <c r="F9" s="101">
        <v>1</v>
      </c>
      <c r="G9"/>
      <c r="H9"/>
    </row>
    <row r="10" spans="1:8" x14ac:dyDescent="0.15">
      <c r="A10">
        <v>9</v>
      </c>
      <c r="B10" s="165" t="s">
        <v>201</v>
      </c>
      <c r="C10" s="102">
        <v>1</v>
      </c>
      <c r="D10" s="102">
        <v>0</v>
      </c>
      <c r="E10" s="101">
        <v>0</v>
      </c>
      <c r="F10" s="101">
        <v>1</v>
      </c>
      <c r="G10"/>
      <c r="H10"/>
    </row>
    <row r="11" spans="1:8" x14ac:dyDescent="0.15">
      <c r="A11">
        <v>10</v>
      </c>
      <c r="B11" s="165" t="s">
        <v>202</v>
      </c>
      <c r="C11" s="102">
        <v>1</v>
      </c>
      <c r="D11" s="102">
        <v>0</v>
      </c>
      <c r="E11" s="101">
        <v>0</v>
      </c>
      <c r="F11" s="101">
        <v>1</v>
      </c>
      <c r="G11"/>
      <c r="H11"/>
    </row>
    <row r="12" spans="1:8" x14ac:dyDescent="0.15">
      <c r="A12">
        <v>11</v>
      </c>
      <c r="B12" s="165" t="s">
        <v>203</v>
      </c>
      <c r="C12" s="102">
        <v>1</v>
      </c>
      <c r="D12" s="102">
        <v>0</v>
      </c>
      <c r="E12" s="101">
        <v>0</v>
      </c>
      <c r="F12" s="101">
        <v>1</v>
      </c>
      <c r="G12"/>
      <c r="H12"/>
    </row>
    <row r="13" spans="1:8" x14ac:dyDescent="0.15">
      <c r="A13">
        <v>12</v>
      </c>
      <c r="B13" s="165" t="s">
        <v>204</v>
      </c>
      <c r="C13" s="102">
        <v>1</v>
      </c>
      <c r="D13" s="102">
        <v>0</v>
      </c>
      <c r="E13" s="101">
        <v>0</v>
      </c>
      <c r="F13" s="101">
        <v>1</v>
      </c>
      <c r="G13"/>
      <c r="H13"/>
    </row>
    <row r="14" spans="1:8" x14ac:dyDescent="0.15">
      <c r="A14">
        <v>13</v>
      </c>
      <c r="B14" s="165" t="s">
        <v>205</v>
      </c>
      <c r="C14" s="102">
        <v>1</v>
      </c>
      <c r="D14" s="102">
        <v>0</v>
      </c>
      <c r="E14" s="101">
        <v>0</v>
      </c>
      <c r="F14" s="101">
        <v>1</v>
      </c>
      <c r="G14"/>
      <c r="H14"/>
    </row>
    <row r="15" spans="1:8" x14ac:dyDescent="0.15">
      <c r="A15">
        <v>14</v>
      </c>
      <c r="B15" s="165" t="s">
        <v>206</v>
      </c>
      <c r="C15" s="102">
        <v>1</v>
      </c>
      <c r="D15" s="102">
        <v>0</v>
      </c>
      <c r="E15" s="101">
        <v>0</v>
      </c>
      <c r="F15" s="101">
        <v>1</v>
      </c>
      <c r="G15"/>
      <c r="H15"/>
    </row>
    <row r="16" spans="1:8" x14ac:dyDescent="0.15">
      <c r="A16">
        <v>15</v>
      </c>
      <c r="B16" s="165" t="s">
        <v>207</v>
      </c>
      <c r="C16" s="102">
        <v>1</v>
      </c>
      <c r="D16" s="102">
        <v>0</v>
      </c>
      <c r="E16" s="101">
        <v>0</v>
      </c>
      <c r="F16" s="101">
        <v>1</v>
      </c>
      <c r="G16"/>
      <c r="H16"/>
    </row>
    <row r="17" spans="1:8" ht="15" customHeight="1" x14ac:dyDescent="0.15">
      <c r="A17">
        <v>16</v>
      </c>
      <c r="B17" s="165" t="s">
        <v>208</v>
      </c>
      <c r="C17" s="102">
        <v>1</v>
      </c>
      <c r="D17" s="102">
        <v>0</v>
      </c>
      <c r="E17" s="101">
        <v>0</v>
      </c>
      <c r="F17" s="101">
        <v>1</v>
      </c>
      <c r="G17"/>
      <c r="H17"/>
    </row>
    <row r="18" spans="1:8" ht="15" customHeight="1" x14ac:dyDescent="0.15">
      <c r="A18">
        <v>17</v>
      </c>
      <c r="B18" s="165" t="s">
        <v>209</v>
      </c>
      <c r="C18" s="102">
        <v>1</v>
      </c>
      <c r="D18" s="102">
        <v>0</v>
      </c>
      <c r="E18" s="101">
        <v>0</v>
      </c>
      <c r="F18" s="101">
        <v>1</v>
      </c>
      <c r="G18"/>
      <c r="H18"/>
    </row>
    <row r="19" spans="1:8" ht="15" customHeight="1" x14ac:dyDescent="0.15">
      <c r="A19">
        <v>18</v>
      </c>
      <c r="B19" s="165" t="s">
        <v>210</v>
      </c>
      <c r="C19" s="102">
        <v>1</v>
      </c>
      <c r="D19" s="102">
        <v>0</v>
      </c>
      <c r="E19" s="101">
        <v>0</v>
      </c>
      <c r="F19" s="101">
        <v>1</v>
      </c>
      <c r="G19"/>
      <c r="H19"/>
    </row>
    <row r="20" spans="1:8" ht="15" customHeight="1" x14ac:dyDescent="0.15">
      <c r="A20">
        <v>19</v>
      </c>
      <c r="B20" s="165" t="s">
        <v>211</v>
      </c>
      <c r="C20" s="102">
        <v>1</v>
      </c>
      <c r="D20" s="102">
        <v>0</v>
      </c>
      <c r="E20" s="101">
        <v>0</v>
      </c>
      <c r="F20" s="101">
        <v>1</v>
      </c>
      <c r="G20"/>
      <c r="H20"/>
    </row>
    <row r="21" spans="1:8" ht="15" customHeight="1" x14ac:dyDescent="0.15">
      <c r="A21">
        <v>20</v>
      </c>
      <c r="B21" s="165" t="s">
        <v>212</v>
      </c>
      <c r="C21" s="102">
        <v>1</v>
      </c>
      <c r="D21" s="102">
        <v>0</v>
      </c>
      <c r="E21" s="101">
        <v>0</v>
      </c>
      <c r="F21" s="101">
        <v>1</v>
      </c>
      <c r="G21"/>
      <c r="H21"/>
    </row>
    <row r="22" spans="1:8" ht="15" customHeight="1" x14ac:dyDescent="0.15">
      <c r="A22">
        <v>21</v>
      </c>
      <c r="B22" s="165" t="s">
        <v>213</v>
      </c>
      <c r="C22" s="102">
        <v>1</v>
      </c>
      <c r="D22" s="102">
        <v>0</v>
      </c>
      <c r="E22" s="101">
        <v>0</v>
      </c>
      <c r="F22" s="101">
        <v>1</v>
      </c>
      <c r="G22"/>
      <c r="H22"/>
    </row>
    <row r="23" spans="1:8" ht="15" customHeight="1" x14ac:dyDescent="0.15">
      <c r="A23">
        <v>22</v>
      </c>
      <c r="B23" s="165" t="s">
        <v>214</v>
      </c>
      <c r="C23" s="102">
        <v>1</v>
      </c>
      <c r="D23" s="102">
        <v>0</v>
      </c>
      <c r="E23" s="101">
        <v>0</v>
      </c>
      <c r="F23" s="101">
        <v>1</v>
      </c>
      <c r="G23"/>
      <c r="H23"/>
    </row>
    <row r="24" spans="1:8" ht="15" customHeight="1" x14ac:dyDescent="0.15">
      <c r="A24">
        <v>23</v>
      </c>
      <c r="B24" s="165" t="s">
        <v>215</v>
      </c>
      <c r="C24" s="102">
        <v>1</v>
      </c>
      <c r="D24" s="102">
        <v>0</v>
      </c>
      <c r="E24" s="101">
        <v>0</v>
      </c>
      <c r="F24" s="101">
        <v>1</v>
      </c>
      <c r="G24"/>
      <c r="H24"/>
    </row>
    <row r="25" spans="1:8" ht="15" customHeight="1" x14ac:dyDescent="0.15">
      <c r="A25">
        <v>24</v>
      </c>
      <c r="B25" s="165" t="s">
        <v>216</v>
      </c>
      <c r="C25" s="102">
        <v>1</v>
      </c>
      <c r="D25" s="102">
        <v>0</v>
      </c>
      <c r="E25" s="101">
        <v>0</v>
      </c>
      <c r="F25" s="101">
        <v>1</v>
      </c>
      <c r="G25"/>
      <c r="H25"/>
    </row>
    <row r="26" spans="1:8" ht="15" customHeight="1" x14ac:dyDescent="0.15">
      <c r="A26">
        <v>25</v>
      </c>
      <c r="B26" s="165" t="s">
        <v>217</v>
      </c>
      <c r="C26" s="102">
        <v>0</v>
      </c>
      <c r="D26" s="102">
        <v>1</v>
      </c>
      <c r="E26" s="101">
        <v>0</v>
      </c>
      <c r="F26" s="101">
        <v>1</v>
      </c>
      <c r="G26"/>
      <c r="H26"/>
    </row>
    <row r="27" spans="1:8" ht="15" customHeight="1" x14ac:dyDescent="0.15">
      <c r="A27">
        <v>26</v>
      </c>
      <c r="B27" s="165" t="s">
        <v>218</v>
      </c>
      <c r="C27" s="102">
        <v>0</v>
      </c>
      <c r="D27" s="102">
        <v>0</v>
      </c>
      <c r="E27" s="101">
        <v>1</v>
      </c>
      <c r="F27" s="101">
        <v>1</v>
      </c>
      <c r="G27"/>
      <c r="H27"/>
    </row>
    <row r="28" spans="1:8" ht="15" customHeight="1" x14ac:dyDescent="0.15">
      <c r="A28">
        <v>27</v>
      </c>
      <c r="B28" s="165" t="s">
        <v>219</v>
      </c>
      <c r="C28" s="102">
        <v>0</v>
      </c>
      <c r="D28" s="102">
        <v>1</v>
      </c>
      <c r="E28" s="101">
        <v>0</v>
      </c>
      <c r="F28" s="101">
        <v>1</v>
      </c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2"/>
      <c r="F36" s="102"/>
      <c r="G36"/>
      <c r="H36"/>
    </row>
    <row r="37" spans="3:8" ht="15" customHeight="1" x14ac:dyDescent="0.15">
      <c r="C37"/>
      <c r="D37"/>
      <c r="E37" s="102"/>
      <c r="F37" s="102"/>
      <c r="G37"/>
      <c r="H37"/>
    </row>
    <row r="38" spans="3:8" ht="15" customHeight="1" x14ac:dyDescent="0.15">
      <c r="C38"/>
      <c r="D38"/>
      <c r="E38" s="102"/>
      <c r="F38" s="102"/>
      <c r="G38"/>
      <c r="H38"/>
    </row>
    <row r="39" spans="3:8" ht="15" customHeight="1" x14ac:dyDescent="0.15">
      <c r="C39"/>
      <c r="D39"/>
      <c r="E39" s="102"/>
      <c r="F39" s="102"/>
      <c r="G39"/>
      <c r="H39"/>
    </row>
    <row r="40" spans="3:8" ht="15" customHeight="1" x14ac:dyDescent="0.15">
      <c r="C40"/>
      <c r="D40"/>
      <c r="E40" s="102"/>
      <c r="F40" s="102"/>
      <c r="G40"/>
      <c r="H40"/>
    </row>
    <row r="41" spans="3:8" ht="15" customHeight="1" x14ac:dyDescent="0.15">
      <c r="C41"/>
      <c r="D41"/>
      <c r="E41" s="102"/>
      <c r="F41" s="102"/>
      <c r="G41"/>
      <c r="H41"/>
    </row>
    <row r="42" spans="3:8" ht="15" customHeight="1" x14ac:dyDescent="0.15">
      <c r="C42"/>
      <c r="D42"/>
      <c r="E42" s="102"/>
      <c r="F42" s="102"/>
      <c r="G42"/>
      <c r="H42"/>
    </row>
    <row r="43" spans="3:8" ht="15" customHeight="1" x14ac:dyDescent="0.15">
      <c r="C43"/>
      <c r="D43"/>
      <c r="E43" s="102"/>
      <c r="F43" s="10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2"/>
      <c r="F46" s="10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" bestFit="1" customWidth="1"/>
    <col min="3" max="4" width="6.83203125" bestFit="1" customWidth="1"/>
    <col min="5" max="5" width="12.1640625" bestFit="1" customWidth="1"/>
  </cols>
  <sheetData>
    <row r="1" spans="1:5" s="103" customFormat="1" ht="112" x14ac:dyDescent="0.15">
      <c r="A1" s="5" t="s">
        <v>21</v>
      </c>
      <c r="B1" s="3" t="s">
        <v>0</v>
      </c>
      <c r="C1" s="168" t="s">
        <v>219</v>
      </c>
      <c r="D1" s="168" t="s">
        <v>223</v>
      </c>
      <c r="E1"/>
    </row>
    <row r="2" spans="1:5" ht="15" customHeight="1" x14ac:dyDescent="0.15">
      <c r="A2">
        <v>1</v>
      </c>
      <c r="B2" s="167" t="s">
        <v>193</v>
      </c>
      <c r="C2">
        <v>0</v>
      </c>
      <c r="D2">
        <v>0</v>
      </c>
    </row>
    <row r="3" spans="1:5" ht="15" customHeight="1" x14ac:dyDescent="0.15">
      <c r="A3">
        <v>2</v>
      </c>
      <c r="B3" s="167" t="s">
        <v>194</v>
      </c>
      <c r="C3">
        <v>0</v>
      </c>
      <c r="D3">
        <v>0</v>
      </c>
    </row>
    <row r="4" spans="1:5" ht="15" customHeight="1" x14ac:dyDescent="0.15">
      <c r="A4">
        <v>3</v>
      </c>
      <c r="B4" s="167" t="s">
        <v>195</v>
      </c>
      <c r="C4">
        <v>0</v>
      </c>
      <c r="D4">
        <v>0</v>
      </c>
    </row>
    <row r="5" spans="1:5" ht="15" customHeight="1" x14ac:dyDescent="0.15">
      <c r="A5">
        <v>4</v>
      </c>
      <c r="B5" s="167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67" t="s">
        <v>197</v>
      </c>
      <c r="C6">
        <v>0</v>
      </c>
      <c r="D6">
        <v>0</v>
      </c>
    </row>
    <row r="7" spans="1:5" ht="15" customHeight="1" x14ac:dyDescent="0.15">
      <c r="A7">
        <v>6</v>
      </c>
      <c r="B7" s="167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67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67" t="s">
        <v>200</v>
      </c>
      <c r="C9">
        <v>0</v>
      </c>
      <c r="D9">
        <v>0</v>
      </c>
    </row>
    <row r="10" spans="1:5" ht="15" customHeight="1" x14ac:dyDescent="0.15">
      <c r="A10">
        <v>9</v>
      </c>
      <c r="B10" s="167" t="s">
        <v>201</v>
      </c>
      <c r="C10">
        <v>0</v>
      </c>
      <c r="D10">
        <v>0</v>
      </c>
    </row>
    <row r="11" spans="1:5" ht="15" customHeight="1" x14ac:dyDescent="0.15">
      <c r="A11">
        <v>10</v>
      </c>
      <c r="B11" s="167" t="s">
        <v>202</v>
      </c>
      <c r="C11">
        <v>0</v>
      </c>
      <c r="D11">
        <v>0</v>
      </c>
    </row>
    <row r="12" spans="1:5" ht="15" customHeight="1" x14ac:dyDescent="0.15">
      <c r="A12">
        <v>11</v>
      </c>
      <c r="B12" s="167" t="s">
        <v>203</v>
      </c>
      <c r="C12">
        <v>0</v>
      </c>
      <c r="D12">
        <v>0</v>
      </c>
    </row>
    <row r="13" spans="1:5" ht="15" customHeight="1" x14ac:dyDescent="0.15">
      <c r="A13">
        <v>12</v>
      </c>
      <c r="B13" s="167" t="s">
        <v>204</v>
      </c>
      <c r="C13">
        <v>2.9802</v>
      </c>
      <c r="D13">
        <v>2.9802</v>
      </c>
    </row>
    <row r="14" spans="1:5" ht="15" customHeight="1" x14ac:dyDescent="0.15">
      <c r="A14">
        <v>13</v>
      </c>
      <c r="B14" s="167" t="s">
        <v>205</v>
      </c>
      <c r="C14">
        <v>0</v>
      </c>
      <c r="D14">
        <v>0</v>
      </c>
    </row>
    <row r="15" spans="1:5" ht="15" customHeight="1" x14ac:dyDescent="0.15">
      <c r="A15">
        <v>14</v>
      </c>
      <c r="B15" s="167" t="s">
        <v>206</v>
      </c>
      <c r="C15">
        <v>0</v>
      </c>
      <c r="D15">
        <v>0</v>
      </c>
    </row>
    <row r="16" spans="1:5" ht="15" customHeight="1" x14ac:dyDescent="0.15">
      <c r="A16">
        <v>15</v>
      </c>
      <c r="B16" s="167" t="s">
        <v>207</v>
      </c>
      <c r="C16">
        <v>0</v>
      </c>
      <c r="D16">
        <v>0</v>
      </c>
    </row>
    <row r="17" spans="1:4" ht="15" customHeight="1" x14ac:dyDescent="0.15">
      <c r="A17">
        <v>16</v>
      </c>
      <c r="B17" s="167" t="s">
        <v>208</v>
      </c>
      <c r="C17">
        <v>0.91110000000000002</v>
      </c>
      <c r="D17">
        <v>0.91110000000000002</v>
      </c>
    </row>
    <row r="18" spans="1:4" ht="15" customHeight="1" x14ac:dyDescent="0.15">
      <c r="A18">
        <v>17</v>
      </c>
      <c r="B18" s="167" t="s">
        <v>209</v>
      </c>
      <c r="C18">
        <v>0</v>
      </c>
      <c r="D18">
        <v>0</v>
      </c>
    </row>
    <row r="19" spans="1:4" ht="15" customHeight="1" x14ac:dyDescent="0.15">
      <c r="A19">
        <v>18</v>
      </c>
      <c r="B19" s="167" t="s">
        <v>210</v>
      </c>
      <c r="C19">
        <v>2.7584</v>
      </c>
      <c r="D19">
        <v>2.7584</v>
      </c>
    </row>
    <row r="20" spans="1:4" ht="15" customHeight="1" x14ac:dyDescent="0.15">
      <c r="A20">
        <v>19</v>
      </c>
      <c r="B20" s="167" t="s">
        <v>211</v>
      </c>
      <c r="C20">
        <v>0.51780000000000004</v>
      </c>
      <c r="D20">
        <v>0.51780000000000004</v>
      </c>
    </row>
    <row r="21" spans="1:4" ht="15" customHeight="1" x14ac:dyDescent="0.15">
      <c r="A21">
        <v>20</v>
      </c>
      <c r="B21" s="167" t="s">
        <v>212</v>
      </c>
      <c r="C21">
        <v>0</v>
      </c>
      <c r="D21">
        <v>0</v>
      </c>
    </row>
    <row r="22" spans="1:4" ht="15" customHeight="1" x14ac:dyDescent="0.15">
      <c r="A22">
        <v>21</v>
      </c>
      <c r="B22" s="167" t="s">
        <v>213</v>
      </c>
      <c r="C22">
        <v>0</v>
      </c>
      <c r="D22">
        <v>0</v>
      </c>
    </row>
    <row r="23" spans="1:4" ht="15" customHeight="1" x14ac:dyDescent="0.15">
      <c r="A23">
        <v>22</v>
      </c>
      <c r="B23" s="167" t="s">
        <v>214</v>
      </c>
      <c r="C23">
        <v>0</v>
      </c>
      <c r="D23">
        <v>0</v>
      </c>
    </row>
    <row r="24" spans="1:4" ht="15" customHeight="1" x14ac:dyDescent="0.15">
      <c r="A24">
        <v>23</v>
      </c>
      <c r="B24" s="167" t="s">
        <v>215</v>
      </c>
      <c r="C24">
        <v>2.403</v>
      </c>
      <c r="D24">
        <v>2.403</v>
      </c>
    </row>
    <row r="25" spans="1:4" ht="15" customHeight="1" x14ac:dyDescent="0.15">
      <c r="A25">
        <v>24</v>
      </c>
      <c r="B25" s="167" t="s">
        <v>216</v>
      </c>
      <c r="C25">
        <v>0</v>
      </c>
      <c r="D25">
        <v>0</v>
      </c>
    </row>
    <row r="26" spans="1:4" ht="15" customHeight="1" x14ac:dyDescent="0.15">
      <c r="A26">
        <v>25</v>
      </c>
      <c r="B26" s="167" t="s">
        <v>217</v>
      </c>
      <c r="C26">
        <v>0</v>
      </c>
      <c r="D26">
        <v>0</v>
      </c>
    </row>
    <row r="27" spans="1:4" ht="15" customHeight="1" x14ac:dyDescent="0.15">
      <c r="A27">
        <v>26</v>
      </c>
      <c r="B27" s="167" t="s">
        <v>218</v>
      </c>
      <c r="C27">
        <v>0</v>
      </c>
      <c r="D27">
        <v>0</v>
      </c>
    </row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4" bestFit="1" customWidth="1"/>
    <col min="3" max="4" width="2.33203125" bestFit="1" customWidth="1"/>
    <col min="5" max="5" width="12.1640625" bestFit="1" customWidth="1"/>
  </cols>
  <sheetData>
    <row r="1" spans="1:4" s="103" customFormat="1" ht="112" x14ac:dyDescent="0.15">
      <c r="A1" s="5" t="s">
        <v>22</v>
      </c>
      <c r="B1" s="3" t="s">
        <v>0</v>
      </c>
      <c r="C1" s="170" t="s">
        <v>219</v>
      </c>
      <c r="D1" s="170" t="s">
        <v>223</v>
      </c>
    </row>
    <row r="2" spans="1:4" x14ac:dyDescent="0.15">
      <c r="A2">
        <v>1</v>
      </c>
      <c r="B2" s="169" t="s">
        <v>193</v>
      </c>
      <c r="C2">
        <v>0</v>
      </c>
      <c r="D2">
        <v>0</v>
      </c>
    </row>
    <row r="3" spans="1:4" x14ac:dyDescent="0.15">
      <c r="A3">
        <v>2</v>
      </c>
      <c r="B3" s="169" t="s">
        <v>194</v>
      </c>
      <c r="C3">
        <v>0</v>
      </c>
      <c r="D3">
        <v>0</v>
      </c>
    </row>
    <row r="4" spans="1:4" x14ac:dyDescent="0.15">
      <c r="A4">
        <v>3</v>
      </c>
      <c r="B4" s="169" t="s">
        <v>195</v>
      </c>
      <c r="C4">
        <v>0</v>
      </c>
      <c r="D4">
        <v>0</v>
      </c>
    </row>
    <row r="5" spans="1:4" x14ac:dyDescent="0.15">
      <c r="A5">
        <v>4</v>
      </c>
      <c r="B5" s="169" t="s">
        <v>196</v>
      </c>
      <c r="C5">
        <v>0</v>
      </c>
      <c r="D5">
        <v>0</v>
      </c>
    </row>
    <row r="6" spans="1:4" x14ac:dyDescent="0.15">
      <c r="A6">
        <v>5</v>
      </c>
      <c r="B6" s="169" t="s">
        <v>197</v>
      </c>
      <c r="C6">
        <v>0</v>
      </c>
      <c r="D6">
        <v>0</v>
      </c>
    </row>
    <row r="7" spans="1:4" x14ac:dyDescent="0.15">
      <c r="A7">
        <v>6</v>
      </c>
      <c r="B7" s="169" t="s">
        <v>198</v>
      </c>
      <c r="C7">
        <v>0</v>
      </c>
      <c r="D7">
        <v>0</v>
      </c>
    </row>
    <row r="8" spans="1:4" x14ac:dyDescent="0.15">
      <c r="A8">
        <v>7</v>
      </c>
      <c r="B8" s="169" t="s">
        <v>199</v>
      </c>
      <c r="C8">
        <v>0</v>
      </c>
      <c r="D8">
        <v>0</v>
      </c>
    </row>
    <row r="9" spans="1:4" x14ac:dyDescent="0.15">
      <c r="A9">
        <v>8</v>
      </c>
      <c r="B9" s="169" t="s">
        <v>200</v>
      </c>
      <c r="C9">
        <v>0</v>
      </c>
      <c r="D9">
        <v>0</v>
      </c>
    </row>
    <row r="10" spans="1:4" x14ac:dyDescent="0.15">
      <c r="A10">
        <v>9</v>
      </c>
      <c r="B10" s="169" t="s">
        <v>201</v>
      </c>
      <c r="C10">
        <v>0</v>
      </c>
      <c r="D10">
        <v>0</v>
      </c>
    </row>
    <row r="11" spans="1:4" x14ac:dyDescent="0.15">
      <c r="A11">
        <v>10</v>
      </c>
      <c r="B11" s="169" t="s">
        <v>202</v>
      </c>
      <c r="C11">
        <v>0</v>
      </c>
      <c r="D11">
        <v>0</v>
      </c>
    </row>
    <row r="12" spans="1:4" x14ac:dyDescent="0.15">
      <c r="A12">
        <v>11</v>
      </c>
      <c r="B12" s="169" t="s">
        <v>203</v>
      </c>
      <c r="C12">
        <v>0</v>
      </c>
      <c r="D12">
        <v>0</v>
      </c>
    </row>
    <row r="13" spans="1:4" x14ac:dyDescent="0.15">
      <c r="A13">
        <v>12</v>
      </c>
      <c r="B13" s="169" t="s">
        <v>204</v>
      </c>
      <c r="C13">
        <v>0</v>
      </c>
      <c r="D13">
        <v>0</v>
      </c>
    </row>
    <row r="14" spans="1:4" x14ac:dyDescent="0.15">
      <c r="A14">
        <v>13</v>
      </c>
      <c r="B14" s="169" t="s">
        <v>205</v>
      </c>
      <c r="C14">
        <v>0</v>
      </c>
      <c r="D14">
        <v>0</v>
      </c>
    </row>
    <row r="15" spans="1:4" x14ac:dyDescent="0.15">
      <c r="A15">
        <v>14</v>
      </c>
      <c r="B15" s="169" t="s">
        <v>206</v>
      </c>
      <c r="C15">
        <v>0</v>
      </c>
      <c r="D15">
        <v>0</v>
      </c>
    </row>
    <row r="16" spans="1:4" x14ac:dyDescent="0.15">
      <c r="A16">
        <v>15</v>
      </c>
      <c r="B16" s="169" t="s">
        <v>207</v>
      </c>
      <c r="C16">
        <v>0</v>
      </c>
      <c r="D16">
        <v>0</v>
      </c>
    </row>
    <row r="17" spans="1:4" x14ac:dyDescent="0.15">
      <c r="A17">
        <v>16</v>
      </c>
      <c r="B17" s="169" t="s">
        <v>208</v>
      </c>
      <c r="C17">
        <v>0</v>
      </c>
      <c r="D17">
        <v>0</v>
      </c>
    </row>
    <row r="18" spans="1:4" x14ac:dyDescent="0.15">
      <c r="A18">
        <v>17</v>
      </c>
      <c r="B18" s="169" t="s">
        <v>209</v>
      </c>
      <c r="C18">
        <v>0</v>
      </c>
      <c r="D18">
        <v>0</v>
      </c>
    </row>
    <row r="19" spans="1:4" x14ac:dyDescent="0.15">
      <c r="A19">
        <v>18</v>
      </c>
      <c r="B19" s="169" t="s">
        <v>210</v>
      </c>
      <c r="C19">
        <v>0</v>
      </c>
      <c r="D19">
        <v>0</v>
      </c>
    </row>
    <row r="20" spans="1:4" x14ac:dyDescent="0.15">
      <c r="A20">
        <v>19</v>
      </c>
      <c r="B20" s="169" t="s">
        <v>211</v>
      </c>
      <c r="C20">
        <v>0</v>
      </c>
      <c r="D20">
        <v>0</v>
      </c>
    </row>
    <row r="21" spans="1:4" x14ac:dyDescent="0.15">
      <c r="A21">
        <v>20</v>
      </c>
      <c r="B21" s="169" t="s">
        <v>212</v>
      </c>
      <c r="C21">
        <v>0</v>
      </c>
      <c r="D21">
        <v>0</v>
      </c>
    </row>
    <row r="22" spans="1:4" x14ac:dyDescent="0.15">
      <c r="A22">
        <v>21</v>
      </c>
      <c r="B22" s="169" t="s">
        <v>213</v>
      </c>
      <c r="C22">
        <v>0</v>
      </c>
      <c r="D22">
        <v>0</v>
      </c>
    </row>
    <row r="23" spans="1:4" x14ac:dyDescent="0.15">
      <c r="A23">
        <v>22</v>
      </c>
      <c r="B23" s="169" t="s">
        <v>214</v>
      </c>
      <c r="C23">
        <v>0</v>
      </c>
      <c r="D23">
        <v>0</v>
      </c>
    </row>
    <row r="24" spans="1:4" x14ac:dyDescent="0.15">
      <c r="A24">
        <v>23</v>
      </c>
      <c r="B24" s="169" t="s">
        <v>215</v>
      </c>
      <c r="C24">
        <v>0</v>
      </c>
      <c r="D24">
        <v>0</v>
      </c>
    </row>
    <row r="25" spans="1:4" x14ac:dyDescent="0.15">
      <c r="A25">
        <v>24</v>
      </c>
      <c r="B25" s="169" t="s">
        <v>216</v>
      </c>
      <c r="C25">
        <v>0</v>
      </c>
      <c r="D25">
        <v>0</v>
      </c>
    </row>
    <row r="26" spans="1:4" x14ac:dyDescent="0.15">
      <c r="A26">
        <v>25</v>
      </c>
      <c r="B26" s="169" t="s">
        <v>217</v>
      </c>
      <c r="C26">
        <v>0</v>
      </c>
      <c r="D26">
        <v>0</v>
      </c>
    </row>
    <row r="27" spans="1:4" x14ac:dyDescent="0.15">
      <c r="A27">
        <v>26</v>
      </c>
      <c r="B27" s="169" t="s">
        <v>218</v>
      </c>
      <c r="C27">
        <v>0</v>
      </c>
      <c r="D2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4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71" t="s">
        <v>193</v>
      </c>
      <c r="F2">
        <v>0.98</v>
      </c>
      <c r="G2">
        <v>0.8</v>
      </c>
      <c r="H2">
        <v>0.8</v>
      </c>
      <c r="I2">
        <v>0</v>
      </c>
      <c r="J2" s="102">
        <v>0</v>
      </c>
      <c r="K2" s="102">
        <v>0</v>
      </c>
    </row>
    <row r="3" spans="1:42" x14ac:dyDescent="0.15">
      <c r="A3" s="111" t="s">
        <v>75</v>
      </c>
      <c r="B3" s="113">
        <v>1</v>
      </c>
      <c r="D3">
        <v>2</v>
      </c>
      <c r="E3" s="171" t="s">
        <v>194</v>
      </c>
      <c r="F3">
        <v>0.98</v>
      </c>
      <c r="G3">
        <v>0.8</v>
      </c>
      <c r="H3">
        <v>0.8</v>
      </c>
      <c r="I3">
        <v>0.8</v>
      </c>
      <c r="J3" s="102">
        <v>0.25</v>
      </c>
      <c r="K3" s="102">
        <v>0.05</v>
      </c>
    </row>
    <row r="4" spans="1:42" x14ac:dyDescent="0.15">
      <c r="A4" s="111" t="s">
        <v>76</v>
      </c>
      <c r="B4" s="113">
        <v>1</v>
      </c>
      <c r="D4">
        <v>3</v>
      </c>
      <c r="E4" s="171" t="s">
        <v>195</v>
      </c>
      <c r="F4">
        <v>0.98</v>
      </c>
      <c r="G4">
        <v>0.8</v>
      </c>
      <c r="H4">
        <v>0.8</v>
      </c>
      <c r="I4">
        <v>0</v>
      </c>
      <c r="J4" s="102">
        <v>0</v>
      </c>
      <c r="K4" s="102">
        <v>0</v>
      </c>
    </row>
    <row r="5" spans="1:42" x14ac:dyDescent="0.15">
      <c r="A5" s="111" t="s">
        <v>77</v>
      </c>
      <c r="B5" s="113">
        <v>1</v>
      </c>
      <c r="D5">
        <v>4</v>
      </c>
      <c r="E5" s="171" t="s">
        <v>196</v>
      </c>
      <c r="F5">
        <v>0.98</v>
      </c>
      <c r="G5">
        <v>0.8</v>
      </c>
      <c r="H5">
        <v>0.8</v>
      </c>
      <c r="I5">
        <v>0</v>
      </c>
      <c r="J5" s="102">
        <v>0</v>
      </c>
      <c r="K5" s="102">
        <v>0</v>
      </c>
    </row>
    <row r="6" spans="1:42" x14ac:dyDescent="0.15">
      <c r="A6" s="111" t="s">
        <v>78</v>
      </c>
      <c r="B6" s="113">
        <v>1</v>
      </c>
      <c r="D6">
        <v>5</v>
      </c>
      <c r="E6" s="171" t="s">
        <v>197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71" t="s">
        <v>198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71" t="s">
        <v>199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9" t="s">
        <v>150</v>
      </c>
      <c r="D9">
        <v>8</v>
      </c>
      <c r="E9" s="171" t="s">
        <v>200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9" t="s">
        <v>150</v>
      </c>
      <c r="D10">
        <v>9</v>
      </c>
      <c r="E10" s="171" t="s">
        <v>201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71" t="s">
        <v>202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71" t="s">
        <v>203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71" t="s">
        <v>204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71" t="s">
        <v>205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71" t="s">
        <v>206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71" t="s">
        <v>207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71" t="s">
        <v>208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71" t="s">
        <v>209</v>
      </c>
      <c r="F18">
        <v>0.98</v>
      </c>
      <c r="G18">
        <v>0.8</v>
      </c>
      <c r="H18">
        <v>0.8</v>
      </c>
      <c r="I18">
        <v>0.8</v>
      </c>
      <c r="J18" s="102">
        <v>0.25</v>
      </c>
      <c r="K18" s="102">
        <v>0.05</v>
      </c>
    </row>
    <row r="19" spans="4:33" ht="15" customHeight="1" x14ac:dyDescent="0.15">
      <c r="D19">
        <v>18</v>
      </c>
      <c r="E19" s="171" t="s">
        <v>210</v>
      </c>
      <c r="F19">
        <v>0.98</v>
      </c>
      <c r="G19">
        <v>0.8</v>
      </c>
      <c r="H19">
        <v>0.8</v>
      </c>
      <c r="I19">
        <v>0.8</v>
      </c>
      <c r="J19" s="102">
        <v>0.25</v>
      </c>
      <c r="K19" s="102">
        <v>0.05</v>
      </c>
    </row>
    <row r="20" spans="4:33" ht="15" customHeight="1" x14ac:dyDescent="0.15">
      <c r="D20">
        <v>19</v>
      </c>
      <c r="E20" s="171" t="s">
        <v>211</v>
      </c>
      <c r="F20">
        <v>0.98</v>
      </c>
      <c r="G20">
        <v>0.8</v>
      </c>
      <c r="H20">
        <v>0.8</v>
      </c>
      <c r="I20">
        <v>0.8</v>
      </c>
      <c r="J20" s="102">
        <v>0.25</v>
      </c>
      <c r="K20" s="102">
        <v>0.05</v>
      </c>
    </row>
    <row r="21" spans="4:33" ht="15" customHeight="1" x14ac:dyDescent="0.15">
      <c r="D21">
        <v>20</v>
      </c>
      <c r="E21" s="171" t="s">
        <v>212</v>
      </c>
      <c r="F21">
        <v>0.98</v>
      </c>
      <c r="G21">
        <v>0.8</v>
      </c>
      <c r="H21">
        <v>0.8</v>
      </c>
      <c r="I21">
        <v>0.8</v>
      </c>
      <c r="J21" s="102">
        <v>0.25</v>
      </c>
      <c r="K21" s="102">
        <v>0.05</v>
      </c>
    </row>
    <row r="22" spans="4:33" ht="15" customHeight="1" x14ac:dyDescent="0.15">
      <c r="D22">
        <v>21</v>
      </c>
      <c r="E22" s="171" t="s">
        <v>213</v>
      </c>
      <c r="F22">
        <v>0.98</v>
      </c>
      <c r="G22">
        <v>0.8</v>
      </c>
      <c r="H22">
        <v>0.8</v>
      </c>
      <c r="I22">
        <v>0.8</v>
      </c>
      <c r="J22" s="102">
        <v>0.25</v>
      </c>
      <c r="K22" s="102">
        <v>0.05</v>
      </c>
    </row>
    <row r="23" spans="4:33" ht="15" customHeight="1" x14ac:dyDescent="0.15">
      <c r="D23">
        <v>22</v>
      </c>
      <c r="E23" s="171" t="s">
        <v>214</v>
      </c>
      <c r="F23">
        <v>0.98</v>
      </c>
      <c r="G23">
        <v>0.8</v>
      </c>
      <c r="H23">
        <v>0.8</v>
      </c>
      <c r="I23">
        <v>0.8</v>
      </c>
      <c r="J23" s="102">
        <v>0.25</v>
      </c>
      <c r="K23" s="102">
        <v>0.05</v>
      </c>
    </row>
    <row r="24" spans="4:33" ht="15" customHeight="1" x14ac:dyDescent="0.15">
      <c r="D24">
        <v>23</v>
      </c>
      <c r="E24" s="171" t="s">
        <v>215</v>
      </c>
      <c r="F24">
        <v>0.98</v>
      </c>
      <c r="G24">
        <v>0.8</v>
      </c>
      <c r="H24">
        <v>0.8</v>
      </c>
      <c r="I24">
        <v>0.8</v>
      </c>
      <c r="J24" s="102">
        <v>0.25</v>
      </c>
      <c r="K24" s="102">
        <v>0.05</v>
      </c>
    </row>
    <row r="25" spans="4:33" ht="15" customHeight="1" x14ac:dyDescent="0.15">
      <c r="D25">
        <v>24</v>
      </c>
      <c r="E25" s="171" t="s">
        <v>216</v>
      </c>
      <c r="F25">
        <v>0.98</v>
      </c>
      <c r="G25">
        <v>0.8</v>
      </c>
      <c r="H25">
        <v>0.8</v>
      </c>
      <c r="I25">
        <v>0.8</v>
      </c>
      <c r="J25" s="102">
        <v>0.25</v>
      </c>
      <c r="K25" s="102">
        <v>0.05</v>
      </c>
    </row>
    <row r="26" spans="4:33" ht="15" customHeight="1" x14ac:dyDescent="0.15">
      <c r="D26">
        <v>25</v>
      </c>
      <c r="E26" s="171" t="s">
        <v>217</v>
      </c>
      <c r="F26">
        <v>0.98</v>
      </c>
      <c r="G26">
        <v>0.8</v>
      </c>
      <c r="H26">
        <v>0</v>
      </c>
      <c r="I26">
        <v>0</v>
      </c>
      <c r="J26" s="102">
        <v>0</v>
      </c>
      <c r="K26" s="102">
        <v>0</v>
      </c>
    </row>
    <row r="27" spans="4:33" ht="15" customHeight="1" x14ac:dyDescent="0.15">
      <c r="D27">
        <v>26</v>
      </c>
      <c r="E27" s="171" t="s">
        <v>218</v>
      </c>
      <c r="F27">
        <v>0.98</v>
      </c>
      <c r="G27">
        <v>0.8</v>
      </c>
      <c r="H27">
        <v>0</v>
      </c>
      <c r="I27">
        <v>0</v>
      </c>
      <c r="J27" s="102">
        <v>0</v>
      </c>
      <c r="K27" s="102">
        <v>0</v>
      </c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4" style="100" bestFit="1" customWidth="1"/>
    <col min="2" max="2" width="2.33203125" style="100" customWidth="1"/>
    <col min="3" max="3" width="3.83203125" style="100" customWidth="1"/>
    <col min="4" max="5" width="2.33203125" style="100" customWidth="1"/>
    <col min="6" max="25" width="3.83203125" style="100" customWidth="1"/>
    <col min="26" max="27" width="2.33203125" style="100" customWidth="1"/>
    <col min="28" max="16384" width="10.83203125" style="100"/>
  </cols>
  <sheetData>
    <row r="1" spans="1:30" x14ac:dyDescent="0.15">
      <c r="A1" s="61" t="s">
        <v>118</v>
      </c>
      <c r="B1" s="173" t="s">
        <v>193</v>
      </c>
      <c r="C1" s="173" t="s">
        <v>194</v>
      </c>
      <c r="D1" s="173" t="s">
        <v>195</v>
      </c>
      <c r="E1" s="173" t="s">
        <v>196</v>
      </c>
      <c r="F1" s="173" t="s">
        <v>197</v>
      </c>
      <c r="G1" s="173" t="s">
        <v>198</v>
      </c>
      <c r="H1" s="173" t="s">
        <v>199</v>
      </c>
      <c r="I1" s="173" t="s">
        <v>200</v>
      </c>
      <c r="J1" s="173" t="s">
        <v>201</v>
      </c>
      <c r="K1" s="173" t="s">
        <v>202</v>
      </c>
      <c r="L1" s="173" t="s">
        <v>203</v>
      </c>
      <c r="M1" s="173" t="s">
        <v>204</v>
      </c>
      <c r="N1" s="173" t="s">
        <v>205</v>
      </c>
      <c r="O1" s="173" t="s">
        <v>206</v>
      </c>
      <c r="P1" s="173" t="s">
        <v>207</v>
      </c>
      <c r="Q1" s="173" t="s">
        <v>208</v>
      </c>
      <c r="R1" s="173" t="s">
        <v>209</v>
      </c>
      <c r="S1" s="173" t="s">
        <v>210</v>
      </c>
      <c r="T1" s="173" t="s">
        <v>211</v>
      </c>
      <c r="U1" s="173" t="s">
        <v>212</v>
      </c>
      <c r="V1" s="173" t="s">
        <v>213</v>
      </c>
      <c r="W1" s="173" t="s">
        <v>214</v>
      </c>
      <c r="X1" s="173" t="s">
        <v>215</v>
      </c>
      <c r="Y1" s="173" t="s">
        <v>216</v>
      </c>
      <c r="Z1" s="173" t="s">
        <v>217</v>
      </c>
      <c r="AA1" s="173" t="s">
        <v>218</v>
      </c>
      <c r="AB1"/>
      <c r="AC1"/>
      <c r="AD1"/>
    </row>
    <row r="2" spans="1:30" customFormat="1" x14ac:dyDescent="0.15">
      <c r="A2" s="172" t="s">
        <v>193</v>
      </c>
      <c r="B2" s="100">
        <v>0</v>
      </c>
      <c r="C2" s="100">
        <v>0.8</v>
      </c>
      <c r="D2" s="100">
        <v>0</v>
      </c>
      <c r="E2" s="100">
        <v>0</v>
      </c>
      <c r="F2" s="100">
        <v>0</v>
      </c>
      <c r="G2" s="100">
        <v>0.8</v>
      </c>
      <c r="H2" s="100">
        <v>0.8</v>
      </c>
      <c r="I2" s="100">
        <v>0</v>
      </c>
      <c r="J2" s="100">
        <v>0</v>
      </c>
      <c r="K2" s="100">
        <v>0.8</v>
      </c>
      <c r="L2" s="100">
        <v>0.8</v>
      </c>
      <c r="M2" s="100">
        <v>0.8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  <c r="Y2" s="100">
        <v>0</v>
      </c>
      <c r="Z2" s="100">
        <v>0</v>
      </c>
      <c r="AA2" s="100">
        <v>0</v>
      </c>
    </row>
    <row r="3" spans="1:30" customFormat="1" x14ac:dyDescent="0.15">
      <c r="A3" s="172" t="s">
        <v>194</v>
      </c>
      <c r="B3" s="100">
        <v>0</v>
      </c>
      <c r="C3" s="100">
        <v>0.8</v>
      </c>
      <c r="D3" s="100">
        <v>0</v>
      </c>
      <c r="E3" s="100">
        <v>0</v>
      </c>
      <c r="F3" s="100">
        <v>0.8</v>
      </c>
      <c r="G3" s="100">
        <v>0.8</v>
      </c>
      <c r="H3" s="100">
        <v>0</v>
      </c>
      <c r="I3" s="100">
        <v>0</v>
      </c>
      <c r="J3" s="100">
        <v>0.8</v>
      </c>
      <c r="K3" s="100">
        <v>0.8</v>
      </c>
      <c r="L3" s="100">
        <v>0.8</v>
      </c>
      <c r="M3" s="100">
        <v>0.8</v>
      </c>
      <c r="N3" s="100">
        <v>0.8</v>
      </c>
      <c r="O3" s="100">
        <v>0.8</v>
      </c>
      <c r="P3" s="100">
        <v>0.8</v>
      </c>
      <c r="Q3" s="100">
        <v>0.8</v>
      </c>
      <c r="R3" s="100">
        <v>0</v>
      </c>
      <c r="S3" s="100">
        <v>0</v>
      </c>
      <c r="T3" s="100">
        <v>0</v>
      </c>
      <c r="U3" s="100">
        <v>0.8</v>
      </c>
      <c r="V3" s="100">
        <v>0</v>
      </c>
      <c r="W3" s="100">
        <v>0.8</v>
      </c>
      <c r="X3" s="100">
        <v>0.8</v>
      </c>
      <c r="Y3" s="100">
        <v>0.8</v>
      </c>
      <c r="Z3" s="100">
        <v>0</v>
      </c>
      <c r="AA3" s="100">
        <v>0</v>
      </c>
    </row>
    <row r="4" spans="1:30" customFormat="1" x14ac:dyDescent="0.15">
      <c r="A4" s="172" t="s">
        <v>195</v>
      </c>
      <c r="B4" s="100">
        <v>0</v>
      </c>
      <c r="C4" s="100">
        <v>0</v>
      </c>
      <c r="D4" s="100">
        <v>0</v>
      </c>
      <c r="E4" s="100">
        <v>0</v>
      </c>
      <c r="F4" s="100">
        <v>0.8</v>
      </c>
      <c r="G4" s="100">
        <v>0</v>
      </c>
      <c r="H4" s="100">
        <v>0</v>
      </c>
      <c r="I4" s="100">
        <v>0.8</v>
      </c>
      <c r="J4" s="100">
        <v>0.8</v>
      </c>
      <c r="K4" s="100">
        <v>0</v>
      </c>
      <c r="L4" s="100">
        <v>0</v>
      </c>
      <c r="M4" s="100">
        <v>0.8</v>
      </c>
      <c r="N4" s="100">
        <v>0</v>
      </c>
      <c r="O4" s="100">
        <v>0</v>
      </c>
      <c r="P4" s="100">
        <v>0.8</v>
      </c>
      <c r="Q4" s="100">
        <v>0.8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  <c r="Y4" s="100">
        <v>0</v>
      </c>
      <c r="Z4" s="100">
        <v>0</v>
      </c>
      <c r="AA4" s="100">
        <v>0</v>
      </c>
    </row>
    <row r="5" spans="1:30" customFormat="1" x14ac:dyDescent="0.15">
      <c r="A5" s="172" t="s">
        <v>196</v>
      </c>
      <c r="B5" s="100">
        <v>0</v>
      </c>
      <c r="C5" s="100">
        <v>0</v>
      </c>
      <c r="D5" s="100">
        <v>0</v>
      </c>
      <c r="E5" s="100">
        <v>0</v>
      </c>
      <c r="F5" s="100">
        <v>0.8</v>
      </c>
      <c r="G5" s="100">
        <v>0.8</v>
      </c>
      <c r="H5" s="100">
        <v>0.8</v>
      </c>
      <c r="I5" s="100">
        <v>0.8</v>
      </c>
      <c r="J5" s="100">
        <v>0.8</v>
      </c>
      <c r="K5" s="100">
        <v>0.8</v>
      </c>
      <c r="L5" s="100">
        <v>0</v>
      </c>
      <c r="M5" s="100">
        <v>0.8</v>
      </c>
      <c r="N5" s="100">
        <v>0.8</v>
      </c>
      <c r="O5" s="100">
        <v>0</v>
      </c>
      <c r="P5" s="100">
        <v>0.8</v>
      </c>
      <c r="Q5" s="100">
        <v>0.8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  <c r="Y5" s="100">
        <v>0</v>
      </c>
      <c r="Z5" s="100">
        <v>0</v>
      </c>
      <c r="AA5" s="100">
        <v>0</v>
      </c>
    </row>
    <row r="6" spans="1:30" customFormat="1" x14ac:dyDescent="0.15">
      <c r="A6" s="172" t="s">
        <v>197</v>
      </c>
      <c r="B6" s="100">
        <v>0</v>
      </c>
      <c r="C6" s="100">
        <v>0</v>
      </c>
      <c r="D6" s="100">
        <v>0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0</v>
      </c>
      <c r="K6" s="100">
        <v>0.8</v>
      </c>
      <c r="L6" s="100">
        <v>0</v>
      </c>
      <c r="M6" s="100">
        <v>0</v>
      </c>
      <c r="N6" s="100">
        <v>0.8</v>
      </c>
      <c r="O6" s="100">
        <v>0.8</v>
      </c>
      <c r="P6" s="100">
        <v>0.8</v>
      </c>
      <c r="Q6" s="100">
        <v>0</v>
      </c>
      <c r="R6" s="100">
        <v>0.8</v>
      </c>
      <c r="S6" s="100">
        <v>0.8</v>
      </c>
      <c r="T6" s="100">
        <v>0.8</v>
      </c>
      <c r="U6" s="100">
        <v>0.8</v>
      </c>
      <c r="V6" s="100">
        <v>0.8</v>
      </c>
      <c r="W6" s="100">
        <v>0</v>
      </c>
      <c r="X6" s="100">
        <v>0.8</v>
      </c>
      <c r="Y6" s="100">
        <v>0.8</v>
      </c>
      <c r="Z6" s="100">
        <v>0</v>
      </c>
      <c r="AA6" s="100">
        <v>0</v>
      </c>
    </row>
    <row r="7" spans="1:30" customFormat="1" x14ac:dyDescent="0.15">
      <c r="A7" s="172" t="s">
        <v>198</v>
      </c>
      <c r="B7" s="100">
        <v>0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0.8</v>
      </c>
      <c r="K7" s="100">
        <v>0.8</v>
      </c>
      <c r="L7" s="100">
        <v>0</v>
      </c>
      <c r="M7" s="100">
        <v>0</v>
      </c>
      <c r="N7" s="100">
        <v>0.8</v>
      </c>
      <c r="O7" s="100">
        <v>0</v>
      </c>
      <c r="P7" s="100">
        <v>0.8</v>
      </c>
      <c r="Q7" s="100">
        <v>0.8</v>
      </c>
      <c r="R7" s="100">
        <v>0</v>
      </c>
      <c r="S7" s="100">
        <v>0</v>
      </c>
      <c r="T7" s="100">
        <v>0</v>
      </c>
      <c r="U7" s="100">
        <v>0.8</v>
      </c>
      <c r="V7" s="100">
        <v>0</v>
      </c>
      <c r="W7" s="100">
        <v>0</v>
      </c>
      <c r="X7" s="100">
        <v>0</v>
      </c>
      <c r="Y7" s="100">
        <v>0</v>
      </c>
      <c r="Z7" s="100">
        <v>0</v>
      </c>
      <c r="AA7" s="100">
        <v>0</v>
      </c>
    </row>
    <row r="8" spans="1:30" customFormat="1" x14ac:dyDescent="0.15">
      <c r="A8" s="172" t="s">
        <v>199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0.8</v>
      </c>
      <c r="H8" s="100">
        <v>0</v>
      </c>
      <c r="I8" s="100">
        <v>0</v>
      </c>
      <c r="J8" s="100">
        <v>0.8</v>
      </c>
      <c r="K8" s="100">
        <v>0.8</v>
      </c>
      <c r="L8" s="100">
        <v>0</v>
      </c>
      <c r="M8" s="100">
        <v>0</v>
      </c>
      <c r="N8" s="100">
        <v>0</v>
      </c>
      <c r="O8" s="100">
        <v>0.8</v>
      </c>
      <c r="P8" s="100">
        <v>0</v>
      </c>
      <c r="Q8" s="100">
        <v>0</v>
      </c>
      <c r="R8" s="100">
        <v>0</v>
      </c>
      <c r="S8" s="100">
        <v>0</v>
      </c>
      <c r="T8" s="100">
        <v>0.8</v>
      </c>
      <c r="U8" s="100">
        <v>0</v>
      </c>
      <c r="V8" s="100">
        <v>0.8</v>
      </c>
      <c r="W8" s="100">
        <v>0.8</v>
      </c>
      <c r="X8" s="100">
        <v>0.8</v>
      </c>
      <c r="Y8" s="100">
        <v>0.8</v>
      </c>
      <c r="Z8" s="100">
        <v>0</v>
      </c>
      <c r="AA8" s="100">
        <v>0</v>
      </c>
    </row>
    <row r="9" spans="1:30" customFormat="1" x14ac:dyDescent="0.15">
      <c r="A9" s="172" t="s">
        <v>200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0.8</v>
      </c>
      <c r="H9" s="100">
        <v>0</v>
      </c>
      <c r="I9" s="100">
        <v>0</v>
      </c>
      <c r="J9" s="100">
        <v>0.8</v>
      </c>
      <c r="K9" s="100">
        <v>0.8</v>
      </c>
      <c r="L9" s="100">
        <v>0</v>
      </c>
      <c r="M9" s="100">
        <v>0</v>
      </c>
      <c r="N9" s="100">
        <v>0.8</v>
      </c>
      <c r="O9" s="100">
        <v>0.8</v>
      </c>
      <c r="P9" s="100">
        <v>0.8</v>
      </c>
      <c r="Q9" s="100">
        <v>0.8</v>
      </c>
      <c r="R9" s="100">
        <v>0.8</v>
      </c>
      <c r="S9" s="100">
        <v>0.8</v>
      </c>
      <c r="T9" s="100">
        <v>0.8</v>
      </c>
      <c r="U9" s="100">
        <v>0.8</v>
      </c>
      <c r="V9" s="100">
        <v>0.8</v>
      </c>
      <c r="W9" s="100">
        <v>0.8</v>
      </c>
      <c r="X9" s="100">
        <v>0.8</v>
      </c>
      <c r="Y9" s="100">
        <v>0.8</v>
      </c>
      <c r="Z9" s="100">
        <v>0</v>
      </c>
      <c r="AA9" s="100">
        <v>0</v>
      </c>
    </row>
    <row r="10" spans="1:30" customFormat="1" x14ac:dyDescent="0.15">
      <c r="A10" s="172" t="s">
        <v>201</v>
      </c>
      <c r="B10" s="100">
        <v>0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0.8</v>
      </c>
      <c r="O10" s="100">
        <v>0.8</v>
      </c>
      <c r="P10" s="100">
        <v>0.8</v>
      </c>
      <c r="Q10" s="100">
        <v>0</v>
      </c>
      <c r="R10" s="100">
        <v>0.8</v>
      </c>
      <c r="S10" s="100">
        <v>0.8</v>
      </c>
      <c r="T10" s="100">
        <v>0.8</v>
      </c>
      <c r="U10" s="100">
        <v>0.8</v>
      </c>
      <c r="V10" s="100">
        <v>0</v>
      </c>
      <c r="W10" s="100">
        <v>0</v>
      </c>
      <c r="X10" s="100">
        <v>0.8</v>
      </c>
      <c r="Y10" s="100">
        <v>0.8</v>
      </c>
      <c r="Z10" s="100">
        <v>0</v>
      </c>
      <c r="AA10" s="100">
        <v>0</v>
      </c>
    </row>
    <row r="11" spans="1:30" customFormat="1" x14ac:dyDescent="0.15">
      <c r="A11" s="172" t="s">
        <v>202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0.8</v>
      </c>
      <c r="K11" s="100">
        <v>0</v>
      </c>
      <c r="L11" s="100">
        <v>0</v>
      </c>
      <c r="M11" s="100">
        <v>0</v>
      </c>
      <c r="N11" s="100">
        <v>0.8</v>
      </c>
      <c r="O11" s="100">
        <v>0</v>
      </c>
      <c r="P11" s="100">
        <v>0</v>
      </c>
      <c r="Q11" s="100">
        <v>0.8</v>
      </c>
      <c r="R11" s="100">
        <v>0.8</v>
      </c>
      <c r="S11" s="100">
        <v>0.8</v>
      </c>
      <c r="T11" s="100">
        <v>0.8</v>
      </c>
      <c r="U11" s="100">
        <v>0.8</v>
      </c>
      <c r="V11" s="100">
        <v>0.8</v>
      </c>
      <c r="W11" s="100">
        <v>0.8</v>
      </c>
      <c r="X11" s="100">
        <v>0.8</v>
      </c>
      <c r="Y11" s="100">
        <v>0.8</v>
      </c>
      <c r="Z11" s="100">
        <v>0</v>
      </c>
      <c r="AA11" s="100">
        <v>0</v>
      </c>
    </row>
    <row r="12" spans="1:30" customFormat="1" x14ac:dyDescent="0.15">
      <c r="A12" s="172" t="s">
        <v>203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0.8</v>
      </c>
      <c r="S12" s="100">
        <v>0.8</v>
      </c>
      <c r="T12" s="100">
        <v>0</v>
      </c>
      <c r="U12" s="100">
        <v>0</v>
      </c>
      <c r="V12" s="100">
        <v>0.8</v>
      </c>
      <c r="W12" s="100">
        <v>0</v>
      </c>
      <c r="X12" s="100">
        <v>0.8</v>
      </c>
      <c r="Y12" s="100">
        <v>0.8</v>
      </c>
      <c r="Z12" s="100">
        <v>0</v>
      </c>
      <c r="AA12" s="100">
        <v>0</v>
      </c>
    </row>
    <row r="13" spans="1:30" customFormat="1" x14ac:dyDescent="0.15">
      <c r="A13" s="172" t="s">
        <v>204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0.8</v>
      </c>
      <c r="Y13" s="100">
        <v>0.8</v>
      </c>
      <c r="Z13" s="100">
        <v>0</v>
      </c>
      <c r="AA13" s="100">
        <v>0</v>
      </c>
    </row>
    <row r="14" spans="1:30" customFormat="1" x14ac:dyDescent="0.15">
      <c r="A14" s="172" t="s">
        <v>205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0.8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0.8</v>
      </c>
      <c r="V14" s="100">
        <v>0.8</v>
      </c>
      <c r="W14" s="100">
        <v>0</v>
      </c>
      <c r="X14" s="100">
        <v>0.8</v>
      </c>
      <c r="Y14" s="100">
        <v>0.8</v>
      </c>
      <c r="Z14" s="100">
        <v>0</v>
      </c>
      <c r="AA14" s="100">
        <v>0</v>
      </c>
    </row>
    <row r="15" spans="1:30" customFormat="1" x14ac:dyDescent="0.15">
      <c r="A15" s="172" t="s">
        <v>206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0.8</v>
      </c>
      <c r="U15" s="100">
        <v>0</v>
      </c>
      <c r="V15" s="100">
        <v>0.8</v>
      </c>
      <c r="W15" s="100">
        <v>0</v>
      </c>
      <c r="X15" s="100">
        <v>0.8</v>
      </c>
      <c r="Y15" s="100">
        <v>0.8</v>
      </c>
      <c r="Z15" s="100">
        <v>0</v>
      </c>
      <c r="AA15" s="100">
        <v>0</v>
      </c>
    </row>
    <row r="16" spans="1:30" customFormat="1" x14ac:dyDescent="0.15">
      <c r="A16" s="172" t="s">
        <v>207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  <c r="V16" s="100">
        <v>0.8</v>
      </c>
      <c r="W16" s="100">
        <v>0</v>
      </c>
      <c r="X16" s="100">
        <v>0.8</v>
      </c>
      <c r="Y16" s="100">
        <v>0.8</v>
      </c>
      <c r="Z16" s="100">
        <v>0</v>
      </c>
      <c r="AA16" s="100">
        <v>0</v>
      </c>
    </row>
    <row r="17" spans="1:27" customFormat="1" x14ac:dyDescent="0.15">
      <c r="A17" s="172" t="s">
        <v>208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0.8</v>
      </c>
      <c r="S17" s="100">
        <v>0</v>
      </c>
      <c r="T17" s="100">
        <v>0</v>
      </c>
      <c r="U17" s="100">
        <v>0</v>
      </c>
      <c r="V17" s="100">
        <v>0</v>
      </c>
      <c r="W17" s="100">
        <v>0</v>
      </c>
      <c r="X17" s="100">
        <v>0.8</v>
      </c>
      <c r="Y17" s="100">
        <v>0.8</v>
      </c>
      <c r="Z17" s="100">
        <v>0</v>
      </c>
      <c r="AA17" s="100">
        <v>0</v>
      </c>
    </row>
    <row r="18" spans="1:27" customFormat="1" x14ac:dyDescent="0.15">
      <c r="A18" s="172" t="s">
        <v>209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0</v>
      </c>
      <c r="T18" s="100">
        <v>0</v>
      </c>
      <c r="U18" s="100">
        <v>0</v>
      </c>
      <c r="V18" s="100">
        <v>0</v>
      </c>
      <c r="W18" s="100">
        <v>0</v>
      </c>
      <c r="X18" s="100">
        <v>0</v>
      </c>
      <c r="Y18" s="100">
        <v>0.8</v>
      </c>
      <c r="Z18" s="100">
        <v>0</v>
      </c>
      <c r="AA18" s="100">
        <v>0</v>
      </c>
    </row>
    <row r="19" spans="1:27" customFormat="1" x14ac:dyDescent="0.15">
      <c r="A19" s="172" t="s">
        <v>210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0.8</v>
      </c>
      <c r="S19" s="100">
        <v>0</v>
      </c>
      <c r="T19" s="100">
        <v>0</v>
      </c>
      <c r="U19" s="100">
        <v>0</v>
      </c>
      <c r="V19" s="100">
        <v>0</v>
      </c>
      <c r="W19" s="100">
        <v>0</v>
      </c>
      <c r="X19" s="100">
        <v>0.8</v>
      </c>
      <c r="Y19" s="100">
        <v>0</v>
      </c>
      <c r="Z19" s="100">
        <v>0</v>
      </c>
      <c r="AA19" s="100">
        <v>0</v>
      </c>
    </row>
    <row r="20" spans="1:27" customFormat="1" x14ac:dyDescent="0.15">
      <c r="A20" s="172" t="s">
        <v>211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0.8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0.8</v>
      </c>
      <c r="Y20" s="100">
        <v>0</v>
      </c>
      <c r="Z20" s="100">
        <v>0</v>
      </c>
      <c r="AA20" s="100">
        <v>0</v>
      </c>
    </row>
    <row r="21" spans="1:27" customFormat="1" x14ac:dyDescent="0.15">
      <c r="A21" s="172" t="s">
        <v>212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0.8</v>
      </c>
      <c r="S21" s="100">
        <v>0</v>
      </c>
      <c r="T21" s="100">
        <v>0</v>
      </c>
      <c r="U21" s="100">
        <v>0</v>
      </c>
      <c r="V21" s="100">
        <v>0.8</v>
      </c>
      <c r="W21" s="100">
        <v>0</v>
      </c>
      <c r="X21" s="100">
        <v>0.8</v>
      </c>
      <c r="Y21" s="100">
        <v>0.8</v>
      </c>
      <c r="Z21" s="100">
        <v>0</v>
      </c>
      <c r="AA21" s="100">
        <v>0</v>
      </c>
    </row>
    <row r="22" spans="1:27" customFormat="1" x14ac:dyDescent="0.15">
      <c r="A22" s="172" t="s">
        <v>213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  <c r="W22" s="100">
        <v>0</v>
      </c>
      <c r="X22" s="100">
        <v>0.8</v>
      </c>
      <c r="Y22" s="100">
        <v>0.8</v>
      </c>
      <c r="Z22" s="100">
        <v>0</v>
      </c>
      <c r="AA22" s="100">
        <v>0</v>
      </c>
    </row>
    <row r="23" spans="1:27" customFormat="1" x14ac:dyDescent="0.15">
      <c r="A23" s="172" t="s">
        <v>214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100">
        <v>0</v>
      </c>
      <c r="M23" s="100">
        <v>0</v>
      </c>
      <c r="N23" s="100">
        <v>0</v>
      </c>
      <c r="O23" s="100">
        <v>0</v>
      </c>
      <c r="P23" s="100">
        <v>0</v>
      </c>
      <c r="Q23" s="100">
        <v>0</v>
      </c>
      <c r="R23" s="100">
        <v>0</v>
      </c>
      <c r="S23" s="100">
        <v>0</v>
      </c>
      <c r="T23" s="100">
        <v>0</v>
      </c>
      <c r="U23" s="100">
        <v>0</v>
      </c>
      <c r="V23" s="100">
        <v>0</v>
      </c>
      <c r="W23" s="100">
        <v>0</v>
      </c>
      <c r="X23" s="100">
        <v>0.8</v>
      </c>
      <c r="Y23" s="100">
        <v>0.8</v>
      </c>
      <c r="Z23" s="100">
        <v>0</v>
      </c>
      <c r="AA23" s="100">
        <v>0</v>
      </c>
    </row>
    <row r="24" spans="1:27" customFormat="1" x14ac:dyDescent="0.15">
      <c r="A24" s="172" t="s">
        <v>215</v>
      </c>
      <c r="B24" s="100">
        <v>0</v>
      </c>
      <c r="C24" s="100">
        <v>0</v>
      </c>
      <c r="D24" s="100">
        <v>0</v>
      </c>
      <c r="E24" s="100">
        <v>0</v>
      </c>
      <c r="F24" s="100">
        <v>0</v>
      </c>
      <c r="G24" s="100">
        <v>0</v>
      </c>
      <c r="H24" s="100">
        <v>0</v>
      </c>
      <c r="I24" s="100">
        <v>0</v>
      </c>
      <c r="J24" s="100">
        <v>0</v>
      </c>
      <c r="K24" s="100">
        <v>0</v>
      </c>
      <c r="L24" s="100">
        <v>0</v>
      </c>
      <c r="M24" s="100">
        <v>0</v>
      </c>
      <c r="N24" s="100">
        <v>0</v>
      </c>
      <c r="O24" s="100">
        <v>0</v>
      </c>
      <c r="P24" s="100">
        <v>0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  <c r="Y24" s="100">
        <v>0</v>
      </c>
      <c r="Z24" s="100">
        <v>0</v>
      </c>
      <c r="AA24" s="100">
        <v>0</v>
      </c>
    </row>
    <row r="25" spans="1:27" customFormat="1" x14ac:dyDescent="0.15">
      <c r="A25" s="172" t="s">
        <v>216</v>
      </c>
      <c r="B25" s="100">
        <v>0</v>
      </c>
      <c r="C25" s="100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0">
        <v>0</v>
      </c>
      <c r="L25" s="100">
        <v>0</v>
      </c>
      <c r="M25" s="100">
        <v>0</v>
      </c>
      <c r="N25" s="100">
        <v>0</v>
      </c>
      <c r="O25" s="100">
        <v>0</v>
      </c>
      <c r="P25" s="100">
        <v>0</v>
      </c>
      <c r="Q25" s="100">
        <v>0</v>
      </c>
      <c r="R25" s="100">
        <v>0</v>
      </c>
      <c r="S25" s="100">
        <v>0</v>
      </c>
      <c r="T25" s="100">
        <v>0</v>
      </c>
      <c r="U25" s="100">
        <v>0</v>
      </c>
      <c r="V25" s="100">
        <v>0</v>
      </c>
      <c r="W25" s="100">
        <v>0</v>
      </c>
      <c r="X25" s="100">
        <v>0.8</v>
      </c>
      <c r="Y25" s="100">
        <v>0</v>
      </c>
      <c r="Z25" s="100">
        <v>0</v>
      </c>
      <c r="AA25" s="100">
        <v>0</v>
      </c>
    </row>
    <row r="26" spans="1:27" customFormat="1" x14ac:dyDescent="0.15">
      <c r="A26" s="172" t="s">
        <v>217</v>
      </c>
      <c r="B26" s="100">
        <v>0</v>
      </c>
      <c r="C26" s="100">
        <v>0.8</v>
      </c>
      <c r="D26" s="100">
        <v>0</v>
      </c>
      <c r="E26" s="100">
        <v>0</v>
      </c>
      <c r="F26" s="100">
        <v>0.8</v>
      </c>
      <c r="G26" s="100">
        <v>0.8</v>
      </c>
      <c r="H26" s="100">
        <v>0.8</v>
      </c>
      <c r="I26" s="100">
        <v>0.8</v>
      </c>
      <c r="J26" s="100">
        <v>0.8</v>
      </c>
      <c r="K26" s="100">
        <v>0.8</v>
      </c>
      <c r="L26" s="100">
        <v>0</v>
      </c>
      <c r="M26" s="100">
        <v>0.8</v>
      </c>
      <c r="N26" s="100">
        <v>0.8</v>
      </c>
      <c r="O26" s="100">
        <v>0.8</v>
      </c>
      <c r="P26" s="100">
        <v>0.8</v>
      </c>
      <c r="Q26" s="100">
        <v>0.8</v>
      </c>
      <c r="R26" s="100">
        <v>0.8</v>
      </c>
      <c r="S26" s="100">
        <v>0.8</v>
      </c>
      <c r="T26" s="100">
        <v>0.8</v>
      </c>
      <c r="U26" s="100">
        <v>0.8</v>
      </c>
      <c r="V26" s="100">
        <v>0.8</v>
      </c>
      <c r="W26" s="100">
        <v>0.8</v>
      </c>
      <c r="X26" s="100">
        <v>0.8</v>
      </c>
      <c r="Y26" s="100">
        <v>0.8</v>
      </c>
      <c r="Z26" s="100">
        <v>0</v>
      </c>
      <c r="AA26" s="100">
        <v>0</v>
      </c>
    </row>
    <row r="27" spans="1:27" customFormat="1" x14ac:dyDescent="0.15">
      <c r="A27" s="172" t="s">
        <v>218</v>
      </c>
      <c r="B27" s="100">
        <v>0</v>
      </c>
      <c r="C27" s="100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0">
        <v>0</v>
      </c>
      <c r="L27" s="100">
        <v>0</v>
      </c>
      <c r="M27" s="100">
        <v>0</v>
      </c>
      <c r="N27" s="100">
        <v>0</v>
      </c>
      <c r="O27" s="100">
        <v>0</v>
      </c>
      <c r="P27" s="100">
        <v>0</v>
      </c>
      <c r="Q27" s="100">
        <v>0</v>
      </c>
      <c r="R27" s="100">
        <v>0</v>
      </c>
      <c r="S27" s="100">
        <v>0</v>
      </c>
      <c r="T27" s="100">
        <v>0</v>
      </c>
      <c r="U27" s="100">
        <v>0</v>
      </c>
      <c r="V27" s="100">
        <v>0</v>
      </c>
      <c r="W27" s="100">
        <v>0</v>
      </c>
      <c r="X27" s="100">
        <v>0</v>
      </c>
      <c r="Y27" s="100">
        <v>0</v>
      </c>
      <c r="Z27" s="100">
        <v>0</v>
      </c>
      <c r="AA27" s="100">
        <v>0</v>
      </c>
    </row>
    <row r="28" spans="1:27" customFormat="1" x14ac:dyDescent="0.15">
      <c r="A28" s="172" t="s">
        <v>220</v>
      </c>
      <c r="B28" s="100">
        <v>0</v>
      </c>
      <c r="C28" s="100">
        <v>0</v>
      </c>
      <c r="D28" s="100">
        <v>0</v>
      </c>
      <c r="E28" s="100">
        <v>0</v>
      </c>
      <c r="F28" s="100">
        <v>0</v>
      </c>
      <c r="G28" s="100">
        <v>0</v>
      </c>
      <c r="H28" s="100">
        <v>0</v>
      </c>
      <c r="I28" s="100">
        <v>0</v>
      </c>
      <c r="J28" s="100">
        <v>0</v>
      </c>
      <c r="K28" s="100">
        <v>0</v>
      </c>
      <c r="L28" s="100">
        <v>0</v>
      </c>
      <c r="M28" s="100">
        <v>0</v>
      </c>
      <c r="N28" s="100">
        <v>0</v>
      </c>
      <c r="O28" s="100">
        <v>0</v>
      </c>
      <c r="P28" s="100">
        <v>0</v>
      </c>
      <c r="Q28" s="100">
        <v>0</v>
      </c>
      <c r="R28" s="100">
        <v>0</v>
      </c>
      <c r="S28" s="100">
        <v>0</v>
      </c>
      <c r="T28" s="100">
        <v>0</v>
      </c>
      <c r="U28" s="100">
        <v>0</v>
      </c>
      <c r="V28" s="100">
        <v>0</v>
      </c>
      <c r="W28" s="100">
        <v>0</v>
      </c>
      <c r="X28" s="100">
        <v>0.8</v>
      </c>
      <c r="Y28" s="100">
        <v>0.8</v>
      </c>
      <c r="Z28" s="100">
        <v>0</v>
      </c>
      <c r="AA28" s="100">
        <v>0</v>
      </c>
    </row>
    <row r="29" spans="1:27" customFormat="1" x14ac:dyDescent="0.15"/>
    <row r="30" spans="1:27" customFormat="1" x14ac:dyDescent="0.15"/>
    <row r="31" spans="1:27" customFormat="1" x14ac:dyDescent="0.15"/>
    <row r="32" spans="1:2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4" style="100" bestFit="1" customWidth="1"/>
    <col min="2" max="27" width="2.33203125" style="100" customWidth="1"/>
    <col min="28" max="16384" width="10.83203125" style="100"/>
  </cols>
  <sheetData>
    <row r="1" spans="1:31" x14ac:dyDescent="0.15">
      <c r="A1" s="61" t="s">
        <v>139</v>
      </c>
      <c r="B1" s="175" t="s">
        <v>193</v>
      </c>
      <c r="C1" s="175" t="s">
        <v>194</v>
      </c>
      <c r="D1" s="175" t="s">
        <v>195</v>
      </c>
      <c r="E1" s="175" t="s">
        <v>196</v>
      </c>
      <c r="F1" s="175" t="s">
        <v>197</v>
      </c>
      <c r="G1" s="175" t="s">
        <v>198</v>
      </c>
      <c r="H1" s="175" t="s">
        <v>199</v>
      </c>
      <c r="I1" s="175" t="s">
        <v>200</v>
      </c>
      <c r="J1" s="175" t="s">
        <v>201</v>
      </c>
      <c r="K1" s="175" t="s">
        <v>202</v>
      </c>
      <c r="L1" s="175" t="s">
        <v>203</v>
      </c>
      <c r="M1" s="175" t="s">
        <v>204</v>
      </c>
      <c r="N1" s="175" t="s">
        <v>205</v>
      </c>
      <c r="O1" s="175" t="s">
        <v>206</v>
      </c>
      <c r="P1" s="175" t="s">
        <v>207</v>
      </c>
      <c r="Q1" s="175" t="s">
        <v>208</v>
      </c>
      <c r="R1" s="175" t="s">
        <v>209</v>
      </c>
      <c r="S1" s="175" t="s">
        <v>210</v>
      </c>
      <c r="T1" s="175" t="s">
        <v>211</v>
      </c>
      <c r="U1" s="175" t="s">
        <v>212</v>
      </c>
      <c r="V1" s="175" t="s">
        <v>213</v>
      </c>
      <c r="W1" s="175" t="s">
        <v>214</v>
      </c>
      <c r="X1" s="175" t="s">
        <v>215</v>
      </c>
      <c r="Y1" s="175" t="s">
        <v>216</v>
      </c>
      <c r="Z1" s="175" t="s">
        <v>217</v>
      </c>
      <c r="AA1" s="175" t="s">
        <v>218</v>
      </c>
      <c r="AB1"/>
      <c r="AC1"/>
      <c r="AD1"/>
      <c r="AE1"/>
    </row>
    <row r="2" spans="1:31" customFormat="1" x14ac:dyDescent="0.15">
      <c r="A2" s="174" t="s">
        <v>193</v>
      </c>
      <c r="B2" s="100">
        <v>0</v>
      </c>
      <c r="C2" s="100">
        <v>1</v>
      </c>
      <c r="D2" s="100">
        <v>0</v>
      </c>
      <c r="E2" s="100">
        <v>0</v>
      </c>
      <c r="F2" s="100">
        <v>0</v>
      </c>
      <c r="G2" s="100">
        <v>1</v>
      </c>
      <c r="H2" s="100">
        <v>1</v>
      </c>
      <c r="I2" s="100">
        <v>0</v>
      </c>
      <c r="J2" s="100">
        <v>0</v>
      </c>
      <c r="K2" s="100">
        <v>1</v>
      </c>
      <c r="L2" s="100">
        <v>1</v>
      </c>
      <c r="M2" s="100">
        <v>1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  <c r="Y2" s="100">
        <v>0</v>
      </c>
      <c r="Z2" s="100">
        <v>0</v>
      </c>
      <c r="AA2" s="100">
        <v>0</v>
      </c>
    </row>
    <row r="3" spans="1:31" customFormat="1" x14ac:dyDescent="0.15">
      <c r="A3" s="174" t="s">
        <v>194</v>
      </c>
      <c r="B3" s="100">
        <v>0</v>
      </c>
      <c r="C3" s="100">
        <v>1</v>
      </c>
      <c r="D3" s="100">
        <v>0</v>
      </c>
      <c r="E3" s="100">
        <v>0</v>
      </c>
      <c r="F3" s="100">
        <v>1</v>
      </c>
      <c r="G3" s="100">
        <v>1</v>
      </c>
      <c r="H3" s="100">
        <v>0</v>
      </c>
      <c r="I3" s="100">
        <v>0</v>
      </c>
      <c r="J3" s="100">
        <v>1</v>
      </c>
      <c r="K3" s="100">
        <v>1</v>
      </c>
      <c r="L3" s="100">
        <v>1</v>
      </c>
      <c r="M3" s="100">
        <v>1</v>
      </c>
      <c r="N3" s="100">
        <v>1</v>
      </c>
      <c r="O3" s="100">
        <v>1</v>
      </c>
      <c r="P3" s="100">
        <v>1</v>
      </c>
      <c r="Q3" s="100">
        <v>1</v>
      </c>
      <c r="R3" s="100">
        <v>0</v>
      </c>
      <c r="S3" s="100">
        <v>0</v>
      </c>
      <c r="T3" s="100">
        <v>0</v>
      </c>
      <c r="U3" s="100">
        <v>1</v>
      </c>
      <c r="V3" s="100">
        <v>0</v>
      </c>
      <c r="W3" s="100">
        <v>1</v>
      </c>
      <c r="X3" s="100">
        <v>1</v>
      </c>
      <c r="Y3" s="100">
        <v>1</v>
      </c>
      <c r="Z3" s="100">
        <v>0</v>
      </c>
      <c r="AA3" s="100">
        <v>0</v>
      </c>
    </row>
    <row r="4" spans="1:31" customFormat="1" x14ac:dyDescent="0.15">
      <c r="A4" s="174" t="s">
        <v>195</v>
      </c>
      <c r="B4" s="100">
        <v>0</v>
      </c>
      <c r="C4" s="100">
        <v>0</v>
      </c>
      <c r="D4" s="100">
        <v>0</v>
      </c>
      <c r="E4" s="100">
        <v>0</v>
      </c>
      <c r="F4" s="100">
        <v>1</v>
      </c>
      <c r="G4" s="100">
        <v>0</v>
      </c>
      <c r="H4" s="100">
        <v>0</v>
      </c>
      <c r="I4" s="100">
        <v>1</v>
      </c>
      <c r="J4" s="100">
        <v>1</v>
      </c>
      <c r="K4" s="100">
        <v>0</v>
      </c>
      <c r="L4" s="100">
        <v>0</v>
      </c>
      <c r="M4" s="100">
        <v>1</v>
      </c>
      <c r="N4" s="100">
        <v>0</v>
      </c>
      <c r="O4" s="100">
        <v>0</v>
      </c>
      <c r="P4" s="100">
        <v>1</v>
      </c>
      <c r="Q4" s="100">
        <v>1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  <c r="Y4" s="100">
        <v>0</v>
      </c>
      <c r="Z4" s="100">
        <v>0</v>
      </c>
      <c r="AA4" s="100">
        <v>0</v>
      </c>
    </row>
    <row r="5" spans="1:31" customFormat="1" x14ac:dyDescent="0.15">
      <c r="A5" s="174" t="s">
        <v>196</v>
      </c>
      <c r="B5" s="100">
        <v>0</v>
      </c>
      <c r="C5" s="100">
        <v>0</v>
      </c>
      <c r="D5" s="100">
        <v>0</v>
      </c>
      <c r="E5" s="100">
        <v>0</v>
      </c>
      <c r="F5" s="100">
        <v>1</v>
      </c>
      <c r="G5" s="100">
        <v>1</v>
      </c>
      <c r="H5" s="100">
        <v>1</v>
      </c>
      <c r="I5" s="100">
        <v>1</v>
      </c>
      <c r="J5" s="100">
        <v>1</v>
      </c>
      <c r="K5" s="100">
        <v>1</v>
      </c>
      <c r="L5" s="100">
        <v>0</v>
      </c>
      <c r="M5" s="100">
        <v>1</v>
      </c>
      <c r="N5" s="100">
        <v>1</v>
      </c>
      <c r="O5" s="100">
        <v>0</v>
      </c>
      <c r="P5" s="100">
        <v>1</v>
      </c>
      <c r="Q5" s="100">
        <v>1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  <c r="Y5" s="100">
        <v>0</v>
      </c>
      <c r="Z5" s="100">
        <v>0</v>
      </c>
      <c r="AA5" s="100">
        <v>0</v>
      </c>
    </row>
    <row r="6" spans="1:31" customFormat="1" x14ac:dyDescent="0.15">
      <c r="A6" s="174" t="s">
        <v>197</v>
      </c>
      <c r="B6" s="100">
        <v>0</v>
      </c>
      <c r="C6" s="100">
        <v>0</v>
      </c>
      <c r="D6" s="100">
        <v>0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0</v>
      </c>
      <c r="K6" s="100">
        <v>1</v>
      </c>
      <c r="L6" s="100">
        <v>0</v>
      </c>
      <c r="M6" s="100">
        <v>0</v>
      </c>
      <c r="N6" s="100">
        <v>1</v>
      </c>
      <c r="O6" s="100">
        <v>1</v>
      </c>
      <c r="P6" s="100">
        <v>1</v>
      </c>
      <c r="Q6" s="100">
        <v>0</v>
      </c>
      <c r="R6" s="100">
        <v>1</v>
      </c>
      <c r="S6" s="100">
        <v>1</v>
      </c>
      <c r="T6" s="100">
        <v>1</v>
      </c>
      <c r="U6" s="100">
        <v>1</v>
      </c>
      <c r="V6" s="100">
        <v>1</v>
      </c>
      <c r="W6" s="100">
        <v>0</v>
      </c>
      <c r="X6" s="100">
        <v>1</v>
      </c>
      <c r="Y6" s="100">
        <v>1</v>
      </c>
      <c r="Z6" s="100">
        <v>0</v>
      </c>
      <c r="AA6" s="100">
        <v>0</v>
      </c>
    </row>
    <row r="7" spans="1:31" customFormat="1" x14ac:dyDescent="0.15">
      <c r="A7" s="174" t="s">
        <v>198</v>
      </c>
      <c r="B7" s="100">
        <v>0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1</v>
      </c>
      <c r="K7" s="100">
        <v>1</v>
      </c>
      <c r="L7" s="100">
        <v>0</v>
      </c>
      <c r="M7" s="100">
        <v>0</v>
      </c>
      <c r="N7" s="100">
        <v>1</v>
      </c>
      <c r="O7" s="100">
        <v>0</v>
      </c>
      <c r="P7" s="100">
        <v>1</v>
      </c>
      <c r="Q7" s="100">
        <v>1</v>
      </c>
      <c r="R7" s="100">
        <v>0</v>
      </c>
      <c r="S7" s="100">
        <v>0</v>
      </c>
      <c r="T7" s="100">
        <v>0</v>
      </c>
      <c r="U7" s="100">
        <v>1</v>
      </c>
      <c r="V7" s="100">
        <v>0</v>
      </c>
      <c r="W7" s="100">
        <v>0</v>
      </c>
      <c r="X7" s="100">
        <v>0</v>
      </c>
      <c r="Y7" s="100">
        <v>0</v>
      </c>
      <c r="Z7" s="100">
        <v>0</v>
      </c>
      <c r="AA7" s="100">
        <v>0</v>
      </c>
    </row>
    <row r="8" spans="1:31" customFormat="1" x14ac:dyDescent="0.15">
      <c r="A8" s="174" t="s">
        <v>199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1</v>
      </c>
      <c r="H8" s="100">
        <v>0</v>
      </c>
      <c r="I8" s="100">
        <v>0</v>
      </c>
      <c r="J8" s="100">
        <v>1</v>
      </c>
      <c r="K8" s="100">
        <v>1</v>
      </c>
      <c r="L8" s="100">
        <v>0</v>
      </c>
      <c r="M8" s="100">
        <v>0</v>
      </c>
      <c r="N8" s="100">
        <v>0</v>
      </c>
      <c r="O8" s="100">
        <v>1</v>
      </c>
      <c r="P8" s="100">
        <v>0</v>
      </c>
      <c r="Q8" s="100">
        <v>0</v>
      </c>
      <c r="R8" s="100">
        <v>0</v>
      </c>
      <c r="S8" s="100">
        <v>0</v>
      </c>
      <c r="T8" s="100">
        <v>1</v>
      </c>
      <c r="U8" s="100">
        <v>0</v>
      </c>
      <c r="V8" s="100">
        <v>1</v>
      </c>
      <c r="W8" s="100">
        <v>1</v>
      </c>
      <c r="X8" s="100">
        <v>1</v>
      </c>
      <c r="Y8" s="100">
        <v>1</v>
      </c>
      <c r="Z8" s="100">
        <v>0</v>
      </c>
      <c r="AA8" s="100">
        <v>0</v>
      </c>
    </row>
    <row r="9" spans="1:31" customFormat="1" x14ac:dyDescent="0.15">
      <c r="A9" s="174" t="s">
        <v>200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1</v>
      </c>
      <c r="H9" s="100">
        <v>0</v>
      </c>
      <c r="I9" s="100">
        <v>0</v>
      </c>
      <c r="J9" s="100">
        <v>1</v>
      </c>
      <c r="K9" s="100">
        <v>1</v>
      </c>
      <c r="L9" s="100">
        <v>0</v>
      </c>
      <c r="M9" s="100">
        <v>0</v>
      </c>
      <c r="N9" s="100">
        <v>1</v>
      </c>
      <c r="O9" s="100">
        <v>1</v>
      </c>
      <c r="P9" s="100">
        <v>1</v>
      </c>
      <c r="Q9" s="100">
        <v>1</v>
      </c>
      <c r="R9" s="100">
        <v>1</v>
      </c>
      <c r="S9" s="100">
        <v>1</v>
      </c>
      <c r="T9" s="100">
        <v>1</v>
      </c>
      <c r="U9" s="100">
        <v>1</v>
      </c>
      <c r="V9" s="100">
        <v>1</v>
      </c>
      <c r="W9" s="100">
        <v>1</v>
      </c>
      <c r="X9" s="100">
        <v>1</v>
      </c>
      <c r="Y9" s="100">
        <v>1</v>
      </c>
      <c r="Z9" s="100">
        <v>0</v>
      </c>
      <c r="AA9" s="100">
        <v>0</v>
      </c>
    </row>
    <row r="10" spans="1:31" customFormat="1" x14ac:dyDescent="0.15">
      <c r="A10" s="174" t="s">
        <v>201</v>
      </c>
      <c r="B10" s="100">
        <v>0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1</v>
      </c>
      <c r="O10" s="100">
        <v>1</v>
      </c>
      <c r="P10" s="100">
        <v>1</v>
      </c>
      <c r="Q10" s="100">
        <v>0</v>
      </c>
      <c r="R10" s="100">
        <v>1</v>
      </c>
      <c r="S10" s="100">
        <v>1</v>
      </c>
      <c r="T10" s="100">
        <v>1</v>
      </c>
      <c r="U10" s="100">
        <v>1</v>
      </c>
      <c r="V10" s="100">
        <v>0</v>
      </c>
      <c r="W10" s="100">
        <v>0</v>
      </c>
      <c r="X10" s="100">
        <v>1</v>
      </c>
      <c r="Y10" s="100">
        <v>1</v>
      </c>
      <c r="Z10" s="100">
        <v>0</v>
      </c>
      <c r="AA10" s="100">
        <v>0</v>
      </c>
    </row>
    <row r="11" spans="1:31" customFormat="1" x14ac:dyDescent="0.15">
      <c r="A11" s="174" t="s">
        <v>202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1</v>
      </c>
      <c r="K11" s="100">
        <v>0</v>
      </c>
      <c r="L11" s="100">
        <v>0</v>
      </c>
      <c r="M11" s="100">
        <v>0</v>
      </c>
      <c r="N11" s="100">
        <v>1</v>
      </c>
      <c r="O11" s="100">
        <v>0</v>
      </c>
      <c r="P11" s="100">
        <v>0</v>
      </c>
      <c r="Q11" s="100">
        <v>1</v>
      </c>
      <c r="R11" s="100">
        <v>1</v>
      </c>
      <c r="S11" s="100">
        <v>1</v>
      </c>
      <c r="T11" s="100">
        <v>1</v>
      </c>
      <c r="U11" s="100">
        <v>1</v>
      </c>
      <c r="V11" s="100">
        <v>1</v>
      </c>
      <c r="W11" s="100">
        <v>1</v>
      </c>
      <c r="X11" s="100">
        <v>1</v>
      </c>
      <c r="Y11" s="100">
        <v>1</v>
      </c>
      <c r="Z11" s="100">
        <v>0</v>
      </c>
      <c r="AA11" s="100">
        <v>0</v>
      </c>
    </row>
    <row r="12" spans="1:31" customFormat="1" x14ac:dyDescent="0.15">
      <c r="A12" s="174" t="s">
        <v>203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1</v>
      </c>
      <c r="S12" s="100">
        <v>1</v>
      </c>
      <c r="T12" s="100">
        <v>0</v>
      </c>
      <c r="U12" s="100">
        <v>0</v>
      </c>
      <c r="V12" s="100">
        <v>1</v>
      </c>
      <c r="W12" s="100">
        <v>0</v>
      </c>
      <c r="X12" s="100">
        <v>1</v>
      </c>
      <c r="Y12" s="100">
        <v>1</v>
      </c>
      <c r="Z12" s="100">
        <v>0</v>
      </c>
      <c r="AA12" s="100">
        <v>0</v>
      </c>
    </row>
    <row r="13" spans="1:31" customFormat="1" x14ac:dyDescent="0.15">
      <c r="A13" s="174" t="s">
        <v>204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1</v>
      </c>
      <c r="Y13" s="100">
        <v>1</v>
      </c>
      <c r="Z13" s="100">
        <v>0</v>
      </c>
      <c r="AA13" s="100">
        <v>0</v>
      </c>
    </row>
    <row r="14" spans="1:31" customFormat="1" x14ac:dyDescent="0.15">
      <c r="A14" s="174" t="s">
        <v>205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1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1</v>
      </c>
      <c r="V14" s="100">
        <v>1</v>
      </c>
      <c r="W14" s="100">
        <v>0</v>
      </c>
      <c r="X14" s="100">
        <v>1</v>
      </c>
      <c r="Y14" s="100">
        <v>1</v>
      </c>
      <c r="Z14" s="100">
        <v>0</v>
      </c>
      <c r="AA14" s="100">
        <v>0</v>
      </c>
    </row>
    <row r="15" spans="1:31" customFormat="1" x14ac:dyDescent="0.15">
      <c r="A15" s="174" t="s">
        <v>206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1</v>
      </c>
      <c r="U15" s="100">
        <v>0</v>
      </c>
      <c r="V15" s="100">
        <v>1</v>
      </c>
      <c r="W15" s="100">
        <v>0</v>
      </c>
      <c r="X15" s="100">
        <v>1</v>
      </c>
      <c r="Y15" s="100">
        <v>1</v>
      </c>
      <c r="Z15" s="100">
        <v>0</v>
      </c>
      <c r="AA15" s="100">
        <v>0</v>
      </c>
    </row>
    <row r="16" spans="1:31" customFormat="1" x14ac:dyDescent="0.15">
      <c r="A16" s="174" t="s">
        <v>207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  <c r="V16" s="100">
        <v>1</v>
      </c>
      <c r="W16" s="100">
        <v>0</v>
      </c>
      <c r="X16" s="100">
        <v>1</v>
      </c>
      <c r="Y16" s="100">
        <v>1</v>
      </c>
      <c r="Z16" s="100">
        <v>0</v>
      </c>
      <c r="AA16" s="100">
        <v>0</v>
      </c>
    </row>
    <row r="17" spans="1:27" customFormat="1" x14ac:dyDescent="0.15">
      <c r="A17" s="174" t="s">
        <v>208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1</v>
      </c>
      <c r="S17" s="100">
        <v>0</v>
      </c>
      <c r="T17" s="100">
        <v>0</v>
      </c>
      <c r="U17" s="100">
        <v>0</v>
      </c>
      <c r="V17" s="100">
        <v>0</v>
      </c>
      <c r="W17" s="100">
        <v>0</v>
      </c>
      <c r="X17" s="100">
        <v>1</v>
      </c>
      <c r="Y17" s="100">
        <v>1</v>
      </c>
      <c r="Z17" s="100">
        <v>0</v>
      </c>
      <c r="AA17" s="100">
        <v>0</v>
      </c>
    </row>
    <row r="18" spans="1:27" customFormat="1" x14ac:dyDescent="0.15">
      <c r="A18" s="174" t="s">
        <v>209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0</v>
      </c>
      <c r="T18" s="100">
        <v>0</v>
      </c>
      <c r="U18" s="100">
        <v>0</v>
      </c>
      <c r="V18" s="100">
        <v>0</v>
      </c>
      <c r="W18" s="100">
        <v>0</v>
      </c>
      <c r="X18" s="100">
        <v>0</v>
      </c>
      <c r="Y18" s="100">
        <v>1</v>
      </c>
      <c r="Z18" s="100">
        <v>0</v>
      </c>
      <c r="AA18" s="100">
        <v>0</v>
      </c>
    </row>
    <row r="19" spans="1:27" customFormat="1" x14ac:dyDescent="0.15">
      <c r="A19" s="174" t="s">
        <v>210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1</v>
      </c>
      <c r="S19" s="100">
        <v>0</v>
      </c>
      <c r="T19" s="100">
        <v>0</v>
      </c>
      <c r="U19" s="100">
        <v>0</v>
      </c>
      <c r="V19" s="100">
        <v>0</v>
      </c>
      <c r="W19" s="100">
        <v>0</v>
      </c>
      <c r="X19" s="100">
        <v>1</v>
      </c>
      <c r="Y19" s="100">
        <v>0</v>
      </c>
      <c r="Z19" s="100">
        <v>0</v>
      </c>
      <c r="AA19" s="100">
        <v>0</v>
      </c>
    </row>
    <row r="20" spans="1:27" customFormat="1" x14ac:dyDescent="0.15">
      <c r="A20" s="174" t="s">
        <v>211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1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1</v>
      </c>
      <c r="Y20" s="100">
        <v>0</v>
      </c>
      <c r="Z20" s="100">
        <v>0</v>
      </c>
      <c r="AA20" s="100">
        <v>0</v>
      </c>
    </row>
    <row r="21" spans="1:27" customFormat="1" x14ac:dyDescent="0.15">
      <c r="A21" s="174" t="s">
        <v>212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1</v>
      </c>
      <c r="S21" s="100">
        <v>0</v>
      </c>
      <c r="T21" s="100">
        <v>0</v>
      </c>
      <c r="U21" s="100">
        <v>0</v>
      </c>
      <c r="V21" s="100">
        <v>1</v>
      </c>
      <c r="W21" s="100">
        <v>0</v>
      </c>
      <c r="X21" s="100">
        <v>1</v>
      </c>
      <c r="Y21" s="100">
        <v>1</v>
      </c>
      <c r="Z21" s="100">
        <v>0</v>
      </c>
      <c r="AA21" s="100">
        <v>0</v>
      </c>
    </row>
    <row r="22" spans="1:27" customFormat="1" x14ac:dyDescent="0.15">
      <c r="A22" s="174" t="s">
        <v>213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  <c r="W22" s="100">
        <v>0</v>
      </c>
      <c r="X22" s="100">
        <v>1</v>
      </c>
      <c r="Y22" s="100">
        <v>1</v>
      </c>
      <c r="Z22" s="100">
        <v>0</v>
      </c>
      <c r="AA22" s="100">
        <v>0</v>
      </c>
    </row>
    <row r="23" spans="1:27" customFormat="1" x14ac:dyDescent="0.15">
      <c r="A23" s="174" t="s">
        <v>214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100">
        <v>0</v>
      </c>
      <c r="M23" s="100">
        <v>0</v>
      </c>
      <c r="N23" s="100">
        <v>0</v>
      </c>
      <c r="O23" s="100">
        <v>0</v>
      </c>
      <c r="P23" s="100">
        <v>0</v>
      </c>
      <c r="Q23" s="100">
        <v>0</v>
      </c>
      <c r="R23" s="100">
        <v>0</v>
      </c>
      <c r="S23" s="100">
        <v>0</v>
      </c>
      <c r="T23" s="100">
        <v>0</v>
      </c>
      <c r="U23" s="100">
        <v>0</v>
      </c>
      <c r="V23" s="100">
        <v>0</v>
      </c>
      <c r="W23" s="100">
        <v>0</v>
      </c>
      <c r="X23" s="100">
        <v>1</v>
      </c>
      <c r="Y23" s="100">
        <v>1</v>
      </c>
      <c r="Z23" s="100">
        <v>0</v>
      </c>
      <c r="AA23" s="100">
        <v>0</v>
      </c>
    </row>
    <row r="24" spans="1:27" customFormat="1" x14ac:dyDescent="0.15">
      <c r="A24" s="174" t="s">
        <v>215</v>
      </c>
      <c r="B24" s="100">
        <v>0</v>
      </c>
      <c r="C24" s="100">
        <v>0</v>
      </c>
      <c r="D24" s="100">
        <v>0</v>
      </c>
      <c r="E24" s="100">
        <v>0</v>
      </c>
      <c r="F24" s="100">
        <v>0</v>
      </c>
      <c r="G24" s="100">
        <v>0</v>
      </c>
      <c r="H24" s="100">
        <v>0</v>
      </c>
      <c r="I24" s="100">
        <v>0</v>
      </c>
      <c r="J24" s="100">
        <v>0</v>
      </c>
      <c r="K24" s="100">
        <v>0</v>
      </c>
      <c r="L24" s="100">
        <v>0</v>
      </c>
      <c r="M24" s="100">
        <v>0</v>
      </c>
      <c r="N24" s="100">
        <v>0</v>
      </c>
      <c r="O24" s="100">
        <v>0</v>
      </c>
      <c r="P24" s="100">
        <v>0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  <c r="Y24" s="100">
        <v>0</v>
      </c>
      <c r="Z24" s="100">
        <v>0</v>
      </c>
      <c r="AA24" s="100">
        <v>0</v>
      </c>
    </row>
    <row r="25" spans="1:27" customFormat="1" x14ac:dyDescent="0.15">
      <c r="A25" s="174" t="s">
        <v>216</v>
      </c>
      <c r="B25" s="100">
        <v>0</v>
      </c>
      <c r="C25" s="100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0">
        <v>0</v>
      </c>
      <c r="L25" s="100">
        <v>0</v>
      </c>
      <c r="M25" s="100">
        <v>0</v>
      </c>
      <c r="N25" s="100">
        <v>0</v>
      </c>
      <c r="O25" s="100">
        <v>0</v>
      </c>
      <c r="P25" s="100">
        <v>0</v>
      </c>
      <c r="Q25" s="100">
        <v>0</v>
      </c>
      <c r="R25" s="100">
        <v>0</v>
      </c>
      <c r="S25" s="100">
        <v>0</v>
      </c>
      <c r="T25" s="100">
        <v>0</v>
      </c>
      <c r="U25" s="100">
        <v>0</v>
      </c>
      <c r="V25" s="100">
        <v>0</v>
      </c>
      <c r="W25" s="100">
        <v>0</v>
      </c>
      <c r="X25" s="100">
        <v>1</v>
      </c>
      <c r="Y25" s="100">
        <v>0</v>
      </c>
      <c r="Z25" s="100">
        <v>0</v>
      </c>
      <c r="AA25" s="100">
        <v>0</v>
      </c>
    </row>
    <row r="26" spans="1:27" customFormat="1" x14ac:dyDescent="0.15">
      <c r="A26" s="174" t="s">
        <v>217</v>
      </c>
      <c r="B26" s="100">
        <v>0</v>
      </c>
      <c r="C26" s="100">
        <v>1</v>
      </c>
      <c r="D26" s="100">
        <v>0</v>
      </c>
      <c r="E26" s="100">
        <v>0</v>
      </c>
      <c r="F26" s="100">
        <v>1</v>
      </c>
      <c r="G26" s="100">
        <v>1</v>
      </c>
      <c r="H26" s="100">
        <v>1</v>
      </c>
      <c r="I26" s="100">
        <v>1</v>
      </c>
      <c r="J26" s="100">
        <v>1</v>
      </c>
      <c r="K26" s="100">
        <v>1</v>
      </c>
      <c r="L26" s="100">
        <v>0</v>
      </c>
      <c r="M26" s="100">
        <v>1</v>
      </c>
      <c r="N26" s="100">
        <v>1</v>
      </c>
      <c r="O26" s="100">
        <v>1</v>
      </c>
      <c r="P26" s="100">
        <v>1</v>
      </c>
      <c r="Q26" s="100">
        <v>1</v>
      </c>
      <c r="R26" s="100">
        <v>1</v>
      </c>
      <c r="S26" s="100">
        <v>1</v>
      </c>
      <c r="T26" s="100">
        <v>1</v>
      </c>
      <c r="U26" s="100">
        <v>1</v>
      </c>
      <c r="V26" s="100">
        <v>1</v>
      </c>
      <c r="W26" s="100">
        <v>1</v>
      </c>
      <c r="X26" s="100">
        <v>1</v>
      </c>
      <c r="Y26" s="100">
        <v>1</v>
      </c>
      <c r="Z26" s="100">
        <v>0</v>
      </c>
      <c r="AA26" s="100">
        <v>0</v>
      </c>
    </row>
    <row r="27" spans="1:27" customFormat="1" x14ac:dyDescent="0.15">
      <c r="A27" s="174" t="s">
        <v>218</v>
      </c>
      <c r="B27" s="100">
        <v>0</v>
      </c>
      <c r="C27" s="100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0">
        <v>0</v>
      </c>
      <c r="L27" s="100">
        <v>0</v>
      </c>
      <c r="M27" s="100">
        <v>0</v>
      </c>
      <c r="N27" s="100">
        <v>0</v>
      </c>
      <c r="O27" s="100">
        <v>0</v>
      </c>
      <c r="P27" s="100">
        <v>0</v>
      </c>
      <c r="Q27" s="100">
        <v>0</v>
      </c>
      <c r="R27" s="100">
        <v>0</v>
      </c>
      <c r="S27" s="100">
        <v>0</v>
      </c>
      <c r="T27" s="100">
        <v>0</v>
      </c>
      <c r="U27" s="100">
        <v>0</v>
      </c>
      <c r="V27" s="100">
        <v>0</v>
      </c>
      <c r="W27" s="100">
        <v>0</v>
      </c>
      <c r="X27" s="100">
        <v>0</v>
      </c>
      <c r="Y27" s="100">
        <v>0</v>
      </c>
      <c r="Z27" s="100">
        <v>0</v>
      </c>
      <c r="AA27" s="100">
        <v>0</v>
      </c>
    </row>
    <row r="28" spans="1:27" customFormat="1" x14ac:dyDescent="0.15">
      <c r="A28" s="174" t="s">
        <v>220</v>
      </c>
      <c r="B28" s="100">
        <v>0</v>
      </c>
      <c r="C28" s="100">
        <v>0</v>
      </c>
      <c r="D28" s="100">
        <v>0</v>
      </c>
      <c r="E28" s="100">
        <v>0</v>
      </c>
      <c r="F28" s="100">
        <v>0</v>
      </c>
      <c r="G28" s="100">
        <v>0</v>
      </c>
      <c r="H28" s="100">
        <v>0</v>
      </c>
      <c r="I28" s="100">
        <v>0</v>
      </c>
      <c r="J28" s="100">
        <v>0</v>
      </c>
      <c r="K28" s="100">
        <v>0</v>
      </c>
      <c r="L28" s="100">
        <v>0</v>
      </c>
      <c r="M28" s="100">
        <v>0</v>
      </c>
      <c r="N28" s="100">
        <v>0</v>
      </c>
      <c r="O28" s="100">
        <v>0</v>
      </c>
      <c r="P28" s="100">
        <v>0</v>
      </c>
      <c r="Q28" s="100">
        <v>0</v>
      </c>
      <c r="R28" s="100">
        <v>0</v>
      </c>
      <c r="S28" s="100">
        <v>0</v>
      </c>
      <c r="T28" s="100">
        <v>0</v>
      </c>
      <c r="U28" s="100">
        <v>0</v>
      </c>
      <c r="V28" s="100">
        <v>0</v>
      </c>
      <c r="W28" s="100">
        <v>0</v>
      </c>
      <c r="X28" s="100">
        <v>1</v>
      </c>
      <c r="Y28" s="100">
        <v>1</v>
      </c>
      <c r="Z28" s="100">
        <v>0</v>
      </c>
      <c r="AA28" s="100">
        <v>0</v>
      </c>
    </row>
    <row r="29" spans="1:27" customFormat="1" x14ac:dyDescent="0.15"/>
    <row r="30" spans="1:27" customFormat="1" x14ac:dyDescent="0.15"/>
    <row r="31" spans="1:2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7" t="s">
        <v>219</v>
      </c>
    </row>
    <row r="2" spans="1:3" x14ac:dyDescent="0.15">
      <c r="A2">
        <v>1</v>
      </c>
      <c r="B2" s="176" t="s">
        <v>193</v>
      </c>
      <c r="C2">
        <v>0</v>
      </c>
    </row>
    <row r="3" spans="1:3" x14ac:dyDescent="0.15">
      <c r="A3">
        <v>2</v>
      </c>
      <c r="B3" s="176" t="s">
        <v>194</v>
      </c>
      <c r="C3">
        <v>0</v>
      </c>
    </row>
    <row r="4" spans="1:3" x14ac:dyDescent="0.15">
      <c r="A4">
        <v>3</v>
      </c>
      <c r="B4" s="176" t="s">
        <v>195</v>
      </c>
      <c r="C4">
        <v>0</v>
      </c>
    </row>
    <row r="5" spans="1:3" x14ac:dyDescent="0.15">
      <c r="A5">
        <v>4</v>
      </c>
      <c r="B5" s="176" t="s">
        <v>196</v>
      </c>
      <c r="C5">
        <v>0</v>
      </c>
    </row>
    <row r="6" spans="1:3" x14ac:dyDescent="0.15">
      <c r="A6">
        <v>5</v>
      </c>
      <c r="B6" s="176" t="s">
        <v>197</v>
      </c>
      <c r="C6">
        <v>0</v>
      </c>
    </row>
    <row r="7" spans="1:3" x14ac:dyDescent="0.15">
      <c r="A7">
        <v>6</v>
      </c>
      <c r="B7" s="176" t="s">
        <v>198</v>
      </c>
      <c r="C7">
        <v>0</v>
      </c>
    </row>
    <row r="8" spans="1:3" x14ac:dyDescent="0.15">
      <c r="A8">
        <v>7</v>
      </c>
      <c r="B8" s="176" t="s">
        <v>199</v>
      </c>
      <c r="C8">
        <v>0</v>
      </c>
    </row>
    <row r="9" spans="1:3" x14ac:dyDescent="0.15">
      <c r="A9">
        <v>8</v>
      </c>
      <c r="B9" s="176" t="s">
        <v>200</v>
      </c>
      <c r="C9">
        <v>0</v>
      </c>
    </row>
    <row r="10" spans="1:3" x14ac:dyDescent="0.15">
      <c r="A10">
        <v>9</v>
      </c>
      <c r="B10" s="176" t="s">
        <v>201</v>
      </c>
      <c r="C10">
        <v>0</v>
      </c>
    </row>
    <row r="11" spans="1:3" x14ac:dyDescent="0.15">
      <c r="A11">
        <v>10</v>
      </c>
      <c r="B11" s="176" t="s">
        <v>202</v>
      </c>
      <c r="C11">
        <v>0</v>
      </c>
    </row>
    <row r="12" spans="1:3" x14ac:dyDescent="0.15">
      <c r="A12">
        <v>11</v>
      </c>
      <c r="B12" s="176" t="s">
        <v>203</v>
      </c>
      <c r="C12">
        <v>0</v>
      </c>
    </row>
    <row r="13" spans="1:3" x14ac:dyDescent="0.15">
      <c r="A13">
        <v>12</v>
      </c>
      <c r="B13" s="176" t="s">
        <v>204</v>
      </c>
      <c r="C13">
        <v>0.8</v>
      </c>
    </row>
    <row r="14" spans="1:3" x14ac:dyDescent="0.15">
      <c r="A14">
        <v>13</v>
      </c>
      <c r="B14" s="176" t="s">
        <v>205</v>
      </c>
      <c r="C14">
        <v>0</v>
      </c>
    </row>
    <row r="15" spans="1:3" x14ac:dyDescent="0.15">
      <c r="A15">
        <v>14</v>
      </c>
      <c r="B15" s="176" t="s">
        <v>206</v>
      </c>
      <c r="C15">
        <v>0</v>
      </c>
    </row>
    <row r="16" spans="1:3" x14ac:dyDescent="0.15">
      <c r="A16">
        <v>15</v>
      </c>
      <c r="B16" s="176" t="s">
        <v>207</v>
      </c>
      <c r="C16">
        <v>0</v>
      </c>
    </row>
    <row r="17" spans="1:3" x14ac:dyDescent="0.15">
      <c r="A17">
        <v>16</v>
      </c>
      <c r="B17" s="176" t="s">
        <v>208</v>
      </c>
      <c r="C17">
        <v>0.8</v>
      </c>
    </row>
    <row r="18" spans="1:3" x14ac:dyDescent="0.15">
      <c r="A18">
        <v>17</v>
      </c>
      <c r="B18" s="176" t="s">
        <v>209</v>
      </c>
      <c r="C18">
        <v>0</v>
      </c>
    </row>
    <row r="19" spans="1:3" x14ac:dyDescent="0.15">
      <c r="A19">
        <v>18</v>
      </c>
      <c r="B19" s="176" t="s">
        <v>210</v>
      </c>
      <c r="C19">
        <v>0.8</v>
      </c>
    </row>
    <row r="20" spans="1:3" x14ac:dyDescent="0.15">
      <c r="A20">
        <v>19</v>
      </c>
      <c r="B20" s="176" t="s">
        <v>211</v>
      </c>
      <c r="C20">
        <v>0.8</v>
      </c>
    </row>
    <row r="21" spans="1:3" x14ac:dyDescent="0.15">
      <c r="A21">
        <v>20</v>
      </c>
      <c r="B21" s="176" t="s">
        <v>212</v>
      </c>
      <c r="C21">
        <v>0</v>
      </c>
    </row>
    <row r="22" spans="1:3" x14ac:dyDescent="0.15">
      <c r="A22">
        <v>21</v>
      </c>
      <c r="B22" s="176" t="s">
        <v>213</v>
      </c>
      <c r="C22">
        <v>0</v>
      </c>
    </row>
    <row r="23" spans="1:3" x14ac:dyDescent="0.15">
      <c r="A23">
        <v>22</v>
      </c>
      <c r="B23" s="176" t="s">
        <v>214</v>
      </c>
      <c r="C23">
        <v>0</v>
      </c>
    </row>
    <row r="24" spans="1:3" x14ac:dyDescent="0.15">
      <c r="A24">
        <v>23</v>
      </c>
      <c r="B24" s="176" t="s">
        <v>215</v>
      </c>
      <c r="C24">
        <v>0.8</v>
      </c>
    </row>
    <row r="25" spans="1:3" x14ac:dyDescent="0.15">
      <c r="A25">
        <v>24</v>
      </c>
      <c r="B25" s="176" t="s">
        <v>216</v>
      </c>
      <c r="C25">
        <v>0</v>
      </c>
    </row>
    <row r="26" spans="1:3" x14ac:dyDescent="0.15">
      <c r="A26">
        <v>25</v>
      </c>
      <c r="B26" s="176" t="s">
        <v>217</v>
      </c>
      <c r="C26">
        <v>0</v>
      </c>
    </row>
    <row r="27" spans="1:3" x14ac:dyDescent="0.15">
      <c r="A27">
        <v>26</v>
      </c>
      <c r="B27" s="176" t="s">
        <v>218</v>
      </c>
      <c r="C2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4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9" t="s">
        <v>219</v>
      </c>
    </row>
    <row r="2" spans="1:3" x14ac:dyDescent="0.15">
      <c r="A2">
        <v>1</v>
      </c>
      <c r="B2" s="178" t="s">
        <v>193</v>
      </c>
      <c r="C2">
        <v>0</v>
      </c>
    </row>
    <row r="3" spans="1:3" x14ac:dyDescent="0.15">
      <c r="A3">
        <v>2</v>
      </c>
      <c r="B3" s="178" t="s">
        <v>194</v>
      </c>
      <c r="C3">
        <v>0</v>
      </c>
    </row>
    <row r="4" spans="1:3" x14ac:dyDescent="0.15">
      <c r="A4">
        <v>3</v>
      </c>
      <c r="B4" s="178" t="s">
        <v>195</v>
      </c>
      <c r="C4">
        <v>0</v>
      </c>
    </row>
    <row r="5" spans="1:3" x14ac:dyDescent="0.15">
      <c r="A5">
        <v>4</v>
      </c>
      <c r="B5" s="178" t="s">
        <v>196</v>
      </c>
      <c r="C5">
        <v>0</v>
      </c>
    </row>
    <row r="6" spans="1:3" x14ac:dyDescent="0.15">
      <c r="A6">
        <v>5</v>
      </c>
      <c r="B6" s="178" t="s">
        <v>197</v>
      </c>
      <c r="C6">
        <v>0</v>
      </c>
    </row>
    <row r="7" spans="1:3" x14ac:dyDescent="0.15">
      <c r="A7">
        <v>6</v>
      </c>
      <c r="B7" s="178" t="s">
        <v>198</v>
      </c>
      <c r="C7">
        <v>0</v>
      </c>
    </row>
    <row r="8" spans="1:3" x14ac:dyDescent="0.15">
      <c r="A8">
        <v>7</v>
      </c>
      <c r="B8" s="178" t="s">
        <v>199</v>
      </c>
      <c r="C8">
        <v>0</v>
      </c>
    </row>
    <row r="9" spans="1:3" x14ac:dyDescent="0.15">
      <c r="A9">
        <v>8</v>
      </c>
      <c r="B9" s="178" t="s">
        <v>200</v>
      </c>
      <c r="C9">
        <v>0</v>
      </c>
    </row>
    <row r="10" spans="1:3" x14ac:dyDescent="0.15">
      <c r="A10">
        <v>9</v>
      </c>
      <c r="B10" s="178" t="s">
        <v>201</v>
      </c>
      <c r="C10">
        <v>0</v>
      </c>
    </row>
    <row r="11" spans="1:3" x14ac:dyDescent="0.15">
      <c r="A11">
        <v>10</v>
      </c>
      <c r="B11" s="178" t="s">
        <v>202</v>
      </c>
      <c r="C11">
        <v>0</v>
      </c>
    </row>
    <row r="12" spans="1:3" x14ac:dyDescent="0.15">
      <c r="A12">
        <v>11</v>
      </c>
      <c r="B12" s="178" t="s">
        <v>203</v>
      </c>
      <c r="C12">
        <v>0</v>
      </c>
    </row>
    <row r="13" spans="1:3" x14ac:dyDescent="0.15">
      <c r="A13">
        <v>12</v>
      </c>
      <c r="B13" s="178" t="s">
        <v>204</v>
      </c>
      <c r="C13">
        <v>0.8</v>
      </c>
    </row>
    <row r="14" spans="1:3" x14ac:dyDescent="0.15">
      <c r="A14">
        <v>13</v>
      </c>
      <c r="B14" s="178" t="s">
        <v>205</v>
      </c>
      <c r="C14">
        <v>0</v>
      </c>
    </row>
    <row r="15" spans="1:3" x14ac:dyDescent="0.15">
      <c r="A15">
        <v>14</v>
      </c>
      <c r="B15" s="178" t="s">
        <v>206</v>
      </c>
      <c r="C15">
        <v>0</v>
      </c>
    </row>
    <row r="16" spans="1:3" x14ac:dyDescent="0.15">
      <c r="A16">
        <v>15</v>
      </c>
      <c r="B16" s="178" t="s">
        <v>207</v>
      </c>
      <c r="C16">
        <v>0</v>
      </c>
    </row>
    <row r="17" spans="1:3" x14ac:dyDescent="0.15">
      <c r="A17">
        <v>16</v>
      </c>
      <c r="B17" s="178" t="s">
        <v>208</v>
      </c>
      <c r="C17">
        <v>0.8</v>
      </c>
    </row>
    <row r="18" spans="1:3" x14ac:dyDescent="0.15">
      <c r="A18">
        <v>17</v>
      </c>
      <c r="B18" s="178" t="s">
        <v>209</v>
      </c>
      <c r="C18">
        <v>0</v>
      </c>
    </row>
    <row r="19" spans="1:3" x14ac:dyDescent="0.15">
      <c r="A19">
        <v>18</v>
      </c>
      <c r="B19" s="178" t="s">
        <v>210</v>
      </c>
      <c r="C19">
        <v>0.8</v>
      </c>
    </row>
    <row r="20" spans="1:3" x14ac:dyDescent="0.15">
      <c r="A20">
        <v>19</v>
      </c>
      <c r="B20" s="178" t="s">
        <v>211</v>
      </c>
      <c r="C20">
        <v>0.8</v>
      </c>
    </row>
    <row r="21" spans="1:3" x14ac:dyDescent="0.15">
      <c r="A21">
        <v>20</v>
      </c>
      <c r="B21" s="178" t="s">
        <v>212</v>
      </c>
      <c r="C21">
        <v>0</v>
      </c>
    </row>
    <row r="22" spans="1:3" x14ac:dyDescent="0.15">
      <c r="A22">
        <v>21</v>
      </c>
      <c r="B22" s="178" t="s">
        <v>213</v>
      </c>
      <c r="C22">
        <v>0</v>
      </c>
    </row>
    <row r="23" spans="1:3" x14ac:dyDescent="0.15">
      <c r="A23">
        <v>22</v>
      </c>
      <c r="B23" s="178" t="s">
        <v>214</v>
      </c>
      <c r="C23">
        <v>0</v>
      </c>
    </row>
    <row r="24" spans="1:3" x14ac:dyDescent="0.15">
      <c r="A24">
        <v>23</v>
      </c>
      <c r="B24" s="178" t="s">
        <v>215</v>
      </c>
      <c r="C24">
        <v>0.8</v>
      </c>
    </row>
    <row r="25" spans="1:3" x14ac:dyDescent="0.15">
      <c r="A25">
        <v>24</v>
      </c>
      <c r="B25" s="178" t="s">
        <v>216</v>
      </c>
      <c r="C25">
        <v>0</v>
      </c>
    </row>
    <row r="26" spans="1:3" x14ac:dyDescent="0.15">
      <c r="A26">
        <v>25</v>
      </c>
      <c r="B26" s="178" t="s">
        <v>217</v>
      </c>
      <c r="C26">
        <v>0</v>
      </c>
    </row>
    <row r="27" spans="1:3" x14ac:dyDescent="0.15">
      <c r="A27">
        <v>26</v>
      </c>
      <c r="B27" s="178" t="s">
        <v>218</v>
      </c>
      <c r="C2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73"/>
    <col min="2" max="2" width="41.83203125" style="73" bestFit="1" customWidth="1"/>
    <col min="3" max="3" width="9.33203125" style="73" bestFit="1" customWidth="1"/>
    <col min="4" max="4" width="13" style="73" bestFit="1" customWidth="1"/>
    <col min="5" max="6" width="9.33203125" style="73" bestFit="1" customWidth="1"/>
    <col min="7" max="7" width="9.33203125" style="89" bestFit="1" customWidth="1"/>
    <col min="8" max="8" width="9.33203125" style="73" bestFit="1" customWidth="1"/>
    <col min="9" max="9" width="11" style="73" customWidth="1"/>
    <col min="10" max="10" width="8.83203125" style="73"/>
    <col min="15" max="16384" width="8.83203125" style="7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4">
        <v>1</v>
      </c>
      <c r="B2" s="134" t="s">
        <v>193</v>
      </c>
      <c r="C2" s="8">
        <v>1</v>
      </c>
      <c r="D2" s="9">
        <v>2.2200000286102295</v>
      </c>
      <c r="E2" s="9">
        <v>652.71002197265625</v>
      </c>
      <c r="F2" s="10"/>
      <c r="G2" s="9">
        <v>0.21484027802944183</v>
      </c>
      <c r="H2" s="10"/>
      <c r="I2">
        <v>0</v>
      </c>
      <c r="J2"/>
    </row>
    <row r="3" spans="1:10" ht="15" customHeight="1" x14ac:dyDescent="0.15">
      <c r="A3" s="135">
        <v>2</v>
      </c>
      <c r="B3" s="135" t="s">
        <v>194</v>
      </c>
      <c r="C3" s="8">
        <v>2.1111111640930176</v>
      </c>
      <c r="D3" s="9">
        <v>1.8452103137969971</v>
      </c>
      <c r="E3" s="9">
        <v>50.209999084472656</v>
      </c>
      <c r="F3" s="9">
        <v>150.64999389648438</v>
      </c>
      <c r="G3" s="9">
        <v>0.89999985694885254</v>
      </c>
      <c r="H3" s="9">
        <v>0.33328908681869507</v>
      </c>
      <c r="I3">
        <v>0</v>
      </c>
      <c r="J3"/>
    </row>
    <row r="4" spans="1:10" ht="15" customHeight="1" x14ac:dyDescent="0.15">
      <c r="A4" s="136">
        <v>3</v>
      </c>
      <c r="B4" s="136" t="s">
        <v>195</v>
      </c>
      <c r="C4" s="8">
        <v>1</v>
      </c>
      <c r="D4" s="9">
        <v>1.3700000047683716</v>
      </c>
      <c r="E4" s="9">
        <v>153.30999755859375</v>
      </c>
      <c r="F4" s="10"/>
      <c r="G4" s="9">
        <v>0.7173236608505249</v>
      </c>
      <c r="H4" s="10"/>
      <c r="I4">
        <v>0</v>
      </c>
      <c r="J4"/>
    </row>
    <row r="5" spans="1:10" ht="15" customHeight="1" x14ac:dyDescent="0.15">
      <c r="A5" s="137">
        <v>4</v>
      </c>
      <c r="B5" s="137" t="s">
        <v>196</v>
      </c>
      <c r="C5" s="8">
        <v>1</v>
      </c>
      <c r="D5" s="9">
        <v>2.0837364196777344</v>
      </c>
      <c r="E5" s="9">
        <v>209.61000061035156</v>
      </c>
      <c r="F5" s="10"/>
      <c r="G5" s="9">
        <v>0.50099998712539673</v>
      </c>
      <c r="H5" s="10"/>
      <c r="I5">
        <v>0</v>
      </c>
      <c r="J5"/>
    </row>
    <row r="6" spans="1:10" ht="15" customHeight="1" x14ac:dyDescent="0.15">
      <c r="A6" s="138">
        <v>5</v>
      </c>
      <c r="B6" s="138" t="s">
        <v>197</v>
      </c>
      <c r="C6" s="8">
        <v>2.0032813549041748</v>
      </c>
      <c r="D6" s="9">
        <v>16</v>
      </c>
      <c r="E6" s="9">
        <v>7.3000001907348633</v>
      </c>
      <c r="F6" s="9">
        <v>31.889999389648438</v>
      </c>
      <c r="G6" s="9">
        <v>0.50940400362014771</v>
      </c>
      <c r="H6" s="9">
        <v>0.22891189157962799</v>
      </c>
      <c r="I6">
        <v>0</v>
      </c>
      <c r="J6"/>
    </row>
    <row r="7" spans="1:10" ht="15" customHeight="1" x14ac:dyDescent="0.15">
      <c r="A7" s="139">
        <v>6</v>
      </c>
      <c r="B7" s="139" t="s">
        <v>198</v>
      </c>
      <c r="C7" s="8">
        <v>2.190903902053833</v>
      </c>
      <c r="D7" s="9">
        <v>4.284325122833252</v>
      </c>
      <c r="E7" s="9">
        <v>2.9100000858306885</v>
      </c>
      <c r="F7" s="9">
        <v>17.260000228881836</v>
      </c>
      <c r="G7" s="9">
        <v>0.94999998807907104</v>
      </c>
      <c r="H7" s="9">
        <v>0.16859792172908783</v>
      </c>
      <c r="I7">
        <v>0</v>
      </c>
      <c r="J7"/>
    </row>
    <row r="8" spans="1:10" ht="15" customHeight="1" x14ac:dyDescent="0.15">
      <c r="A8" s="140">
        <v>7</v>
      </c>
      <c r="B8" s="140" t="s">
        <v>199</v>
      </c>
      <c r="C8" s="8">
        <v>2</v>
      </c>
      <c r="D8" s="9">
        <v>6.3398799896240234</v>
      </c>
      <c r="E8" s="9">
        <v>2</v>
      </c>
      <c r="F8" s="9">
        <v>9</v>
      </c>
      <c r="G8" s="9">
        <v>0.94999980926513672</v>
      </c>
      <c r="H8" s="9">
        <v>0.2222222238779068</v>
      </c>
      <c r="I8">
        <v>0</v>
      </c>
      <c r="J8"/>
    </row>
    <row r="9" spans="1:10" ht="15" customHeight="1" x14ac:dyDescent="0.15">
      <c r="A9" s="141">
        <v>8</v>
      </c>
      <c r="B9" s="141" t="s">
        <v>200</v>
      </c>
      <c r="C9" s="8">
        <v>2</v>
      </c>
      <c r="D9" s="9">
        <v>5.270111083984375</v>
      </c>
      <c r="E9" s="9">
        <v>2.6500000953674316</v>
      </c>
      <c r="F9" s="9">
        <v>38.830001831054688</v>
      </c>
      <c r="G9" s="9">
        <v>0.95000004768371582</v>
      </c>
      <c r="H9" s="9">
        <v>6.8246200680732727E-2</v>
      </c>
      <c r="I9">
        <v>0</v>
      </c>
      <c r="J9"/>
    </row>
    <row r="10" spans="1:10" ht="15" customHeight="1" x14ac:dyDescent="0.15">
      <c r="A10" s="142">
        <v>9</v>
      </c>
      <c r="B10" s="142" t="s">
        <v>201</v>
      </c>
      <c r="C10" s="8">
        <v>2.5484681129455566</v>
      </c>
      <c r="D10" s="9">
        <v>3.740227222442627</v>
      </c>
      <c r="E10" s="9">
        <v>2</v>
      </c>
      <c r="F10" s="9">
        <v>8</v>
      </c>
      <c r="G10" s="9">
        <v>0.75999999046325684</v>
      </c>
      <c r="H10" s="9">
        <v>0.25</v>
      </c>
      <c r="I10">
        <v>0</v>
      </c>
      <c r="J10"/>
    </row>
    <row r="11" spans="1:10" ht="15" customHeight="1" x14ac:dyDescent="0.15">
      <c r="A11" s="143">
        <v>10</v>
      </c>
      <c r="B11" s="143" t="s">
        <v>202</v>
      </c>
      <c r="C11" s="8">
        <v>2.3195087909698486</v>
      </c>
      <c r="D11" s="9">
        <v>4.2566890716552734</v>
      </c>
      <c r="E11" s="9">
        <v>2.809999942779541</v>
      </c>
      <c r="F11" s="9">
        <v>26.899999618530273</v>
      </c>
      <c r="G11" s="9">
        <v>0.95000004768371582</v>
      </c>
      <c r="H11" s="9">
        <v>0.10446096956729889</v>
      </c>
      <c r="I11">
        <v>0</v>
      </c>
      <c r="J11"/>
    </row>
    <row r="12" spans="1:10" ht="15" customHeight="1" x14ac:dyDescent="0.15">
      <c r="A12" s="144">
        <v>11</v>
      </c>
      <c r="B12" s="144" t="s">
        <v>203</v>
      </c>
      <c r="C12" s="8">
        <v>2.5555555820465088</v>
      </c>
      <c r="D12" s="9">
        <v>0.30481758713722229</v>
      </c>
      <c r="E12" s="9">
        <v>2.1099998950958252</v>
      </c>
      <c r="F12" s="9">
        <v>56.860000610351562</v>
      </c>
      <c r="G12" s="9">
        <v>0.82439035177230835</v>
      </c>
      <c r="H12" s="9">
        <v>3.7108685821294785E-2</v>
      </c>
      <c r="I12">
        <v>0</v>
      </c>
      <c r="J12"/>
    </row>
    <row r="13" spans="1:10" ht="15" customHeight="1" x14ac:dyDescent="0.15">
      <c r="A13" s="145">
        <v>12</v>
      </c>
      <c r="B13" s="145" t="s">
        <v>204</v>
      </c>
      <c r="C13" s="8">
        <v>2.0171017646789551</v>
      </c>
      <c r="D13" s="9">
        <v>3.2370989322662354</v>
      </c>
      <c r="E13" s="9">
        <v>1.8799999952316284</v>
      </c>
      <c r="F13" s="9">
        <v>43.150001525878906</v>
      </c>
      <c r="G13" s="9">
        <v>0.55000001192092896</v>
      </c>
      <c r="H13" s="9">
        <v>4.3568942695856094E-2</v>
      </c>
      <c r="I13">
        <v>2.9802000522613525</v>
      </c>
      <c r="J13"/>
    </row>
    <row r="14" spans="1:10" ht="15" customHeight="1" x14ac:dyDescent="0.15">
      <c r="A14" s="146">
        <v>13</v>
      </c>
      <c r="B14" s="146" t="s">
        <v>205</v>
      </c>
      <c r="C14" s="8">
        <v>2.9935319423675537</v>
      </c>
      <c r="D14" s="9">
        <v>0.91222339868545532</v>
      </c>
      <c r="E14" s="9">
        <v>3.1600000858306885</v>
      </c>
      <c r="F14" s="9">
        <v>13.430000305175781</v>
      </c>
      <c r="G14" s="9">
        <v>0.55583035945892334</v>
      </c>
      <c r="H14" s="9">
        <v>0.23529411852359772</v>
      </c>
      <c r="I14">
        <v>0</v>
      </c>
      <c r="J14"/>
    </row>
    <row r="15" spans="1:10" ht="15" customHeight="1" x14ac:dyDescent="0.15">
      <c r="A15" s="147">
        <v>14</v>
      </c>
      <c r="B15" s="147" t="s">
        <v>206</v>
      </c>
      <c r="C15" s="8">
        <v>2.7822413444519043</v>
      </c>
      <c r="D15" s="9">
        <v>0.87091630697250366</v>
      </c>
      <c r="E15" s="9">
        <v>3.1700000762939453</v>
      </c>
      <c r="F15" s="9">
        <v>11.060000419616699</v>
      </c>
      <c r="G15" s="9">
        <v>0.52846735715866089</v>
      </c>
      <c r="H15" s="9">
        <v>0.2866184413433075</v>
      </c>
      <c r="I15">
        <v>0</v>
      </c>
      <c r="J15"/>
    </row>
    <row r="16" spans="1:10" ht="15" customHeight="1" x14ac:dyDescent="0.15">
      <c r="A16" s="148">
        <v>15</v>
      </c>
      <c r="B16" s="148" t="s">
        <v>207</v>
      </c>
      <c r="C16" s="8">
        <v>2.9529318809509277</v>
      </c>
      <c r="D16" s="9">
        <v>2.8205303475260735E-2</v>
      </c>
      <c r="E16" s="9">
        <v>1.3300000429153442</v>
      </c>
      <c r="F16" s="9">
        <v>12.843999862670898</v>
      </c>
      <c r="G16" s="9">
        <v>0.8498227596282959</v>
      </c>
      <c r="H16" s="9">
        <v>0.10355030000209808</v>
      </c>
      <c r="I16">
        <v>0</v>
      </c>
      <c r="J16"/>
    </row>
    <row r="17" spans="1:10" ht="15" customHeight="1" x14ac:dyDescent="0.15">
      <c r="A17" s="149">
        <v>16</v>
      </c>
      <c r="B17" s="149" t="s">
        <v>208</v>
      </c>
      <c r="C17" s="8">
        <v>2.775928258895874</v>
      </c>
      <c r="D17" s="9">
        <v>1.6120926141738892</v>
      </c>
      <c r="E17" s="9">
        <v>2.9000000953674316</v>
      </c>
      <c r="F17" s="9">
        <v>10.609999656677246</v>
      </c>
      <c r="G17" s="9">
        <v>0.35597941279411316</v>
      </c>
      <c r="H17" s="9">
        <v>0.27332708239555359</v>
      </c>
      <c r="I17">
        <v>0.91109997034072876</v>
      </c>
      <c r="J17"/>
    </row>
    <row r="18" spans="1:10" ht="15" customHeight="1" x14ac:dyDescent="0.15">
      <c r="A18" s="150">
        <v>17</v>
      </c>
      <c r="B18" s="150" t="s">
        <v>209</v>
      </c>
      <c r="C18" s="8">
        <v>3.2135488986968994</v>
      </c>
      <c r="D18" s="9">
        <v>7.3668256402015686E-2</v>
      </c>
      <c r="E18" s="9">
        <v>0.33129999041557312</v>
      </c>
      <c r="F18" s="9">
        <v>6.4289999008178711</v>
      </c>
      <c r="G18" s="9">
        <v>6.0111448168754578E-2</v>
      </c>
      <c r="H18" s="9">
        <v>5.1532119512557983E-2</v>
      </c>
      <c r="I18">
        <v>0</v>
      </c>
      <c r="J18"/>
    </row>
    <row r="19" spans="1:10" ht="15" customHeight="1" x14ac:dyDescent="0.15">
      <c r="A19" s="151">
        <v>18</v>
      </c>
      <c r="B19" s="151" t="s">
        <v>210</v>
      </c>
      <c r="C19" s="8">
        <v>2.8279032707214355</v>
      </c>
      <c r="D19" s="9">
        <v>4.5734958648681641</v>
      </c>
      <c r="E19" s="9">
        <v>1.3799999952316284</v>
      </c>
      <c r="F19" s="9">
        <v>9.9399995803833008</v>
      </c>
      <c r="G19" s="9">
        <v>0.53703081607818604</v>
      </c>
      <c r="H19" s="9">
        <v>0.13883300125598907</v>
      </c>
      <c r="I19">
        <v>2.7583999633789062</v>
      </c>
      <c r="J19"/>
    </row>
    <row r="20" spans="1:10" ht="15" customHeight="1" x14ac:dyDescent="0.15">
      <c r="A20" s="152">
        <v>19</v>
      </c>
      <c r="B20" s="152" t="s">
        <v>211</v>
      </c>
      <c r="C20" s="8">
        <v>2.895862340927124</v>
      </c>
      <c r="D20" s="9">
        <v>1.7989069223403931</v>
      </c>
      <c r="E20" s="9">
        <v>1.1299999952316284</v>
      </c>
      <c r="F20" s="9">
        <v>12.5</v>
      </c>
      <c r="G20" s="9">
        <v>0.57952326536178589</v>
      </c>
      <c r="H20" s="9">
        <v>9.0400002896785736E-2</v>
      </c>
      <c r="I20">
        <v>0.517799973487854</v>
      </c>
      <c r="J20"/>
    </row>
    <row r="21" spans="1:10" ht="15" customHeight="1" x14ac:dyDescent="0.15">
      <c r="A21" s="153">
        <v>20</v>
      </c>
      <c r="B21" s="153" t="s">
        <v>212</v>
      </c>
      <c r="C21" s="8">
        <v>3.2029168605804443</v>
      </c>
      <c r="D21" s="9">
        <v>0.14974464476108551</v>
      </c>
      <c r="E21" s="9">
        <v>1.7300000190734863</v>
      </c>
      <c r="F21" s="9">
        <v>9.4350004196166992</v>
      </c>
      <c r="G21" s="9">
        <v>0.46933180093765259</v>
      </c>
      <c r="H21" s="9">
        <v>0.18335983157157898</v>
      </c>
      <c r="I21">
        <v>0</v>
      </c>
      <c r="J21"/>
    </row>
    <row r="22" spans="1:10" ht="15" customHeight="1" x14ac:dyDescent="0.15">
      <c r="A22" s="154">
        <v>21</v>
      </c>
      <c r="B22" s="154" t="s">
        <v>213</v>
      </c>
      <c r="C22" s="8">
        <v>3.2747604846954346</v>
      </c>
      <c r="D22" s="9">
        <v>0.11729999631643295</v>
      </c>
      <c r="E22" s="9">
        <v>0.92970001697540283</v>
      </c>
      <c r="F22" s="9">
        <v>8.7849998474121094</v>
      </c>
      <c r="G22" s="9">
        <v>0.8684660792350769</v>
      </c>
      <c r="H22" s="9">
        <v>0.10582812130451202</v>
      </c>
      <c r="I22">
        <v>0</v>
      </c>
      <c r="J22"/>
    </row>
    <row r="23" spans="1:10" ht="15" customHeight="1" x14ac:dyDescent="0.15">
      <c r="A23" s="155">
        <v>22</v>
      </c>
      <c r="B23" s="155" t="s">
        <v>214</v>
      </c>
      <c r="C23" s="8">
        <v>2.213059663772583</v>
      </c>
      <c r="D23" s="9">
        <v>0.4309999942779541</v>
      </c>
      <c r="E23" s="9">
        <v>0.21220000088214874</v>
      </c>
      <c r="F23" s="9">
        <v>6.9000000953674316</v>
      </c>
      <c r="G23" s="9">
        <v>0.96632212400436401</v>
      </c>
      <c r="H23" s="9">
        <v>3.0753623694181442E-2</v>
      </c>
      <c r="I23">
        <v>0</v>
      </c>
      <c r="J23"/>
    </row>
    <row r="24" spans="1:10" ht="15" customHeight="1" x14ac:dyDescent="0.15">
      <c r="A24" s="156">
        <v>23</v>
      </c>
      <c r="B24" s="156" t="s">
        <v>215</v>
      </c>
      <c r="C24" s="8">
        <v>3.2583243846893311</v>
      </c>
      <c r="D24" s="9">
        <v>2.5739998817443848</v>
      </c>
      <c r="E24" s="9">
        <v>1.6799999475479126</v>
      </c>
      <c r="F24" s="9">
        <v>5.6999998092651367</v>
      </c>
      <c r="G24" s="9">
        <v>0.55569440126419067</v>
      </c>
      <c r="H24" s="9">
        <v>0.2947368323802948</v>
      </c>
      <c r="I24">
        <v>2.4030001163482666</v>
      </c>
      <c r="J24"/>
    </row>
    <row r="25" spans="1:10" ht="15" customHeight="1" x14ac:dyDescent="0.15">
      <c r="A25" s="157">
        <v>24</v>
      </c>
      <c r="B25" s="157" t="s">
        <v>216</v>
      </c>
      <c r="C25" s="8">
        <v>3.3126511573791504</v>
      </c>
      <c r="D25" s="9">
        <v>0.22606031596660614</v>
      </c>
      <c r="E25" s="9">
        <v>0.46560001373291016</v>
      </c>
      <c r="F25" s="9">
        <v>6.6599998474121094</v>
      </c>
      <c r="G25" s="9">
        <v>0.14879022538661957</v>
      </c>
      <c r="H25" s="9">
        <v>6.9909915328025818E-2</v>
      </c>
      <c r="I25">
        <v>0</v>
      </c>
      <c r="J25"/>
    </row>
    <row r="26" spans="1:10" ht="15" customHeight="1" x14ac:dyDescent="0.15">
      <c r="A26" s="158">
        <v>25</v>
      </c>
      <c r="B26" s="158" t="s">
        <v>217</v>
      </c>
      <c r="C26" s="8">
        <v>1</v>
      </c>
      <c r="D26" s="9">
        <v>2.7599999904632568</v>
      </c>
      <c r="E26" s="10"/>
      <c r="F26" s="10"/>
      <c r="G26" s="7">
        <v>0.34408044815063477</v>
      </c>
      <c r="H26" s="10"/>
      <c r="I26">
        <v>0</v>
      </c>
      <c r="J26"/>
    </row>
    <row r="27" spans="1:10" ht="15" customHeight="1" x14ac:dyDescent="0.15">
      <c r="A27" s="159">
        <v>26</v>
      </c>
      <c r="B27" s="159" t="s">
        <v>218</v>
      </c>
      <c r="C27" s="8">
        <v>1</v>
      </c>
      <c r="D27" s="9">
        <v>5</v>
      </c>
      <c r="E27" s="10"/>
      <c r="F27" s="10"/>
      <c r="G27" s="7">
        <v>0</v>
      </c>
      <c r="H27" s="10"/>
      <c r="I27">
        <v>0</v>
      </c>
      <c r="J27"/>
    </row>
    <row r="28" spans="1:10" ht="15" customHeight="1" x14ac:dyDescent="0.15">
      <c r="A28" s="160">
        <v>27</v>
      </c>
      <c r="B28" s="160" t="s">
        <v>219</v>
      </c>
      <c r="C28" s="8">
        <v>3.6822247505187988</v>
      </c>
      <c r="D28" s="10"/>
      <c r="E28" s="10"/>
      <c r="F28" s="10"/>
      <c r="G28" s="10"/>
      <c r="H28" s="10"/>
      <c r="I28">
        <v>9.570500373840332</v>
      </c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3" bestFit="1" customWidth="1"/>
    <col min="2" max="4" width="9.5" style="73" bestFit="1" customWidth="1"/>
    <col min="5" max="7" width="9" style="73" bestFit="1" customWidth="1"/>
    <col min="8" max="16" width="12.6640625" style="73" bestFit="1" customWidth="1"/>
    <col min="17" max="17" width="12.33203125" style="73" bestFit="1" customWidth="1"/>
    <col min="18" max="18" width="8.83203125" style="73"/>
    <col min="19" max="21" width="9.33203125" style="73" bestFit="1" customWidth="1"/>
    <col min="22" max="23" width="8.83203125" style="73"/>
    <col min="24" max="24" width="9.33203125" style="73" bestFit="1" customWidth="1"/>
    <col min="25" max="27" width="8.83203125" style="73"/>
    <col min="28" max="58" width="9" style="73" bestFit="1" customWidth="1"/>
    <col min="59" max="59" width="12.33203125" style="73" bestFit="1" customWidth="1"/>
    <col min="60" max="60" width="9" style="73" bestFit="1" customWidth="1"/>
    <col min="61" max="61" width="11.33203125" style="73" bestFit="1" customWidth="1"/>
    <col min="62" max="77" width="9" style="73" bestFit="1" customWidth="1"/>
    <col min="78" max="78" width="12.33203125" style="73" bestFit="1" customWidth="1"/>
    <col min="79" max="79" width="9" style="73" bestFit="1" customWidth="1"/>
    <col min="80" max="80" width="12.33203125" style="73" bestFit="1" customWidth="1"/>
    <col min="81" max="107" width="9" style="73" bestFit="1" customWidth="1"/>
    <col min="108" max="108" width="11.33203125" style="73" bestFit="1" customWidth="1"/>
    <col min="109" max="124" width="9" style="73" bestFit="1" customWidth="1"/>
    <col min="125" max="125" width="10.33203125" style="73" bestFit="1" customWidth="1"/>
    <col min="126" max="129" width="9.33203125" style="73" bestFit="1" customWidth="1"/>
    <col min="130" max="130" width="9" style="73" bestFit="1" customWidth="1"/>
    <col min="131" max="134" width="9.33203125" style="73" bestFit="1" customWidth="1"/>
    <col min="135" max="165" width="9" style="73" bestFit="1" customWidth="1"/>
    <col min="166" max="166" width="12.33203125" style="73" bestFit="1" customWidth="1"/>
    <col min="167" max="170" width="9" style="73" bestFit="1" customWidth="1"/>
    <col min="171" max="176" width="8.83203125" style="73"/>
    <col min="177" max="177" width="13.83203125" style="73" bestFit="1" customWidth="1"/>
    <col min="178" max="16384" width="8.83203125" style="7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224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215</v>
      </c>
      <c r="AB1" t="s">
        <v>216</v>
      </c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652.71002197265625</v>
      </c>
      <c r="C2">
        <v>512.48162841796875</v>
      </c>
      <c r="D2"/>
      <c r="E2"/>
      <c r="F2" s="207">
        <v>100.17330169677734</v>
      </c>
      <c r="G2"/>
      <c r="H2"/>
      <c r="I2"/>
      <c r="J2" s="21">
        <v>3.6216073036193848</v>
      </c>
      <c r="K2" s="216">
        <v>15.421329498291016</v>
      </c>
      <c r="L2"/>
      <c r="M2"/>
      <c r="N2" s="18">
        <v>7.4242281913757324</v>
      </c>
      <c r="O2" s="21">
        <v>3.9035873413085938</v>
      </c>
      <c r="P2" s="16">
        <v>9.6843595504760742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50.209999084472656</v>
      </c>
      <c r="C3">
        <v>5.0210070610046387</v>
      </c>
      <c r="D3"/>
      <c r="E3"/>
      <c r="F3" s="228">
        <v>15.064999580383301</v>
      </c>
      <c r="G3"/>
      <c r="H3"/>
      <c r="I3" s="16">
        <v>0.81664484739303589</v>
      </c>
      <c r="J3" s="225">
        <v>6.1000943183898926</v>
      </c>
      <c r="K3"/>
      <c r="L3"/>
      <c r="M3" s="21">
        <v>0.26148316264152527</v>
      </c>
      <c r="N3" s="227">
        <v>12.467862129211426</v>
      </c>
      <c r="O3" s="67">
        <v>4.6964640617370605</v>
      </c>
      <c r="P3" s="216">
        <v>1.1651396751403809</v>
      </c>
      <c r="Q3" s="11">
        <v>4.026373103260994E-2</v>
      </c>
      <c r="R3" s="14">
        <v>0.12139999121427536</v>
      </c>
      <c r="S3" s="11">
        <v>4.4547799974679947E-2</v>
      </c>
      <c r="T3" s="25">
        <v>3.8275470733642578</v>
      </c>
      <c r="U3"/>
      <c r="V3"/>
      <c r="W3"/>
      <c r="X3" s="11">
        <v>4.832351952791214E-2</v>
      </c>
      <c r="Y3"/>
      <c r="Z3" s="11">
        <v>1.163792610168457E-2</v>
      </c>
      <c r="AA3" s="15">
        <v>0.45216035842895508</v>
      </c>
      <c r="AB3" s="14">
        <v>7.0428982377052307E-2</v>
      </c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153.30999755859375</v>
      </c>
      <c r="C4">
        <v>43.337108612060547</v>
      </c>
      <c r="D4"/>
      <c r="E4"/>
      <c r="F4"/>
      <c r="G4"/>
      <c r="H4"/>
      <c r="I4" s="231">
        <v>55.878566741943359</v>
      </c>
      <c r="J4"/>
      <c r="K4"/>
      <c r="L4" s="26">
        <v>5.4647674560546875</v>
      </c>
      <c r="M4" s="21">
        <v>0.80335891246795654</v>
      </c>
      <c r="N4"/>
      <c r="O4"/>
      <c r="P4" s="217">
        <v>47.078716278076172</v>
      </c>
      <c r="Q4"/>
      <c r="R4"/>
      <c r="S4" s="11">
        <v>1.1153313331305981E-2</v>
      </c>
      <c r="T4" s="12">
        <v>0.73633331060409546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209.61000061035156</v>
      </c>
      <c r="C5">
        <v>104.59539031982422</v>
      </c>
      <c r="D5"/>
      <c r="E5"/>
      <c r="F5"/>
      <c r="G5"/>
      <c r="H5"/>
      <c r="I5" s="12">
        <v>0.72316306829452515</v>
      </c>
      <c r="J5" s="62">
        <v>11.575315475463867</v>
      </c>
      <c r="K5" s="24">
        <v>5.4765968322753906</v>
      </c>
      <c r="L5" s="232">
        <v>58.311573028564453</v>
      </c>
      <c r="M5" s="19">
        <v>3.8293533325195312</v>
      </c>
      <c r="N5" s="191">
        <v>8.2392988204956055</v>
      </c>
      <c r="O5"/>
      <c r="P5" s="229">
        <v>15.476487159729004</v>
      </c>
      <c r="Q5" s="12">
        <v>0.89136815071105957</v>
      </c>
      <c r="R5"/>
      <c r="S5" s="11">
        <v>7.332999724894762E-3</v>
      </c>
      <c r="T5" s="14">
        <v>0.48411911725997925</v>
      </c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7.3000001907348633</v>
      </c>
      <c r="C6">
        <v>3.5813508033752441</v>
      </c>
      <c r="D6"/>
      <c r="E6"/>
      <c r="F6"/>
      <c r="G6"/>
      <c r="H6"/>
      <c r="I6"/>
      <c r="J6"/>
      <c r="K6"/>
      <c r="L6"/>
      <c r="M6"/>
      <c r="N6" s="19">
        <v>0.1280485987663269</v>
      </c>
      <c r="O6"/>
      <c r="P6"/>
      <c r="Q6" s="12">
        <v>3.0629081651568413E-2</v>
      </c>
      <c r="R6" s="12">
        <v>3.0096858739852905E-2</v>
      </c>
      <c r="S6" s="11">
        <v>1.1315052688587457E-5</v>
      </c>
      <c r="T6"/>
      <c r="U6" s="14">
        <v>1.252329908311367E-2</v>
      </c>
      <c r="V6" s="230">
        <v>2.3213896751403809</v>
      </c>
      <c r="W6" s="226">
        <v>0.91500568389892578</v>
      </c>
      <c r="X6" s="12">
        <v>3.5713560879230499E-2</v>
      </c>
      <c r="Y6" s="11">
        <v>6.4384762663394213E-4</v>
      </c>
      <c r="Z6"/>
      <c r="AA6" s="23">
        <v>0.22916695475578308</v>
      </c>
      <c r="AB6" s="14">
        <v>1.5420773066580296E-2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2.9100000858306885</v>
      </c>
      <c r="C7">
        <v>0.14550003409385681</v>
      </c>
      <c r="D7"/>
      <c r="E7"/>
      <c r="F7"/>
      <c r="G7"/>
      <c r="H7"/>
      <c r="I7"/>
      <c r="J7"/>
      <c r="K7"/>
      <c r="L7"/>
      <c r="M7" s="221">
        <v>1.0479018688201904</v>
      </c>
      <c r="N7" s="204">
        <v>0.13349610567092896</v>
      </c>
      <c r="O7"/>
      <c r="P7"/>
      <c r="Q7" s="133">
        <v>0.74350666999816895</v>
      </c>
      <c r="R7"/>
      <c r="S7" s="17">
        <v>3.8892004638910294E-2</v>
      </c>
      <c r="T7" s="220">
        <v>0.79829597473144531</v>
      </c>
      <c r="U7"/>
      <c r="V7"/>
      <c r="W7"/>
      <c r="X7" s="11">
        <v>2.4074695538729429E-3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2</v>
      </c>
      <c r="C8">
        <v>0.10000038146972656</v>
      </c>
      <c r="D8"/>
      <c r="E8"/>
      <c r="F8"/>
      <c r="G8"/>
      <c r="H8"/>
      <c r="I8"/>
      <c r="J8" s="63">
        <v>0.1271708607673645</v>
      </c>
      <c r="K8"/>
      <c r="L8"/>
      <c r="M8" s="224">
        <v>0.94419300556182861</v>
      </c>
      <c r="N8" s="218">
        <v>0.48744374513626099</v>
      </c>
      <c r="O8"/>
      <c r="P8"/>
      <c r="Q8"/>
      <c r="R8" s="214">
        <v>0.27495947480201721</v>
      </c>
      <c r="S8"/>
      <c r="T8"/>
      <c r="U8"/>
      <c r="V8"/>
      <c r="W8" s="11">
        <v>1.7725249053910375E-3</v>
      </c>
      <c r="X8"/>
      <c r="Y8" s="11">
        <v>1.624882803298533E-3</v>
      </c>
      <c r="Z8" s="18">
        <v>2.4436209350824356E-2</v>
      </c>
      <c r="AA8" s="19">
        <v>3.3653184771537781E-2</v>
      </c>
      <c r="AB8" s="14">
        <v>4.7460384666919708E-3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2.6500000953674316</v>
      </c>
      <c r="C9">
        <v>0.13249987363815308</v>
      </c>
      <c r="D9"/>
      <c r="E9"/>
      <c r="F9"/>
      <c r="G9"/>
      <c r="H9"/>
      <c r="I9"/>
      <c r="J9" s="209">
        <v>0.1525578647851944</v>
      </c>
      <c r="K9"/>
      <c r="L9"/>
      <c r="M9" s="219">
        <v>0.59632265567779541</v>
      </c>
      <c r="N9" s="223">
        <v>0.98600226640701294</v>
      </c>
      <c r="O9"/>
      <c r="P9"/>
      <c r="Q9" s="208">
        <v>0.13950225710868835</v>
      </c>
      <c r="R9" s="98">
        <v>0.41609683632850647</v>
      </c>
      <c r="S9" s="11">
        <v>1.507675857283175E-3</v>
      </c>
      <c r="T9" s="14">
        <v>3.8282929453998804E-3</v>
      </c>
      <c r="U9" s="11">
        <v>1.7737624875735492E-4</v>
      </c>
      <c r="V9" s="21">
        <v>1.3301809318363667E-2</v>
      </c>
      <c r="W9" s="13">
        <v>9.6776686608791351E-2</v>
      </c>
      <c r="X9" s="11">
        <v>1.4627528435084969E-4</v>
      </c>
      <c r="Y9" s="11">
        <v>1.9547143019735813E-3</v>
      </c>
      <c r="Z9" s="15">
        <v>2.8218565508723259E-2</v>
      </c>
      <c r="AA9" s="131">
        <v>7.9324252903461456E-2</v>
      </c>
      <c r="AB9" s="11">
        <v>1.7825866816565394E-3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2</v>
      </c>
      <c r="C10">
        <v>0.48000001907348633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 s="22">
        <v>5.643119290471077E-2</v>
      </c>
      <c r="R10" s="215">
        <v>0.49497255682945251</v>
      </c>
      <c r="S10" s="12">
        <v>8.1706475466489792E-3</v>
      </c>
      <c r="T10"/>
      <c r="U10" s="18">
        <v>2.2279702126979828E-2</v>
      </c>
      <c r="V10" s="19">
        <v>3.6464415490627289E-2</v>
      </c>
      <c r="W10" s="211">
        <v>0.25476723909378052</v>
      </c>
      <c r="X10" s="15">
        <v>1.9097000360488892E-2</v>
      </c>
      <c r="Y10"/>
      <c r="Z10"/>
      <c r="AA10" s="217">
        <v>0.61454349756240845</v>
      </c>
      <c r="AB10" s="21">
        <v>1.3273890130221844E-2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2.809999942779541</v>
      </c>
      <c r="C11">
        <v>0.14049986004829407</v>
      </c>
      <c r="D11"/>
      <c r="E11"/>
      <c r="F11"/>
      <c r="G11"/>
      <c r="H11"/>
      <c r="I11"/>
      <c r="J11"/>
      <c r="K11"/>
      <c r="L11"/>
      <c r="M11" s="17">
        <v>3.6736384034156799E-2</v>
      </c>
      <c r="N11"/>
      <c r="O11"/>
      <c r="P11"/>
      <c r="Q11" s="222">
        <v>1.2003666162490845</v>
      </c>
      <c r="R11"/>
      <c r="S11"/>
      <c r="T11" s="212">
        <v>0.23698621988296509</v>
      </c>
      <c r="U11" s="17">
        <v>4.0078017860651016E-2</v>
      </c>
      <c r="V11" s="14">
        <v>6.5874676220118999E-3</v>
      </c>
      <c r="W11" s="67">
        <v>0.26415622234344482</v>
      </c>
      <c r="X11" s="27">
        <v>0.13277575373649597</v>
      </c>
      <c r="Y11" s="25">
        <v>0.21393579244613647</v>
      </c>
      <c r="Z11" s="20">
        <v>5.450136587023735E-2</v>
      </c>
      <c r="AA11" s="97">
        <v>0.34462630748748779</v>
      </c>
      <c r="AB11" s="197">
        <v>0.13874983787536621</v>
      </c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2.1099998950958252</v>
      </c>
      <c r="C12">
        <v>0.37053632736206055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 s="21">
        <v>1.0872955434024334E-2</v>
      </c>
      <c r="V12" s="62">
        <v>0.11499010771512985</v>
      </c>
      <c r="W12"/>
      <c r="X12"/>
      <c r="Y12" s="197">
        <v>0.10138747841119766</v>
      </c>
      <c r="Z12"/>
      <c r="AA12" s="203">
        <v>1.4916664361953735</v>
      </c>
      <c r="AB12" s="15">
        <v>2.054656483232975E-2</v>
      </c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1.8799999952316284</v>
      </c>
      <c r="C13">
        <v>0.84599995613098145</v>
      </c>
      <c r="D13" s="188">
        <v>0.92063915729522705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 s="132">
        <v>0.11327028274536133</v>
      </c>
      <c r="AB13" s="11">
        <v>9.0554938651621342E-5</v>
      </c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3.1600000858306885</v>
      </c>
      <c r="C14">
        <v>1.403576135635376</v>
      </c>
      <c r="D14"/>
      <c r="E14"/>
      <c r="F14"/>
      <c r="G14"/>
      <c r="H14"/>
      <c r="I14"/>
      <c r="J14"/>
      <c r="K14"/>
      <c r="L14"/>
      <c r="M14" s="205">
        <v>0.65620654821395874</v>
      </c>
      <c r="N14"/>
      <c r="O14"/>
      <c r="P14"/>
      <c r="Q14"/>
      <c r="R14"/>
      <c r="S14"/>
      <c r="T14"/>
      <c r="U14"/>
      <c r="V14"/>
      <c r="W14"/>
      <c r="X14" s="22">
        <v>8.6739629507064819E-2</v>
      </c>
      <c r="Y14" s="12">
        <v>1.0166575200855732E-2</v>
      </c>
      <c r="Z14"/>
      <c r="AA14" s="210">
        <v>0.88428741693496704</v>
      </c>
      <c r="AB14" s="13">
        <v>0.11902384459972382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3.1700000762939453</v>
      </c>
      <c r="C15">
        <v>1.4947584867477417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213">
        <v>1.2730816602706909</v>
      </c>
      <c r="X15"/>
      <c r="Y15" s="14">
        <v>3.5485252737998962E-3</v>
      </c>
      <c r="Z15"/>
      <c r="AA15" s="202">
        <v>0.28628891706466675</v>
      </c>
      <c r="AB15" s="26">
        <v>0.1123223751783371</v>
      </c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1.3300000429153442</v>
      </c>
      <c r="C16">
        <v>0.19973573088645935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192">
        <v>0.10957047343254089</v>
      </c>
      <c r="Z16"/>
      <c r="AA16" s="196">
        <v>0.96736323833465576</v>
      </c>
      <c r="AB16" s="191">
        <v>5.3330544382333755E-2</v>
      </c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2.9000000953674316</v>
      </c>
      <c r="C17">
        <v>1.8676598072052002</v>
      </c>
      <c r="D17" s="99">
        <v>0.56516599655151367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 s="11">
        <v>2.6093830820173025E-3</v>
      </c>
      <c r="V17"/>
      <c r="W17"/>
      <c r="X17"/>
      <c r="Y17"/>
      <c r="Z17"/>
      <c r="AA17" s="207">
        <v>0.44590017199516296</v>
      </c>
      <c r="AB17" s="21">
        <v>1.8664754927158356E-2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0.33129999041557312</v>
      </c>
      <c r="C18">
        <v>0.31138506531715393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 s="132">
        <v>1.9914921373128891E-2</v>
      </c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1.3799999952316284</v>
      </c>
      <c r="C19">
        <v>0.63889747858047485</v>
      </c>
      <c r="D19" s="189">
        <v>0.60312724113464355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 s="11">
        <v>5.1098359108436853E-5</v>
      </c>
      <c r="V19"/>
      <c r="W19"/>
      <c r="X19"/>
      <c r="Y19"/>
      <c r="Z19"/>
      <c r="AA19" s="128">
        <v>0.13792422413825989</v>
      </c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1.1299999952316284</v>
      </c>
      <c r="C20">
        <v>0.47513869404792786</v>
      </c>
      <c r="D20" s="133">
        <v>0.28784143924713135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 s="11">
        <v>1.2991119001526386E-4</v>
      </c>
      <c r="V20"/>
      <c r="W20"/>
      <c r="X20"/>
      <c r="Y20"/>
      <c r="Z20"/>
      <c r="AA20" s="206">
        <v>0.36688995361328125</v>
      </c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1.7300000190734863</v>
      </c>
      <c r="C21">
        <v>0.91805601119995117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15">
        <v>1.5606442466378212E-2</v>
      </c>
      <c r="V21"/>
      <c r="W21"/>
      <c r="X21"/>
      <c r="Y21" s="21">
        <v>8.9432448148727417E-3</v>
      </c>
      <c r="Z21"/>
      <c r="AA21" s="201">
        <v>0.63664013147354126</v>
      </c>
      <c r="AB21" s="195">
        <v>0.15075421333312988</v>
      </c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0.92970001697540283</v>
      </c>
      <c r="C22">
        <v>0.1222870871424675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s="199">
        <v>0.52514982223510742</v>
      </c>
      <c r="AB22" s="198">
        <v>0.28226304054260254</v>
      </c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0.21220000088214874</v>
      </c>
      <c r="C23">
        <v>7.1464451029896736E-3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200">
        <v>0.17014715075492859</v>
      </c>
      <c r="AB23" s="193">
        <v>3.4906398504972458E-2</v>
      </c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1.6799999475479126</v>
      </c>
      <c r="C24">
        <v>0.74643337726593018</v>
      </c>
      <c r="D24" s="190">
        <v>0.93356651067733765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0.46560001373291016</v>
      </c>
      <c r="C25">
        <v>0.39632329344749451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s="194">
        <v>6.9276735186576843E-2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/>
      <c r="C26">
        <v>0.34408044815063477</v>
      </c>
      <c r="D26"/>
      <c r="E26"/>
      <c r="F26" s="9">
        <v>27.798091888427734</v>
      </c>
      <c r="G26"/>
      <c r="H26"/>
      <c r="I26" s="9">
        <v>430.67257690429688</v>
      </c>
      <c r="J26" s="9">
        <v>28.921375274658203</v>
      </c>
      <c r="K26" s="9">
        <v>11.411784172058105</v>
      </c>
      <c r="L26" s="9">
        <v>75.645736694335938</v>
      </c>
      <c r="M26" s="9">
        <v>5.9860701560974121</v>
      </c>
      <c r="N26" s="9">
        <v>46.941383361816406</v>
      </c>
      <c r="O26"/>
      <c r="P26" s="9">
        <v>19.284852981567383</v>
      </c>
      <c r="Q26" s="9">
        <v>0.58815395832061768</v>
      </c>
      <c r="R26" s="9">
        <v>3.1393799781799316</v>
      </c>
      <c r="S26" s="9">
        <v>4.4196050614118576E-2</v>
      </c>
      <c r="T26" s="9">
        <v>3.5750072002410889</v>
      </c>
      <c r="U26" s="9">
        <v>8.0496584996581078E-3</v>
      </c>
      <c r="V26" s="9">
        <v>8.0487337112426758</v>
      </c>
      <c r="W26" s="9">
        <v>4.138920783996582</v>
      </c>
      <c r="X26" s="9">
        <v>2.5433328002691269E-2</v>
      </c>
      <c r="Y26" s="9">
        <v>4.1218612343072891E-2</v>
      </c>
      <c r="Z26" s="9">
        <v>2.416792631149292</v>
      </c>
      <c r="AA26" s="9">
        <v>1.3056344985961914</v>
      </c>
      <c r="AB26" s="9">
        <v>6.7700959742069244E-2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/>
      <c r="C27">
        <v>0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4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4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80" t="s">
        <v>193</v>
      </c>
      <c r="E5">
        <v>4</v>
      </c>
      <c r="F5">
        <v>2.1</v>
      </c>
      <c r="G5">
        <v>4</v>
      </c>
      <c r="H5" s="181" t="s">
        <v>193</v>
      </c>
      <c r="J5" s="55"/>
      <c r="K5" s="56"/>
    </row>
    <row r="6" spans="1:12" ht="14" thickBot="1" x14ac:dyDescent="0.2">
      <c r="A6" s="39" t="s">
        <v>121</v>
      </c>
      <c r="D6" s="180" t="s">
        <v>194</v>
      </c>
      <c r="E6">
        <v>5</v>
      </c>
      <c r="F6">
        <v>3.11</v>
      </c>
      <c r="G6">
        <v>5</v>
      </c>
      <c r="H6" s="181" t="s">
        <v>194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80" t="s">
        <v>195</v>
      </c>
      <c r="E7">
        <v>6</v>
      </c>
      <c r="F7">
        <v>2.2000000000000002</v>
      </c>
      <c r="G7">
        <v>6</v>
      </c>
      <c r="H7" s="181" t="s">
        <v>195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80" t="s">
        <v>196</v>
      </c>
      <c r="E8">
        <v>7</v>
      </c>
      <c r="F8">
        <v>2.2000000000000002</v>
      </c>
      <c r="G8">
        <v>7</v>
      </c>
      <c r="H8" s="181" t="s">
        <v>196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80" t="s">
        <v>197</v>
      </c>
      <c r="E9">
        <v>8</v>
      </c>
      <c r="F9">
        <v>3.21</v>
      </c>
      <c r="G9">
        <v>8</v>
      </c>
      <c r="H9" s="181" t="s">
        <v>197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80" t="s">
        <v>198</v>
      </c>
      <c r="E10">
        <v>9</v>
      </c>
      <c r="F10">
        <v>3.21</v>
      </c>
      <c r="G10">
        <v>9</v>
      </c>
      <c r="H10" s="181" t="s">
        <v>198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80" t="s">
        <v>199</v>
      </c>
      <c r="E11">
        <v>10</v>
      </c>
      <c r="F11">
        <v>3.21</v>
      </c>
      <c r="G11">
        <v>10</v>
      </c>
      <c r="H11" s="181" t="s">
        <v>199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80" t="s">
        <v>200</v>
      </c>
      <c r="E12">
        <v>11</v>
      </c>
      <c r="F12">
        <v>3.21</v>
      </c>
      <c r="G12">
        <v>11</v>
      </c>
      <c r="H12" s="181" t="s">
        <v>200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80" t="s">
        <v>201</v>
      </c>
      <c r="E13">
        <v>12</v>
      </c>
      <c r="F13">
        <v>3.21</v>
      </c>
      <c r="G13">
        <v>12</v>
      </c>
      <c r="H13" s="181" t="s">
        <v>201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80" t="s">
        <v>202</v>
      </c>
      <c r="E14">
        <v>13</v>
      </c>
      <c r="F14">
        <v>3.02</v>
      </c>
      <c r="G14">
        <v>13</v>
      </c>
      <c r="H14" s="181" t="s">
        <v>202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80" t="s">
        <v>203</v>
      </c>
      <c r="E15">
        <v>14</v>
      </c>
      <c r="F15">
        <v>3.14</v>
      </c>
      <c r="G15">
        <v>14</v>
      </c>
      <c r="H15" s="181" t="s">
        <v>203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80" t="s">
        <v>204</v>
      </c>
      <c r="E16">
        <v>15</v>
      </c>
      <c r="F16">
        <v>3.14</v>
      </c>
      <c r="G16">
        <v>15</v>
      </c>
      <c r="H16" s="181" t="s">
        <v>204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80" t="s">
        <v>205</v>
      </c>
      <c r="E17">
        <v>16</v>
      </c>
      <c r="F17">
        <v>3.24</v>
      </c>
      <c r="G17">
        <v>16</v>
      </c>
      <c r="H17" s="181" t="s">
        <v>205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80" t="s">
        <v>206</v>
      </c>
      <c r="E18">
        <v>17</v>
      </c>
      <c r="F18">
        <v>3.24</v>
      </c>
      <c r="G18">
        <v>17</v>
      </c>
      <c r="H18" s="181" t="s">
        <v>206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80" t="s">
        <v>207</v>
      </c>
      <c r="E19">
        <v>18</v>
      </c>
      <c r="F19">
        <v>3.04</v>
      </c>
      <c r="G19">
        <v>18</v>
      </c>
      <c r="H19" s="181" t="s">
        <v>207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80" t="s">
        <v>208</v>
      </c>
      <c r="E20">
        <v>19</v>
      </c>
      <c r="F20">
        <v>3.04</v>
      </c>
      <c r="G20">
        <v>19</v>
      </c>
      <c r="H20" s="181" t="s">
        <v>208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80" t="s">
        <v>209</v>
      </c>
      <c r="E21">
        <v>20</v>
      </c>
      <c r="F21">
        <v>3.24</v>
      </c>
      <c r="G21">
        <v>20</v>
      </c>
      <c r="H21" s="181" t="s">
        <v>209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80" t="s">
        <v>210</v>
      </c>
      <c r="E22">
        <v>21</v>
      </c>
      <c r="F22">
        <v>3.24</v>
      </c>
      <c r="G22">
        <v>21</v>
      </c>
      <c r="H22" s="181" t="s">
        <v>210</v>
      </c>
    </row>
    <row r="23" spans="1:12" x14ac:dyDescent="0.15">
      <c r="A23" s="34" t="s">
        <v>129</v>
      </c>
      <c r="B23" s="42">
        <v>4</v>
      </c>
      <c r="C23" s="36"/>
      <c r="D23" s="180" t="s">
        <v>211</v>
      </c>
      <c r="E23">
        <v>22</v>
      </c>
      <c r="F23">
        <v>3.24</v>
      </c>
      <c r="G23">
        <v>22</v>
      </c>
      <c r="H23" s="181" t="s">
        <v>211</v>
      </c>
    </row>
    <row r="24" spans="1:12" x14ac:dyDescent="0.15">
      <c r="A24" s="34" t="s">
        <v>122</v>
      </c>
      <c r="B24" s="42">
        <v>4.0999999999999996</v>
      </c>
      <c r="C24" s="36"/>
      <c r="D24" s="180" t="s">
        <v>212</v>
      </c>
      <c r="E24">
        <v>23</v>
      </c>
      <c r="F24">
        <v>3.24</v>
      </c>
      <c r="G24">
        <v>23</v>
      </c>
      <c r="H24" s="181" t="s">
        <v>212</v>
      </c>
    </row>
    <row r="25" spans="1:12" x14ac:dyDescent="0.15">
      <c r="A25" s="34" t="s">
        <v>70</v>
      </c>
      <c r="B25" s="42">
        <v>4.2</v>
      </c>
      <c r="C25" s="36"/>
      <c r="D25" s="180" t="s">
        <v>213</v>
      </c>
      <c r="E25">
        <v>24</v>
      </c>
      <c r="F25">
        <v>3.24</v>
      </c>
      <c r="G25">
        <v>24</v>
      </c>
      <c r="H25" s="181" t="s">
        <v>213</v>
      </c>
    </row>
    <row r="26" spans="1:12" x14ac:dyDescent="0.15">
      <c r="A26" s="34" t="s">
        <v>123</v>
      </c>
      <c r="B26" s="42">
        <v>4.3</v>
      </c>
      <c r="C26" s="36"/>
      <c r="D26" s="180" t="s">
        <v>214</v>
      </c>
      <c r="E26">
        <v>25</v>
      </c>
      <c r="F26">
        <v>3.24</v>
      </c>
      <c r="G26">
        <v>25</v>
      </c>
      <c r="H26" s="181" t="s">
        <v>214</v>
      </c>
    </row>
    <row r="27" spans="1:12" x14ac:dyDescent="0.15">
      <c r="A27" s="34" t="s">
        <v>125</v>
      </c>
      <c r="B27" s="42">
        <v>6.1</v>
      </c>
      <c r="D27" s="180" t="s">
        <v>215</v>
      </c>
      <c r="E27">
        <v>26</v>
      </c>
      <c r="F27">
        <v>3.24</v>
      </c>
      <c r="G27">
        <v>26</v>
      </c>
      <c r="H27" s="181" t="s">
        <v>215</v>
      </c>
    </row>
    <row r="28" spans="1:12" x14ac:dyDescent="0.15">
      <c r="A28" s="34" t="s">
        <v>124</v>
      </c>
      <c r="B28" s="42">
        <v>6.2</v>
      </c>
      <c r="D28" s="180" t="s">
        <v>216</v>
      </c>
      <c r="E28">
        <v>27</v>
      </c>
      <c r="F28">
        <v>3.14</v>
      </c>
      <c r="G28">
        <v>27</v>
      </c>
      <c r="H28" s="181" t="s">
        <v>216</v>
      </c>
    </row>
    <row r="29" spans="1:12" x14ac:dyDescent="0.15">
      <c r="A29" s="34" t="s">
        <v>44</v>
      </c>
      <c r="B29" s="42">
        <v>5</v>
      </c>
      <c r="D29" s="180" t="s">
        <v>217</v>
      </c>
      <c r="E29">
        <v>28</v>
      </c>
      <c r="F29">
        <v>4.0999999999999996</v>
      </c>
      <c r="G29">
        <v>28</v>
      </c>
      <c r="H29" s="181" t="s">
        <v>217</v>
      </c>
    </row>
    <row r="30" spans="1:12" x14ac:dyDescent="0.15">
      <c r="A30" s="34" t="s">
        <v>73</v>
      </c>
      <c r="B30" s="42">
        <v>7</v>
      </c>
      <c r="D30" s="180" t="s">
        <v>218</v>
      </c>
      <c r="E30">
        <v>29</v>
      </c>
      <c r="F30">
        <v>4.3</v>
      </c>
      <c r="G30">
        <v>29</v>
      </c>
      <c r="H30" s="181" t="s">
        <v>218</v>
      </c>
    </row>
    <row r="31" spans="1:12" x14ac:dyDescent="0.15">
      <c r="A31" s="34" t="s">
        <v>169</v>
      </c>
      <c r="B31" s="42">
        <v>3.14</v>
      </c>
      <c r="D31" s="180" t="s">
        <v>219</v>
      </c>
      <c r="E31">
        <v>30</v>
      </c>
      <c r="F31">
        <v>5</v>
      </c>
      <c r="G31">
        <v>30</v>
      </c>
      <c r="H31" s="181" t="s">
        <v>219</v>
      </c>
    </row>
    <row r="32" spans="1:12" ht="12" customHeight="1" thickBot="1" x14ac:dyDescent="0.2">
      <c r="A32" s="40" t="s">
        <v>170</v>
      </c>
      <c r="B32" s="43">
        <v>9</v>
      </c>
      <c r="D32" s="180" t="s">
        <v>138</v>
      </c>
      <c r="E32">
        <v>31</v>
      </c>
      <c r="F32">
        <v>6.1</v>
      </c>
      <c r="G32">
        <v>31</v>
      </c>
      <c r="H32" s="181" t="s">
        <v>138</v>
      </c>
    </row>
    <row r="33" spans="4:8" customFormat="1" ht="12" customHeight="1" x14ac:dyDescent="0.15">
      <c r="D33" s="180" t="s">
        <v>45</v>
      </c>
      <c r="E33">
        <v>32</v>
      </c>
      <c r="F33">
        <v>6.2</v>
      </c>
      <c r="G33">
        <v>32</v>
      </c>
      <c r="H33" s="181" t="s">
        <v>45</v>
      </c>
    </row>
    <row r="34" spans="4:8" customFormat="1" ht="12" customHeight="1" x14ac:dyDescent="0.15"/>
    <row r="35" spans="4:8" customFormat="1" x14ac:dyDescent="0.15"/>
    <row r="36" spans="4:8" customFormat="1" x14ac:dyDescent="0.15"/>
    <row r="37" spans="4:8" customFormat="1" ht="12" customHeight="1" x14ac:dyDescent="0.15"/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4.1640625" style="74" bestFit="1" customWidth="1"/>
    <col min="2" max="2" width="12.83203125" style="73" customWidth="1"/>
    <col min="3" max="3" width="14.1640625" style="73" customWidth="1"/>
    <col min="4" max="4" width="9.83203125" style="73" customWidth="1"/>
    <col min="5" max="5" width="12.83203125" style="73" customWidth="1"/>
    <col min="6" max="6" width="24" style="73" bestFit="1" customWidth="1"/>
    <col min="7" max="9" width="2.33203125" style="73" customWidth="1"/>
    <col min="10" max="10" width="2.33203125" style="73" bestFit="1" customWidth="1"/>
    <col min="11" max="15" width="2.33203125" style="73" customWidth="1"/>
    <col min="16" max="16" width="2.33203125" style="65" customWidth="1"/>
    <col min="17" max="17" width="2.33203125" style="73" customWidth="1"/>
    <col min="18" max="18" width="2.33203125" style="66" customWidth="1"/>
    <col min="19" max="16384" width="11.5" style="73"/>
  </cols>
  <sheetData>
    <row r="1" spans="1:23" ht="15" customHeight="1" thickBot="1" x14ac:dyDescent="0.2">
      <c r="F1" s="1"/>
      <c r="G1" s="64" t="s">
        <v>46</v>
      </c>
      <c r="H1" s="64" t="s">
        <v>47</v>
      </c>
      <c r="I1" s="64" t="s">
        <v>120</v>
      </c>
      <c r="J1" s="64" t="s">
        <v>132</v>
      </c>
      <c r="K1" s="75" t="s">
        <v>48</v>
      </c>
      <c r="L1" s="66"/>
      <c r="M1" s="75" t="s">
        <v>119</v>
      </c>
      <c r="N1" s="66"/>
      <c r="O1" s="75" t="s">
        <v>49</v>
      </c>
      <c r="P1" s="68"/>
      <c r="Q1" s="75" t="s">
        <v>50</v>
      </c>
      <c r="R1" s="64" t="s">
        <v>154</v>
      </c>
    </row>
    <row r="2" spans="1:23" ht="15" customHeight="1" x14ac:dyDescent="0.15">
      <c r="A2" s="75" t="s">
        <v>51</v>
      </c>
      <c r="B2" s="76">
        <v>0.5</v>
      </c>
      <c r="C2" s="74" t="s">
        <v>52</v>
      </c>
      <c r="D2" s="77"/>
      <c r="F2" s="1"/>
      <c r="G2" s="78"/>
      <c r="H2" s="78"/>
      <c r="I2" s="78" t="s">
        <v>133</v>
      </c>
      <c r="J2" s="78" t="s">
        <v>133</v>
      </c>
      <c r="K2" s="78" t="s">
        <v>52</v>
      </c>
      <c r="L2" s="78" t="s">
        <v>53</v>
      </c>
      <c r="M2" s="78" t="s">
        <v>52</v>
      </c>
      <c r="N2" s="78" t="s">
        <v>53</v>
      </c>
      <c r="O2" s="78" t="s">
        <v>52</v>
      </c>
      <c r="P2" s="79" t="s">
        <v>53</v>
      </c>
      <c r="Q2" s="78"/>
      <c r="R2" s="80" t="s">
        <v>155</v>
      </c>
    </row>
    <row r="3" spans="1:23" ht="15" customHeight="1" thickBot="1" x14ac:dyDescent="0.2">
      <c r="A3" s="75" t="s">
        <v>54</v>
      </c>
      <c r="B3" s="81">
        <v>0.5</v>
      </c>
      <c r="C3" s="74" t="s">
        <v>53</v>
      </c>
      <c r="D3" s="7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7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7">
        <v>0</v>
      </c>
      <c r="R4" s="101">
        <v>0</v>
      </c>
    </row>
    <row r="5" spans="1:23" ht="15" customHeight="1" x14ac:dyDescent="0.15">
      <c r="A5" s="75" t="s">
        <v>55</v>
      </c>
      <c r="B5" s="82">
        <v>0.5</v>
      </c>
      <c r="C5" s="74" t="s">
        <v>52</v>
      </c>
      <c r="D5" s="7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7">
        <v>0</v>
      </c>
      <c r="R5" s="101">
        <v>0</v>
      </c>
    </row>
    <row r="6" spans="1:23" ht="15" customHeight="1" thickBot="1" x14ac:dyDescent="0.2">
      <c r="A6" s="75"/>
      <c r="B6" s="83">
        <v>0.5</v>
      </c>
      <c r="C6" s="74" t="s">
        <v>53</v>
      </c>
      <c r="D6" s="77"/>
      <c r="F6" s="182" t="s">
        <v>193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>
        <v>0</v>
      </c>
      <c r="M6" s="73">
        <v>1</v>
      </c>
      <c r="N6" s="73">
        <v>0</v>
      </c>
      <c r="O6" s="73">
        <v>0</v>
      </c>
      <c r="P6" s="65">
        <v>0</v>
      </c>
      <c r="Q6" s="73">
        <v>0</v>
      </c>
      <c r="R6" s="66">
        <v>1</v>
      </c>
      <c r="S6"/>
      <c r="T6"/>
    </row>
    <row r="7" spans="1:23" ht="15" customHeight="1" thickBot="1" x14ac:dyDescent="0.2">
      <c r="F7" s="182" t="s">
        <v>194</v>
      </c>
      <c r="G7" s="73">
        <v>0</v>
      </c>
      <c r="H7" s="73">
        <v>0</v>
      </c>
      <c r="I7" s="73">
        <v>0</v>
      </c>
      <c r="J7" s="73">
        <v>0</v>
      </c>
      <c r="K7" s="73">
        <v>1</v>
      </c>
      <c r="L7" s="73">
        <v>0</v>
      </c>
      <c r="M7" s="73">
        <v>1</v>
      </c>
      <c r="N7" s="73">
        <v>0</v>
      </c>
      <c r="O7" s="73">
        <v>1</v>
      </c>
      <c r="P7" s="65">
        <v>0</v>
      </c>
      <c r="Q7" s="73">
        <v>0</v>
      </c>
      <c r="R7" s="66">
        <v>1</v>
      </c>
      <c r="S7"/>
      <c r="T7"/>
    </row>
    <row r="8" spans="1:23" ht="15" customHeight="1" x14ac:dyDescent="0.15">
      <c r="A8" s="75" t="s">
        <v>56</v>
      </c>
      <c r="B8" s="82">
        <v>0.69138294377119069</v>
      </c>
      <c r="C8" s="183" t="s">
        <v>193</v>
      </c>
      <c r="D8" s="77" t="s">
        <v>160</v>
      </c>
      <c r="F8" s="182" t="s">
        <v>195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1</v>
      </c>
      <c r="N8" s="73">
        <v>0</v>
      </c>
      <c r="O8" s="73">
        <v>0</v>
      </c>
      <c r="P8" s="65">
        <v>0</v>
      </c>
      <c r="Q8" s="73">
        <v>0</v>
      </c>
      <c r="R8" s="66">
        <v>1</v>
      </c>
      <c r="S8"/>
      <c r="T8"/>
      <c r="W8"/>
    </row>
    <row r="9" spans="1:23" ht="15" customHeight="1" x14ac:dyDescent="0.15">
      <c r="A9" s="115" t="s">
        <v>168</v>
      </c>
      <c r="B9" s="84">
        <v>0.10021586313534582</v>
      </c>
      <c r="C9" s="183" t="s">
        <v>195</v>
      </c>
      <c r="D9" s="77" t="s">
        <v>160</v>
      </c>
      <c r="F9" s="182" t="s">
        <v>196</v>
      </c>
      <c r="G9" s="73">
        <v>0</v>
      </c>
      <c r="H9" s="73">
        <v>0</v>
      </c>
      <c r="I9" s="73">
        <v>0</v>
      </c>
      <c r="J9" s="73">
        <v>0</v>
      </c>
      <c r="K9" s="73">
        <v>0</v>
      </c>
      <c r="L9" s="73">
        <v>0</v>
      </c>
      <c r="M9" s="73">
        <v>1</v>
      </c>
      <c r="N9" s="73">
        <v>0</v>
      </c>
      <c r="O9" s="73">
        <v>0</v>
      </c>
      <c r="P9" s="65">
        <v>0</v>
      </c>
      <c r="Q9" s="73">
        <v>0</v>
      </c>
      <c r="R9" s="66">
        <v>1</v>
      </c>
      <c r="S9"/>
      <c r="T9"/>
      <c r="W9"/>
    </row>
    <row r="10" spans="1:23" ht="15" customHeight="1" x14ac:dyDescent="0.15">
      <c r="B10" s="84">
        <v>0.2084011930934635</v>
      </c>
      <c r="C10" s="183" t="s">
        <v>196</v>
      </c>
      <c r="D10" s="77" t="s">
        <v>160</v>
      </c>
      <c r="F10" s="182" t="s">
        <v>197</v>
      </c>
      <c r="G10" s="73">
        <v>0</v>
      </c>
      <c r="H10" s="73">
        <v>0</v>
      </c>
      <c r="I10" s="73">
        <v>0</v>
      </c>
      <c r="J10" s="73">
        <v>0</v>
      </c>
      <c r="K10" s="73">
        <v>1</v>
      </c>
      <c r="L10" s="73">
        <v>0</v>
      </c>
      <c r="M10" s="73">
        <v>1</v>
      </c>
      <c r="N10" s="73">
        <v>0</v>
      </c>
      <c r="O10" s="73">
        <v>1</v>
      </c>
      <c r="P10" s="65">
        <v>0</v>
      </c>
      <c r="Q10" s="73">
        <v>0</v>
      </c>
      <c r="R10" s="66">
        <v>1</v>
      </c>
      <c r="S10"/>
      <c r="T10"/>
      <c r="W10"/>
    </row>
    <row r="11" spans="1:23" ht="15" customHeight="1" x14ac:dyDescent="0.15">
      <c r="A11" s="75"/>
      <c r="B11" s="84"/>
      <c r="C11" s="87"/>
      <c r="D11" s="77" t="s">
        <v>160</v>
      </c>
      <c r="F11" s="182" t="s">
        <v>198</v>
      </c>
      <c r="G11" s="73">
        <v>0</v>
      </c>
      <c r="H11" s="73">
        <v>0</v>
      </c>
      <c r="I11" s="73">
        <v>0</v>
      </c>
      <c r="J11" s="73">
        <v>0</v>
      </c>
      <c r="K11" s="73">
        <v>1</v>
      </c>
      <c r="L11" s="73">
        <v>0</v>
      </c>
      <c r="M11" s="73">
        <v>1</v>
      </c>
      <c r="N11" s="73">
        <v>0</v>
      </c>
      <c r="O11" s="73">
        <v>1</v>
      </c>
      <c r="P11" s="65">
        <v>0</v>
      </c>
      <c r="Q11" s="73">
        <v>0</v>
      </c>
      <c r="R11" s="66">
        <v>1</v>
      </c>
      <c r="S11"/>
      <c r="T11"/>
      <c r="W11"/>
    </row>
    <row r="12" spans="1:23" ht="15" customHeight="1" x14ac:dyDescent="0.15">
      <c r="B12" s="84"/>
      <c r="C12" s="88"/>
      <c r="D12" s="77" t="s">
        <v>160</v>
      </c>
      <c r="F12" s="182" t="s">
        <v>199</v>
      </c>
      <c r="G12" s="73">
        <v>0</v>
      </c>
      <c r="H12" s="73">
        <v>0</v>
      </c>
      <c r="I12" s="73">
        <v>0</v>
      </c>
      <c r="J12" s="73">
        <v>0</v>
      </c>
      <c r="K12" s="73">
        <v>1</v>
      </c>
      <c r="L12" s="73">
        <v>0</v>
      </c>
      <c r="M12" s="73">
        <v>1</v>
      </c>
      <c r="N12" s="73">
        <v>0</v>
      </c>
      <c r="O12" s="73">
        <v>1</v>
      </c>
      <c r="P12" s="65">
        <v>0</v>
      </c>
      <c r="Q12" s="73">
        <v>0</v>
      </c>
      <c r="R12" s="66">
        <v>1</v>
      </c>
      <c r="S12"/>
      <c r="T12"/>
      <c r="W12"/>
    </row>
    <row r="13" spans="1:23" ht="15" customHeight="1" x14ac:dyDescent="0.15">
      <c r="B13" s="84"/>
      <c r="C13" s="88"/>
      <c r="D13" s="77" t="s">
        <v>160</v>
      </c>
      <c r="F13" s="182" t="s">
        <v>200</v>
      </c>
      <c r="G13" s="73">
        <v>0</v>
      </c>
      <c r="H13" s="73">
        <v>0</v>
      </c>
      <c r="I13" s="73">
        <v>0</v>
      </c>
      <c r="J13" s="73">
        <v>0</v>
      </c>
      <c r="K13" s="73">
        <v>1</v>
      </c>
      <c r="L13" s="73">
        <v>0</v>
      </c>
      <c r="M13" s="73">
        <v>1</v>
      </c>
      <c r="N13" s="73">
        <v>0</v>
      </c>
      <c r="O13" s="73">
        <v>1</v>
      </c>
      <c r="P13" s="65">
        <v>0</v>
      </c>
      <c r="Q13" s="73">
        <v>0</v>
      </c>
      <c r="R13" s="66">
        <v>1</v>
      </c>
      <c r="S13"/>
      <c r="T13"/>
      <c r="W13"/>
    </row>
    <row r="14" spans="1:23" ht="15" customHeight="1" x14ac:dyDescent="0.15">
      <c r="B14" s="84"/>
      <c r="C14" s="72"/>
      <c r="D14" s="77" t="s">
        <v>160</v>
      </c>
      <c r="F14" s="182" t="s">
        <v>201</v>
      </c>
      <c r="G14" s="73">
        <v>0</v>
      </c>
      <c r="H14" s="73">
        <v>0</v>
      </c>
      <c r="I14" s="73">
        <v>0</v>
      </c>
      <c r="J14" s="73">
        <v>0</v>
      </c>
      <c r="K14" s="73">
        <v>1</v>
      </c>
      <c r="L14" s="73">
        <v>0</v>
      </c>
      <c r="M14" s="73">
        <v>1</v>
      </c>
      <c r="N14" s="73">
        <v>0</v>
      </c>
      <c r="O14" s="73">
        <v>1</v>
      </c>
      <c r="P14" s="65">
        <v>0</v>
      </c>
      <c r="Q14" s="73">
        <v>0</v>
      </c>
      <c r="R14" s="66">
        <v>1</v>
      </c>
      <c r="S14"/>
      <c r="T14"/>
      <c r="W14"/>
    </row>
    <row r="15" spans="1:23" ht="15" customHeight="1" x14ac:dyDescent="0.15">
      <c r="B15" s="84"/>
      <c r="C15" s="72"/>
      <c r="D15" s="77" t="s">
        <v>160</v>
      </c>
      <c r="F15" s="182" t="s">
        <v>202</v>
      </c>
      <c r="G15" s="73">
        <v>0</v>
      </c>
      <c r="H15" s="73">
        <v>0</v>
      </c>
      <c r="I15" s="73">
        <v>0</v>
      </c>
      <c r="J15" s="73">
        <v>0</v>
      </c>
      <c r="K15" s="73">
        <v>1</v>
      </c>
      <c r="L15" s="73">
        <v>0</v>
      </c>
      <c r="M15" s="73">
        <v>1</v>
      </c>
      <c r="N15" s="73">
        <v>0</v>
      </c>
      <c r="O15" s="73">
        <v>1</v>
      </c>
      <c r="P15" s="65">
        <v>0</v>
      </c>
      <c r="Q15" s="73">
        <v>0</v>
      </c>
      <c r="R15" s="66">
        <v>1</v>
      </c>
      <c r="S15"/>
      <c r="T15"/>
      <c r="W15"/>
    </row>
    <row r="16" spans="1:23" ht="15" customHeight="1" x14ac:dyDescent="0.15">
      <c r="B16" s="84"/>
      <c r="C16" s="72"/>
      <c r="D16" s="77" t="s">
        <v>160</v>
      </c>
      <c r="F16" s="182" t="s">
        <v>203</v>
      </c>
      <c r="G16" s="73">
        <v>0</v>
      </c>
      <c r="H16" s="73">
        <v>0</v>
      </c>
      <c r="I16" s="73">
        <v>0</v>
      </c>
      <c r="J16" s="73">
        <v>0</v>
      </c>
      <c r="K16" s="73">
        <v>1</v>
      </c>
      <c r="L16" s="73">
        <v>0</v>
      </c>
      <c r="M16" s="73">
        <v>1</v>
      </c>
      <c r="N16" s="73">
        <v>0</v>
      </c>
      <c r="O16" s="73">
        <v>1</v>
      </c>
      <c r="P16" s="65">
        <v>0</v>
      </c>
      <c r="Q16" s="73">
        <v>0</v>
      </c>
      <c r="R16" s="66">
        <v>1</v>
      </c>
      <c r="S16"/>
      <c r="T16"/>
    </row>
    <row r="17" spans="1:20" ht="15" customHeight="1" thickBot="1" x14ac:dyDescent="0.2">
      <c r="B17" s="83"/>
      <c r="C17" s="72"/>
      <c r="D17" s="77" t="s">
        <v>160</v>
      </c>
      <c r="F17" s="182" t="s">
        <v>204</v>
      </c>
      <c r="G17" s="73">
        <v>0</v>
      </c>
      <c r="H17" s="73">
        <v>0</v>
      </c>
      <c r="I17" s="73">
        <v>0</v>
      </c>
      <c r="J17" s="73">
        <v>0</v>
      </c>
      <c r="K17" s="73">
        <v>1</v>
      </c>
      <c r="L17" s="73">
        <v>0</v>
      </c>
      <c r="M17" s="73">
        <v>1</v>
      </c>
      <c r="N17" s="73">
        <v>0</v>
      </c>
      <c r="O17" s="73">
        <v>1</v>
      </c>
      <c r="P17" s="65">
        <v>0</v>
      </c>
      <c r="Q17" s="73">
        <v>0</v>
      </c>
      <c r="R17" s="66">
        <v>1</v>
      </c>
      <c r="S17"/>
      <c r="T17"/>
    </row>
    <row r="18" spans="1:20" ht="15" customHeight="1" thickBot="1" x14ac:dyDescent="0.2">
      <c r="B18" s="85"/>
      <c r="F18" s="182" t="s">
        <v>205</v>
      </c>
      <c r="G18" s="73">
        <v>0</v>
      </c>
      <c r="H18" s="73">
        <v>0</v>
      </c>
      <c r="I18" s="73">
        <v>0</v>
      </c>
      <c r="J18" s="73">
        <v>0</v>
      </c>
      <c r="K18" s="73">
        <v>1</v>
      </c>
      <c r="L18" s="73">
        <v>0</v>
      </c>
      <c r="M18" s="73">
        <v>1</v>
      </c>
      <c r="N18" s="73">
        <v>0</v>
      </c>
      <c r="O18" s="73">
        <v>1</v>
      </c>
      <c r="P18" s="65">
        <v>0</v>
      </c>
      <c r="Q18" s="73">
        <v>0</v>
      </c>
      <c r="R18" s="66">
        <v>1</v>
      </c>
      <c r="S18"/>
      <c r="T18"/>
    </row>
    <row r="19" spans="1:20" ht="15" customHeight="1" x14ac:dyDescent="0.15">
      <c r="A19" s="75" t="s">
        <v>57</v>
      </c>
      <c r="B19" s="82">
        <v>0.69138294377119069</v>
      </c>
      <c r="C19" s="184" t="s">
        <v>193</v>
      </c>
      <c r="D19" s="77" t="s">
        <v>160</v>
      </c>
      <c r="F19" s="182" t="s">
        <v>206</v>
      </c>
      <c r="G19" s="73">
        <v>0</v>
      </c>
      <c r="H19" s="73">
        <v>0</v>
      </c>
      <c r="I19" s="73">
        <v>0</v>
      </c>
      <c r="J19" s="73">
        <v>0</v>
      </c>
      <c r="K19" s="73">
        <v>1</v>
      </c>
      <c r="L19" s="73">
        <v>0</v>
      </c>
      <c r="M19" s="73">
        <v>1</v>
      </c>
      <c r="N19" s="73">
        <v>0</v>
      </c>
      <c r="O19" s="73">
        <v>1</v>
      </c>
      <c r="P19" s="65">
        <v>0</v>
      </c>
      <c r="Q19" s="73">
        <v>0</v>
      </c>
      <c r="R19" s="66">
        <v>1</v>
      </c>
      <c r="S19"/>
      <c r="T19"/>
    </row>
    <row r="20" spans="1:20" ht="15" customHeight="1" x14ac:dyDescent="0.15">
      <c r="A20" s="115" t="s">
        <v>168</v>
      </c>
      <c r="B20" s="84">
        <v>0.10021586313534582</v>
      </c>
      <c r="C20" s="184" t="s">
        <v>195</v>
      </c>
      <c r="D20" s="77" t="s">
        <v>160</v>
      </c>
      <c r="F20" s="182" t="s">
        <v>207</v>
      </c>
      <c r="G20" s="73">
        <v>0</v>
      </c>
      <c r="H20" s="73">
        <v>0</v>
      </c>
      <c r="I20" s="73">
        <v>0</v>
      </c>
      <c r="J20" s="73">
        <v>0</v>
      </c>
      <c r="K20" s="73">
        <v>1</v>
      </c>
      <c r="L20" s="73">
        <v>0</v>
      </c>
      <c r="M20" s="73">
        <v>1</v>
      </c>
      <c r="N20" s="73">
        <v>0</v>
      </c>
      <c r="O20" s="73">
        <v>1</v>
      </c>
      <c r="P20" s="65">
        <v>0</v>
      </c>
      <c r="Q20" s="73">
        <v>0</v>
      </c>
      <c r="R20" s="66">
        <v>1</v>
      </c>
      <c r="S20"/>
      <c r="T20"/>
    </row>
    <row r="21" spans="1:20" ht="15" customHeight="1" x14ac:dyDescent="0.15">
      <c r="B21" s="84">
        <v>0.2084011930934635</v>
      </c>
      <c r="C21" s="184" t="s">
        <v>196</v>
      </c>
      <c r="D21" s="77" t="s">
        <v>160</v>
      </c>
      <c r="F21" s="182" t="s">
        <v>208</v>
      </c>
      <c r="G21" s="73">
        <v>0</v>
      </c>
      <c r="H21" s="73">
        <v>0</v>
      </c>
      <c r="I21" s="73">
        <v>0</v>
      </c>
      <c r="J21" s="73">
        <v>0</v>
      </c>
      <c r="K21" s="73">
        <v>1</v>
      </c>
      <c r="L21" s="73">
        <v>0</v>
      </c>
      <c r="M21" s="73">
        <v>1</v>
      </c>
      <c r="N21" s="73">
        <v>0</v>
      </c>
      <c r="O21" s="73">
        <v>1</v>
      </c>
      <c r="P21" s="65">
        <v>0</v>
      </c>
      <c r="Q21" s="73">
        <v>0</v>
      </c>
      <c r="R21" s="66">
        <v>1</v>
      </c>
      <c r="S21"/>
      <c r="T21"/>
    </row>
    <row r="22" spans="1:20" ht="15" customHeight="1" x14ac:dyDescent="0.15">
      <c r="A22" s="73"/>
      <c r="B22" s="84"/>
      <c r="C22" s="87"/>
      <c r="D22" s="77" t="s">
        <v>160</v>
      </c>
      <c r="F22" s="182" t="s">
        <v>209</v>
      </c>
      <c r="G22" s="73">
        <v>0</v>
      </c>
      <c r="H22" s="73">
        <v>0</v>
      </c>
      <c r="I22" s="73">
        <v>0</v>
      </c>
      <c r="J22" s="73">
        <v>0</v>
      </c>
      <c r="K22" s="73">
        <v>1</v>
      </c>
      <c r="L22" s="73">
        <v>0</v>
      </c>
      <c r="M22" s="73">
        <v>1</v>
      </c>
      <c r="N22" s="73">
        <v>0</v>
      </c>
      <c r="O22" s="73">
        <v>1</v>
      </c>
      <c r="P22" s="65">
        <v>0</v>
      </c>
      <c r="Q22" s="73">
        <v>0</v>
      </c>
      <c r="R22" s="66">
        <v>1</v>
      </c>
      <c r="S22"/>
      <c r="T22"/>
    </row>
    <row r="23" spans="1:20" ht="15" customHeight="1" x14ac:dyDescent="0.15">
      <c r="A23" s="73"/>
      <c r="B23" s="84"/>
      <c r="C23" s="88"/>
      <c r="D23" s="77" t="s">
        <v>160</v>
      </c>
      <c r="F23" s="182" t="s">
        <v>210</v>
      </c>
      <c r="G23" s="73">
        <v>0</v>
      </c>
      <c r="H23" s="73">
        <v>0</v>
      </c>
      <c r="I23" s="73">
        <v>0</v>
      </c>
      <c r="J23" s="73">
        <v>0</v>
      </c>
      <c r="K23" s="73">
        <v>1</v>
      </c>
      <c r="L23" s="73">
        <v>0</v>
      </c>
      <c r="M23" s="73">
        <v>1</v>
      </c>
      <c r="N23" s="73">
        <v>0</v>
      </c>
      <c r="O23" s="73">
        <v>1</v>
      </c>
      <c r="P23" s="65">
        <v>0</v>
      </c>
      <c r="Q23" s="73">
        <v>0</v>
      </c>
      <c r="R23" s="66">
        <v>1</v>
      </c>
      <c r="S23"/>
      <c r="T23"/>
    </row>
    <row r="24" spans="1:20" ht="15" customHeight="1" x14ac:dyDescent="0.15">
      <c r="A24" s="73"/>
      <c r="B24" s="84"/>
      <c r="C24" s="88"/>
      <c r="D24" s="77" t="s">
        <v>160</v>
      </c>
      <c r="F24" s="182" t="s">
        <v>211</v>
      </c>
      <c r="G24" s="73">
        <v>0</v>
      </c>
      <c r="H24" s="73">
        <v>0</v>
      </c>
      <c r="I24" s="73">
        <v>0</v>
      </c>
      <c r="J24" s="73">
        <v>0</v>
      </c>
      <c r="K24" s="73">
        <v>1</v>
      </c>
      <c r="L24" s="73">
        <v>0</v>
      </c>
      <c r="M24" s="73">
        <v>1</v>
      </c>
      <c r="N24" s="73">
        <v>0</v>
      </c>
      <c r="O24" s="73">
        <v>1</v>
      </c>
      <c r="P24" s="65">
        <v>0</v>
      </c>
      <c r="Q24" s="73">
        <v>0</v>
      </c>
      <c r="R24" s="66">
        <v>1</v>
      </c>
      <c r="S24"/>
      <c r="T24"/>
    </row>
    <row r="25" spans="1:20" ht="15" customHeight="1" x14ac:dyDescent="0.15">
      <c r="A25" s="73"/>
      <c r="B25" s="84"/>
      <c r="C25" s="72"/>
      <c r="D25" s="77" t="s">
        <v>160</v>
      </c>
      <c r="F25" s="182" t="s">
        <v>212</v>
      </c>
      <c r="G25" s="73">
        <v>0</v>
      </c>
      <c r="H25" s="73">
        <v>0</v>
      </c>
      <c r="I25" s="73">
        <v>0</v>
      </c>
      <c r="J25" s="73">
        <v>0</v>
      </c>
      <c r="K25" s="73">
        <v>1</v>
      </c>
      <c r="L25" s="73">
        <v>0</v>
      </c>
      <c r="M25" s="73">
        <v>1</v>
      </c>
      <c r="N25" s="73">
        <v>0</v>
      </c>
      <c r="O25" s="73">
        <v>1</v>
      </c>
      <c r="P25" s="65">
        <v>0</v>
      </c>
      <c r="Q25" s="73">
        <v>0</v>
      </c>
      <c r="R25" s="66">
        <v>1</v>
      </c>
      <c r="S25"/>
      <c r="T25"/>
    </row>
    <row r="26" spans="1:20" ht="15" customHeight="1" x14ac:dyDescent="0.15">
      <c r="B26" s="84"/>
      <c r="C26" s="72"/>
      <c r="D26" s="77" t="s">
        <v>160</v>
      </c>
      <c r="F26" s="182" t="s">
        <v>213</v>
      </c>
      <c r="G26" s="73">
        <v>0</v>
      </c>
      <c r="H26" s="73">
        <v>0</v>
      </c>
      <c r="I26" s="73">
        <v>0</v>
      </c>
      <c r="J26" s="73">
        <v>0</v>
      </c>
      <c r="K26" s="73">
        <v>1</v>
      </c>
      <c r="L26" s="73">
        <v>0</v>
      </c>
      <c r="M26" s="73">
        <v>1</v>
      </c>
      <c r="N26" s="73">
        <v>0</v>
      </c>
      <c r="O26" s="73">
        <v>1</v>
      </c>
      <c r="P26" s="65">
        <v>0</v>
      </c>
      <c r="Q26" s="73">
        <v>0</v>
      </c>
      <c r="R26" s="66">
        <v>1</v>
      </c>
      <c r="S26"/>
      <c r="T26"/>
    </row>
    <row r="27" spans="1:20" ht="15" customHeight="1" x14ac:dyDescent="0.15">
      <c r="B27" s="84"/>
      <c r="C27" s="72"/>
      <c r="D27" s="77" t="s">
        <v>160</v>
      </c>
      <c r="F27" s="182" t="s">
        <v>214</v>
      </c>
      <c r="G27" s="73">
        <v>0</v>
      </c>
      <c r="H27" s="73">
        <v>0</v>
      </c>
      <c r="I27" s="73">
        <v>0</v>
      </c>
      <c r="J27" s="73">
        <v>0</v>
      </c>
      <c r="K27" s="73">
        <v>1</v>
      </c>
      <c r="L27" s="73">
        <v>0</v>
      </c>
      <c r="M27" s="73">
        <v>1</v>
      </c>
      <c r="N27" s="73">
        <v>0</v>
      </c>
      <c r="O27" s="73">
        <v>1</v>
      </c>
      <c r="P27" s="65">
        <v>0</v>
      </c>
      <c r="Q27" s="73">
        <v>0</v>
      </c>
      <c r="R27" s="66">
        <v>1</v>
      </c>
      <c r="S27"/>
      <c r="T27"/>
    </row>
    <row r="28" spans="1:20" ht="15" customHeight="1" thickBot="1" x14ac:dyDescent="0.2">
      <c r="B28" s="83"/>
      <c r="C28" s="72"/>
      <c r="D28" s="77" t="s">
        <v>160</v>
      </c>
      <c r="F28" s="182" t="s">
        <v>215</v>
      </c>
      <c r="G28" s="73">
        <v>0</v>
      </c>
      <c r="H28" s="73">
        <v>0</v>
      </c>
      <c r="I28" s="73">
        <v>0</v>
      </c>
      <c r="J28" s="73">
        <v>0</v>
      </c>
      <c r="K28" s="73">
        <v>1</v>
      </c>
      <c r="L28" s="73">
        <v>0</v>
      </c>
      <c r="M28" s="73">
        <v>1</v>
      </c>
      <c r="N28" s="73">
        <v>0</v>
      </c>
      <c r="O28" s="73">
        <v>1</v>
      </c>
      <c r="P28" s="65">
        <v>0</v>
      </c>
      <c r="Q28" s="73">
        <v>0</v>
      </c>
      <c r="R28" s="66">
        <v>1</v>
      </c>
      <c r="S28"/>
      <c r="T28"/>
    </row>
    <row r="29" spans="1:20" ht="15" customHeight="1" x14ac:dyDescent="0.15">
      <c r="F29" s="182" t="s">
        <v>216</v>
      </c>
      <c r="G29" s="73">
        <v>0</v>
      </c>
      <c r="H29" s="73">
        <v>0</v>
      </c>
      <c r="I29" s="73">
        <v>0</v>
      </c>
      <c r="J29" s="73">
        <v>0</v>
      </c>
      <c r="K29" s="73">
        <v>1</v>
      </c>
      <c r="L29" s="73">
        <v>0</v>
      </c>
      <c r="M29" s="73">
        <v>1</v>
      </c>
      <c r="N29" s="73">
        <v>0</v>
      </c>
      <c r="O29" s="73">
        <v>1</v>
      </c>
      <c r="P29" s="65">
        <v>0</v>
      </c>
      <c r="Q29" s="73">
        <v>0</v>
      </c>
      <c r="R29" s="66">
        <v>1</v>
      </c>
      <c r="S29"/>
      <c r="T29"/>
    </row>
    <row r="30" spans="1:20" ht="15" customHeight="1" x14ac:dyDescent="0.15">
      <c r="F30" s="182" t="s">
        <v>217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1</v>
      </c>
      <c r="M30" s="73">
        <v>0</v>
      </c>
      <c r="N30" s="73">
        <v>1</v>
      </c>
      <c r="O30" s="73">
        <v>0</v>
      </c>
      <c r="P30" s="65">
        <v>1</v>
      </c>
      <c r="Q30" s="73">
        <v>0</v>
      </c>
      <c r="R30" s="66">
        <v>1</v>
      </c>
      <c r="S30"/>
      <c r="T30"/>
    </row>
    <row r="31" spans="1:20" ht="15" customHeight="1" x14ac:dyDescent="0.15">
      <c r="A31" s="116"/>
      <c r="B31" s="125" t="s">
        <v>17</v>
      </c>
      <c r="C31" s="125" t="s">
        <v>1</v>
      </c>
      <c r="D31" s="125" t="s">
        <v>161</v>
      </c>
      <c r="E31" s="126" t="s">
        <v>163</v>
      </c>
      <c r="F31" s="182" t="s">
        <v>218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1</v>
      </c>
      <c r="M31" s="73">
        <v>0</v>
      </c>
      <c r="N31" s="73">
        <v>1</v>
      </c>
      <c r="O31" s="73">
        <v>0</v>
      </c>
      <c r="P31" s="65">
        <v>1</v>
      </c>
      <c r="Q31" s="73">
        <v>0</v>
      </c>
      <c r="R31" s="66">
        <v>1</v>
      </c>
      <c r="S31"/>
      <c r="T31"/>
    </row>
    <row r="32" spans="1:20" ht="15" customHeight="1" x14ac:dyDescent="0.15">
      <c r="A32" s="185" t="s">
        <v>193</v>
      </c>
      <c r="B32" s="85">
        <v>2.2200000000000002</v>
      </c>
      <c r="C32" s="85">
        <v>652.71</v>
      </c>
      <c r="D32" s="85">
        <v>1449.0162000000003</v>
      </c>
      <c r="E32" s="117">
        <v>0.69138294377119069</v>
      </c>
      <c r="F32" s="182" t="s">
        <v>219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1</v>
      </c>
      <c r="M32" s="73">
        <v>0</v>
      </c>
      <c r="N32" s="73">
        <v>0</v>
      </c>
      <c r="O32" s="73">
        <v>0</v>
      </c>
      <c r="P32" s="65">
        <v>0</v>
      </c>
      <c r="Q32" s="73">
        <v>0</v>
      </c>
      <c r="R32" s="66">
        <v>1</v>
      </c>
      <c r="S32"/>
      <c r="T32"/>
    </row>
    <row r="33" spans="1:20" ht="15" customHeight="1" x14ac:dyDescent="0.15">
      <c r="A33" s="185" t="s">
        <v>195</v>
      </c>
      <c r="B33" s="85">
        <v>1.37</v>
      </c>
      <c r="C33" s="85">
        <v>153.31</v>
      </c>
      <c r="D33" s="85">
        <v>210.03470000000002</v>
      </c>
      <c r="E33" s="117">
        <v>0.10021586313534582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85" t="s">
        <v>196</v>
      </c>
      <c r="B34" s="85">
        <v>2.0837364200000001</v>
      </c>
      <c r="C34" s="85">
        <v>209.61</v>
      </c>
      <c r="D34" s="85">
        <v>436.77199099620003</v>
      </c>
      <c r="E34" s="117">
        <v>0.2084011930934635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8"/>
      <c r="B35" s="85"/>
      <c r="C35" s="85"/>
      <c r="D35" s="85"/>
      <c r="E35" s="11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9"/>
      <c r="B36" s="85"/>
      <c r="C36" s="85"/>
      <c r="D36" s="85"/>
      <c r="E36" s="11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9"/>
      <c r="B37" s="85"/>
      <c r="C37" s="85"/>
      <c r="D37" s="85"/>
      <c r="E37" s="11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0"/>
      <c r="B38" s="85"/>
      <c r="C38" s="85"/>
      <c r="D38" s="85"/>
      <c r="E38" s="11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0"/>
      <c r="B39" s="85"/>
      <c r="C39" s="85"/>
      <c r="D39" s="85"/>
      <c r="E39" s="11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0"/>
      <c r="B40" s="85"/>
      <c r="C40" s="85"/>
      <c r="D40" s="85"/>
      <c r="E40" s="11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0"/>
      <c r="B41" s="85"/>
      <c r="C41" s="85"/>
      <c r="D41" s="86"/>
      <c r="E41" s="12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2"/>
      <c r="B42" s="123"/>
      <c r="C42" s="123" t="s">
        <v>162</v>
      </c>
      <c r="D42" s="123">
        <f>SUM(D32:D41)</f>
        <v>2095.8228909962004</v>
      </c>
      <c r="E42" s="12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4" bestFit="1" customWidth="1"/>
    <col min="2" max="2" width="2.33203125" style="101" customWidth="1"/>
    <col min="3" max="5" width="7.83203125" style="101" customWidth="1"/>
    <col min="6" max="8" width="8.83203125" style="6"/>
    <col min="9" max="9" width="14.1640625" style="6" customWidth="1"/>
    <col min="10" max="10" width="10.33203125" style="6" customWidth="1"/>
    <col min="11" max="11" width="9.5" style="6" customWidth="1"/>
    <col min="12" max="12" width="17.5" style="6" customWidth="1"/>
    <col min="13" max="13" width="12" style="6" customWidth="1"/>
    <col min="14" max="14" width="11.5" style="6" customWidth="1"/>
    <col min="15" max="15" width="7.83203125" style="6" customWidth="1"/>
    <col min="16" max="16" width="10.83203125" style="6" customWidth="1"/>
    <col min="17" max="17" width="9.6640625" style="6" customWidth="1"/>
    <col min="18" max="18" width="7.6640625" style="6" customWidth="1"/>
    <col min="19" max="19" width="8.5" style="6" customWidth="1"/>
    <col min="20" max="20" width="7.5" style="6" customWidth="1"/>
    <col min="21" max="21" width="7.33203125" style="6" customWidth="1"/>
    <col min="22" max="22" width="6" style="6" customWidth="1"/>
    <col min="23" max="23" width="24" style="6" customWidth="1"/>
    <col min="24" max="24" width="20" style="6" customWidth="1"/>
    <col min="25" max="25" width="8.1640625" style="6" customWidth="1"/>
    <col min="26" max="26" width="18.6640625" style="6" customWidth="1"/>
    <col min="27" max="27" width="13.1640625" style="6" customWidth="1"/>
    <col min="28" max="28" width="6.33203125" style="6" customWidth="1"/>
    <col min="29" max="29" width="5.83203125" style="6" customWidth="1"/>
    <col min="30" max="30" width="7.6640625" style="6" customWidth="1"/>
    <col min="31" max="31" width="6.5" style="6" customWidth="1"/>
    <col min="32" max="32" width="4.6640625" style="6" customWidth="1"/>
    <col min="33" max="33" width="7.6640625" style="6" customWidth="1"/>
    <col min="34" max="34" width="21.6640625" style="6" customWidth="1"/>
    <col min="35" max="35" width="6.5" style="6" customWidth="1"/>
    <col min="36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7" t="s">
        <v>193</v>
      </c>
      <c r="J1" s="187" t="s">
        <v>194</v>
      </c>
      <c r="K1" s="187" t="s">
        <v>195</v>
      </c>
      <c r="L1" s="187" t="s">
        <v>196</v>
      </c>
      <c r="M1" s="187" t="s">
        <v>197</v>
      </c>
      <c r="N1" s="187" t="s">
        <v>198</v>
      </c>
      <c r="O1" s="187" t="s">
        <v>199</v>
      </c>
      <c r="P1" s="187" t="s">
        <v>200</v>
      </c>
      <c r="Q1" s="187" t="s">
        <v>201</v>
      </c>
      <c r="R1" s="187" t="s">
        <v>202</v>
      </c>
      <c r="S1" s="187" t="s">
        <v>203</v>
      </c>
      <c r="T1" s="187" t="s">
        <v>204</v>
      </c>
      <c r="U1" s="187" t="s">
        <v>205</v>
      </c>
      <c r="V1" s="187" t="s">
        <v>206</v>
      </c>
      <c r="W1" s="187" t="s">
        <v>207</v>
      </c>
      <c r="X1" s="187" t="s">
        <v>208</v>
      </c>
      <c r="Y1" s="187" t="s">
        <v>209</v>
      </c>
      <c r="Z1" s="187" t="s">
        <v>210</v>
      </c>
      <c r="AA1" s="187" t="s">
        <v>211</v>
      </c>
      <c r="AB1" s="187" t="s">
        <v>212</v>
      </c>
      <c r="AC1" s="187" t="s">
        <v>213</v>
      </c>
      <c r="AD1" s="187" t="s">
        <v>214</v>
      </c>
      <c r="AE1" s="187" t="s">
        <v>215</v>
      </c>
      <c r="AF1" s="187" t="s">
        <v>216</v>
      </c>
      <c r="AG1" s="187" t="s">
        <v>217</v>
      </c>
      <c r="AH1" s="187" t="s">
        <v>218</v>
      </c>
      <c r="AI1" s="187" t="s">
        <v>219</v>
      </c>
      <c r="AJ1"/>
      <c r="AK1"/>
      <c r="AL1"/>
    </row>
    <row r="2" spans="1:38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6" t="s">
        <v>193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6" t="s">
        <v>194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6" t="s">
        <v>195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6" t="s">
        <v>196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6" t="s">
        <v>197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6" t="s">
        <v>198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6" t="s">
        <v>199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6" t="s">
        <v>200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6" t="s">
        <v>201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6" t="s">
        <v>202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6" t="s">
        <v>203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6" t="s">
        <v>204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6" t="s">
        <v>205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6" t="s">
        <v>206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6" t="s">
        <v>207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6" t="s">
        <v>208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6" t="s">
        <v>209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6" t="s">
        <v>210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6" t="s">
        <v>211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6" t="s">
        <v>212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6" t="s">
        <v>213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6" t="s">
        <v>214</v>
      </c>
      <c r="B26" s="10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6" t="s">
        <v>215</v>
      </c>
      <c r="B27" s="10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6" t="s">
        <v>216</v>
      </c>
      <c r="B28" s="10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6" t="s">
        <v>217</v>
      </c>
      <c r="B29" s="10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6" t="s">
        <v>218</v>
      </c>
      <c r="B30" s="10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86" t="s">
        <v>219</v>
      </c>
      <c r="B31" s="10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2022-10-23T22:18:04Z</dcterms:modified>
</cp:coreProperties>
</file>