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OtherRegions/OtherRegions_ECOTRAN_K-path_versions/"/>
    </mc:Choice>
  </mc:AlternateContent>
  <xr:revisionPtr revIDLastSave="0" documentId="13_ncr:1_{C4FE169A-89E2-AC4E-9965-52F871126B56}" xr6:coauthVersionLast="45" xr6:coauthVersionMax="45" xr10:uidLastSave="{00000000-0000-0000-0000-000000000000}"/>
  <bookViews>
    <workbookView xWindow="0" yWindow="460" windowWidth="25600" windowHeight="14240" tabRatio="728" firstSheet="8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Main!$C$2:$N$35</definedName>
    <definedName name="matDetritus">Detritus!$C$2:$F$35</definedName>
    <definedName name="matDiet">Diets!$B$2:$AD$34</definedName>
    <definedName name="matDiscards">Discards!$C$2:$D$33</definedName>
    <definedName name="matFishery">Fishing!$C$2:$D$33</definedName>
    <definedName name="matFishing">Fishing!#REF!</definedName>
    <definedName name="matMort">Mortalities!$A$1:$AK$33</definedName>
    <definedName name="matOut">MainOutputs!$A$2:$I$35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4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5" i="1"/>
  <c r="G2" i="1"/>
  <c r="E42" i="86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<sst xmlns="http://schemas.openxmlformats.org/spreadsheetml/2006/main" count="988" uniqueCount="233">
  <si>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</si>
  <si>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</si>
  <si>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</si>
  <si>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</si>
  <si>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</si>
  <si>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</si>
  <si>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</si>
  <si>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</si>
  <si>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</si>
  <si>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</si>
  <si>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</si>
  <si>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</si>
  <si>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</si>
  <si>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</si>
  <si>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</si>
  <si>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</si>
  <si>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</si>
  <si>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</si>
  <si>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</si>
  <si>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</si>
  <si>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</si>
  <si>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</si>
  <si>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</si>
  <si>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</si>
  <si>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</si>
  <si>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</si>
  <si>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</si>
  <si>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</si>
  <si>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</si>
  <si>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</si>
  <si>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</si>
  <si>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</si>
  <si>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</si>
  <si>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</si>
  <si>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</si>
  <si>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</si>
  <si>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</si>
  <si>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</si>
  <si>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</si>
  <si>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</si>
  <si>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</si>
  <si>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</si>
  <si>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</si>
  <si>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</si>
  <si>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</si>
  <si>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</si>
  <si>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</si>
  <si>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</si>
  <si>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</si>
  <si>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</si>
  <si>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</si>
  <si>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</si>
  <si>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</si>
  <si>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</si>
  <si>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</si>
  <si>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</si>
  <si>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</si>
  <si>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</si>
  <si>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</si>
  <si>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</si>
  <si>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</si>
  <si>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</si>
  <si>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</si>
  <si>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</si>
  <si>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</si>
  <si>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</si>
  <si>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</si>
  <si>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</si>
  <si>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</si>
  <si>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</si>
  <si>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</si>
  <si>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</si>
  <si>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</si>
  <si>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</si>
  <si>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</si>
  <si>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</si>
  <si>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</si>
  <si>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</si>
  <si>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</si>
  <si>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</si>
  <si>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</si>
  <si>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</si>
  <si>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</si>
  <si>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</si>
  <si>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</si>
  <si>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</si>
  <si>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</si>
  <si>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</si>
  <si>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</si>
  <si>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</si>
  <si>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</si>
  <si>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</si>
  <si>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</si>
  <si>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</si>
  <si>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</si>
  <si>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</si>
  <si>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</si>
  <si>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</si>
  <si>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</si>
  <si>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</si>
  <si>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</si>
  <si>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</si>
  <si>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</si>
  <si>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</si>
  <si>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</si>
  <si>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</si>
  <si>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</si>
  <si>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</si>
  <si>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</si>
  <si>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</si>
  <si>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</si>
  <si>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</si>
  <si>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</si>
  <si>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</si>
  <si>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</si>
  <si>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</si>
  <si>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</si>
  <si>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</si>
  <si>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</si>
  <si>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</si>
  <si>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</si>
  <si>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</si>
  <si>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</si>
  <si>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</si>
  <si>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</si>
  <si>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</si>
  <si>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</si>
  <si>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</si>
  <si>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</si>
  <si>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</si>
  <si>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</si>
  <si>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</si>
  <si>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</si>
  <si>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</si>
  <si>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</si>
  <si>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</si>
  <si>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</si>
  <si>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</si>
  <si>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</si>
  <si>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</si>
  <si>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</si>
  <si>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</si>
  <si>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</si>
  <si>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</si>
  <si>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</si>
  <si>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</si>
  <si>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</si>
  <si>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</si>
  <si>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</si>
  <si>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</si>
  <si>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</si>
  <si>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</si>
  <si>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</si>
  <si>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</si>
  <si>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</si>
  <si>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</si>
  <si>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</si>
  <si>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</si>
  <si>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</si>
  <si>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</si>
  <si>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</si>
  <si>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</si>
  <si>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</si>
  <si>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</si>
  <si>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</si>
  <si>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</si>
  <si>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</si>
  <si>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</si>
  <si>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</si>
  <si>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</si>
  <si>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</si>
  <si>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</si>
  <si>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</si>
  <si>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</si>
  <si>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</si>
  <si>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</si>
  <si>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</si>
  <si>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</si>
  <si>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</si>
  <si>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</si>
  <si>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</si>
  <si>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</si>
  <si>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</si>
  <si>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</si>
  <si>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</si>
  <si>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Pagasitikos Gulf</t>
  </si>
  <si>
    <t>Greece</t>
  </si>
  <si>
    <t>BOX(22.78975 39.05783,23.2453 39.37261)</t>
  </si>
  <si>
    <t>bay/fjord</t>
  </si>
  <si>
    <t>WetWeight</t>
  </si>
  <si>
    <t>Pagasitikos Gulf, central Aegean Sea, Greece, eastern Mediterranean</t>
  </si>
  <si>
    <t xml:space="preserve">Dimarchopoulou D, Keramidas I, Tsagarakis K and Tsikliras AC (2019) Ecosystem Models and Effort Simulations of an Untrawled Gulf in the Central Aegean Sea. Front. Mar. Sci. 6:648. doi: 10.3389/fmars.2019.00648 </t>
  </si>
  <si>
    <t>//dx.doi.org/10.3389/fmars.2019.00648</t>
  </si>
  <si>
    <t>Phytoplankton</t>
  </si>
  <si>
    <t>Zooplankton</t>
  </si>
  <si>
    <t>Benthic small crustaceans</t>
  </si>
  <si>
    <t>Polychaetes</t>
  </si>
  <si>
    <t>Shrimps</t>
  </si>
  <si>
    <t>Crabs</t>
  </si>
  <si>
    <t>Norway lobster</t>
  </si>
  <si>
    <t>Benthic invertebrates</t>
  </si>
  <si>
    <t>Octopuses and cuttlefish</t>
  </si>
  <si>
    <t>Squids</t>
  </si>
  <si>
    <t>Red mullets</t>
  </si>
  <si>
    <t>Anglerfish</t>
  </si>
  <si>
    <t>Flatfishes</t>
  </si>
  <si>
    <t>Other gadiforms</t>
  </si>
  <si>
    <t>Hake</t>
  </si>
  <si>
    <t>Demersal fishes 1</t>
  </si>
  <si>
    <t>Demersal fishes 2</t>
  </si>
  <si>
    <t>Demersal fishes 3</t>
  </si>
  <si>
    <t>Picarels and bogue</t>
  </si>
  <si>
    <t>Sharks and rays</t>
  </si>
  <si>
    <t>Anchovy</t>
  </si>
  <si>
    <t>Sardine</t>
  </si>
  <si>
    <t>Horse mackerels</t>
  </si>
  <si>
    <t>Mackerels</t>
  </si>
  <si>
    <t>Other small pelagics</t>
  </si>
  <si>
    <t>Other larger pelagics</t>
  </si>
  <si>
    <t>Loggerhead turtle</t>
  </si>
  <si>
    <t>Seabirds</t>
  </si>
  <si>
    <t>Dolphins</t>
  </si>
  <si>
    <t>Discards</t>
  </si>
  <si>
    <t>Detritus</t>
  </si>
  <si>
    <t>detritus_TerminalBenthic</t>
  </si>
  <si>
    <t>Purse seiners</t>
  </si>
  <si>
    <t>Small scale</t>
  </si>
  <si>
    <t>Import</t>
  </si>
  <si>
    <t>export</t>
  </si>
  <si>
    <t>sum</t>
  </si>
  <si>
    <t>TOTAL</t>
  </si>
  <si>
    <t>F Purse seiners</t>
  </si>
  <si>
    <t>F Small 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</si>
</sst>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160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12FF00"/>
        <bgColor indexed="64"/>
      </patternFill>
    </fill>
    <fill>
      <patternFill patternType="solid">
        <fgColor rgb="FF18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1EFF00"/>
        <bgColor indexed="64"/>
      </patternFill>
    </fill>
    <fill>
      <patternFill patternType="solid">
        <fgColor rgb="FF2FFF00"/>
        <bgColor indexed="64"/>
      </patternFill>
    </fill>
    <fill>
      <patternFill patternType="solid">
        <fgColor rgb="FF1A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30FF00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21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56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58FF00"/>
        <bgColor indexed="64"/>
      </patternFill>
    </fill>
    <fill>
      <patternFill patternType="solid">
        <fgColor rgb="FF5DFF00"/>
        <bgColor indexed="64"/>
      </patternFill>
    </fill>
    <fill>
      <patternFill patternType="solid">
        <fgColor rgb="FF63FF00"/>
        <bgColor indexed="64"/>
      </patternFill>
    </fill>
    <fill>
      <patternFill patternType="solid">
        <fgColor rgb="FFBFFF00"/>
        <bgColor indexed="64"/>
      </patternFill>
    </fill>
    <fill>
      <patternFill patternType="solid">
        <fgColor rgb="FF42FF00"/>
        <bgColor indexed="64"/>
      </patternFill>
    </fill>
    <fill>
      <patternFill patternType="solid">
        <fgColor rgb="FF3DFF00"/>
        <bgColor indexed="64"/>
      </patternFill>
    </fill>
    <fill>
      <patternFill patternType="solid">
        <fgColor rgb="FF6EFF00"/>
        <bgColor indexed="64"/>
      </patternFill>
    </fill>
    <fill>
      <patternFill patternType="solid">
        <fgColor rgb="FFC1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6FF00"/>
        <bgColor indexed="64"/>
      </patternFill>
    </fill>
    <fill>
      <patternFill patternType="solid">
        <fgColor rgb="FF2BFF00"/>
        <bgColor indexed="64"/>
      </patternFill>
    </fill>
    <fill>
      <patternFill patternType="solid">
        <fgColor rgb="FF5B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87FF00"/>
        <bgColor indexed="64"/>
      </patternFill>
    </fill>
    <fill>
      <patternFill patternType="solid">
        <fgColor rgb="FF6FFF00"/>
        <bgColor indexed="64"/>
      </patternFill>
    </fill>
    <fill>
      <patternFill patternType="solid">
        <fgColor rgb="FF1BFF00"/>
        <bgColor indexed="64"/>
      </patternFill>
    </fill>
    <fill>
      <patternFill patternType="solid">
        <fgColor rgb="FF25FF00"/>
        <bgColor indexed="64"/>
      </patternFill>
    </fill>
    <fill>
      <patternFill patternType="solid">
        <fgColor rgb="FF5CFF00"/>
        <bgColor indexed="64"/>
      </patternFill>
    </fill>
    <fill>
      <patternFill patternType="solid">
        <fgColor rgb="FF36FF00"/>
        <bgColor indexed="64"/>
      </patternFill>
    </fill>
    <fill>
      <patternFill patternType="solid">
        <fgColor rgb="FFFF8100"/>
        <bgColor indexed="64"/>
      </patternFill>
    </fill>
    <fill>
      <patternFill patternType="solid">
        <fgColor rgb="FFFF7000"/>
        <bgColor indexed="64"/>
      </patternFill>
    </fill>
    <fill>
      <patternFill patternType="solid">
        <fgColor rgb="FF6C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3FF00"/>
        <bgColor indexed="64"/>
      </patternFill>
    </fill>
    <fill>
      <patternFill patternType="solid">
        <fgColor rgb="FF3C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44FF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45FF00"/>
        <bgColor indexed="64"/>
      </patternFill>
    </fill>
    <fill>
      <patternFill patternType="solid">
        <fgColor rgb="FF57FF00"/>
        <bgColor indexed="64"/>
      </patternFill>
    </fill>
    <fill>
      <patternFill patternType="solid">
        <fgColor rgb="FF59FF00"/>
        <bgColor indexed="64"/>
      </patternFill>
    </fill>
    <fill>
      <patternFill patternType="solid">
        <fgColor rgb="FF69FF00"/>
        <bgColor indexed="64"/>
      </patternFill>
    </fill>
    <fill>
      <patternFill patternType="solid">
        <fgColor rgb="FF89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34FF00"/>
        <bgColor indexed="64"/>
      </patternFill>
    </fill>
    <fill>
      <patternFill patternType="solid">
        <fgColor rgb="FF4BFF00"/>
        <bgColor indexed="64"/>
      </patternFill>
    </fill>
    <fill>
      <patternFill patternType="solid">
        <fgColor rgb="FFBCFF00"/>
        <bgColor indexed="64"/>
      </patternFill>
    </fill>
    <fill>
      <patternFill patternType="solid">
        <fgColor rgb="FF14FF00"/>
        <bgColor indexed="64"/>
      </patternFill>
    </fill>
    <fill>
      <patternFill patternType="solid">
        <fgColor rgb="FFB0FF00"/>
        <bgColor indexed="64"/>
      </patternFill>
    </fill>
    <fill>
      <patternFill patternType="solid">
        <fgColor rgb="FF93FF0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A7FF00"/>
        <bgColor indexed="64"/>
      </patternFill>
    </fill>
    <fill>
      <patternFill patternType="solid">
        <fgColor rgb="FFFFEF00"/>
        <bgColor indexed="64"/>
      </patternFill>
    </fill>
    <fill>
      <patternFill patternType="solid">
        <fgColor rgb="FF8CFF00"/>
        <bgColor indexed="64"/>
      </patternFill>
    </fill>
    <fill>
      <patternFill patternType="solid">
        <fgColor rgb="FFACFF00"/>
        <bgColor indexed="64"/>
      </patternFill>
    </fill>
    <fill>
      <patternFill patternType="solid">
        <fgColor rgb="FF73FF00"/>
        <bgColor indexed="64"/>
      </patternFill>
    </fill>
    <fill>
      <patternFill patternType="solid">
        <fgColor rgb="FF31FF00"/>
        <bgColor indexed="64"/>
      </patternFill>
    </fill>
    <fill>
      <patternFill patternType="solid">
        <fgColor rgb="FFA2FF00"/>
        <bgColor indexed="64"/>
      </patternFill>
    </fill>
    <fill>
      <patternFill patternType="solid">
        <fgColor rgb="FF3B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B8FF00"/>
        <bgColor indexed="64"/>
      </patternFill>
    </fill>
    <fill>
      <patternFill patternType="solid">
        <fgColor rgb="FF5EFF00"/>
        <bgColor indexed="64"/>
      </patternFill>
    </fill>
    <fill>
      <patternFill patternType="solid">
        <fgColor rgb="FFE2FF00"/>
        <bgColor indexed="64"/>
      </patternFill>
    </fill>
    <fill>
      <patternFill patternType="solid">
        <fgColor rgb="FFD4FF00"/>
        <bgColor indexed="64"/>
      </patternFill>
    </fill>
    <fill>
      <patternFill patternType="solid">
        <fgColor rgb="FFFFE3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B9FF00"/>
        <bgColor indexed="64"/>
      </patternFill>
    </fill>
    <fill>
      <patternFill patternType="solid">
        <fgColor rgb="FF88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6BFF00"/>
        <bgColor indexed="64"/>
      </patternFill>
    </fill>
    <fill>
      <patternFill patternType="solid">
        <fgColor rgb="FFFFEB00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1DFF00"/>
        <bgColor indexed="64"/>
      </patternFill>
    </fill>
    <fill>
      <patternFill patternType="solid">
        <fgColor rgb="FFFFA700"/>
        <bgColor indexed="64"/>
      </patternFill>
    </fill>
    <fill>
      <patternFill patternType="solid">
        <fgColor rgb="FFCDFF00"/>
        <bgColor indexed="64"/>
      </patternFill>
    </fill>
    <fill>
      <patternFill patternType="solid">
        <fgColor rgb="FF72FF00"/>
        <bgColor indexed="64"/>
      </patternFill>
    </fill>
    <fill>
      <patternFill patternType="solid">
        <fgColor rgb="FF3EFF00"/>
        <bgColor indexed="64"/>
      </patternFill>
    </fill>
    <fill>
      <patternFill patternType="solid">
        <fgColor rgb="FF55FF00"/>
        <bgColor indexed="64"/>
      </patternFill>
    </fill>
    <fill>
      <patternFill patternType="solid">
        <fgColor rgb="FF75FF00"/>
        <bgColor indexed="64"/>
      </patternFill>
    </fill>
    <fill>
      <patternFill patternType="solid">
        <fgColor rgb="FFBDFF00"/>
        <bgColor indexed="64"/>
      </patternFill>
    </fill>
    <fill>
      <patternFill patternType="solid">
        <fgColor rgb="FFFFEC00"/>
        <bgColor indexed="64"/>
      </patternFill>
    </fill>
    <fill>
      <patternFill patternType="solid">
        <fgColor rgb="FFFF82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2F9515"/>
        <bgColor indexed="64"/>
      </patternFill>
    </fill>
    <fill>
      <patternFill patternType="solid">
        <fgColor rgb="FF75E743"/>
        <bgColor indexed="64"/>
      </patternFill>
    </fill>
    <fill>
      <patternFill patternType="solid">
        <fgColor rgb="FFC8614A"/>
        <bgColor indexed="64"/>
      </patternFill>
    </fill>
    <fill>
      <patternFill patternType="solid">
        <fgColor rgb="FFEA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6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10"/>
        <bgColor indexed="64"/>
      </patternFill>
    </fill>
    <fill>
      <patternFill patternType="solid">
        <fgColor rgb="FF645D7D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83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5" borderId="2" xfId="0" applyFont="1" applyFill="1" applyBorder="1" applyAlignment="1">
      <alignment horizontal="center"/>
    </xf>
    <xf numFmtId="0" fontId="1" fillId="25" borderId="4" xfId="0" applyFont="1" applyFill="1" applyBorder="1" applyAlignment="1">
      <alignment horizontal="center"/>
    </xf>
    <xf numFmtId="0" fontId="1" fillId="25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5" borderId="5" xfId="0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9" xfId="0" applyFill="1" applyBorder="1"/>
    <xf numFmtId="0" fontId="0" fillId="25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" fillId="0" borderId="0" xfId="0" applyFont="1" applyAlignment="1">
      <alignment horizontal="center"/>
    </xf>
    <xf numFmtId="0" fontId="0" fillId="36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38" borderId="0" xfId="0" applyFill="1"/>
    <xf numFmtId="0" fontId="0" fillId="39" borderId="0" xfId="0" applyFill="1"/>
    <xf numFmtId="0" fontId="0" fillId="0" borderId="0" xfId="0" applyFont="1" applyFill="1" applyAlignment="1">
      <alignment horizontal="center"/>
    </xf>
    <xf numFmtId="0" fontId="0" fillId="40" borderId="0" xfId="0" applyFill="1"/>
    <xf numFmtId="0" fontId="0" fillId="41" borderId="0" xfId="0" applyFill="1"/>
    <xf numFmtId="0" fontId="0" fillId="42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37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37" borderId="3" xfId="0" applyNumberFormat="1" applyFont="1" applyFill="1" applyBorder="1"/>
    <xf numFmtId="0" fontId="0" fillId="37" borderId="2" xfId="0" applyFont="1" applyFill="1" applyBorder="1"/>
    <xf numFmtId="0" fontId="0" fillId="37" borderId="3" xfId="0" applyFont="1" applyFill="1" applyBorder="1"/>
    <xf numFmtId="0" fontId="0" fillId="37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0" borderId="0" xfId="0" applyBorder="1"/>
    <xf numFmtId="0" fontId="0" fillId="48" borderId="0" xfId="0" applyFill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30" borderId="0" xfId="0" applyFont="1" applyFill="1" applyAlignment="1">
      <alignment horizontal="center"/>
    </xf>
    <xf numFmtId="0" fontId="12" fillId="28" borderId="0" xfId="0" applyFont="1" applyFill="1" applyAlignment="1">
      <alignment horizontal="center"/>
    </xf>
    <xf numFmtId="0" fontId="12" fillId="29" borderId="0" xfId="0" applyFont="1" applyFill="1" applyAlignment="1">
      <alignment horizontal="center"/>
    </xf>
    <xf numFmtId="0" fontId="12" fillId="26" borderId="0" xfId="0" applyFont="1" applyFill="1" applyAlignment="1">
      <alignment horizontal="center"/>
    </xf>
    <xf numFmtId="0" fontId="12" fillId="27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5" borderId="2" xfId="0" applyFill="1" applyBorder="1" applyAlignment="1">
      <alignment horizontal="center"/>
    </xf>
    <xf numFmtId="0" fontId="0" fillId="25" borderId="4" xfId="0" applyFill="1" applyBorder="1" applyAlignment="1">
      <alignment horizontal="center"/>
    </xf>
    <xf numFmtId="0" fontId="0" fillId="25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54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8" fillId="55" borderId="0" xfId="0" applyFont="1" applyFill="1" applyAlignment="1">
      <alignment horizontal="center"/>
    </xf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0" fillId="107" borderId="0" xfId="0" applyFill="1"/>
    <xf numFmtId="0" fontId="0" fillId="108" borderId="0" xfId="0" applyFill="1"/>
    <xf numFmtId="0" fontId="0" fillId="109" borderId="0" xfId="0" applyFill="1"/>
    <xf numFmtId="0" fontId="0" fillId="110" borderId="0" xfId="0" applyFill="1"/>
    <xf numFmtId="0" fontId="0" fillId="111" borderId="0" xfId="0" applyFill="1"/>
    <xf numFmtId="0" fontId="0" fillId="11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80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62" t="s">
        <v>164</v>
      </c>
    </row>
    <row r="6" spans="2:4" ht="14" thickBot="1" x14ac:dyDescent="0.2">
      <c r="B6" s="46" t="s">
        <v>141</v>
      </c>
    </row>
    <row r="7" spans="2:4" x14ac:dyDescent="0.15">
      <c r="B7" s="62" t="s">
        <v>143</v>
      </c>
    </row>
    <row r="8" spans="2:4" x14ac:dyDescent="0.15">
      <c r="B8" s="62" t="s">
        <v>142</v>
      </c>
    </row>
    <row r="9" spans="2:4" x14ac:dyDescent="0.15">
      <c r="B9" s="62" t="s">
        <v>144</v>
      </c>
    </row>
    <row r="10" spans="2:4" x14ac:dyDescent="0.15">
      <c r="B10" s="62" t="s">
        <v>147</v>
      </c>
    </row>
    <row r="11" spans="2:4" x14ac:dyDescent="0.15">
      <c r="B11" s="62" t="s">
        <v>151</v>
      </c>
    </row>
    <row r="12" spans="2:4" x14ac:dyDescent="0.15">
      <c r="B12" s="62" t="s">
        <v>153</v>
      </c>
    </row>
    <row r="13" spans="2:4" x14ac:dyDescent="0.15">
      <c r="B13" s="62" t="s">
        <v>165</v>
      </c>
    </row>
    <row r="15" spans="2:4" ht="14" thickBot="1" x14ac:dyDescent="0.2"/>
    <row r="16" spans="2:4" ht="14" thickBot="1" x14ac:dyDescent="0.2">
      <c r="B16" s="47" t="s">
        <v>137</v>
      </c>
      <c r="C16" s="48"/>
      <c r="D16" s="30">
        <v>41373</v>
      </c>
    </row>
    <row r="17" spans="2:4" x14ac:dyDescent="0.15">
      <c r="B17" s="49" t="s">
        <v>58</v>
      </c>
      <c r="C17" s="33">
        <v>0</v>
      </c>
    </row>
    <row r="18" spans="2:4" x14ac:dyDescent="0.15">
      <c r="B18" s="49" t="s">
        <v>59</v>
      </c>
      <c r="C18" s="33">
        <v>1</v>
      </c>
    </row>
    <row r="19" spans="2:4" x14ac:dyDescent="0.15">
      <c r="B19" s="49" t="s">
        <v>60</v>
      </c>
      <c r="C19" s="33">
        <v>2</v>
      </c>
    </row>
    <row r="20" spans="2:4" ht="14" thickBot="1" x14ac:dyDescent="0.2">
      <c r="B20" s="50" t="s">
        <v>44</v>
      </c>
      <c r="C20" s="34">
        <v>3</v>
      </c>
    </row>
    <row r="21" spans="2:4" x14ac:dyDescent="0.15">
      <c r="B21" s="51" t="s">
        <v>140</v>
      </c>
    </row>
    <row r="22" spans="2:4" ht="14" thickBot="1" x14ac:dyDescent="0.2"/>
    <row r="23" spans="2:4" ht="14" thickBot="1" x14ac:dyDescent="0.2">
      <c r="B23" s="47" t="s">
        <v>65</v>
      </c>
      <c r="C23" s="48"/>
      <c r="D23" s="30" t="s">
        <v>148</v>
      </c>
    </row>
    <row r="24" spans="2:4" x14ac:dyDescent="0.15">
      <c r="B24" s="53" t="s">
        <v>38</v>
      </c>
      <c r="C24" s="31">
        <v>1</v>
      </c>
    </row>
    <row r="25" spans="2:4" x14ac:dyDescent="0.15">
      <c r="B25" s="49" t="s">
        <v>40</v>
      </c>
      <c r="C25" s="33">
        <v>1.1000000000000001</v>
      </c>
    </row>
    <row r="26" spans="2:4" x14ac:dyDescent="0.15">
      <c r="B26" s="49" t="s">
        <v>41</v>
      </c>
      <c r="C26" s="33">
        <v>1.2</v>
      </c>
    </row>
    <row r="27" spans="2:4" x14ac:dyDescent="0.15">
      <c r="B27" s="49"/>
      <c r="C27" s="33"/>
    </row>
    <row r="28" spans="2:4" x14ac:dyDescent="0.15">
      <c r="B28" s="49" t="s">
        <v>42</v>
      </c>
      <c r="C28" s="33">
        <v>2.1</v>
      </c>
    </row>
    <row r="29" spans="2:4" x14ac:dyDescent="0.15">
      <c r="B29" s="49" t="s">
        <v>43</v>
      </c>
      <c r="C29" s="33">
        <v>2.2000000000000002</v>
      </c>
    </row>
    <row r="30" spans="2:4" x14ac:dyDescent="0.15">
      <c r="B30" s="49" t="s">
        <v>67</v>
      </c>
      <c r="C30" s="33">
        <v>2.2999999999999998</v>
      </c>
    </row>
    <row r="31" spans="2:4" x14ac:dyDescent="0.15">
      <c r="B31" s="49"/>
      <c r="C31" s="33"/>
    </row>
    <row r="32" spans="2:4" x14ac:dyDescent="0.15">
      <c r="B32" s="49" t="s">
        <v>62</v>
      </c>
      <c r="C32" s="33">
        <v>3.11</v>
      </c>
    </row>
    <row r="33" spans="2:3" x14ac:dyDescent="0.15">
      <c r="B33" s="49" t="s">
        <v>61</v>
      </c>
      <c r="C33" s="33">
        <v>3.12</v>
      </c>
    </row>
    <row r="34" spans="2:3" x14ac:dyDescent="0.15">
      <c r="B34" s="49" t="s">
        <v>68</v>
      </c>
      <c r="C34" s="33">
        <v>3.13</v>
      </c>
    </row>
    <row r="35" spans="2:3" x14ac:dyDescent="0.15">
      <c r="B35" s="49"/>
      <c r="C35" s="33"/>
    </row>
    <row r="36" spans="2:3" x14ac:dyDescent="0.15">
      <c r="B36" s="49" t="s">
        <v>66</v>
      </c>
      <c r="C36" s="33">
        <v>3.21</v>
      </c>
    </row>
    <row r="37" spans="2:3" x14ac:dyDescent="0.15">
      <c r="B37" s="49" t="s">
        <v>63</v>
      </c>
      <c r="C37" s="33">
        <v>3.22</v>
      </c>
    </row>
    <row r="38" spans="2:3" x14ac:dyDescent="0.15">
      <c r="B38" s="49" t="s">
        <v>69</v>
      </c>
      <c r="C38" s="33">
        <v>3.23</v>
      </c>
    </row>
    <row r="39" spans="2:3" x14ac:dyDescent="0.15">
      <c r="B39" s="49"/>
      <c r="C39" s="33"/>
    </row>
    <row r="40" spans="2:3" x14ac:dyDescent="0.15">
      <c r="B40" s="49" t="s">
        <v>64</v>
      </c>
      <c r="C40" s="33">
        <v>8</v>
      </c>
    </row>
    <row r="41" spans="2:3" x14ac:dyDescent="0.15">
      <c r="B41" s="49"/>
      <c r="C41" s="33"/>
    </row>
    <row r="42" spans="2:3" x14ac:dyDescent="0.15">
      <c r="B42" s="49" t="s">
        <v>71</v>
      </c>
      <c r="C42" s="33">
        <v>4.0999999999999996</v>
      </c>
    </row>
    <row r="43" spans="2:3" x14ac:dyDescent="0.15">
      <c r="B43" s="49" t="s">
        <v>70</v>
      </c>
      <c r="C43" s="33">
        <v>4.2</v>
      </c>
    </row>
    <row r="44" spans="2:3" x14ac:dyDescent="0.15">
      <c r="B44" s="49" t="s">
        <v>72</v>
      </c>
      <c r="C44" s="33">
        <v>4.3</v>
      </c>
    </row>
    <row r="45" spans="2:3" x14ac:dyDescent="0.15">
      <c r="B45" s="32"/>
      <c r="C45" s="33"/>
    </row>
    <row r="46" spans="2:3" x14ac:dyDescent="0.15">
      <c r="B46" s="49" t="s">
        <v>138</v>
      </c>
      <c r="C46" s="33">
        <v>6.1</v>
      </c>
    </row>
    <row r="47" spans="2:3" x14ac:dyDescent="0.15">
      <c r="B47" s="49" t="s">
        <v>45</v>
      </c>
      <c r="C47" s="33">
        <v>6.2</v>
      </c>
    </row>
    <row r="48" spans="2:3" x14ac:dyDescent="0.15">
      <c r="B48" s="49"/>
      <c r="C48" s="33"/>
    </row>
    <row r="49" spans="2:4" x14ac:dyDescent="0.15">
      <c r="B49" s="49" t="s">
        <v>44</v>
      </c>
      <c r="C49" s="33">
        <v>5</v>
      </c>
    </row>
    <row r="50" spans="2:4" x14ac:dyDescent="0.15">
      <c r="B50" s="49"/>
      <c r="C50" s="33"/>
    </row>
    <row r="51" spans="2:4" ht="14" thickBot="1" x14ac:dyDescent="0.2">
      <c r="B51" s="50" t="s">
        <v>73</v>
      </c>
      <c r="C51" s="34">
        <v>7</v>
      </c>
    </row>
    <row r="53" spans="2:4" x14ac:dyDescent="0.15">
      <c r="B53" s="151" t="s">
        <v>171</v>
      </c>
      <c r="C53" s="112">
        <v>750</v>
      </c>
      <c r="D53" s="112"/>
    </row>
    <row r="54" spans="2:4" x14ac:dyDescent="0.15">
      <c r="B54" s="151" t="s">
        <v>172</v>
      </c>
      <c r="C54" s="151" t="s">
        <v>185</v>
      </c>
      <c r="D54" s="112"/>
    </row>
    <row r="55" spans="2:4" x14ac:dyDescent="0.15">
      <c r="B55" s="151" t="s">
        <v>173</v>
      </c>
      <c r="C55" s="151" t="s">
        <v>186</v>
      </c>
      <c r="D55" s="112"/>
    </row>
    <row r="56" spans="2:4" x14ac:dyDescent="0.15">
      <c r="B56" s="151" t="s">
        <v>174</v>
      </c>
      <c r="C56" s="112">
        <v>639</v>
      </c>
      <c r="D56" s="112"/>
    </row>
    <row r="57" spans="2:4" x14ac:dyDescent="0.15">
      <c r="B57" s="151" t="s">
        <v>175</v>
      </c>
      <c r="C57" s="151" t="s">
        <v>187</v>
      </c>
      <c r="D57" s="112"/>
    </row>
    <row r="58" spans="2:4" x14ac:dyDescent="0.15">
      <c r="B58" s="151" t="s">
        <v>176</v>
      </c>
      <c r="C58" s="151" t="s">
        <v>188</v>
      </c>
      <c r="D58" s="112"/>
    </row>
    <row r="59" spans="2:4" x14ac:dyDescent="0.15">
      <c r="B59" s="151" t="s">
        <v>177</v>
      </c>
      <c r="C59" s="151" t="s">
        <v>189</v>
      </c>
      <c r="D59" s="112"/>
    </row>
    <row r="60" spans="2:4" x14ac:dyDescent="0.15">
      <c r="B60" s="151" t="s">
        <v>178</v>
      </c>
      <c r="C60" s="151" t="s">
        <v>190</v>
      </c>
      <c r="D60" s="112"/>
    </row>
    <row r="61" spans="2:4" x14ac:dyDescent="0.15">
      <c r="B61" s="151" t="s">
        <v>179</v>
      </c>
      <c r="C61" s="112">
        <v>31</v>
      </c>
      <c r="D61" s="112"/>
    </row>
    <row r="62" spans="2:4" x14ac:dyDescent="0.15">
      <c r="B62" s="151" t="s">
        <v>180</v>
      </c>
      <c r="C62" s="112">
        <v>2</v>
      </c>
      <c r="D62" s="112"/>
    </row>
    <row r="63" spans="2:4" x14ac:dyDescent="0.15">
      <c r="B63" s="151" t="s">
        <v>181</v>
      </c>
      <c r="C63" s="112">
        <v>2008</v>
      </c>
      <c r="D63" s="112"/>
    </row>
    <row r="64" spans="2:4" x14ac:dyDescent="0.15">
      <c r="B64" s="151" t="s">
        <v>182</v>
      </c>
      <c r="C64" s="112">
        <v>0</v>
      </c>
      <c r="D64" s="112"/>
    </row>
    <row r="65" spans="2:4" x14ac:dyDescent="0.15">
      <c r="B65" s="151" t="s">
        <v>183</v>
      </c>
      <c r="C65" s="151" t="s">
        <v>191</v>
      </c>
      <c r="D65" s="112"/>
    </row>
    <row r="66" spans="2:4" x14ac:dyDescent="0.15">
      <c r="B66" s="151" t="s">
        <v>184</v>
      </c>
      <c r="C66" s="151" t="s">
        <v>192</v>
      </c>
      <c r="D66" s="112"/>
    </row>
    <row r="67" spans="2:4" x14ac:dyDescent="0.15">
      <c r="B67" s="112"/>
      <c r="C67" s="112"/>
      <c r="D67" s="112"/>
    </row>
    <row r="68" spans="2:4" x14ac:dyDescent="0.15">
      <c r="B68" s="112"/>
      <c r="C68" s="112"/>
      <c r="D68" s="112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4" sqref="P4"/>
    </sheetView>
  </sheetViews>
  <sheetFormatPr baseColWidth="10" defaultColWidth="8.83203125" defaultRowHeight="15" customHeight="1" x14ac:dyDescent="0.15"/>
  <cols>
    <col min="1" max="1" width="22.5" style="83" customWidth="1"/>
    <col min="2" max="3" width="3.33203125" style="83" customWidth="1"/>
    <col min="4" max="4" width="14.33203125" style="83" customWidth="1"/>
    <col min="5" max="5" width="23.33203125" style="83" bestFit="1" customWidth="1"/>
    <col min="6" max="6" width="2.33203125" style="83" bestFit="1" customWidth="1"/>
    <col min="7" max="7" width="10.83203125" style="83" bestFit="1" customWidth="1"/>
    <col min="8" max="8" width="5.83203125" style="83" customWidth="1"/>
    <col min="9" max="9" width="6.83203125" style="83" customWidth="1"/>
    <col min="10" max="10" width="11.83203125" style="83" customWidth="1"/>
    <col min="11" max="11" width="13.83203125" style="83" customWidth="1"/>
    <col min="12" max="12" width="2.33203125" style="83" customWidth="1"/>
    <col min="13" max="13" width="4.83203125" style="83" customWidth="1"/>
    <col min="14" max="14" width="2.33203125" style="83" customWidth="1"/>
    <col min="16" max="25" width="8.83203125" style="83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83"/>
  </cols>
  <sheetData>
    <row r="1" spans="1:46" s="100" customFormat="1" ht="15" customHeight="1" x14ac:dyDescent="0.15">
      <c r="A1" s="79" t="s">
        <v>18</v>
      </c>
      <c r="C1" s="80" t="s">
        <v>8</v>
      </c>
      <c r="D1" s="79" t="s">
        <v>23</v>
      </c>
      <c r="E1" s="79" t="s">
        <v>0</v>
      </c>
      <c r="F1" s="79" t="s">
        <v>7</v>
      </c>
      <c r="G1" s="81" t="s">
        <v>13</v>
      </c>
      <c r="H1" s="79" t="s">
        <v>1</v>
      </c>
      <c r="I1" s="79" t="s">
        <v>2</v>
      </c>
      <c r="J1" s="79" t="s">
        <v>14</v>
      </c>
      <c r="K1" s="79" t="s">
        <v>3</v>
      </c>
      <c r="L1" s="79" t="s">
        <v>4</v>
      </c>
      <c r="M1" s="79" t="s">
        <v>5</v>
      </c>
      <c r="N1" s="79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100">
        <v>1</v>
      </c>
      <c r="D2"/>
      <c r="E2" s="152" t="s">
        <v>193</v>
      </c>
      <c r="F2" s="83">
        <v>1</v>
      </c>
      <c r="G2" s="83">
        <v>6.0709999999999997</v>
      </c>
      <c r="H2" s="83">
        <v>117.3</v>
      </c>
      <c r="I2" s="6">
        <v>0</v>
      </c>
      <c r="J2" s="6">
        <v>0.76054245200000004</v>
      </c>
      <c r="K2" s="6">
        <v>0</v>
      </c>
      <c r="L2" s="6">
        <v>0</v>
      </c>
      <c r="M2" s="83">
        <v>0</v>
      </c>
      <c r="N2" s="83">
        <v>0</v>
      </c>
    </row>
    <row r="3" spans="1:46" ht="15" customHeight="1" x14ac:dyDescent="0.15">
      <c r="A3" s="1" t="s">
        <v>9</v>
      </c>
      <c r="B3" s="4">
        <v>29</v>
      </c>
      <c r="C3" s="83">
        <v>2</v>
      </c>
      <c r="D3"/>
      <c r="E3" s="152" t="s">
        <v>194</v>
      </c>
      <c r="F3" s="83">
        <v>0</v>
      </c>
      <c r="G3" s="83">
        <v>4.9800000000000004</v>
      </c>
      <c r="H3" s="83">
        <v>59.49</v>
      </c>
      <c r="I3" s="83">
        <v>177.5</v>
      </c>
      <c r="J3" s="83">
        <v>0.94462990000000002</v>
      </c>
      <c r="K3" s="83">
        <v>0.33515495099999998</v>
      </c>
      <c r="L3" s="83">
        <v>0</v>
      </c>
      <c r="M3" s="83">
        <v>0.4</v>
      </c>
      <c r="N3" s="83">
        <v>0</v>
      </c>
    </row>
    <row r="4" spans="1:46" ht="15" customHeight="1" x14ac:dyDescent="0.15">
      <c r="A4" s="1" t="s">
        <v>10</v>
      </c>
      <c r="B4" s="4">
        <v>3</v>
      </c>
      <c r="C4" s="83">
        <v>3</v>
      </c>
      <c r="D4"/>
      <c r="E4" s="152" t="s">
        <v>195</v>
      </c>
      <c r="F4" s="83">
        <v>0</v>
      </c>
      <c r="G4" s="83">
        <v>2.1814567999999999</v>
      </c>
      <c r="H4" s="83">
        <v>7.32</v>
      </c>
      <c r="I4" s="83">
        <v>54.4</v>
      </c>
      <c r="J4" s="83">
        <v>0.87</v>
      </c>
      <c r="K4" s="83">
        <v>0.13455882699999999</v>
      </c>
      <c r="L4" s="83">
        <v>0</v>
      </c>
      <c r="M4" s="83">
        <v>0.2</v>
      </c>
      <c r="N4" s="83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2</v>
      </c>
      <c r="C5" s="83">
        <v>4</v>
      </c>
      <c r="D5"/>
      <c r="E5" s="152" t="s">
        <v>196</v>
      </c>
      <c r="F5" s="83">
        <v>0</v>
      </c>
      <c r="G5" s="83">
        <v>14.46698</v>
      </c>
      <c r="H5" s="83">
        <v>1.63</v>
      </c>
      <c r="I5" s="83">
        <v>12.46</v>
      </c>
      <c r="J5" s="83">
        <v>0.92</v>
      </c>
      <c r="K5" s="83">
        <v>0.13081862</v>
      </c>
      <c r="L5" s="83">
        <v>0</v>
      </c>
      <c r="M5" s="83">
        <v>0.6</v>
      </c>
      <c r="N5" s="83">
        <v>0</v>
      </c>
      <c r="P5" s="71"/>
      <c r="Q5" s="71"/>
      <c r="R5" s="71"/>
    </row>
    <row r="6" spans="1:46" ht="15" customHeight="1" thickBot="1" x14ac:dyDescent="0.2">
      <c r="B6" s="1"/>
      <c r="C6" s="83">
        <v>5</v>
      </c>
      <c r="D6"/>
      <c r="E6" s="152" t="s">
        <v>197</v>
      </c>
      <c r="F6" s="83">
        <v>0</v>
      </c>
      <c r="G6" s="83">
        <v>1.25</v>
      </c>
      <c r="H6" s="83">
        <v>3.21</v>
      </c>
      <c r="I6" s="83">
        <v>7.52</v>
      </c>
      <c r="J6" s="83">
        <v>0.98989470000000002</v>
      </c>
      <c r="K6" s="83">
        <v>0.42686170000000001</v>
      </c>
      <c r="L6" s="83">
        <v>0</v>
      </c>
      <c r="M6" s="83">
        <v>0.2</v>
      </c>
      <c r="N6" s="83">
        <v>0</v>
      </c>
      <c r="P6" s="71"/>
      <c r="Q6" s="71"/>
      <c r="R6" s="71"/>
      <c r="W6" s="36" t="s">
        <v>31</v>
      </c>
      <c r="X6" s="52">
        <f>MAX(MainOutputs!G:G)</f>
        <v>0.99940270185470581</v>
      </c>
    </row>
    <row r="7" spans="1:46" ht="15" customHeight="1" x14ac:dyDescent="0.15">
      <c r="A7" s="2" t="s">
        <v>27</v>
      </c>
      <c r="B7" s="83">
        <f ca="1">COUNTIF(OFFSET(cornerDiets,1,1,NumLiving+NumDead+1,NumLiving+NumDead),"&gt;0")+NumLiving+NumDead+1</f>
        <v>338</v>
      </c>
      <c r="C7" s="83">
        <v>6</v>
      </c>
      <c r="D7"/>
      <c r="E7" s="152" t="s">
        <v>198</v>
      </c>
      <c r="F7" s="83">
        <v>0</v>
      </c>
      <c r="G7" s="83">
        <v>1.1000000000000001</v>
      </c>
      <c r="H7" s="83">
        <v>2.44</v>
      </c>
      <c r="I7" s="83">
        <v>4.9400000000000004</v>
      </c>
      <c r="J7" s="83">
        <v>0.99104064700000005</v>
      </c>
      <c r="K7" s="83">
        <v>0.49392712100000002</v>
      </c>
      <c r="L7" s="83">
        <v>0</v>
      </c>
      <c r="M7" s="83">
        <v>0.2</v>
      </c>
      <c r="N7" s="83">
        <v>0</v>
      </c>
      <c r="P7" s="71"/>
      <c r="Q7" s="71"/>
      <c r="R7" s="71"/>
    </row>
    <row r="8" spans="1:46" ht="15" customHeight="1" x14ac:dyDescent="0.15">
      <c r="A8" s="2" t="s">
        <v>28</v>
      </c>
      <c r="B8" s="83">
        <f ca="1">COUNTIF(OFFSET(cornerFishing,1,2,NumLiving+NumDead,NumGears),"&gt;0")+NumDead*COUNTIF(OFFSET(cornerDiscards,1,2,NumLiving+NumDead,NumGears),"&gt;0")+NumLiving+NumDead+1</f>
        <v>143</v>
      </c>
      <c r="C8" s="83">
        <v>7</v>
      </c>
      <c r="D8"/>
      <c r="E8" s="152" t="s">
        <v>199</v>
      </c>
      <c r="F8" s="83">
        <v>0</v>
      </c>
      <c r="G8" s="83">
        <v>0.95299999999999996</v>
      </c>
      <c r="H8" s="83">
        <v>1.32</v>
      </c>
      <c r="I8" s="83">
        <v>4.76</v>
      </c>
      <c r="J8" s="83">
        <v>0.99465876799999997</v>
      </c>
      <c r="K8" s="83">
        <v>0.27731090000000003</v>
      </c>
      <c r="L8" s="83">
        <v>0</v>
      </c>
      <c r="M8" s="83">
        <v>0.2</v>
      </c>
      <c r="N8" s="83">
        <v>0</v>
      </c>
      <c r="P8" s="71"/>
      <c r="Q8" s="71"/>
      <c r="R8" s="71"/>
    </row>
    <row r="9" spans="1:46" ht="15" customHeight="1" x14ac:dyDescent="0.15">
      <c r="B9" s="1"/>
      <c r="C9" s="83">
        <v>8</v>
      </c>
      <c r="D9"/>
      <c r="E9" s="152" t="s">
        <v>200</v>
      </c>
      <c r="F9" s="83">
        <v>0</v>
      </c>
      <c r="G9" s="83">
        <v>25.350816699999999</v>
      </c>
      <c r="H9" s="83">
        <v>1.1499999999999999</v>
      </c>
      <c r="I9" s="83">
        <v>3.27</v>
      </c>
      <c r="J9" s="83">
        <v>0.95</v>
      </c>
      <c r="K9" s="83">
        <v>0.35168194800000002</v>
      </c>
      <c r="L9" s="83">
        <v>0</v>
      </c>
      <c r="M9" s="83">
        <v>0.43</v>
      </c>
      <c r="N9" s="83">
        <v>0</v>
      </c>
      <c r="P9" s="71"/>
      <c r="Q9" s="71"/>
      <c r="R9" s="71"/>
    </row>
    <row r="10" spans="1:46" ht="15" customHeight="1" x14ac:dyDescent="0.15">
      <c r="B10" s="1"/>
      <c r="C10" s="83">
        <v>9</v>
      </c>
      <c r="D10"/>
      <c r="E10" s="152" t="s">
        <v>201</v>
      </c>
      <c r="F10" s="83">
        <v>0</v>
      </c>
      <c r="G10" s="83">
        <v>0.45600000000000002</v>
      </c>
      <c r="H10" s="83">
        <v>2.69</v>
      </c>
      <c r="I10" s="83">
        <v>5.53</v>
      </c>
      <c r="J10" s="83">
        <v>0.99651990000000001</v>
      </c>
      <c r="K10" s="83">
        <v>0.48643761899999999</v>
      </c>
      <c r="L10" s="83">
        <v>0</v>
      </c>
      <c r="M10" s="83">
        <v>0.2</v>
      </c>
      <c r="N10" s="83">
        <v>0</v>
      </c>
    </row>
    <row r="11" spans="1:46" ht="15" customHeight="1" x14ac:dyDescent="0.15">
      <c r="C11" s="83">
        <v>10</v>
      </c>
      <c r="D11"/>
      <c r="E11" s="152" t="s">
        <v>202</v>
      </c>
      <c r="F11" s="83">
        <v>0</v>
      </c>
      <c r="G11" s="83">
        <v>0.5</v>
      </c>
      <c r="H11" s="83">
        <v>2.6</v>
      </c>
      <c r="I11" s="83">
        <v>22.154</v>
      </c>
      <c r="J11" s="83">
        <v>0.99072229999999994</v>
      </c>
      <c r="K11" s="83">
        <v>0.117360294</v>
      </c>
      <c r="L11" s="83">
        <v>0</v>
      </c>
      <c r="M11" s="83">
        <v>0.2</v>
      </c>
      <c r="N11" s="83">
        <v>0</v>
      </c>
    </row>
    <row r="12" spans="1:46" ht="15" customHeight="1" x14ac:dyDescent="0.15">
      <c r="C12" s="83">
        <v>11</v>
      </c>
      <c r="D12"/>
      <c r="E12" s="152" t="s">
        <v>203</v>
      </c>
      <c r="F12" s="83">
        <v>0</v>
      </c>
      <c r="G12" s="83">
        <v>0.20599999999999999</v>
      </c>
      <c r="H12" s="83">
        <v>1.85</v>
      </c>
      <c r="I12" s="83">
        <v>6.8959999999999999</v>
      </c>
      <c r="J12" s="83">
        <v>0.99631219999999998</v>
      </c>
      <c r="K12" s="83">
        <v>0.26827147600000001</v>
      </c>
      <c r="L12" s="83">
        <v>0</v>
      </c>
      <c r="M12" s="83">
        <v>0.2</v>
      </c>
      <c r="N12" s="83">
        <v>0</v>
      </c>
    </row>
    <row r="13" spans="1:46" ht="15" customHeight="1" x14ac:dyDescent="0.15">
      <c r="C13" s="83">
        <v>12</v>
      </c>
      <c r="D13"/>
      <c r="E13" s="152" t="s">
        <v>204</v>
      </c>
      <c r="F13" s="83">
        <v>0</v>
      </c>
      <c r="G13" s="83">
        <v>0.42199999999999999</v>
      </c>
      <c r="H13" s="83">
        <v>1</v>
      </c>
      <c r="I13" s="83">
        <v>3.6</v>
      </c>
      <c r="J13" s="83">
        <v>0.92997866900000004</v>
      </c>
      <c r="K13" s="83">
        <v>0.27777780000000002</v>
      </c>
      <c r="L13" s="83">
        <v>0</v>
      </c>
      <c r="M13" s="83">
        <v>0.2</v>
      </c>
      <c r="N13" s="83">
        <v>0</v>
      </c>
    </row>
    <row r="14" spans="1:46" ht="15" customHeight="1" x14ac:dyDescent="0.15">
      <c r="C14" s="83">
        <v>13</v>
      </c>
      <c r="D14"/>
      <c r="E14" s="152" t="s">
        <v>205</v>
      </c>
      <c r="F14" s="83">
        <v>0</v>
      </c>
      <c r="G14" s="83">
        <v>0.28599999999999998</v>
      </c>
      <c r="H14" s="83">
        <v>1.5</v>
      </c>
      <c r="I14" s="83">
        <v>7.734</v>
      </c>
      <c r="J14" s="83">
        <v>0.99162720000000004</v>
      </c>
      <c r="K14" s="83">
        <v>0.19394879000000001</v>
      </c>
      <c r="L14" s="83">
        <v>0</v>
      </c>
      <c r="M14" s="83">
        <v>0.2</v>
      </c>
      <c r="N14" s="83">
        <v>0</v>
      </c>
    </row>
    <row r="15" spans="1:46" ht="15" customHeight="1" x14ac:dyDescent="0.15">
      <c r="C15" s="83">
        <v>14</v>
      </c>
      <c r="D15"/>
      <c r="E15" s="152" t="s">
        <v>206</v>
      </c>
      <c r="F15" s="83">
        <v>0</v>
      </c>
      <c r="G15" s="83">
        <v>0.4</v>
      </c>
      <c r="H15" s="83">
        <v>1.2</v>
      </c>
      <c r="I15" s="83">
        <v>7.15</v>
      </c>
      <c r="J15" s="83">
        <v>0.98301179999999999</v>
      </c>
      <c r="K15" s="83">
        <v>0.167832166</v>
      </c>
      <c r="L15" s="83">
        <v>0</v>
      </c>
      <c r="M15" s="83">
        <v>0.2</v>
      </c>
      <c r="N15" s="83">
        <v>0</v>
      </c>
    </row>
    <row r="16" spans="1:46" ht="15" customHeight="1" x14ac:dyDescent="0.15">
      <c r="C16" s="83">
        <v>15</v>
      </c>
      <c r="D16"/>
      <c r="E16" s="152" t="s">
        <v>207</v>
      </c>
      <c r="F16" s="83">
        <v>0</v>
      </c>
      <c r="G16" s="83">
        <v>1.157</v>
      </c>
      <c r="H16" s="83">
        <v>0.7</v>
      </c>
      <c r="I16" s="83">
        <v>3.5</v>
      </c>
      <c r="J16" s="83">
        <v>0.99486106600000002</v>
      </c>
      <c r="K16" s="83">
        <v>0.2</v>
      </c>
      <c r="L16" s="83">
        <v>0</v>
      </c>
      <c r="M16" s="83">
        <v>0.2</v>
      </c>
      <c r="N16" s="83">
        <v>0</v>
      </c>
    </row>
    <row r="17" spans="1:22" ht="15" customHeight="1" x14ac:dyDescent="0.15">
      <c r="C17" s="83">
        <v>16</v>
      </c>
      <c r="D17"/>
      <c r="E17" s="152" t="s">
        <v>208</v>
      </c>
      <c r="F17" s="83">
        <v>0</v>
      </c>
      <c r="G17" s="83">
        <v>1.7470000000000001</v>
      </c>
      <c r="H17" s="83">
        <v>1.5</v>
      </c>
      <c r="I17" s="83">
        <v>8.173</v>
      </c>
      <c r="J17" s="83">
        <v>0.99831639999999999</v>
      </c>
      <c r="K17" s="83">
        <v>0.18353113500000001</v>
      </c>
      <c r="L17" s="83">
        <v>0</v>
      </c>
      <c r="M17" s="83">
        <v>0.2</v>
      </c>
      <c r="N17" s="83">
        <v>0</v>
      </c>
      <c r="V17" s="1" t="s">
        <v>30</v>
      </c>
    </row>
    <row r="18" spans="1:22" ht="15" customHeight="1" x14ac:dyDescent="0.15">
      <c r="C18" s="83">
        <v>17</v>
      </c>
      <c r="D18"/>
      <c r="E18" s="152" t="s">
        <v>209</v>
      </c>
      <c r="F18" s="83">
        <v>0</v>
      </c>
      <c r="G18" s="83">
        <v>2.9</v>
      </c>
      <c r="H18" s="83">
        <v>1</v>
      </c>
      <c r="I18" s="83">
        <v>5.6</v>
      </c>
      <c r="J18" s="83">
        <v>0.99028503899999998</v>
      </c>
      <c r="K18" s="83">
        <v>0.178571433</v>
      </c>
      <c r="L18" s="83">
        <v>0</v>
      </c>
      <c r="M18" s="83">
        <v>0.2</v>
      </c>
      <c r="N18" s="83">
        <v>0</v>
      </c>
      <c r="V18" s="1"/>
    </row>
    <row r="19" spans="1:22" ht="15" customHeight="1" x14ac:dyDescent="0.15">
      <c r="C19" s="83">
        <v>18</v>
      </c>
      <c r="D19"/>
      <c r="E19" s="152" t="s">
        <v>210</v>
      </c>
      <c r="F19" s="83">
        <v>0</v>
      </c>
      <c r="G19" s="83">
        <v>1</v>
      </c>
      <c r="H19" s="83">
        <v>0.9</v>
      </c>
      <c r="I19" s="83">
        <v>5.51</v>
      </c>
      <c r="J19" s="83">
        <v>0.99450516700000002</v>
      </c>
      <c r="K19" s="83">
        <v>0.16333937600000001</v>
      </c>
      <c r="L19" s="83">
        <v>0</v>
      </c>
      <c r="M19" s="83">
        <v>0.2</v>
      </c>
      <c r="N19" s="83">
        <v>0</v>
      </c>
    </row>
    <row r="20" spans="1:22" ht="15" customHeight="1" thickBot="1" x14ac:dyDescent="0.2">
      <c r="C20" s="83">
        <v>19</v>
      </c>
      <c r="D20"/>
      <c r="E20" s="152" t="s">
        <v>211</v>
      </c>
      <c r="F20" s="83">
        <v>0</v>
      </c>
      <c r="G20" s="83">
        <v>1.8779999999999999</v>
      </c>
      <c r="H20" s="83">
        <v>1.6</v>
      </c>
      <c r="I20" s="83">
        <v>8.2370000000000001</v>
      </c>
      <c r="J20" s="83">
        <v>0.99746263000000002</v>
      </c>
      <c r="K20" s="83">
        <v>0.194245473</v>
      </c>
      <c r="L20" s="83">
        <v>0</v>
      </c>
      <c r="M20" s="83">
        <v>0.2</v>
      </c>
      <c r="N20" s="83">
        <v>0</v>
      </c>
    </row>
    <row r="21" spans="1:22" ht="15" customHeight="1" thickBot="1" x14ac:dyDescent="0.2">
      <c r="A21" s="47" t="s">
        <v>137</v>
      </c>
      <c r="B21" s="101"/>
      <c r="C21" s="83">
        <v>20</v>
      </c>
      <c r="D21"/>
      <c r="E21" s="152" t="s">
        <v>212</v>
      </c>
      <c r="F21" s="83">
        <v>0</v>
      </c>
      <c r="G21" s="83">
        <v>0.45400000000000001</v>
      </c>
      <c r="H21" s="83">
        <v>1.4139999999999999</v>
      </c>
      <c r="I21" s="83">
        <v>3.1459999999999999</v>
      </c>
      <c r="J21" s="83">
        <v>0.838074863</v>
      </c>
      <c r="K21" s="83">
        <v>0.44945964199999999</v>
      </c>
      <c r="L21" s="83">
        <v>0</v>
      </c>
      <c r="M21" s="83">
        <v>0.2</v>
      </c>
      <c r="N21" s="83">
        <v>0</v>
      </c>
    </row>
    <row r="22" spans="1:22" ht="15" customHeight="1" x14ac:dyDescent="0.15">
      <c r="A22" s="102" t="s">
        <v>58</v>
      </c>
      <c r="B22" s="103">
        <v>0</v>
      </c>
      <c r="C22" s="83">
        <v>21</v>
      </c>
      <c r="D22"/>
      <c r="E22" s="152" t="s">
        <v>213</v>
      </c>
      <c r="F22" s="83">
        <v>0</v>
      </c>
      <c r="G22" s="83">
        <v>3.11</v>
      </c>
      <c r="H22" s="83">
        <v>1.6419999999999999</v>
      </c>
      <c r="I22" s="83">
        <v>6.5330000000000004</v>
      </c>
      <c r="J22" s="83">
        <v>0.99943490000000001</v>
      </c>
      <c r="K22" s="83">
        <v>0.25133934600000002</v>
      </c>
      <c r="L22" s="83">
        <v>0</v>
      </c>
      <c r="M22" s="83">
        <v>0.3</v>
      </c>
      <c r="N22" s="83">
        <v>0</v>
      </c>
    </row>
    <row r="23" spans="1:22" ht="15" customHeight="1" x14ac:dyDescent="0.15">
      <c r="A23" s="102" t="s">
        <v>59</v>
      </c>
      <c r="B23" s="103">
        <v>1</v>
      </c>
      <c r="C23" s="83">
        <v>22</v>
      </c>
      <c r="D23"/>
      <c r="E23" s="152" t="s">
        <v>214</v>
      </c>
      <c r="F23" s="83">
        <v>0</v>
      </c>
      <c r="G23" s="83">
        <v>5.1609999999999996</v>
      </c>
      <c r="H23" s="83">
        <v>1.28</v>
      </c>
      <c r="I23" s="83">
        <v>11.39</v>
      </c>
      <c r="J23" s="83">
        <v>0.99589609999999995</v>
      </c>
      <c r="K23" s="83">
        <v>0.112379275</v>
      </c>
      <c r="L23" s="83">
        <v>0</v>
      </c>
      <c r="M23" s="83">
        <v>0.3</v>
      </c>
      <c r="N23" s="83">
        <v>0</v>
      </c>
    </row>
    <row r="24" spans="1:22" ht="15" customHeight="1" x14ac:dyDescent="0.15">
      <c r="A24" s="102" t="s">
        <v>60</v>
      </c>
      <c r="B24" s="103">
        <v>2</v>
      </c>
      <c r="C24" s="83">
        <v>23</v>
      </c>
      <c r="D24"/>
      <c r="E24" s="152" t="s">
        <v>215</v>
      </c>
      <c r="F24" s="83">
        <v>0</v>
      </c>
      <c r="G24" s="83">
        <v>0.35420000000000001</v>
      </c>
      <c r="H24" s="83">
        <v>1.1000000000000001</v>
      </c>
      <c r="I24" s="83">
        <v>6.43</v>
      </c>
      <c r="J24" s="83">
        <v>0.99853605000000001</v>
      </c>
      <c r="K24" s="83">
        <v>0.171073109</v>
      </c>
      <c r="L24" s="83">
        <v>0</v>
      </c>
      <c r="M24" s="83">
        <v>0.2</v>
      </c>
      <c r="N24" s="83">
        <v>0</v>
      </c>
    </row>
    <row r="25" spans="1:22" ht="15" customHeight="1" thickBot="1" x14ac:dyDescent="0.2">
      <c r="A25" s="104" t="s">
        <v>44</v>
      </c>
      <c r="B25" s="105">
        <v>3</v>
      </c>
      <c r="C25" s="83">
        <v>24</v>
      </c>
      <c r="D25"/>
      <c r="E25" s="152" t="s">
        <v>216</v>
      </c>
      <c r="F25" s="83">
        <v>0</v>
      </c>
      <c r="G25" s="83">
        <v>0.33</v>
      </c>
      <c r="H25" s="83">
        <v>1.1220000000000001</v>
      </c>
      <c r="I25" s="83">
        <v>6.0039999999999996</v>
      </c>
      <c r="J25" s="83">
        <v>0.99571549999999998</v>
      </c>
      <c r="K25" s="83">
        <v>0.1868754</v>
      </c>
      <c r="L25" s="83">
        <v>0</v>
      </c>
      <c r="M25" s="83">
        <v>0.2</v>
      </c>
      <c r="N25" s="83">
        <v>0</v>
      </c>
    </row>
    <row r="26" spans="1:22" ht="15" customHeight="1" x14ac:dyDescent="0.15">
      <c r="A26" s="106" t="s">
        <v>140</v>
      </c>
      <c r="C26" s="83">
        <v>25</v>
      </c>
      <c r="D26"/>
      <c r="E26" s="152" t="s">
        <v>217</v>
      </c>
      <c r="F26" s="83">
        <v>0</v>
      </c>
      <c r="G26" s="83">
        <v>1.2</v>
      </c>
      <c r="H26" s="83">
        <v>1.2050000000000001</v>
      </c>
      <c r="I26" s="83">
        <v>6.0810000000000004</v>
      </c>
      <c r="J26" s="83">
        <v>0.99465656300000005</v>
      </c>
      <c r="K26" s="83">
        <v>0.19815820000000001</v>
      </c>
      <c r="L26" s="83">
        <v>0</v>
      </c>
      <c r="M26" s="83">
        <v>0.3</v>
      </c>
      <c r="N26" s="83">
        <v>0</v>
      </c>
    </row>
    <row r="27" spans="1:22" ht="15" customHeight="1" x14ac:dyDescent="0.15">
      <c r="C27" s="83">
        <v>26</v>
      </c>
      <c r="D27"/>
      <c r="E27" s="152" t="s">
        <v>218</v>
      </c>
      <c r="F27" s="83">
        <v>0</v>
      </c>
      <c r="G27" s="83">
        <v>0.24</v>
      </c>
      <c r="H27" s="83">
        <v>0.69799999999999995</v>
      </c>
      <c r="I27" s="83">
        <v>2.661</v>
      </c>
      <c r="J27" s="83">
        <v>0.98239399999999999</v>
      </c>
      <c r="K27" s="83">
        <v>0.26230740000000002</v>
      </c>
      <c r="L27" s="83">
        <v>0</v>
      </c>
      <c r="M27" s="83">
        <v>0.2</v>
      </c>
      <c r="N27" s="83">
        <v>0</v>
      </c>
    </row>
    <row r="28" spans="1:22" ht="15" customHeight="1" x14ac:dyDescent="0.15">
      <c r="C28" s="83">
        <v>27</v>
      </c>
      <c r="D28"/>
      <c r="E28" s="152" t="s">
        <v>219</v>
      </c>
      <c r="F28" s="83">
        <v>0</v>
      </c>
      <c r="G28" s="83">
        <v>0.02</v>
      </c>
      <c r="H28" s="83">
        <v>0.16</v>
      </c>
      <c r="I28" s="83">
        <v>2.68</v>
      </c>
      <c r="J28" s="83">
        <v>0.78125</v>
      </c>
      <c r="K28" s="83">
        <v>5.9701490000000003E-2</v>
      </c>
      <c r="L28" s="83">
        <v>0</v>
      </c>
      <c r="M28" s="83">
        <v>0.2</v>
      </c>
      <c r="N28" s="83">
        <v>0</v>
      </c>
    </row>
    <row r="29" spans="1:22" customFormat="1" ht="15" customHeight="1" x14ac:dyDescent="0.15">
      <c r="C29" s="83">
        <v>28</v>
      </c>
      <c r="E29" s="152" t="s">
        <v>220</v>
      </c>
      <c r="F29" s="83">
        <v>0</v>
      </c>
      <c r="G29" s="83">
        <v>1E-3</v>
      </c>
      <c r="H29" s="83">
        <v>4.78</v>
      </c>
      <c r="I29" s="83">
        <v>111.61</v>
      </c>
      <c r="J29" s="83">
        <v>0</v>
      </c>
      <c r="K29" s="83">
        <v>4.2827706799999997E-2</v>
      </c>
      <c r="L29" s="83">
        <v>0</v>
      </c>
      <c r="M29" s="83">
        <v>0.2</v>
      </c>
      <c r="N29" s="83">
        <v>0</v>
      </c>
    </row>
    <row r="30" spans="1:22" customFormat="1" ht="15" customHeight="1" x14ac:dyDescent="0.15">
      <c r="C30" s="83">
        <v>29</v>
      </c>
      <c r="E30" s="152" t="s">
        <v>221</v>
      </c>
      <c r="F30" s="83">
        <v>0</v>
      </c>
      <c r="G30" s="83">
        <v>0.02</v>
      </c>
      <c r="H30" s="83">
        <v>0.08</v>
      </c>
      <c r="I30" s="83">
        <v>13.81</v>
      </c>
      <c r="J30" s="83">
        <v>0.21249999999999999</v>
      </c>
      <c r="K30" s="83">
        <v>5.7929032500000002E-3</v>
      </c>
      <c r="L30" s="83">
        <v>0</v>
      </c>
      <c r="M30" s="83">
        <v>0.2</v>
      </c>
      <c r="N30" s="83">
        <v>0</v>
      </c>
    </row>
    <row r="31" spans="1:22" customFormat="1" ht="15" customHeight="1" x14ac:dyDescent="0.15">
      <c r="C31" s="83">
        <v>30</v>
      </c>
      <c r="E31" s="152" t="s">
        <v>222</v>
      </c>
      <c r="F31" s="83">
        <v>2</v>
      </c>
      <c r="G31" s="83">
        <v>0</v>
      </c>
      <c r="H31" s="83">
        <v>0</v>
      </c>
      <c r="I31" s="83">
        <v>0</v>
      </c>
      <c r="J31" s="83">
        <v>0.81229850000000003</v>
      </c>
      <c r="K31" s="83">
        <v>0</v>
      </c>
      <c r="L31" s="83">
        <v>0</v>
      </c>
      <c r="M31" s="83">
        <v>0.2</v>
      </c>
      <c r="N31" s="83">
        <v>0</v>
      </c>
    </row>
    <row r="32" spans="1:22" customFormat="1" ht="15" customHeight="1" x14ac:dyDescent="0.15">
      <c r="C32" s="83">
        <v>31</v>
      </c>
      <c r="E32" s="152" t="s">
        <v>223</v>
      </c>
      <c r="F32" s="83">
        <v>2</v>
      </c>
      <c r="G32" s="83">
        <v>31.44</v>
      </c>
      <c r="H32" s="83">
        <v>0</v>
      </c>
      <c r="I32" s="83">
        <v>0</v>
      </c>
      <c r="J32" s="83">
        <v>0</v>
      </c>
      <c r="K32" s="83">
        <v>0</v>
      </c>
      <c r="L32" s="83">
        <v>0</v>
      </c>
      <c r="M32" s="83">
        <v>0</v>
      </c>
      <c r="N32" s="83">
        <v>0</v>
      </c>
    </row>
    <row r="33" spans="3:14" customFormat="1" ht="15" customHeight="1" x14ac:dyDescent="0.15">
      <c r="C33" s="83">
        <v>32</v>
      </c>
      <c r="E33" s="152" t="s">
        <v>224</v>
      </c>
      <c r="F33" s="83">
        <v>2</v>
      </c>
      <c r="G33" s="83">
        <v>5</v>
      </c>
      <c r="H33" s="83">
        <v>0</v>
      </c>
      <c r="I33" s="83">
        <v>0</v>
      </c>
      <c r="J33" s="83">
        <v>0</v>
      </c>
      <c r="K33" s="83">
        <v>0</v>
      </c>
      <c r="L33" s="83">
        <v>0</v>
      </c>
      <c r="M33" s="83">
        <v>0</v>
      </c>
      <c r="N33" s="83">
        <v>0</v>
      </c>
    </row>
    <row r="34" spans="3:14" customFormat="1" ht="15" customHeight="1" x14ac:dyDescent="0.15">
      <c r="C34" s="83">
        <v>33</v>
      </c>
      <c r="E34" s="152" t="s">
        <v>225</v>
      </c>
      <c r="F34" s="83">
        <v>3</v>
      </c>
      <c r="G34" s="83">
        <v>0</v>
      </c>
      <c r="H34" s="83">
        <v>0</v>
      </c>
      <c r="I34" s="83">
        <v>0</v>
      </c>
      <c r="J34" s="83">
        <v>0</v>
      </c>
      <c r="K34" s="83">
        <v>0</v>
      </c>
      <c r="L34" s="83">
        <v>0</v>
      </c>
      <c r="M34" s="83">
        <v>0</v>
      </c>
      <c r="N34" s="83">
        <v>0</v>
      </c>
    </row>
    <row r="35" spans="3:14" customFormat="1" ht="15" customHeight="1" x14ac:dyDescent="0.15">
      <c r="C35" s="83">
        <v>34</v>
      </c>
      <c r="E35" s="152" t="s">
        <v>226</v>
      </c>
      <c r="F35" s="83">
        <v>3</v>
      </c>
      <c r="G35" s="83">
        <v>0</v>
      </c>
      <c r="H35" s="83">
        <v>0</v>
      </c>
      <c r="I35" s="83">
        <v>0</v>
      </c>
      <c r="J35" s="83">
        <v>0</v>
      </c>
      <c r="K35" s="83">
        <v>0</v>
      </c>
      <c r="L35" s="83">
        <v>0</v>
      </c>
      <c r="M35" s="83">
        <v>0</v>
      </c>
      <c r="N35" s="83">
        <v>0</v>
      </c>
    </row>
    <row r="36" spans="3:14" customFormat="1" ht="15" customHeight="1" x14ac:dyDescent="0.15"/>
    <row r="37" spans="3:14" customFormat="1" ht="15" customHeight="1" x14ac:dyDescent="0.15"/>
    <row r="38" spans="3:14" customFormat="1" ht="15" customHeight="1" x14ac:dyDescent="0.15"/>
    <row r="39" spans="3:14" customFormat="1" ht="15" customHeight="1" x14ac:dyDescent="0.15"/>
    <row r="40" spans="3:14" customFormat="1" ht="15" customHeight="1" x14ac:dyDescent="0.15"/>
    <row r="41" spans="3:14" customFormat="1" ht="15" customHeight="1" x14ac:dyDescent="0.15"/>
    <row r="42" spans="3:14" customFormat="1" ht="15" customHeight="1" x14ac:dyDescent="0.15"/>
    <row r="43" spans="3:14" customFormat="1" ht="15" customHeight="1" x14ac:dyDescent="0.15"/>
    <row r="44" spans="3:14" customFormat="1" ht="15" customHeight="1" x14ac:dyDescent="0.15"/>
    <row r="45" spans="3:14" customFormat="1" ht="15" customHeight="1" x14ac:dyDescent="0.15"/>
    <row r="46" spans="3:14" customFormat="1" ht="15" customHeight="1" x14ac:dyDescent="0.15"/>
    <row r="47" spans="3:14" customFormat="1" ht="15" customHeight="1" x14ac:dyDescent="0.15"/>
    <row r="48" spans="3:14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3.33203125" style="149" bestFit="1" customWidth="1"/>
    <col min="2" max="2" width="2.33203125" style="149" bestFit="1" customWidth="1"/>
    <col min="3" max="3" width="4.83203125" style="149" bestFit="1" customWidth="1"/>
    <col min="4" max="4" width="5.83203125" style="149" bestFit="1" customWidth="1"/>
    <col min="5" max="5" width="4.83203125" style="149" bestFit="1" customWidth="1"/>
    <col min="6" max="7" width="5.83203125" style="149" bestFit="1" customWidth="1"/>
    <col min="8" max="9" width="4.83203125" style="149" bestFit="1" customWidth="1"/>
    <col min="10" max="11" width="5.83203125" style="149" bestFit="1" customWidth="1"/>
    <col min="12" max="12" width="6.83203125" style="149" bestFit="1" customWidth="1"/>
    <col min="13" max="13" width="5.83203125" style="149" bestFit="1" customWidth="1"/>
    <col min="14" max="14" width="13.83203125" style="149" bestFit="1" customWidth="1"/>
    <col min="15" max="15" width="4.83203125" style="149" bestFit="1" customWidth="1"/>
    <col min="16" max="16" width="13.83203125" style="149" bestFit="1" customWidth="1"/>
    <col min="17" max="17" width="6.83203125" style="149" bestFit="1" customWidth="1"/>
    <col min="18" max="19" width="5.83203125" style="149" bestFit="1" customWidth="1"/>
    <col min="20" max="20" width="4.83203125" style="149" bestFit="1" customWidth="1"/>
    <col min="21" max="21" width="13.83203125" style="149" bestFit="1" customWidth="1"/>
    <col min="22" max="22" width="2.33203125" style="149" bestFit="1" customWidth="1"/>
    <col min="23" max="24" width="5.83203125" style="149" bestFit="1" customWidth="1"/>
    <col min="25" max="26" width="4.83203125" style="149" bestFit="1" customWidth="1"/>
    <col min="27" max="27" width="14.83203125" style="149" bestFit="1" customWidth="1"/>
    <col min="28" max="28" width="6.83203125" style="149" bestFit="1" customWidth="1"/>
    <col min="29" max="29" width="4.83203125" style="149" bestFit="1" customWidth="1"/>
    <col min="30" max="30" width="14.83203125" style="149" customWidth="1"/>
    <col min="31" max="33" width="2.33203125" style="149" customWidth="1"/>
    <col min="34" max="16384" width="8.83203125" style="149"/>
  </cols>
  <sheetData>
    <row r="1" spans="1:34" x14ac:dyDescent="0.15">
      <c r="A1" s="148" t="s">
        <v>19</v>
      </c>
      <c r="B1" s="154" t="s">
        <v>193</v>
      </c>
      <c r="C1" s="154" t="s">
        <v>194</v>
      </c>
      <c r="D1" s="154" t="s">
        <v>195</v>
      </c>
      <c r="E1" s="154" t="s">
        <v>196</v>
      </c>
      <c r="F1" s="154" t="s">
        <v>197</v>
      </c>
      <c r="G1" s="154" t="s">
        <v>198</v>
      </c>
      <c r="H1" s="154" t="s">
        <v>199</v>
      </c>
      <c r="I1" s="154" t="s">
        <v>200</v>
      </c>
      <c r="J1" s="154" t="s">
        <v>201</v>
      </c>
      <c r="K1" s="154" t="s">
        <v>202</v>
      </c>
      <c r="L1" s="154" t="s">
        <v>203</v>
      </c>
      <c r="M1" s="154" t="s">
        <v>204</v>
      </c>
      <c r="N1" s="154" t="s">
        <v>205</v>
      </c>
      <c r="O1" s="154" t="s">
        <v>206</v>
      </c>
      <c r="P1" s="154" t="s">
        <v>207</v>
      </c>
      <c r="Q1" s="154" t="s">
        <v>208</v>
      </c>
      <c r="R1" s="154" t="s">
        <v>209</v>
      </c>
      <c r="S1" s="154" t="s">
        <v>210</v>
      </c>
      <c r="T1" s="154" t="s">
        <v>211</v>
      </c>
      <c r="U1" s="154" t="s">
        <v>212</v>
      </c>
      <c r="V1" s="154" t="s">
        <v>213</v>
      </c>
      <c r="W1" s="154" t="s">
        <v>214</v>
      </c>
      <c r="X1" s="154" t="s">
        <v>215</v>
      </c>
      <c r="Y1" s="154" t="s">
        <v>216</v>
      </c>
      <c r="Z1" s="154" t="s">
        <v>217</v>
      </c>
      <c r="AA1" s="154" t="s">
        <v>218</v>
      </c>
      <c r="AB1" s="154" t="s">
        <v>219</v>
      </c>
      <c r="AC1" s="154" t="s">
        <v>220</v>
      </c>
      <c r="AD1" s="154" t="s">
        <v>221</v>
      </c>
      <c r="AE1" s="154" t="s">
        <v>222</v>
      </c>
      <c r="AF1" s="154" t="s">
        <v>223</v>
      </c>
      <c r="AG1" s="154" t="s">
        <v>224</v>
      </c>
      <c r="AH1"/>
    </row>
    <row r="2" spans="1:34" customFormat="1" x14ac:dyDescent="0.15">
      <c r="A2" s="153" t="s">
        <v>193</v>
      </c>
      <c r="B2" s="149">
        <v>0</v>
      </c>
      <c r="C2" s="149">
        <v>0.6</v>
      </c>
      <c r="D2" s="149">
        <v>0.02</v>
      </c>
      <c r="E2" s="149">
        <v>0</v>
      </c>
      <c r="F2" s="149">
        <v>0</v>
      </c>
      <c r="G2" s="149">
        <v>0</v>
      </c>
      <c r="H2" s="149">
        <v>0</v>
      </c>
      <c r="I2" s="149">
        <v>0</v>
      </c>
      <c r="J2" s="149">
        <v>0</v>
      </c>
      <c r="K2" s="149">
        <v>0</v>
      </c>
      <c r="L2" s="149">
        <v>0</v>
      </c>
      <c r="M2" s="149">
        <v>0</v>
      </c>
      <c r="N2" s="149">
        <v>2.0997900209979003E-2</v>
      </c>
      <c r="O2" s="149">
        <v>0</v>
      </c>
      <c r="P2" s="149">
        <v>0</v>
      </c>
      <c r="Q2" s="149">
        <v>2.5999999999999999E-2</v>
      </c>
      <c r="R2" s="149">
        <v>0.03</v>
      </c>
      <c r="S2" s="149">
        <v>3.2999999999999995E-2</v>
      </c>
      <c r="T2" s="149">
        <v>0</v>
      </c>
      <c r="U2" s="149">
        <v>0</v>
      </c>
      <c r="V2" s="149">
        <v>0</v>
      </c>
      <c r="W2" s="149">
        <v>0.13100000000000001</v>
      </c>
      <c r="X2" s="149">
        <v>0</v>
      </c>
      <c r="Y2" s="149">
        <v>0</v>
      </c>
      <c r="Z2" s="149">
        <v>0.01</v>
      </c>
      <c r="AA2" s="149">
        <v>0</v>
      </c>
      <c r="AB2" s="149">
        <v>0</v>
      </c>
      <c r="AC2" s="149">
        <v>0</v>
      </c>
      <c r="AD2" s="149">
        <v>0</v>
      </c>
      <c r="AE2" s="149">
        <v>0</v>
      </c>
      <c r="AF2" s="149">
        <v>0</v>
      </c>
      <c r="AG2" s="149">
        <v>0</v>
      </c>
    </row>
    <row r="3" spans="1:34" customFormat="1" x14ac:dyDescent="0.15">
      <c r="A3" s="153" t="s">
        <v>194</v>
      </c>
      <c r="B3" s="149">
        <v>0</v>
      </c>
      <c r="C3" s="149">
        <v>0.18</v>
      </c>
      <c r="D3" s="149">
        <v>9.7000000000000003E-2</v>
      </c>
      <c r="E3" s="149">
        <v>0</v>
      </c>
      <c r="F3" s="149">
        <v>0.10299999999999999</v>
      </c>
      <c r="G3" s="149">
        <v>5.0000000000000001E-3</v>
      </c>
      <c r="H3" s="149">
        <v>0.24</v>
      </c>
      <c r="I3" s="149">
        <v>0</v>
      </c>
      <c r="J3" s="149">
        <v>8.9999999999999983E-2</v>
      </c>
      <c r="K3" s="149">
        <v>0.17499999999999999</v>
      </c>
      <c r="L3" s="149">
        <v>0.13900000000000001</v>
      </c>
      <c r="M3" s="149">
        <v>1.7999999999999999E-2</v>
      </c>
      <c r="N3" s="149">
        <v>0.12698730126987301</v>
      </c>
      <c r="O3" s="149">
        <v>0.10000000000000002</v>
      </c>
      <c r="P3" s="149">
        <v>0.13697260547890419</v>
      </c>
      <c r="Q3" s="149">
        <v>0.42299999999999999</v>
      </c>
      <c r="R3" s="149">
        <v>0.22900000000000001</v>
      </c>
      <c r="S3" s="149">
        <v>0.26299999999999996</v>
      </c>
      <c r="T3" s="149">
        <v>0.9</v>
      </c>
      <c r="U3" s="149">
        <v>9.9990000999900019E-2</v>
      </c>
      <c r="V3" s="149">
        <v>1</v>
      </c>
      <c r="W3" s="149">
        <v>0.84899999999999998</v>
      </c>
      <c r="X3" s="149">
        <v>0.69999999999999984</v>
      </c>
      <c r="Y3" s="149">
        <v>0.34</v>
      </c>
      <c r="Z3" s="149">
        <v>0.8</v>
      </c>
      <c r="AA3" s="149">
        <v>4.999500049995001E-2</v>
      </c>
      <c r="AB3" s="149">
        <v>0.05</v>
      </c>
      <c r="AC3" s="149">
        <v>0</v>
      </c>
      <c r="AD3" s="149">
        <v>0</v>
      </c>
      <c r="AE3" s="149">
        <v>0</v>
      </c>
      <c r="AF3" s="149">
        <v>0</v>
      </c>
      <c r="AG3" s="149">
        <v>0</v>
      </c>
    </row>
    <row r="4" spans="1:34" customFormat="1" x14ac:dyDescent="0.15">
      <c r="A4" s="153" t="s">
        <v>195</v>
      </c>
      <c r="B4" s="149">
        <v>0</v>
      </c>
      <c r="C4" s="149">
        <v>0</v>
      </c>
      <c r="D4" s="149">
        <v>0.03</v>
      </c>
      <c r="E4" s="149">
        <v>0</v>
      </c>
      <c r="F4" s="149">
        <v>0.23</v>
      </c>
      <c r="G4" s="149">
        <v>0.06</v>
      </c>
      <c r="H4" s="149">
        <v>0.03</v>
      </c>
      <c r="I4" s="149">
        <v>0</v>
      </c>
      <c r="J4" s="149">
        <v>0.13999999999999999</v>
      </c>
      <c r="K4" s="149">
        <v>0.128</v>
      </c>
      <c r="L4" s="149">
        <v>0.04</v>
      </c>
      <c r="M4" s="149">
        <v>0.04</v>
      </c>
      <c r="N4" s="149">
        <v>0.11498850114988501</v>
      </c>
      <c r="O4" s="149">
        <v>0.15000000000000002</v>
      </c>
      <c r="P4" s="149">
        <v>7.998400319936011E-3</v>
      </c>
      <c r="Q4" s="149">
        <v>9.1499999999999998E-2</v>
      </c>
      <c r="R4" s="149">
        <v>2.9000000000000001E-2</v>
      </c>
      <c r="S4" s="149">
        <v>1.1999999999999997E-2</v>
      </c>
      <c r="T4" s="149">
        <v>0.05</v>
      </c>
      <c r="U4" s="149">
        <v>2.9997000299970003E-2</v>
      </c>
      <c r="V4" s="149">
        <v>0</v>
      </c>
      <c r="W4" s="149">
        <v>0.02</v>
      </c>
      <c r="X4" s="149">
        <v>2.9999999999999992E-2</v>
      </c>
      <c r="Y4" s="149">
        <v>0.05</v>
      </c>
      <c r="Z4" s="149">
        <v>0.15</v>
      </c>
      <c r="AA4" s="149">
        <v>9.9990000999900016E-3</v>
      </c>
      <c r="AB4" s="149">
        <v>0</v>
      </c>
      <c r="AC4" s="149">
        <v>0</v>
      </c>
      <c r="AD4" s="149">
        <v>0</v>
      </c>
      <c r="AE4" s="149">
        <v>0</v>
      </c>
      <c r="AF4" s="149">
        <v>0</v>
      </c>
      <c r="AG4" s="149">
        <v>0</v>
      </c>
    </row>
    <row r="5" spans="1:34" customFormat="1" x14ac:dyDescent="0.15">
      <c r="A5" s="153" t="s">
        <v>196</v>
      </c>
      <c r="B5" s="149">
        <v>0</v>
      </c>
      <c r="C5" s="149">
        <v>0</v>
      </c>
      <c r="D5" s="149">
        <v>0.02</v>
      </c>
      <c r="E5" s="149">
        <v>0.03</v>
      </c>
      <c r="F5" s="149">
        <v>0.2</v>
      </c>
      <c r="G5" s="149">
        <v>0.41</v>
      </c>
      <c r="H5" s="149">
        <v>0.02</v>
      </c>
      <c r="I5" s="149">
        <v>0.02</v>
      </c>
      <c r="J5" s="149">
        <v>5.9999999999999984E-2</v>
      </c>
      <c r="K5" s="149">
        <v>7.4999999999999997E-2</v>
      </c>
      <c r="L5" s="149">
        <v>0.18049999999999999</v>
      </c>
      <c r="M5" s="149">
        <v>0.06</v>
      </c>
      <c r="N5" s="149">
        <v>0.305969403059694</v>
      </c>
      <c r="O5" s="149">
        <v>0</v>
      </c>
      <c r="P5" s="149">
        <v>0</v>
      </c>
      <c r="Q5" s="149">
        <v>0.27450000000000002</v>
      </c>
      <c r="R5" s="149">
        <v>6.0999999999999999E-2</v>
      </c>
      <c r="S5" s="149">
        <v>5.8999999999999983E-2</v>
      </c>
      <c r="T5" s="149">
        <v>0.04</v>
      </c>
      <c r="U5" s="149">
        <v>4.999500049995001E-2</v>
      </c>
      <c r="V5" s="149">
        <v>0</v>
      </c>
      <c r="W5" s="149">
        <v>0</v>
      </c>
      <c r="X5" s="149">
        <v>4.9999999999999989E-2</v>
      </c>
      <c r="Y5" s="149">
        <v>0</v>
      </c>
      <c r="Z5" s="149">
        <v>0</v>
      </c>
      <c r="AA5" s="149">
        <v>2.4997500249975004E-3</v>
      </c>
      <c r="AB5" s="149">
        <v>0.18</v>
      </c>
      <c r="AC5" s="149">
        <v>0</v>
      </c>
      <c r="AD5" s="149">
        <v>0</v>
      </c>
      <c r="AE5" s="149">
        <v>0</v>
      </c>
      <c r="AF5" s="149">
        <v>0</v>
      </c>
      <c r="AG5" s="149">
        <v>0</v>
      </c>
    </row>
    <row r="6" spans="1:34" customFormat="1" x14ac:dyDescent="0.15">
      <c r="A6" s="153" t="s">
        <v>197</v>
      </c>
      <c r="B6" s="149">
        <v>0</v>
      </c>
      <c r="C6" s="149">
        <v>0</v>
      </c>
      <c r="D6" s="149">
        <v>0</v>
      </c>
      <c r="E6" s="149">
        <v>0</v>
      </c>
      <c r="F6" s="149">
        <v>0.04</v>
      </c>
      <c r="G6" s="149">
        <v>1.4999999999999999E-2</v>
      </c>
      <c r="H6" s="149">
        <v>0.11</v>
      </c>
      <c r="I6" s="149">
        <v>0</v>
      </c>
      <c r="J6" s="149">
        <v>9.999999999999998E-4</v>
      </c>
      <c r="K6" s="149">
        <v>5.0000000000000001E-3</v>
      </c>
      <c r="L6" s="149">
        <v>0.122</v>
      </c>
      <c r="M6" s="149">
        <v>1E-3</v>
      </c>
      <c r="N6" s="149">
        <v>4.999500049995001E-2</v>
      </c>
      <c r="O6" s="149">
        <v>5.000000000000001E-2</v>
      </c>
      <c r="P6" s="149">
        <v>9.9980003999200143E-5</v>
      </c>
      <c r="Q6" s="149">
        <v>0.05</v>
      </c>
      <c r="R6" s="149">
        <v>6.6000000000000003E-2</v>
      </c>
      <c r="S6" s="149">
        <v>8.699999999999998E-2</v>
      </c>
      <c r="T6" s="149">
        <v>0.01</v>
      </c>
      <c r="U6" s="149">
        <v>1.8998100189981E-2</v>
      </c>
      <c r="V6" s="149">
        <v>0</v>
      </c>
      <c r="W6" s="149">
        <v>0</v>
      </c>
      <c r="X6" s="149">
        <v>9.9999999999999985E-3</v>
      </c>
      <c r="Y6" s="149">
        <v>0.01</v>
      </c>
      <c r="Z6" s="149">
        <v>0</v>
      </c>
      <c r="AA6" s="149">
        <v>1.7498250174982504E-2</v>
      </c>
      <c r="AB6" s="149">
        <v>0</v>
      </c>
      <c r="AC6" s="149">
        <v>0</v>
      </c>
      <c r="AD6" s="149">
        <v>0</v>
      </c>
      <c r="AE6" s="149">
        <v>0</v>
      </c>
      <c r="AF6" s="149">
        <v>0</v>
      </c>
      <c r="AG6" s="149">
        <v>0</v>
      </c>
    </row>
    <row r="7" spans="1:34" customFormat="1" x14ac:dyDescent="0.15">
      <c r="A7" s="153" t="s">
        <v>198</v>
      </c>
      <c r="B7" s="149">
        <v>0</v>
      </c>
      <c r="C7" s="149">
        <v>0</v>
      </c>
      <c r="D7" s="149">
        <v>0</v>
      </c>
      <c r="E7" s="149">
        <v>0</v>
      </c>
      <c r="F7" s="149">
        <v>2.5999999999999999E-2</v>
      </c>
      <c r="G7" s="149">
        <v>0.02</v>
      </c>
      <c r="H7" s="149">
        <v>7.0000000000000007E-2</v>
      </c>
      <c r="I7" s="149">
        <v>0</v>
      </c>
      <c r="J7" s="149">
        <v>1.9999999999999997E-2</v>
      </c>
      <c r="K7" s="149">
        <v>6.0000000000000001E-3</v>
      </c>
      <c r="L7" s="149">
        <v>7.9500000000000001E-2</v>
      </c>
      <c r="M7" s="149">
        <v>0</v>
      </c>
      <c r="N7" s="149">
        <v>3.9996000399960003E-3</v>
      </c>
      <c r="O7" s="149">
        <v>6.0000000000000005E-2</v>
      </c>
      <c r="P7" s="149">
        <v>0</v>
      </c>
      <c r="Q7" s="149">
        <v>1.4999999999999999E-2</v>
      </c>
      <c r="R7" s="149">
        <v>0.06</v>
      </c>
      <c r="S7" s="149">
        <v>5.9999999999999984E-2</v>
      </c>
      <c r="T7" s="149">
        <v>0</v>
      </c>
      <c r="U7" s="149">
        <v>1.7998200179982E-2</v>
      </c>
      <c r="V7" s="149">
        <v>0</v>
      </c>
      <c r="W7" s="149">
        <v>0</v>
      </c>
      <c r="X7" s="149">
        <v>9.9999999999999985E-3</v>
      </c>
      <c r="Y7" s="149">
        <v>0</v>
      </c>
      <c r="Z7" s="149">
        <v>0</v>
      </c>
      <c r="AA7" s="149">
        <v>0</v>
      </c>
      <c r="AB7" s="149">
        <v>0.13800000000000001</v>
      </c>
      <c r="AC7" s="149">
        <v>0</v>
      </c>
      <c r="AD7" s="149">
        <v>0</v>
      </c>
      <c r="AE7" s="149">
        <v>0</v>
      </c>
      <c r="AF7" s="149">
        <v>0</v>
      </c>
      <c r="AG7" s="149">
        <v>0</v>
      </c>
    </row>
    <row r="8" spans="1:34" customFormat="1" x14ac:dyDescent="0.15">
      <c r="A8" s="153" t="s">
        <v>199</v>
      </c>
      <c r="B8" s="149">
        <v>0</v>
      </c>
      <c r="C8" s="149">
        <v>0</v>
      </c>
      <c r="D8" s="149">
        <v>0</v>
      </c>
      <c r="E8" s="149">
        <v>0</v>
      </c>
      <c r="F8" s="149">
        <v>0</v>
      </c>
      <c r="G8" s="149">
        <v>0.01</v>
      </c>
      <c r="H8" s="149">
        <v>0</v>
      </c>
      <c r="I8" s="149">
        <v>0</v>
      </c>
      <c r="J8" s="149">
        <v>3.9999999999999994E-2</v>
      </c>
      <c r="K8" s="149">
        <v>0</v>
      </c>
      <c r="L8" s="149">
        <v>0</v>
      </c>
      <c r="M8" s="149">
        <v>3.9E-2</v>
      </c>
      <c r="N8" s="149">
        <v>0</v>
      </c>
      <c r="O8" s="149">
        <v>0</v>
      </c>
      <c r="P8" s="149">
        <v>6.9986002799440103E-2</v>
      </c>
      <c r="Q8" s="149">
        <v>0</v>
      </c>
      <c r="R8" s="149">
        <v>4.2999999999999997E-2</v>
      </c>
      <c r="S8" s="149">
        <v>0</v>
      </c>
      <c r="T8" s="149">
        <v>0</v>
      </c>
      <c r="U8" s="149">
        <v>0</v>
      </c>
      <c r="V8" s="149">
        <v>0</v>
      </c>
      <c r="W8" s="149">
        <v>0</v>
      </c>
      <c r="X8" s="149">
        <v>0</v>
      </c>
      <c r="Y8" s="149">
        <v>0</v>
      </c>
      <c r="Z8" s="149">
        <v>0</v>
      </c>
      <c r="AA8" s="149">
        <v>0</v>
      </c>
      <c r="AB8" s="149">
        <v>0</v>
      </c>
      <c r="AC8" s="149">
        <v>0</v>
      </c>
      <c r="AD8" s="149">
        <v>0</v>
      </c>
      <c r="AE8" s="149">
        <v>0</v>
      </c>
      <c r="AF8" s="149">
        <v>0</v>
      </c>
      <c r="AG8" s="149">
        <v>0</v>
      </c>
    </row>
    <row r="9" spans="1:34" customFormat="1" x14ac:dyDescent="0.15">
      <c r="A9" s="153" t="s">
        <v>200</v>
      </c>
      <c r="B9" s="149">
        <v>0</v>
      </c>
      <c r="C9" s="149">
        <v>0</v>
      </c>
      <c r="D9" s="149">
        <v>0.03</v>
      </c>
      <c r="E9" s="149">
        <v>0.06</v>
      </c>
      <c r="F9" s="149">
        <v>0.28000000000000003</v>
      </c>
      <c r="G9" s="149">
        <v>0.31</v>
      </c>
      <c r="H9" s="149">
        <v>0.14000000000000001</v>
      </c>
      <c r="I9" s="149">
        <v>0.03</v>
      </c>
      <c r="J9" s="149">
        <v>0.52899999999999991</v>
      </c>
      <c r="K9" s="149">
        <v>0.02</v>
      </c>
      <c r="L9" s="149">
        <v>2.4500000000000001E-2</v>
      </c>
      <c r="M9" s="149">
        <v>0.09</v>
      </c>
      <c r="N9" s="149">
        <v>4.2995700429956998E-2</v>
      </c>
      <c r="O9" s="149">
        <v>1.0000000000000002E-2</v>
      </c>
      <c r="P9" s="149">
        <v>2.9994001199760041E-2</v>
      </c>
      <c r="Q9" s="149">
        <v>0.12</v>
      </c>
      <c r="R9" s="149">
        <v>4.1000000000000002E-2</v>
      </c>
      <c r="S9" s="149">
        <v>0.17699999999999996</v>
      </c>
      <c r="T9" s="149">
        <v>0</v>
      </c>
      <c r="U9" s="149">
        <v>9.9990000999900019E-2</v>
      </c>
      <c r="V9" s="149">
        <v>0</v>
      </c>
      <c r="W9" s="149">
        <v>0</v>
      </c>
      <c r="X9" s="149">
        <v>4.9999999999999989E-2</v>
      </c>
      <c r="Y9" s="149">
        <v>0.09</v>
      </c>
      <c r="Z9" s="149">
        <v>0.01</v>
      </c>
      <c r="AA9" s="149">
        <v>4.6495350464953504E-2</v>
      </c>
      <c r="AB9" s="149">
        <v>0.32</v>
      </c>
      <c r="AC9" s="149">
        <v>0</v>
      </c>
      <c r="AD9" s="149">
        <v>0</v>
      </c>
      <c r="AE9" s="149">
        <v>0</v>
      </c>
      <c r="AF9" s="149">
        <v>0</v>
      </c>
      <c r="AG9" s="149">
        <v>0</v>
      </c>
    </row>
    <row r="10" spans="1:34" customFormat="1" x14ac:dyDescent="0.15">
      <c r="A10" s="153" t="s">
        <v>201</v>
      </c>
      <c r="B10" s="149">
        <v>0</v>
      </c>
      <c r="C10" s="149">
        <v>0</v>
      </c>
      <c r="D10" s="149">
        <v>0</v>
      </c>
      <c r="E10" s="149">
        <v>0</v>
      </c>
      <c r="F10" s="149">
        <v>0.01</v>
      </c>
      <c r="G10" s="149">
        <v>0</v>
      </c>
      <c r="H10" s="149">
        <v>0</v>
      </c>
      <c r="I10" s="149">
        <v>0</v>
      </c>
      <c r="J10" s="149">
        <v>4.9999999999999989E-2</v>
      </c>
      <c r="K10" s="149">
        <v>0.01</v>
      </c>
      <c r="L10" s="149">
        <v>0</v>
      </c>
      <c r="M10" s="149">
        <v>0.03</v>
      </c>
      <c r="N10" s="149">
        <v>3.9996000399960006E-2</v>
      </c>
      <c r="O10" s="149">
        <v>1.0000000000000002E-2</v>
      </c>
      <c r="P10" s="149">
        <v>5.1989602079584071E-2</v>
      </c>
      <c r="Q10" s="149">
        <v>0</v>
      </c>
      <c r="R10" s="149">
        <v>8.9999999999999993E-3</v>
      </c>
      <c r="S10" s="149">
        <v>2.8999999999999995E-2</v>
      </c>
      <c r="T10" s="149">
        <v>0</v>
      </c>
      <c r="U10" s="149">
        <v>9.9990000999900007E-4</v>
      </c>
      <c r="V10" s="149">
        <v>0</v>
      </c>
      <c r="W10" s="149">
        <v>0</v>
      </c>
      <c r="X10" s="149">
        <v>1.9999999999999997E-2</v>
      </c>
      <c r="Y10" s="149">
        <v>0</v>
      </c>
      <c r="Z10" s="149">
        <v>0</v>
      </c>
      <c r="AA10" s="149">
        <v>9.9990000999900015E-5</v>
      </c>
      <c r="AB10" s="149">
        <v>0.01</v>
      </c>
      <c r="AC10" s="149">
        <v>0</v>
      </c>
      <c r="AD10" s="149">
        <v>9.9970008997300793E-3</v>
      </c>
      <c r="AE10" s="149">
        <v>0</v>
      </c>
      <c r="AF10" s="149">
        <v>0</v>
      </c>
      <c r="AG10" s="149">
        <v>0</v>
      </c>
    </row>
    <row r="11" spans="1:34" customFormat="1" x14ac:dyDescent="0.15">
      <c r="A11" s="153" t="s">
        <v>202</v>
      </c>
      <c r="B11" s="149">
        <v>0</v>
      </c>
      <c r="C11" s="149">
        <v>0</v>
      </c>
      <c r="D11" s="149">
        <v>0</v>
      </c>
      <c r="E11" s="149">
        <v>0</v>
      </c>
      <c r="F11" s="149">
        <v>0</v>
      </c>
      <c r="G11" s="149">
        <v>0</v>
      </c>
      <c r="H11" s="149">
        <v>0</v>
      </c>
      <c r="I11" s="149">
        <v>0</v>
      </c>
      <c r="J11" s="149">
        <v>0</v>
      </c>
      <c r="K11" s="149">
        <v>5.1999999999999998E-2</v>
      </c>
      <c r="L11" s="149">
        <v>0</v>
      </c>
      <c r="M11" s="149">
        <v>0</v>
      </c>
      <c r="N11" s="149">
        <v>0</v>
      </c>
      <c r="O11" s="149">
        <v>0</v>
      </c>
      <c r="P11" s="149">
        <v>7.998400319936011E-2</v>
      </c>
      <c r="Q11" s="149">
        <v>0</v>
      </c>
      <c r="R11" s="149">
        <v>0</v>
      </c>
      <c r="S11" s="149">
        <v>0</v>
      </c>
      <c r="T11" s="149">
        <v>0</v>
      </c>
      <c r="U11" s="149">
        <v>6.9993000699930016E-2</v>
      </c>
      <c r="V11" s="149">
        <v>0</v>
      </c>
      <c r="W11" s="149">
        <v>0</v>
      </c>
      <c r="X11" s="149">
        <v>4.9999999999999989E-2</v>
      </c>
      <c r="Y11" s="149">
        <v>0.01</v>
      </c>
      <c r="Z11" s="149">
        <v>0</v>
      </c>
      <c r="AA11" s="149">
        <v>9.2490750924907508E-2</v>
      </c>
      <c r="AB11" s="149">
        <v>0.01</v>
      </c>
      <c r="AC11" s="149">
        <v>0</v>
      </c>
      <c r="AD11" s="149">
        <v>0.12196341097670696</v>
      </c>
      <c r="AE11" s="149">
        <v>0</v>
      </c>
      <c r="AF11" s="149">
        <v>0</v>
      </c>
      <c r="AG11" s="149">
        <v>0</v>
      </c>
    </row>
    <row r="12" spans="1:34" customFormat="1" x14ac:dyDescent="0.15">
      <c r="A12" s="153" t="s">
        <v>203</v>
      </c>
      <c r="B12" s="149">
        <v>0</v>
      </c>
      <c r="C12" s="149">
        <v>0</v>
      </c>
      <c r="D12" s="149">
        <v>0</v>
      </c>
      <c r="E12" s="149">
        <v>0</v>
      </c>
      <c r="F12" s="149">
        <v>0</v>
      </c>
      <c r="G12" s="149">
        <v>0</v>
      </c>
      <c r="H12" s="149">
        <v>0</v>
      </c>
      <c r="I12" s="149">
        <v>0</v>
      </c>
      <c r="J12" s="149">
        <v>0</v>
      </c>
      <c r="K12" s="149">
        <v>6.0000000000000001E-3</v>
      </c>
      <c r="L12" s="149">
        <v>0</v>
      </c>
      <c r="M12" s="149">
        <v>1E-3</v>
      </c>
      <c r="N12" s="149">
        <v>0</v>
      </c>
      <c r="O12" s="149">
        <v>5.000000000000001E-2</v>
      </c>
      <c r="P12" s="149">
        <v>0</v>
      </c>
      <c r="Q12" s="149">
        <v>0</v>
      </c>
      <c r="R12" s="149">
        <v>4.0000000000000001E-3</v>
      </c>
      <c r="S12" s="149">
        <v>0</v>
      </c>
      <c r="T12" s="149">
        <v>0</v>
      </c>
      <c r="U12" s="149">
        <v>1.3998600139986002E-2</v>
      </c>
      <c r="V12" s="149">
        <v>0</v>
      </c>
      <c r="W12" s="149">
        <v>0</v>
      </c>
      <c r="X12" s="149">
        <v>0</v>
      </c>
      <c r="Y12" s="149">
        <v>0</v>
      </c>
      <c r="Z12" s="149">
        <v>0</v>
      </c>
      <c r="AA12" s="149">
        <v>2.4997500249975004E-3</v>
      </c>
      <c r="AB12" s="149">
        <v>3.0000000000000001E-3</v>
      </c>
      <c r="AC12" s="149">
        <v>0</v>
      </c>
      <c r="AD12" s="149">
        <v>0</v>
      </c>
      <c r="AE12" s="149">
        <v>0</v>
      </c>
      <c r="AF12" s="149">
        <v>0</v>
      </c>
      <c r="AG12" s="149">
        <v>0</v>
      </c>
    </row>
    <row r="13" spans="1:34" customFormat="1" x14ac:dyDescent="0.15">
      <c r="A13" s="153" t="s">
        <v>204</v>
      </c>
      <c r="B13" s="149">
        <v>0</v>
      </c>
      <c r="C13" s="149">
        <v>0</v>
      </c>
      <c r="D13" s="149">
        <v>0</v>
      </c>
      <c r="E13" s="149">
        <v>0</v>
      </c>
      <c r="F13" s="149">
        <v>0</v>
      </c>
      <c r="G13" s="149">
        <v>0</v>
      </c>
      <c r="H13" s="149">
        <v>0</v>
      </c>
      <c r="I13" s="149">
        <v>0</v>
      </c>
      <c r="J13" s="149">
        <v>0</v>
      </c>
      <c r="K13" s="149">
        <v>0</v>
      </c>
      <c r="L13" s="149">
        <v>0</v>
      </c>
      <c r="M13" s="149">
        <v>3.6999999999999998E-2</v>
      </c>
      <c r="N13" s="149">
        <v>0</v>
      </c>
      <c r="O13" s="149">
        <v>0</v>
      </c>
      <c r="P13" s="149">
        <v>0</v>
      </c>
      <c r="Q13" s="149">
        <v>0</v>
      </c>
      <c r="R13" s="149">
        <v>0</v>
      </c>
      <c r="S13" s="149">
        <v>0</v>
      </c>
      <c r="T13" s="149">
        <v>0</v>
      </c>
      <c r="U13" s="149">
        <v>0.15698430156984303</v>
      </c>
      <c r="V13" s="149">
        <v>0</v>
      </c>
      <c r="W13" s="149">
        <v>0</v>
      </c>
      <c r="X13" s="149">
        <v>0</v>
      </c>
      <c r="Y13" s="149">
        <v>0</v>
      </c>
      <c r="Z13" s="149">
        <v>0</v>
      </c>
      <c r="AA13" s="149">
        <v>0</v>
      </c>
      <c r="AB13" s="149">
        <v>0</v>
      </c>
      <c r="AC13" s="149">
        <v>0</v>
      </c>
      <c r="AD13" s="149">
        <v>0</v>
      </c>
      <c r="AE13" s="149">
        <v>0</v>
      </c>
      <c r="AF13" s="149">
        <v>0</v>
      </c>
      <c r="AG13" s="149">
        <v>0</v>
      </c>
    </row>
    <row r="14" spans="1:34" customFormat="1" x14ac:dyDescent="0.15">
      <c r="A14" s="153" t="s">
        <v>205</v>
      </c>
      <c r="B14" s="149">
        <v>0</v>
      </c>
      <c r="C14" s="149">
        <v>0</v>
      </c>
      <c r="D14" s="149">
        <v>0</v>
      </c>
      <c r="E14" s="149">
        <v>0</v>
      </c>
      <c r="F14" s="149">
        <v>0</v>
      </c>
      <c r="G14" s="149">
        <v>0</v>
      </c>
      <c r="H14" s="149">
        <v>0</v>
      </c>
      <c r="I14" s="149">
        <v>0</v>
      </c>
      <c r="J14" s="149">
        <v>0</v>
      </c>
      <c r="K14" s="149">
        <v>0</v>
      </c>
      <c r="L14" s="149">
        <v>0</v>
      </c>
      <c r="M14" s="149">
        <v>2.8000000000000001E-2</v>
      </c>
      <c r="N14" s="149">
        <v>3.9996000399960006E-2</v>
      </c>
      <c r="O14" s="149">
        <v>0</v>
      </c>
      <c r="P14" s="149">
        <v>3.9992001599680055E-2</v>
      </c>
      <c r="Q14" s="149">
        <v>0</v>
      </c>
      <c r="R14" s="149">
        <v>0</v>
      </c>
      <c r="S14" s="149">
        <v>0</v>
      </c>
      <c r="T14" s="149">
        <v>0</v>
      </c>
      <c r="U14" s="149">
        <v>5.4994500549945008E-2</v>
      </c>
      <c r="V14" s="149">
        <v>0</v>
      </c>
      <c r="W14" s="149">
        <v>0</v>
      </c>
      <c r="X14" s="149">
        <v>9.9999999999999985E-3</v>
      </c>
      <c r="Y14" s="149">
        <v>0</v>
      </c>
      <c r="Z14" s="149">
        <v>0</v>
      </c>
      <c r="AA14" s="149">
        <v>0</v>
      </c>
      <c r="AB14" s="149">
        <v>0</v>
      </c>
      <c r="AC14" s="149">
        <v>0</v>
      </c>
      <c r="AD14" s="149">
        <v>2.9991002699190233E-4</v>
      </c>
      <c r="AE14" s="149">
        <v>0</v>
      </c>
      <c r="AF14" s="149">
        <v>0</v>
      </c>
      <c r="AG14" s="149">
        <v>0</v>
      </c>
    </row>
    <row r="15" spans="1:34" customFormat="1" x14ac:dyDescent="0.15">
      <c r="A15" s="153" t="s">
        <v>206</v>
      </c>
      <c r="B15" s="149">
        <v>0</v>
      </c>
      <c r="C15" s="149">
        <v>0</v>
      </c>
      <c r="D15" s="149">
        <v>0</v>
      </c>
      <c r="E15" s="149">
        <v>0</v>
      </c>
      <c r="F15" s="149">
        <v>0</v>
      </c>
      <c r="G15" s="149">
        <v>0</v>
      </c>
      <c r="H15" s="149">
        <v>0</v>
      </c>
      <c r="I15" s="149">
        <v>0</v>
      </c>
      <c r="J15" s="149">
        <v>0</v>
      </c>
      <c r="K15" s="149">
        <v>3.0000000000000001E-3</v>
      </c>
      <c r="L15" s="149">
        <v>0</v>
      </c>
      <c r="M15" s="149">
        <v>1E-3</v>
      </c>
      <c r="N15" s="149">
        <v>1.4998500149985002E-2</v>
      </c>
      <c r="O15" s="149">
        <v>1.0000000000000002E-2</v>
      </c>
      <c r="P15" s="149">
        <v>1.9996000799840027E-2</v>
      </c>
      <c r="Q15" s="149">
        <v>0</v>
      </c>
      <c r="R15" s="149">
        <v>4.0000000000000001E-3</v>
      </c>
      <c r="S15" s="149">
        <v>2.9999999999999992E-2</v>
      </c>
      <c r="T15" s="149">
        <v>0</v>
      </c>
      <c r="U15" s="149">
        <v>9.9990000999900007E-4</v>
      </c>
      <c r="V15" s="149">
        <v>0</v>
      </c>
      <c r="W15" s="149">
        <v>0</v>
      </c>
      <c r="X15" s="149">
        <v>9.9999999999999985E-3</v>
      </c>
      <c r="Y15" s="149">
        <v>0.01</v>
      </c>
      <c r="Z15" s="149">
        <v>0</v>
      </c>
      <c r="AA15" s="149">
        <v>2.1997800219978002E-2</v>
      </c>
      <c r="AB15" s="149">
        <v>0</v>
      </c>
      <c r="AC15" s="149">
        <v>0</v>
      </c>
      <c r="AD15" s="149">
        <v>0</v>
      </c>
      <c r="AE15" s="149">
        <v>0</v>
      </c>
      <c r="AF15" s="149">
        <v>0</v>
      </c>
      <c r="AG15" s="149">
        <v>0</v>
      </c>
    </row>
    <row r="16" spans="1:34" customFormat="1" x14ac:dyDescent="0.15">
      <c r="A16" s="153" t="s">
        <v>207</v>
      </c>
      <c r="B16" s="149">
        <v>0</v>
      </c>
      <c r="C16" s="149">
        <v>0</v>
      </c>
      <c r="D16" s="149">
        <v>0</v>
      </c>
      <c r="E16" s="149">
        <v>0</v>
      </c>
      <c r="F16" s="149">
        <v>0</v>
      </c>
      <c r="G16" s="149">
        <v>0</v>
      </c>
      <c r="H16" s="149">
        <v>0</v>
      </c>
      <c r="I16" s="149">
        <v>0</v>
      </c>
      <c r="J16" s="149">
        <v>0</v>
      </c>
      <c r="K16" s="149">
        <v>2E-3</v>
      </c>
      <c r="L16" s="149">
        <v>0</v>
      </c>
      <c r="M16" s="149">
        <v>0.18</v>
      </c>
      <c r="N16" s="149">
        <v>0</v>
      </c>
      <c r="O16" s="149">
        <v>0</v>
      </c>
      <c r="P16" s="149">
        <v>4.9990001999600076E-2</v>
      </c>
      <c r="Q16" s="149">
        <v>0</v>
      </c>
      <c r="R16" s="149">
        <v>0</v>
      </c>
      <c r="S16" s="149">
        <v>0</v>
      </c>
      <c r="T16" s="149">
        <v>0</v>
      </c>
      <c r="U16" s="149">
        <v>7.9992000799920013E-2</v>
      </c>
      <c r="V16" s="149">
        <v>0</v>
      </c>
      <c r="W16" s="149">
        <v>0</v>
      </c>
      <c r="X16" s="149">
        <v>0</v>
      </c>
      <c r="Y16" s="149">
        <v>0</v>
      </c>
      <c r="Z16" s="149">
        <v>0</v>
      </c>
      <c r="AA16" s="149">
        <v>7.4992500749925008E-3</v>
      </c>
      <c r="AB16" s="149">
        <v>0</v>
      </c>
      <c r="AC16" s="149">
        <v>0</v>
      </c>
      <c r="AD16" s="149">
        <v>4.1987403778866332E-2</v>
      </c>
      <c r="AE16" s="149">
        <v>0</v>
      </c>
      <c r="AF16" s="149">
        <v>0</v>
      </c>
      <c r="AG16" s="149">
        <v>0</v>
      </c>
    </row>
    <row r="17" spans="1:33" customFormat="1" x14ac:dyDescent="0.15">
      <c r="A17" s="153" t="s">
        <v>208</v>
      </c>
      <c r="B17" s="149">
        <v>0</v>
      </c>
      <c r="C17" s="149">
        <v>0</v>
      </c>
      <c r="D17" s="149">
        <v>0</v>
      </c>
      <c r="E17" s="149">
        <v>0</v>
      </c>
      <c r="F17" s="149">
        <v>0</v>
      </c>
      <c r="G17" s="149">
        <v>5.0000000000000001E-3</v>
      </c>
      <c r="H17" s="149">
        <v>0</v>
      </c>
      <c r="I17" s="149">
        <v>0</v>
      </c>
      <c r="J17" s="149">
        <v>0</v>
      </c>
      <c r="K17" s="149">
        <v>8.0000000000000002E-3</v>
      </c>
      <c r="L17" s="149">
        <v>1.4500000000000001E-2</v>
      </c>
      <c r="M17" s="149">
        <v>3.5999999999999997E-2</v>
      </c>
      <c r="N17" s="149">
        <v>4.999500049995001E-2</v>
      </c>
      <c r="O17" s="149">
        <v>7.0000000000000021E-2</v>
      </c>
      <c r="P17" s="149">
        <v>5.9988002399520082E-2</v>
      </c>
      <c r="Q17" s="149">
        <v>0</v>
      </c>
      <c r="R17" s="149">
        <v>8.6999999999999994E-2</v>
      </c>
      <c r="S17" s="149">
        <v>5.4999999999999986E-2</v>
      </c>
      <c r="T17" s="149">
        <v>0</v>
      </c>
      <c r="U17" s="149">
        <v>9.9990000999900016E-3</v>
      </c>
      <c r="V17" s="149">
        <v>0</v>
      </c>
      <c r="W17" s="149">
        <v>0</v>
      </c>
      <c r="X17" s="149">
        <v>0</v>
      </c>
      <c r="Y17" s="149">
        <v>0.01</v>
      </c>
      <c r="Z17" s="149">
        <v>0</v>
      </c>
      <c r="AA17" s="149">
        <v>1.2498750124987502E-2</v>
      </c>
      <c r="AB17" s="149">
        <v>5.0000000000000001E-4</v>
      </c>
      <c r="AC17" s="149">
        <v>0</v>
      </c>
      <c r="AD17" s="149">
        <v>0.11296611016694989</v>
      </c>
      <c r="AE17" s="149">
        <v>0</v>
      </c>
      <c r="AF17" s="149">
        <v>0</v>
      </c>
      <c r="AG17" s="149">
        <v>0</v>
      </c>
    </row>
    <row r="18" spans="1:33" customFormat="1" x14ac:dyDescent="0.15">
      <c r="A18" s="153" t="s">
        <v>209</v>
      </c>
      <c r="B18" s="149">
        <v>0</v>
      </c>
      <c r="C18" s="149">
        <v>0</v>
      </c>
      <c r="D18" s="149">
        <v>0</v>
      </c>
      <c r="E18" s="149">
        <v>0</v>
      </c>
      <c r="F18" s="149">
        <v>0</v>
      </c>
      <c r="G18" s="149">
        <v>0</v>
      </c>
      <c r="H18" s="149">
        <v>0</v>
      </c>
      <c r="I18" s="149">
        <v>0</v>
      </c>
      <c r="J18" s="149">
        <v>1.9999999999999997E-2</v>
      </c>
      <c r="K18" s="149">
        <v>0</v>
      </c>
      <c r="L18" s="149">
        <v>0</v>
      </c>
      <c r="M18" s="149">
        <v>0.05</v>
      </c>
      <c r="N18" s="149">
        <v>8.5991400859913997E-2</v>
      </c>
      <c r="O18" s="149">
        <v>0</v>
      </c>
      <c r="P18" s="149">
        <v>2.9994001199760041E-2</v>
      </c>
      <c r="Q18" s="149">
        <v>0</v>
      </c>
      <c r="R18" s="149">
        <v>0.12</v>
      </c>
      <c r="S18" s="149">
        <v>5.6999999999999988E-2</v>
      </c>
      <c r="T18" s="149">
        <v>0</v>
      </c>
      <c r="U18" s="149">
        <v>1.9998000199980003E-2</v>
      </c>
      <c r="V18" s="149">
        <v>0</v>
      </c>
      <c r="W18" s="149">
        <v>0</v>
      </c>
      <c r="X18" s="149">
        <v>0</v>
      </c>
      <c r="Y18" s="149">
        <v>0</v>
      </c>
      <c r="Z18" s="149">
        <v>0</v>
      </c>
      <c r="AA18" s="149">
        <v>0</v>
      </c>
      <c r="AB18" s="149">
        <v>0</v>
      </c>
      <c r="AC18" s="149">
        <v>0</v>
      </c>
      <c r="AD18" s="149">
        <v>0.13495951214635607</v>
      </c>
      <c r="AE18" s="149">
        <v>0</v>
      </c>
      <c r="AF18" s="149">
        <v>0</v>
      </c>
      <c r="AG18" s="149">
        <v>0</v>
      </c>
    </row>
    <row r="19" spans="1:33" customFormat="1" x14ac:dyDescent="0.15">
      <c r="A19" s="153" t="s">
        <v>210</v>
      </c>
      <c r="B19" s="149">
        <v>0</v>
      </c>
      <c r="C19" s="149">
        <v>0</v>
      </c>
      <c r="D19" s="149">
        <v>0</v>
      </c>
      <c r="E19" s="149">
        <v>0</v>
      </c>
      <c r="F19" s="149">
        <v>0</v>
      </c>
      <c r="G19" s="149">
        <v>2E-3</v>
      </c>
      <c r="H19" s="149">
        <v>0</v>
      </c>
      <c r="I19" s="149">
        <v>0</v>
      </c>
      <c r="J19" s="149">
        <v>3.9999999999999994E-2</v>
      </c>
      <c r="K19" s="149">
        <v>0</v>
      </c>
      <c r="L19" s="149">
        <v>0</v>
      </c>
      <c r="M19" s="149">
        <v>0</v>
      </c>
      <c r="N19" s="149">
        <v>5.9994000599940006E-2</v>
      </c>
      <c r="O19" s="149">
        <v>0.10000000000000002</v>
      </c>
      <c r="P19" s="149">
        <v>6.0987802439512087E-2</v>
      </c>
      <c r="Q19" s="149">
        <v>0</v>
      </c>
      <c r="R19" s="149">
        <v>0</v>
      </c>
      <c r="S19" s="149">
        <v>0</v>
      </c>
      <c r="T19" s="149">
        <v>0</v>
      </c>
      <c r="U19" s="149">
        <v>1.9998000199980003E-2</v>
      </c>
      <c r="V19" s="149">
        <v>0</v>
      </c>
      <c r="W19" s="149">
        <v>0</v>
      </c>
      <c r="X19" s="149">
        <v>0</v>
      </c>
      <c r="Y19" s="149">
        <v>0</v>
      </c>
      <c r="Z19" s="149">
        <v>0</v>
      </c>
      <c r="AA19" s="149">
        <v>0</v>
      </c>
      <c r="AB19" s="149">
        <v>8.5000000000000006E-3</v>
      </c>
      <c r="AC19" s="149">
        <v>0</v>
      </c>
      <c r="AD19" s="149">
        <v>0.13595921223632909</v>
      </c>
      <c r="AE19" s="149">
        <v>0</v>
      </c>
      <c r="AF19" s="149">
        <v>0</v>
      </c>
      <c r="AG19" s="149">
        <v>0</v>
      </c>
    </row>
    <row r="20" spans="1:33" customFormat="1" x14ac:dyDescent="0.15">
      <c r="A20" s="153" t="s">
        <v>211</v>
      </c>
      <c r="B20" s="149">
        <v>0</v>
      </c>
      <c r="C20" s="149">
        <v>0</v>
      </c>
      <c r="D20" s="149">
        <v>0</v>
      </c>
      <c r="E20" s="149">
        <v>0</v>
      </c>
      <c r="F20" s="149">
        <v>0</v>
      </c>
      <c r="G20" s="149">
        <v>0</v>
      </c>
      <c r="H20" s="149">
        <v>0</v>
      </c>
      <c r="I20" s="149">
        <v>0</v>
      </c>
      <c r="J20" s="149">
        <v>9.9999999999999985E-3</v>
      </c>
      <c r="K20" s="149">
        <v>0.05</v>
      </c>
      <c r="L20" s="149">
        <v>0</v>
      </c>
      <c r="M20" s="149">
        <v>0.08</v>
      </c>
      <c r="N20" s="149">
        <v>0</v>
      </c>
      <c r="O20" s="149">
        <v>0.10000000000000002</v>
      </c>
      <c r="P20" s="149">
        <v>4.9990001999600076E-2</v>
      </c>
      <c r="Q20" s="149">
        <v>0</v>
      </c>
      <c r="R20" s="149">
        <v>9.4E-2</v>
      </c>
      <c r="S20" s="149">
        <v>1.0999999999999998E-2</v>
      </c>
      <c r="T20" s="149">
        <v>0</v>
      </c>
      <c r="U20" s="149">
        <v>4.9995000499950008E-3</v>
      </c>
      <c r="V20" s="149">
        <v>0</v>
      </c>
      <c r="W20" s="149">
        <v>0</v>
      </c>
      <c r="X20" s="149">
        <v>2.9999999999999992E-2</v>
      </c>
      <c r="Y20" s="149">
        <v>0</v>
      </c>
      <c r="Z20" s="149">
        <v>0</v>
      </c>
      <c r="AA20" s="149">
        <v>1.4998500149985002E-2</v>
      </c>
      <c r="AB20" s="149">
        <v>0.05</v>
      </c>
      <c r="AC20" s="149">
        <v>0</v>
      </c>
      <c r="AD20" s="149">
        <v>0.1889433170048985</v>
      </c>
      <c r="AE20" s="149">
        <v>0</v>
      </c>
      <c r="AF20" s="149">
        <v>0</v>
      </c>
      <c r="AG20" s="149">
        <v>0</v>
      </c>
    </row>
    <row r="21" spans="1:33" customFormat="1" x14ac:dyDescent="0.15">
      <c r="A21" s="153" t="s">
        <v>212</v>
      </c>
      <c r="B21" s="149">
        <v>0</v>
      </c>
      <c r="C21" s="149">
        <v>0</v>
      </c>
      <c r="D21" s="149">
        <v>0</v>
      </c>
      <c r="E21" s="149">
        <v>0</v>
      </c>
      <c r="F21" s="149">
        <v>0</v>
      </c>
      <c r="G21" s="149">
        <v>0</v>
      </c>
      <c r="H21" s="149">
        <v>0</v>
      </c>
      <c r="I21" s="149">
        <v>0</v>
      </c>
      <c r="J21" s="149">
        <v>0</v>
      </c>
      <c r="K21" s="149">
        <v>1.9E-2</v>
      </c>
      <c r="L21" s="149">
        <v>0</v>
      </c>
      <c r="M21" s="149">
        <v>0.05</v>
      </c>
      <c r="N21" s="149">
        <v>8.9991000899910002E-3</v>
      </c>
      <c r="O21" s="149">
        <v>0</v>
      </c>
      <c r="P21" s="149">
        <v>0</v>
      </c>
      <c r="Q21" s="149">
        <v>0</v>
      </c>
      <c r="R21" s="149">
        <v>0</v>
      </c>
      <c r="S21" s="149">
        <v>0</v>
      </c>
      <c r="T21" s="149">
        <v>0</v>
      </c>
      <c r="U21" s="149">
        <v>0.12998700129987001</v>
      </c>
      <c r="V21" s="149">
        <v>0</v>
      </c>
      <c r="W21" s="149">
        <v>0</v>
      </c>
      <c r="X21" s="149">
        <v>0</v>
      </c>
      <c r="Y21" s="149">
        <v>0</v>
      </c>
      <c r="Z21" s="149">
        <v>0</v>
      </c>
      <c r="AA21" s="149">
        <v>0</v>
      </c>
      <c r="AB21" s="149">
        <v>0</v>
      </c>
      <c r="AC21" s="149">
        <v>0</v>
      </c>
      <c r="AD21" s="149">
        <v>0</v>
      </c>
      <c r="AE21" s="149">
        <v>0</v>
      </c>
      <c r="AF21" s="149">
        <v>0</v>
      </c>
      <c r="AG21" s="149">
        <v>0</v>
      </c>
    </row>
    <row r="22" spans="1:33" customFormat="1" x14ac:dyDescent="0.15">
      <c r="A22" s="153" t="s">
        <v>213</v>
      </c>
      <c r="B22" s="149">
        <v>0</v>
      </c>
      <c r="C22" s="149">
        <v>0</v>
      </c>
      <c r="D22" s="149">
        <v>0</v>
      </c>
      <c r="E22" s="149">
        <v>0</v>
      </c>
      <c r="F22" s="149">
        <v>0</v>
      </c>
      <c r="G22" s="149">
        <v>0</v>
      </c>
      <c r="H22" s="149">
        <v>0</v>
      </c>
      <c r="I22" s="149">
        <v>0</v>
      </c>
      <c r="J22" s="149">
        <v>0</v>
      </c>
      <c r="K22" s="149">
        <v>0.13200000000000001</v>
      </c>
      <c r="L22" s="149">
        <v>0</v>
      </c>
      <c r="M22" s="149">
        <v>0.109</v>
      </c>
      <c r="N22" s="149">
        <v>9.9990000999900016E-3</v>
      </c>
      <c r="O22" s="149">
        <v>0.18000000000000002</v>
      </c>
      <c r="P22" s="149">
        <v>0.16196760647870423</v>
      </c>
      <c r="Q22" s="149">
        <v>0</v>
      </c>
      <c r="R22" s="149">
        <v>0</v>
      </c>
      <c r="S22" s="149">
        <v>7.9999999999999988E-2</v>
      </c>
      <c r="T22" s="149">
        <v>0</v>
      </c>
      <c r="U22" s="149">
        <v>5.9994000599940006E-2</v>
      </c>
      <c r="V22" s="149">
        <v>0</v>
      </c>
      <c r="W22" s="149">
        <v>0</v>
      </c>
      <c r="X22" s="149">
        <v>4.9999999999999992E-3</v>
      </c>
      <c r="Y22" s="149">
        <v>0.2</v>
      </c>
      <c r="Z22" s="149">
        <v>0</v>
      </c>
      <c r="AA22" s="149">
        <v>0.32196780321967805</v>
      </c>
      <c r="AB22" s="149">
        <v>0.01</v>
      </c>
      <c r="AC22" s="149">
        <v>0.04</v>
      </c>
      <c r="AD22" s="149">
        <v>1.8994301709487151E-2</v>
      </c>
      <c r="AE22" s="149">
        <v>0</v>
      </c>
      <c r="AF22" s="149">
        <v>0</v>
      </c>
      <c r="AG22" s="149">
        <v>0</v>
      </c>
    </row>
    <row r="23" spans="1:33" customFormat="1" x14ac:dyDescent="0.15">
      <c r="A23" s="153" t="s">
        <v>214</v>
      </c>
      <c r="B23" s="149">
        <v>0</v>
      </c>
      <c r="C23" s="149">
        <v>0</v>
      </c>
      <c r="D23" s="149">
        <v>0</v>
      </c>
      <c r="E23" s="149">
        <v>0</v>
      </c>
      <c r="F23" s="149">
        <v>0</v>
      </c>
      <c r="G23" s="149">
        <v>0</v>
      </c>
      <c r="H23" s="149">
        <v>0</v>
      </c>
      <c r="I23" s="149">
        <v>0</v>
      </c>
      <c r="J23" s="149">
        <v>0</v>
      </c>
      <c r="K23" s="149">
        <v>0.24</v>
      </c>
      <c r="L23" s="149">
        <v>0</v>
      </c>
      <c r="M23" s="149">
        <v>0.09</v>
      </c>
      <c r="N23" s="149">
        <v>6.9993000699930009E-3</v>
      </c>
      <c r="O23" s="149">
        <v>0.10000000000000002</v>
      </c>
      <c r="P23" s="149">
        <v>0.1499700059988002</v>
      </c>
      <c r="Q23" s="149">
        <v>0</v>
      </c>
      <c r="R23" s="149">
        <v>8.5000000000000006E-2</v>
      </c>
      <c r="S23" s="149">
        <v>3.599999999999999E-2</v>
      </c>
      <c r="T23" s="149">
        <v>0</v>
      </c>
      <c r="U23" s="149">
        <v>5.9994000599940006E-2</v>
      </c>
      <c r="V23" s="149">
        <v>0</v>
      </c>
      <c r="W23" s="149">
        <v>0</v>
      </c>
      <c r="X23" s="149">
        <v>4.9999999999999992E-3</v>
      </c>
      <c r="Y23" s="149">
        <v>0.25</v>
      </c>
      <c r="Z23" s="149">
        <v>0</v>
      </c>
      <c r="AA23" s="149">
        <v>0.19748025197480254</v>
      </c>
      <c r="AB23" s="149">
        <v>0.05</v>
      </c>
      <c r="AC23" s="149">
        <v>0.05</v>
      </c>
      <c r="AD23" s="149">
        <v>2.9991002699190236E-2</v>
      </c>
      <c r="AE23" s="149">
        <v>0</v>
      </c>
      <c r="AF23" s="149">
        <v>0</v>
      </c>
      <c r="AG23" s="149">
        <v>0</v>
      </c>
    </row>
    <row r="24" spans="1:33" customFormat="1" x14ac:dyDescent="0.15">
      <c r="A24" s="153" t="s">
        <v>215</v>
      </c>
      <c r="B24" s="149">
        <v>0</v>
      </c>
      <c r="C24" s="149">
        <v>0</v>
      </c>
      <c r="D24" s="149">
        <v>0</v>
      </c>
      <c r="E24" s="149">
        <v>0</v>
      </c>
      <c r="F24" s="149">
        <v>0</v>
      </c>
      <c r="G24" s="149">
        <v>0</v>
      </c>
      <c r="H24" s="149">
        <v>0</v>
      </c>
      <c r="I24" s="149">
        <v>0</v>
      </c>
      <c r="J24" s="149">
        <v>0</v>
      </c>
      <c r="K24" s="149">
        <v>1.2999999999999999E-2</v>
      </c>
      <c r="L24" s="149">
        <v>0</v>
      </c>
      <c r="M24" s="149">
        <v>0.03</v>
      </c>
      <c r="N24" s="149">
        <v>9.9990000999900015E-5</v>
      </c>
      <c r="O24" s="149">
        <v>0</v>
      </c>
      <c r="P24" s="149">
        <v>0</v>
      </c>
      <c r="Q24" s="149">
        <v>0</v>
      </c>
      <c r="R24" s="149">
        <v>0</v>
      </c>
      <c r="S24" s="149">
        <v>0</v>
      </c>
      <c r="T24" s="149">
        <v>0</v>
      </c>
      <c r="U24" s="149">
        <v>9.9990000999900015E-5</v>
      </c>
      <c r="V24" s="149">
        <v>0</v>
      </c>
      <c r="W24" s="149">
        <v>0</v>
      </c>
      <c r="X24" s="149">
        <v>0</v>
      </c>
      <c r="Y24" s="149">
        <v>0.01</v>
      </c>
      <c r="Z24" s="149">
        <v>0</v>
      </c>
      <c r="AA24" s="149">
        <v>4.4995500449955005E-2</v>
      </c>
      <c r="AB24" s="149">
        <v>0.05</v>
      </c>
      <c r="AC24" s="149">
        <v>0</v>
      </c>
      <c r="AD24" s="149">
        <v>4.2987103868839339E-2</v>
      </c>
      <c r="AE24" s="149">
        <v>0</v>
      </c>
      <c r="AF24" s="149">
        <v>0</v>
      </c>
      <c r="AG24" s="149">
        <v>0</v>
      </c>
    </row>
    <row r="25" spans="1:33" customFormat="1" x14ac:dyDescent="0.15">
      <c r="A25" s="153" t="s">
        <v>216</v>
      </c>
      <c r="B25" s="149">
        <v>0</v>
      </c>
      <c r="C25" s="149">
        <v>0</v>
      </c>
      <c r="D25" s="149">
        <v>0</v>
      </c>
      <c r="E25" s="149">
        <v>0</v>
      </c>
      <c r="F25" s="149">
        <v>0</v>
      </c>
      <c r="G25" s="149">
        <v>0</v>
      </c>
      <c r="H25" s="149">
        <v>0</v>
      </c>
      <c r="I25" s="149">
        <v>0</v>
      </c>
      <c r="J25" s="149">
        <v>0</v>
      </c>
      <c r="K25" s="149">
        <v>8.9999999999999993E-3</v>
      </c>
      <c r="L25" s="149">
        <v>0</v>
      </c>
      <c r="M25" s="149">
        <v>0.03</v>
      </c>
      <c r="N25" s="149">
        <v>9.9990000999900016E-3</v>
      </c>
      <c r="O25" s="149">
        <v>0</v>
      </c>
      <c r="P25" s="149">
        <v>0</v>
      </c>
      <c r="Q25" s="149">
        <v>0</v>
      </c>
      <c r="R25" s="149">
        <v>1E-3</v>
      </c>
      <c r="S25" s="149">
        <v>1.0999999999999998E-2</v>
      </c>
      <c r="T25" s="149">
        <v>0</v>
      </c>
      <c r="U25" s="149">
        <v>0</v>
      </c>
      <c r="V25" s="149">
        <v>0</v>
      </c>
      <c r="W25" s="149">
        <v>0</v>
      </c>
      <c r="X25" s="149">
        <v>0</v>
      </c>
      <c r="Y25" s="149">
        <v>0</v>
      </c>
      <c r="Z25" s="149">
        <v>0</v>
      </c>
      <c r="AA25" s="149">
        <v>2.9997000299970003E-2</v>
      </c>
      <c r="AB25" s="149">
        <v>0</v>
      </c>
      <c r="AC25" s="149">
        <v>0</v>
      </c>
      <c r="AD25" s="149">
        <v>9.9970008997300784E-4</v>
      </c>
      <c r="AE25" s="149">
        <v>0</v>
      </c>
      <c r="AF25" s="149">
        <v>0</v>
      </c>
      <c r="AG25" s="149">
        <v>0</v>
      </c>
    </row>
    <row r="26" spans="1:33" customFormat="1" x14ac:dyDescent="0.15">
      <c r="A26" s="153" t="s">
        <v>217</v>
      </c>
      <c r="B26" s="149">
        <v>0</v>
      </c>
      <c r="C26" s="149">
        <v>0</v>
      </c>
      <c r="D26" s="149">
        <v>0</v>
      </c>
      <c r="E26" s="149">
        <v>0</v>
      </c>
      <c r="F26" s="149">
        <v>0</v>
      </c>
      <c r="G26" s="149">
        <v>0</v>
      </c>
      <c r="H26" s="149">
        <v>0</v>
      </c>
      <c r="I26" s="149">
        <v>0</v>
      </c>
      <c r="J26" s="149">
        <v>0</v>
      </c>
      <c r="K26" s="149">
        <v>4.7E-2</v>
      </c>
      <c r="L26" s="149">
        <v>0</v>
      </c>
      <c r="M26" s="149">
        <v>0</v>
      </c>
      <c r="N26" s="149">
        <v>0</v>
      </c>
      <c r="O26" s="149">
        <v>0</v>
      </c>
      <c r="P26" s="149">
        <v>9.9980003999200143E-5</v>
      </c>
      <c r="Q26" s="149">
        <v>0</v>
      </c>
      <c r="R26" s="149">
        <v>3.6999999999999998E-2</v>
      </c>
      <c r="S26" s="149">
        <v>0</v>
      </c>
      <c r="T26" s="149">
        <v>0</v>
      </c>
      <c r="U26" s="149">
        <v>0</v>
      </c>
      <c r="V26" s="149">
        <v>0</v>
      </c>
      <c r="W26" s="149">
        <v>0</v>
      </c>
      <c r="X26" s="149">
        <v>1.9999999999999997E-2</v>
      </c>
      <c r="Y26" s="149">
        <v>0.02</v>
      </c>
      <c r="Z26" s="149">
        <v>0</v>
      </c>
      <c r="AA26" s="149">
        <v>7.5992400759924E-2</v>
      </c>
      <c r="AB26" s="149">
        <v>0</v>
      </c>
      <c r="AC26" s="149">
        <v>0.04</v>
      </c>
      <c r="AD26" s="149">
        <v>0.15995201439568127</v>
      </c>
      <c r="AE26" s="149">
        <v>0</v>
      </c>
      <c r="AF26" s="149">
        <v>0</v>
      </c>
      <c r="AG26" s="149">
        <v>0</v>
      </c>
    </row>
    <row r="27" spans="1:33" customFormat="1" x14ac:dyDescent="0.15">
      <c r="A27" s="153" t="s">
        <v>218</v>
      </c>
      <c r="B27" s="149">
        <v>0</v>
      </c>
      <c r="C27" s="149">
        <v>0</v>
      </c>
      <c r="D27" s="149">
        <v>0</v>
      </c>
      <c r="E27" s="149">
        <v>0</v>
      </c>
      <c r="F27" s="149">
        <v>0</v>
      </c>
      <c r="G27" s="149">
        <v>0</v>
      </c>
      <c r="H27" s="149">
        <v>0</v>
      </c>
      <c r="I27" s="149">
        <v>0</v>
      </c>
      <c r="J27" s="149">
        <v>0</v>
      </c>
      <c r="K27" s="149">
        <v>0</v>
      </c>
      <c r="L27" s="149">
        <v>0</v>
      </c>
      <c r="M27" s="149">
        <v>0</v>
      </c>
      <c r="N27" s="149">
        <v>0</v>
      </c>
      <c r="O27" s="149">
        <v>0</v>
      </c>
      <c r="P27" s="149">
        <v>0</v>
      </c>
      <c r="Q27" s="149">
        <v>0</v>
      </c>
      <c r="R27" s="149">
        <v>0</v>
      </c>
      <c r="S27" s="149">
        <v>0</v>
      </c>
      <c r="T27" s="149">
        <v>0</v>
      </c>
      <c r="U27" s="149">
        <v>0</v>
      </c>
      <c r="V27" s="149">
        <v>0</v>
      </c>
      <c r="W27" s="149">
        <v>0</v>
      </c>
      <c r="X27" s="149">
        <v>0</v>
      </c>
      <c r="Y27" s="149">
        <v>0</v>
      </c>
      <c r="Z27" s="149">
        <v>0</v>
      </c>
      <c r="AA27" s="149">
        <v>5.0994900509949002E-2</v>
      </c>
      <c r="AB27" s="149">
        <v>0</v>
      </c>
      <c r="AC27" s="149">
        <v>0</v>
      </c>
      <c r="AD27" s="149">
        <v>0</v>
      </c>
      <c r="AE27" s="149">
        <v>0</v>
      </c>
      <c r="AF27" s="149">
        <v>0</v>
      </c>
      <c r="AG27" s="149">
        <v>0</v>
      </c>
    </row>
    <row r="28" spans="1:33" customFormat="1" x14ac:dyDescent="0.15">
      <c r="A28" s="153" t="s">
        <v>219</v>
      </c>
      <c r="B28" s="149">
        <v>0</v>
      </c>
      <c r="C28" s="149">
        <v>0</v>
      </c>
      <c r="D28" s="149">
        <v>0</v>
      </c>
      <c r="E28" s="149">
        <v>0</v>
      </c>
      <c r="F28" s="149">
        <v>0</v>
      </c>
      <c r="G28" s="149">
        <v>0</v>
      </c>
      <c r="H28" s="149">
        <v>0</v>
      </c>
      <c r="I28" s="149">
        <v>0</v>
      </c>
      <c r="J28" s="149">
        <v>0</v>
      </c>
      <c r="K28" s="149">
        <v>0</v>
      </c>
      <c r="L28" s="149">
        <v>0</v>
      </c>
      <c r="M28" s="149">
        <v>0</v>
      </c>
      <c r="N28" s="149">
        <v>0</v>
      </c>
      <c r="O28" s="149">
        <v>0</v>
      </c>
      <c r="P28" s="149">
        <v>0</v>
      </c>
      <c r="Q28" s="149">
        <v>0</v>
      </c>
      <c r="R28" s="149">
        <v>0</v>
      </c>
      <c r="S28" s="149">
        <v>0</v>
      </c>
      <c r="T28" s="149">
        <v>0</v>
      </c>
      <c r="U28" s="149">
        <v>0</v>
      </c>
      <c r="V28" s="149">
        <v>0</v>
      </c>
      <c r="W28" s="149">
        <v>0</v>
      </c>
      <c r="X28" s="149">
        <v>0</v>
      </c>
      <c r="Y28" s="149">
        <v>0</v>
      </c>
      <c r="Z28" s="149">
        <v>0</v>
      </c>
      <c r="AA28" s="149">
        <v>0</v>
      </c>
      <c r="AB28" s="149">
        <v>0</v>
      </c>
      <c r="AC28" s="149">
        <v>0</v>
      </c>
      <c r="AD28" s="149">
        <v>0</v>
      </c>
      <c r="AE28" s="149">
        <v>0</v>
      </c>
      <c r="AF28" s="149">
        <v>0</v>
      </c>
      <c r="AG28" s="149">
        <v>0</v>
      </c>
    </row>
    <row r="29" spans="1:33" customFormat="1" x14ac:dyDescent="0.15">
      <c r="A29" s="153" t="s">
        <v>220</v>
      </c>
      <c r="B29" s="149">
        <v>0</v>
      </c>
      <c r="C29" s="149">
        <v>0</v>
      </c>
      <c r="D29" s="149">
        <v>0</v>
      </c>
      <c r="E29" s="149">
        <v>0</v>
      </c>
      <c r="F29" s="149">
        <v>0</v>
      </c>
      <c r="G29" s="149">
        <v>0</v>
      </c>
      <c r="H29" s="149">
        <v>0</v>
      </c>
      <c r="I29" s="149">
        <v>0</v>
      </c>
      <c r="J29" s="149">
        <v>0</v>
      </c>
      <c r="K29" s="149">
        <v>0</v>
      </c>
      <c r="L29" s="149">
        <v>0</v>
      </c>
      <c r="M29" s="149">
        <v>0</v>
      </c>
      <c r="N29" s="149">
        <v>0</v>
      </c>
      <c r="O29" s="149">
        <v>0</v>
      </c>
      <c r="P29" s="149">
        <v>0</v>
      </c>
      <c r="Q29" s="149">
        <v>0</v>
      </c>
      <c r="R29" s="149">
        <v>0</v>
      </c>
      <c r="S29" s="149">
        <v>0</v>
      </c>
      <c r="T29" s="149">
        <v>0</v>
      </c>
      <c r="U29" s="149">
        <v>0</v>
      </c>
      <c r="V29" s="149">
        <v>0</v>
      </c>
      <c r="W29" s="149">
        <v>0</v>
      </c>
      <c r="X29" s="149">
        <v>0</v>
      </c>
      <c r="Y29" s="149">
        <v>0</v>
      </c>
      <c r="Z29" s="149">
        <v>0</v>
      </c>
      <c r="AA29" s="149">
        <v>0</v>
      </c>
      <c r="AB29" s="149">
        <v>0</v>
      </c>
      <c r="AC29" s="149">
        <v>0</v>
      </c>
      <c r="AD29" s="149">
        <v>0</v>
      </c>
      <c r="AE29" s="149">
        <v>0</v>
      </c>
      <c r="AF29" s="149">
        <v>0</v>
      </c>
      <c r="AG29" s="149">
        <v>0</v>
      </c>
    </row>
    <row r="30" spans="1:33" customFormat="1" x14ac:dyDescent="0.15">
      <c r="A30" s="153" t="s">
        <v>221</v>
      </c>
      <c r="B30" s="149">
        <v>0</v>
      </c>
      <c r="C30" s="149">
        <v>0</v>
      </c>
      <c r="D30" s="149">
        <v>0</v>
      </c>
      <c r="E30" s="149">
        <v>0</v>
      </c>
      <c r="F30" s="149">
        <v>0</v>
      </c>
      <c r="G30" s="149">
        <v>0</v>
      </c>
      <c r="H30" s="149">
        <v>0</v>
      </c>
      <c r="I30" s="149">
        <v>0</v>
      </c>
      <c r="J30" s="149">
        <v>0</v>
      </c>
      <c r="K30" s="149">
        <v>0</v>
      </c>
      <c r="L30" s="149">
        <v>0</v>
      </c>
      <c r="M30" s="149">
        <v>0</v>
      </c>
      <c r="N30" s="149">
        <v>0</v>
      </c>
      <c r="O30" s="149">
        <v>0</v>
      </c>
      <c r="P30" s="149">
        <v>0</v>
      </c>
      <c r="Q30" s="149">
        <v>0</v>
      </c>
      <c r="R30" s="149">
        <v>0</v>
      </c>
      <c r="S30" s="149">
        <v>0</v>
      </c>
      <c r="T30" s="149">
        <v>0</v>
      </c>
      <c r="U30" s="149">
        <v>0</v>
      </c>
      <c r="V30" s="149">
        <v>0</v>
      </c>
      <c r="W30" s="149">
        <v>0</v>
      </c>
      <c r="X30" s="149">
        <v>0</v>
      </c>
      <c r="Y30" s="149">
        <v>0</v>
      </c>
      <c r="Z30" s="149">
        <v>0</v>
      </c>
      <c r="AA30" s="149">
        <v>0</v>
      </c>
      <c r="AB30" s="149">
        <v>0</v>
      </c>
      <c r="AC30" s="149">
        <v>0</v>
      </c>
      <c r="AD30" s="149">
        <v>0</v>
      </c>
      <c r="AE30" s="149">
        <v>0</v>
      </c>
      <c r="AF30" s="149">
        <v>0</v>
      </c>
      <c r="AG30" s="149">
        <v>0</v>
      </c>
    </row>
    <row r="31" spans="1:33" customFormat="1" x14ac:dyDescent="0.15">
      <c r="A31" s="153" t="s">
        <v>222</v>
      </c>
      <c r="B31" s="149">
        <v>0</v>
      </c>
      <c r="C31" s="149">
        <v>0</v>
      </c>
      <c r="D31" s="149">
        <v>1E-3</v>
      </c>
      <c r="E31" s="149">
        <v>0</v>
      </c>
      <c r="F31" s="149">
        <v>1E-3</v>
      </c>
      <c r="G31" s="149">
        <v>1E-3</v>
      </c>
      <c r="H31" s="149">
        <v>0</v>
      </c>
      <c r="I31" s="149">
        <v>0</v>
      </c>
      <c r="J31" s="149">
        <v>0</v>
      </c>
      <c r="K31" s="149">
        <v>0</v>
      </c>
      <c r="L31" s="149">
        <v>0</v>
      </c>
      <c r="M31" s="149">
        <v>0</v>
      </c>
      <c r="N31" s="149">
        <v>0</v>
      </c>
      <c r="O31" s="149">
        <v>1.0000000000000002E-2</v>
      </c>
      <c r="P31" s="149">
        <v>0</v>
      </c>
      <c r="Q31" s="149">
        <v>0</v>
      </c>
      <c r="R31" s="149">
        <v>0</v>
      </c>
      <c r="S31" s="149">
        <v>0</v>
      </c>
      <c r="T31" s="149">
        <v>0</v>
      </c>
      <c r="U31" s="149">
        <v>0</v>
      </c>
      <c r="V31" s="149">
        <v>0</v>
      </c>
      <c r="W31" s="149">
        <v>0</v>
      </c>
      <c r="X31" s="149">
        <v>0</v>
      </c>
      <c r="Y31" s="149">
        <v>0</v>
      </c>
      <c r="Z31" s="149">
        <v>0</v>
      </c>
      <c r="AA31" s="149">
        <v>0</v>
      </c>
      <c r="AB31" s="149">
        <v>0.12</v>
      </c>
      <c r="AC31" s="149">
        <v>0.17</v>
      </c>
      <c r="AD31" s="149">
        <v>0</v>
      </c>
      <c r="AE31" s="149">
        <v>0</v>
      </c>
      <c r="AF31" s="149">
        <v>0</v>
      </c>
      <c r="AG31" s="149">
        <v>0</v>
      </c>
    </row>
    <row r="32" spans="1:33" customFormat="1" x14ac:dyDescent="0.15">
      <c r="A32" s="153" t="s">
        <v>223</v>
      </c>
      <c r="B32" s="149">
        <v>0</v>
      </c>
      <c r="C32" s="149">
        <v>0.22</v>
      </c>
      <c r="D32" s="149">
        <v>0.80200000000000005</v>
      </c>
      <c r="E32" s="149">
        <v>0.81</v>
      </c>
      <c r="F32" s="149">
        <v>0.09</v>
      </c>
      <c r="G32" s="149">
        <v>0.159</v>
      </c>
      <c r="H32" s="149">
        <v>0.39</v>
      </c>
      <c r="I32" s="149">
        <v>0.9</v>
      </c>
      <c r="J32" s="149">
        <v>0</v>
      </c>
      <c r="K32" s="149">
        <v>0</v>
      </c>
      <c r="L32" s="149">
        <v>0.4</v>
      </c>
      <c r="M32" s="149">
        <v>0</v>
      </c>
      <c r="N32" s="149">
        <v>6.9993000699930009E-3</v>
      </c>
      <c r="O32" s="149">
        <v>0</v>
      </c>
      <c r="P32" s="149">
        <v>0</v>
      </c>
      <c r="Q32" s="149">
        <v>0</v>
      </c>
      <c r="R32" s="149">
        <v>0</v>
      </c>
      <c r="S32" s="149">
        <v>0</v>
      </c>
      <c r="T32" s="149">
        <v>0</v>
      </c>
      <c r="U32" s="149">
        <v>0</v>
      </c>
      <c r="V32" s="149">
        <v>0</v>
      </c>
      <c r="W32" s="149">
        <v>0</v>
      </c>
      <c r="X32" s="149">
        <v>0</v>
      </c>
      <c r="Y32" s="149">
        <v>0</v>
      </c>
      <c r="Z32" s="149">
        <v>0.02</v>
      </c>
      <c r="AA32" s="149">
        <v>0</v>
      </c>
      <c r="AB32" s="149">
        <v>0</v>
      </c>
      <c r="AC32" s="149">
        <v>0.6</v>
      </c>
      <c r="AD32" s="149">
        <v>0</v>
      </c>
      <c r="AE32" s="149">
        <v>0</v>
      </c>
      <c r="AF32" s="149">
        <v>0</v>
      </c>
      <c r="AG32" s="149">
        <v>0</v>
      </c>
    </row>
    <row r="33" spans="1:33" customFormat="1" x14ac:dyDescent="0.15">
      <c r="A33" s="153" t="s">
        <v>224</v>
      </c>
      <c r="B33" s="149">
        <v>0</v>
      </c>
      <c r="C33" s="149">
        <v>0</v>
      </c>
      <c r="D33" s="149">
        <v>0</v>
      </c>
      <c r="E33" s="149">
        <v>0</v>
      </c>
      <c r="F33" s="149">
        <v>0</v>
      </c>
      <c r="G33" s="149">
        <v>0</v>
      </c>
      <c r="H33" s="149">
        <v>0</v>
      </c>
      <c r="I33" s="149">
        <v>0</v>
      </c>
      <c r="J33" s="149">
        <v>0</v>
      </c>
      <c r="K33" s="149">
        <v>0</v>
      </c>
      <c r="L33" s="149">
        <v>0</v>
      </c>
      <c r="M33" s="149">
        <v>0</v>
      </c>
      <c r="N33" s="149">
        <v>0</v>
      </c>
      <c r="O33" s="149">
        <v>0</v>
      </c>
      <c r="P33" s="149">
        <v>0</v>
      </c>
      <c r="Q33" s="149">
        <v>0</v>
      </c>
      <c r="R33" s="149">
        <v>0</v>
      </c>
      <c r="S33" s="149">
        <v>0</v>
      </c>
      <c r="T33" s="149">
        <v>0</v>
      </c>
      <c r="U33" s="149">
        <v>0</v>
      </c>
      <c r="V33" s="149">
        <v>0</v>
      </c>
      <c r="W33" s="149">
        <v>0</v>
      </c>
      <c r="X33" s="149">
        <v>0</v>
      </c>
      <c r="Y33" s="149">
        <v>0</v>
      </c>
      <c r="Z33" s="149">
        <v>0</v>
      </c>
      <c r="AA33" s="149">
        <v>0</v>
      </c>
      <c r="AB33" s="149">
        <v>0</v>
      </c>
      <c r="AC33" s="149">
        <v>0</v>
      </c>
      <c r="AD33" s="149">
        <v>0</v>
      </c>
      <c r="AE33" s="149">
        <v>0</v>
      </c>
      <c r="AF33" s="149">
        <v>0</v>
      </c>
      <c r="AG33" s="149">
        <v>0</v>
      </c>
    </row>
    <row r="34" spans="1:33" customFormat="1" x14ac:dyDescent="0.15">
      <c r="A34" s="153" t="s">
        <v>227</v>
      </c>
      <c r="B34" s="149">
        <v>0</v>
      </c>
      <c r="C34" s="149">
        <v>0</v>
      </c>
      <c r="D34" s="149">
        <v>0</v>
      </c>
      <c r="E34" s="149">
        <v>0.1</v>
      </c>
      <c r="F34" s="149">
        <v>0.02</v>
      </c>
      <c r="G34" s="149">
        <v>3.0000000000000001E-3</v>
      </c>
      <c r="H34" s="149">
        <v>0</v>
      </c>
      <c r="I34" s="149">
        <v>0.05</v>
      </c>
      <c r="J34" s="149">
        <v>0</v>
      </c>
      <c r="K34" s="149">
        <v>0</v>
      </c>
      <c r="L34" s="149">
        <v>0</v>
      </c>
      <c r="M34" s="149">
        <v>0</v>
      </c>
      <c r="N34" s="149">
        <v>0</v>
      </c>
      <c r="O34" s="149">
        <v>0</v>
      </c>
      <c r="P34" s="149">
        <v>0</v>
      </c>
      <c r="Q34" s="149">
        <v>0</v>
      </c>
      <c r="R34" s="149">
        <v>0</v>
      </c>
      <c r="S34" s="149">
        <v>0</v>
      </c>
      <c r="T34" s="149">
        <v>0</v>
      </c>
      <c r="U34" s="149">
        <v>0</v>
      </c>
      <c r="V34" s="149">
        <v>0</v>
      </c>
      <c r="W34" s="149">
        <v>0</v>
      </c>
      <c r="X34" s="149">
        <v>0</v>
      </c>
      <c r="Y34" s="149">
        <v>0</v>
      </c>
      <c r="Z34" s="149">
        <v>0.01</v>
      </c>
      <c r="AA34" s="149">
        <v>0</v>
      </c>
      <c r="AB34" s="149">
        <v>0</v>
      </c>
      <c r="AC34" s="149">
        <v>0.1</v>
      </c>
      <c r="AD34" s="149">
        <v>0</v>
      </c>
      <c r="AE34" s="149">
        <v>0</v>
      </c>
      <c r="AF34" s="149">
        <v>0</v>
      </c>
      <c r="AG34" s="149">
        <v>0</v>
      </c>
    </row>
    <row r="35" spans="1:33" customFormat="1" x14ac:dyDescent="0.15"/>
    <row r="36" spans="1:33" customFormat="1" x14ac:dyDescent="0.15"/>
    <row r="37" spans="1:33" customFormat="1" x14ac:dyDescent="0.15"/>
    <row r="38" spans="1:33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18" activePane="bottomRight" state="frozen"/>
      <selection pane="topRight" activeCell="C1" sqref="C1"/>
      <selection pane="bottomLeft" activeCell="A2" sqref="A2"/>
      <selection pane="bottomRight" activeCell="C37" sqref="C37"/>
    </sheetView>
  </sheetViews>
  <sheetFormatPr baseColWidth="10" defaultColWidth="8.83203125" defaultRowHeight="13" x14ac:dyDescent="0.15"/>
  <cols>
    <col min="1" max="1" width="3.33203125" customWidth="1"/>
    <col min="2" max="2" width="23.33203125" customWidth="1"/>
    <col min="3" max="4" width="11.6640625" style="115" customWidth="1"/>
    <col min="5" max="6" width="11.6640625" style="114" customWidth="1"/>
    <col min="7" max="7" width="11.6640625" style="115" customWidth="1"/>
    <col min="8" max="8" width="8.83203125" style="115"/>
  </cols>
  <sheetData>
    <row r="1" spans="1:8" ht="70" x14ac:dyDescent="0.15">
      <c r="A1" s="5" t="s">
        <v>20</v>
      </c>
      <c r="B1" s="1" t="s">
        <v>0</v>
      </c>
      <c r="C1" s="156" t="s">
        <v>222</v>
      </c>
      <c r="D1" s="156" t="s">
        <v>223</v>
      </c>
      <c r="E1" s="156" t="s">
        <v>224</v>
      </c>
      <c r="F1" s="156" t="s">
        <v>228</v>
      </c>
      <c r="G1" s="156" t="s">
        <v>229</v>
      </c>
      <c r="H1"/>
    </row>
    <row r="2" spans="1:8" x14ac:dyDescent="0.15">
      <c r="A2">
        <v>1</v>
      </c>
      <c r="B2" s="155" t="s">
        <v>193</v>
      </c>
      <c r="C2" s="115">
        <v>0</v>
      </c>
      <c r="D2" s="115">
        <v>1</v>
      </c>
      <c r="E2" s="114">
        <v>0</v>
      </c>
      <c r="F2" s="114">
        <v>0</v>
      </c>
      <c r="G2" s="115">
        <f>SUM(C2:F2)</f>
        <v>1</v>
      </c>
      <c r="H2"/>
    </row>
    <row r="3" spans="1:8" x14ac:dyDescent="0.15">
      <c r="A3">
        <v>2</v>
      </c>
      <c r="B3" s="155" t="s">
        <v>194</v>
      </c>
      <c r="C3" s="115">
        <v>0</v>
      </c>
      <c r="D3" s="115">
        <v>1</v>
      </c>
      <c r="E3" s="114">
        <v>0</v>
      </c>
      <c r="F3" s="114">
        <v>0</v>
      </c>
      <c r="G3" s="115">
        <f t="shared" ref="G3:G33" si="0">SUM(C3:F3)</f>
        <v>1</v>
      </c>
      <c r="H3"/>
    </row>
    <row r="4" spans="1:8" x14ac:dyDescent="0.15">
      <c r="A4">
        <v>3</v>
      </c>
      <c r="B4" s="155" t="s">
        <v>195</v>
      </c>
      <c r="C4" s="115">
        <v>0</v>
      </c>
      <c r="D4" s="115">
        <v>1</v>
      </c>
      <c r="E4" s="114">
        <v>0</v>
      </c>
      <c r="F4" s="114">
        <v>0</v>
      </c>
      <c r="G4" s="115">
        <f t="shared" si="0"/>
        <v>1</v>
      </c>
      <c r="H4"/>
    </row>
    <row r="5" spans="1:8" x14ac:dyDescent="0.15">
      <c r="A5">
        <v>4</v>
      </c>
      <c r="B5" s="155" t="s">
        <v>196</v>
      </c>
      <c r="C5" s="115">
        <v>0</v>
      </c>
      <c r="D5" s="115">
        <v>1</v>
      </c>
      <c r="E5" s="114">
        <v>0</v>
      </c>
      <c r="F5" s="114">
        <v>0</v>
      </c>
      <c r="G5" s="115">
        <f t="shared" si="0"/>
        <v>1</v>
      </c>
      <c r="H5"/>
    </row>
    <row r="6" spans="1:8" x14ac:dyDescent="0.15">
      <c r="A6">
        <v>5</v>
      </c>
      <c r="B6" s="155" t="s">
        <v>197</v>
      </c>
      <c r="C6" s="115">
        <v>0</v>
      </c>
      <c r="D6" s="115">
        <v>1</v>
      </c>
      <c r="E6" s="114">
        <v>0</v>
      </c>
      <c r="F6" s="114">
        <v>0</v>
      </c>
      <c r="G6" s="115">
        <f t="shared" si="0"/>
        <v>1</v>
      </c>
      <c r="H6"/>
    </row>
    <row r="7" spans="1:8" x14ac:dyDescent="0.15">
      <c r="A7">
        <v>6</v>
      </c>
      <c r="B7" s="155" t="s">
        <v>198</v>
      </c>
      <c r="C7" s="115">
        <v>0</v>
      </c>
      <c r="D7" s="115">
        <v>1</v>
      </c>
      <c r="E7" s="114">
        <v>0</v>
      </c>
      <c r="F7" s="114">
        <v>0</v>
      </c>
      <c r="G7" s="115">
        <f t="shared" si="0"/>
        <v>1</v>
      </c>
      <c r="H7"/>
    </row>
    <row r="8" spans="1:8" x14ac:dyDescent="0.15">
      <c r="A8">
        <v>7</v>
      </c>
      <c r="B8" s="155" t="s">
        <v>199</v>
      </c>
      <c r="C8" s="115">
        <v>0</v>
      </c>
      <c r="D8" s="115">
        <v>1</v>
      </c>
      <c r="E8" s="114">
        <v>0</v>
      </c>
      <c r="F8" s="114">
        <v>0</v>
      </c>
      <c r="G8" s="115">
        <f t="shared" si="0"/>
        <v>1</v>
      </c>
      <c r="H8"/>
    </row>
    <row r="9" spans="1:8" x14ac:dyDescent="0.15">
      <c r="A9">
        <v>8</v>
      </c>
      <c r="B9" s="155" t="s">
        <v>200</v>
      </c>
      <c r="C9" s="115">
        <v>0</v>
      </c>
      <c r="D9" s="115">
        <v>1</v>
      </c>
      <c r="E9" s="114">
        <v>0</v>
      </c>
      <c r="F9" s="114">
        <v>0</v>
      </c>
      <c r="G9" s="115">
        <f t="shared" si="0"/>
        <v>1</v>
      </c>
      <c r="H9"/>
    </row>
    <row r="10" spans="1:8" x14ac:dyDescent="0.15">
      <c r="A10">
        <v>9</v>
      </c>
      <c r="B10" s="155" t="s">
        <v>201</v>
      </c>
      <c r="C10" s="115">
        <v>0</v>
      </c>
      <c r="D10" s="115">
        <v>1</v>
      </c>
      <c r="E10" s="114">
        <v>0</v>
      </c>
      <c r="F10" s="114">
        <v>0</v>
      </c>
      <c r="G10" s="115">
        <f t="shared" si="0"/>
        <v>1</v>
      </c>
      <c r="H10"/>
    </row>
    <row r="11" spans="1:8" x14ac:dyDescent="0.15">
      <c r="A11">
        <v>10</v>
      </c>
      <c r="B11" s="155" t="s">
        <v>202</v>
      </c>
      <c r="C11" s="115">
        <v>0</v>
      </c>
      <c r="D11" s="115">
        <v>1</v>
      </c>
      <c r="E11" s="114">
        <v>0</v>
      </c>
      <c r="F11" s="114">
        <v>0</v>
      </c>
      <c r="G11" s="115">
        <f t="shared" si="0"/>
        <v>1</v>
      </c>
      <c r="H11"/>
    </row>
    <row r="12" spans="1:8" x14ac:dyDescent="0.15">
      <c r="A12">
        <v>11</v>
      </c>
      <c r="B12" s="155" t="s">
        <v>203</v>
      </c>
      <c r="C12" s="115">
        <v>0</v>
      </c>
      <c r="D12" s="115">
        <v>1</v>
      </c>
      <c r="E12" s="114">
        <v>0</v>
      </c>
      <c r="F12" s="114">
        <v>0</v>
      </c>
      <c r="G12" s="115">
        <f t="shared" si="0"/>
        <v>1</v>
      </c>
      <c r="H12"/>
    </row>
    <row r="13" spans="1:8" x14ac:dyDescent="0.15">
      <c r="A13">
        <v>12</v>
      </c>
      <c r="B13" s="155" t="s">
        <v>204</v>
      </c>
      <c r="C13" s="115">
        <v>0</v>
      </c>
      <c r="D13" s="115">
        <v>1</v>
      </c>
      <c r="E13" s="114">
        <v>0</v>
      </c>
      <c r="F13" s="114">
        <v>0</v>
      </c>
      <c r="G13" s="115">
        <f t="shared" si="0"/>
        <v>1</v>
      </c>
      <c r="H13"/>
    </row>
    <row r="14" spans="1:8" x14ac:dyDescent="0.15">
      <c r="A14">
        <v>13</v>
      </c>
      <c r="B14" s="155" t="s">
        <v>205</v>
      </c>
      <c r="C14" s="115">
        <v>0</v>
      </c>
      <c r="D14" s="115">
        <v>1</v>
      </c>
      <c r="E14" s="114">
        <v>0</v>
      </c>
      <c r="F14" s="114">
        <v>0</v>
      </c>
      <c r="G14" s="115">
        <f t="shared" si="0"/>
        <v>1</v>
      </c>
      <c r="H14"/>
    </row>
    <row r="15" spans="1:8" x14ac:dyDescent="0.15">
      <c r="A15">
        <v>14</v>
      </c>
      <c r="B15" s="155" t="s">
        <v>206</v>
      </c>
      <c r="C15" s="115">
        <v>0</v>
      </c>
      <c r="D15" s="115">
        <v>1</v>
      </c>
      <c r="E15" s="114">
        <v>0</v>
      </c>
      <c r="F15" s="114">
        <v>0</v>
      </c>
      <c r="G15" s="115">
        <f t="shared" si="0"/>
        <v>1</v>
      </c>
      <c r="H15"/>
    </row>
    <row r="16" spans="1:8" x14ac:dyDescent="0.15">
      <c r="A16">
        <v>15</v>
      </c>
      <c r="B16" s="155" t="s">
        <v>207</v>
      </c>
      <c r="C16" s="115">
        <v>0</v>
      </c>
      <c r="D16" s="115">
        <v>1</v>
      </c>
      <c r="E16" s="114">
        <v>0</v>
      </c>
      <c r="F16" s="114">
        <v>0</v>
      </c>
      <c r="G16" s="115">
        <f t="shared" si="0"/>
        <v>1</v>
      </c>
      <c r="H16"/>
    </row>
    <row r="17" spans="1:8" ht="15" customHeight="1" x14ac:dyDescent="0.15">
      <c r="A17">
        <v>16</v>
      </c>
      <c r="B17" s="155" t="s">
        <v>208</v>
      </c>
      <c r="C17" s="115">
        <v>0</v>
      </c>
      <c r="D17" s="115">
        <v>1</v>
      </c>
      <c r="E17" s="114">
        <v>0</v>
      </c>
      <c r="F17" s="114">
        <v>0</v>
      </c>
      <c r="G17" s="115">
        <f t="shared" si="0"/>
        <v>1</v>
      </c>
      <c r="H17"/>
    </row>
    <row r="18" spans="1:8" ht="15" customHeight="1" x14ac:dyDescent="0.15">
      <c r="A18">
        <v>17</v>
      </c>
      <c r="B18" s="155" t="s">
        <v>209</v>
      </c>
      <c r="C18" s="115">
        <v>0</v>
      </c>
      <c r="D18" s="115">
        <v>1</v>
      </c>
      <c r="E18" s="114">
        <v>0</v>
      </c>
      <c r="F18" s="114">
        <v>0</v>
      </c>
      <c r="G18" s="115">
        <f t="shared" si="0"/>
        <v>1</v>
      </c>
      <c r="H18"/>
    </row>
    <row r="19" spans="1:8" ht="15" customHeight="1" x14ac:dyDescent="0.15">
      <c r="A19">
        <v>18</v>
      </c>
      <c r="B19" s="155" t="s">
        <v>210</v>
      </c>
      <c r="C19" s="115">
        <v>0</v>
      </c>
      <c r="D19" s="115">
        <v>1</v>
      </c>
      <c r="E19" s="114">
        <v>0</v>
      </c>
      <c r="F19" s="114">
        <v>0</v>
      </c>
      <c r="G19" s="115">
        <f t="shared" si="0"/>
        <v>1</v>
      </c>
      <c r="H19"/>
    </row>
    <row r="20" spans="1:8" ht="15" customHeight="1" x14ac:dyDescent="0.15">
      <c r="A20">
        <v>19</v>
      </c>
      <c r="B20" s="155" t="s">
        <v>211</v>
      </c>
      <c r="C20" s="115">
        <v>0</v>
      </c>
      <c r="D20" s="115">
        <v>1</v>
      </c>
      <c r="E20" s="114">
        <v>0</v>
      </c>
      <c r="F20" s="114">
        <v>0</v>
      </c>
      <c r="G20" s="115">
        <f t="shared" si="0"/>
        <v>1</v>
      </c>
      <c r="H20"/>
    </row>
    <row r="21" spans="1:8" ht="15" customHeight="1" x14ac:dyDescent="0.15">
      <c r="A21">
        <v>20</v>
      </c>
      <c r="B21" s="155" t="s">
        <v>212</v>
      </c>
      <c r="C21" s="115">
        <v>0</v>
      </c>
      <c r="D21" s="115">
        <v>1</v>
      </c>
      <c r="E21" s="114">
        <v>0</v>
      </c>
      <c r="F21" s="114">
        <v>0</v>
      </c>
      <c r="G21" s="115">
        <f t="shared" si="0"/>
        <v>1</v>
      </c>
      <c r="H21"/>
    </row>
    <row r="22" spans="1:8" ht="15" customHeight="1" x14ac:dyDescent="0.15">
      <c r="A22">
        <v>21</v>
      </c>
      <c r="B22" s="155" t="s">
        <v>213</v>
      </c>
      <c r="C22" s="115">
        <v>0</v>
      </c>
      <c r="D22" s="115">
        <v>1</v>
      </c>
      <c r="E22" s="114">
        <v>0</v>
      </c>
      <c r="F22" s="114">
        <v>0</v>
      </c>
      <c r="G22" s="115">
        <f t="shared" si="0"/>
        <v>1</v>
      </c>
      <c r="H22"/>
    </row>
    <row r="23" spans="1:8" ht="15" customHeight="1" x14ac:dyDescent="0.15">
      <c r="A23">
        <v>22</v>
      </c>
      <c r="B23" s="155" t="s">
        <v>214</v>
      </c>
      <c r="C23" s="115">
        <v>0</v>
      </c>
      <c r="D23" s="115">
        <v>1</v>
      </c>
      <c r="E23" s="114">
        <v>0</v>
      </c>
      <c r="F23" s="114">
        <v>0</v>
      </c>
      <c r="G23" s="115">
        <f t="shared" si="0"/>
        <v>1</v>
      </c>
      <c r="H23"/>
    </row>
    <row r="24" spans="1:8" ht="15" customHeight="1" x14ac:dyDescent="0.15">
      <c r="A24">
        <v>23</v>
      </c>
      <c r="B24" s="155" t="s">
        <v>215</v>
      </c>
      <c r="C24" s="115">
        <v>0</v>
      </c>
      <c r="D24" s="115">
        <v>1</v>
      </c>
      <c r="E24" s="114">
        <v>0</v>
      </c>
      <c r="F24" s="114">
        <v>0</v>
      </c>
      <c r="G24" s="115">
        <f t="shared" si="0"/>
        <v>1</v>
      </c>
      <c r="H24"/>
    </row>
    <row r="25" spans="1:8" ht="15" customHeight="1" x14ac:dyDescent="0.15">
      <c r="A25">
        <v>24</v>
      </c>
      <c r="B25" s="155" t="s">
        <v>216</v>
      </c>
      <c r="C25" s="115">
        <v>0</v>
      </c>
      <c r="D25" s="115">
        <v>1</v>
      </c>
      <c r="E25" s="114">
        <v>0</v>
      </c>
      <c r="F25" s="114">
        <v>0</v>
      </c>
      <c r="G25" s="115">
        <f t="shared" si="0"/>
        <v>1</v>
      </c>
      <c r="H25"/>
    </row>
    <row r="26" spans="1:8" ht="15" customHeight="1" x14ac:dyDescent="0.15">
      <c r="A26">
        <v>25</v>
      </c>
      <c r="B26" s="155" t="s">
        <v>217</v>
      </c>
      <c r="C26" s="115">
        <v>0</v>
      </c>
      <c r="D26" s="115">
        <v>1</v>
      </c>
      <c r="E26" s="114">
        <v>0</v>
      </c>
      <c r="F26" s="114">
        <v>0</v>
      </c>
      <c r="G26" s="115">
        <f t="shared" si="0"/>
        <v>1</v>
      </c>
      <c r="H26"/>
    </row>
    <row r="27" spans="1:8" ht="15" customHeight="1" x14ac:dyDescent="0.15">
      <c r="A27">
        <v>26</v>
      </c>
      <c r="B27" s="155" t="s">
        <v>218</v>
      </c>
      <c r="C27" s="115">
        <v>0</v>
      </c>
      <c r="D27" s="115">
        <v>1</v>
      </c>
      <c r="E27" s="114">
        <v>0</v>
      </c>
      <c r="F27" s="114">
        <v>0</v>
      </c>
      <c r="G27" s="115">
        <f t="shared" si="0"/>
        <v>1</v>
      </c>
      <c r="H27"/>
    </row>
    <row r="28" spans="1:8" ht="15" customHeight="1" x14ac:dyDescent="0.15">
      <c r="A28">
        <v>27</v>
      </c>
      <c r="B28" s="155" t="s">
        <v>219</v>
      </c>
      <c r="C28" s="115">
        <v>0</v>
      </c>
      <c r="D28" s="115">
        <v>1</v>
      </c>
      <c r="E28" s="114">
        <v>0</v>
      </c>
      <c r="F28" s="114">
        <v>0</v>
      </c>
      <c r="G28" s="115">
        <f t="shared" si="0"/>
        <v>1</v>
      </c>
      <c r="H28"/>
    </row>
    <row r="29" spans="1:8" ht="15" customHeight="1" x14ac:dyDescent="0.15">
      <c r="A29">
        <v>28</v>
      </c>
      <c r="B29" s="155" t="s">
        <v>220</v>
      </c>
      <c r="C29" s="115">
        <v>0</v>
      </c>
      <c r="D29" s="115">
        <v>1</v>
      </c>
      <c r="E29" s="114">
        <v>0</v>
      </c>
      <c r="F29" s="114">
        <v>0</v>
      </c>
      <c r="G29" s="115">
        <f t="shared" si="0"/>
        <v>1</v>
      </c>
      <c r="H29"/>
    </row>
    <row r="30" spans="1:8" ht="15" customHeight="1" x14ac:dyDescent="0.15">
      <c r="A30">
        <v>29</v>
      </c>
      <c r="B30" s="155" t="s">
        <v>221</v>
      </c>
      <c r="C30" s="115">
        <v>0</v>
      </c>
      <c r="D30" s="115">
        <v>1</v>
      </c>
      <c r="E30" s="114">
        <v>0</v>
      </c>
      <c r="F30" s="114">
        <v>0</v>
      </c>
      <c r="G30" s="115">
        <f t="shared" si="0"/>
        <v>1</v>
      </c>
      <c r="H30"/>
    </row>
    <row r="31" spans="1:8" ht="15" customHeight="1" x14ac:dyDescent="0.15">
      <c r="A31">
        <v>30</v>
      </c>
      <c r="B31" s="155" t="s">
        <v>222</v>
      </c>
      <c r="C31" s="115">
        <v>0</v>
      </c>
      <c r="D31" s="115">
        <v>1</v>
      </c>
      <c r="E31" s="114">
        <v>0</v>
      </c>
      <c r="F31" s="114">
        <v>0</v>
      </c>
      <c r="G31" s="115">
        <f t="shared" si="0"/>
        <v>1</v>
      </c>
      <c r="H31"/>
    </row>
    <row r="32" spans="1:8" ht="15" customHeight="1" x14ac:dyDescent="0.15">
      <c r="A32">
        <v>31</v>
      </c>
      <c r="B32" s="155" t="s">
        <v>223</v>
      </c>
      <c r="C32" s="115">
        <v>0</v>
      </c>
      <c r="D32" s="115">
        <v>0</v>
      </c>
      <c r="E32" s="114">
        <v>1</v>
      </c>
      <c r="F32" s="114">
        <v>0</v>
      </c>
      <c r="G32" s="115">
        <f t="shared" si="0"/>
        <v>1</v>
      </c>
    </row>
    <row r="33" spans="1:8" ht="15" customHeight="1" x14ac:dyDescent="0.15">
      <c r="A33">
        <v>32</v>
      </c>
      <c r="B33" s="155" t="s">
        <v>224</v>
      </c>
      <c r="C33" s="115">
        <v>0</v>
      </c>
      <c r="D33" s="115">
        <v>0</v>
      </c>
      <c r="E33" s="114">
        <v>0</v>
      </c>
      <c r="F33" s="114">
        <v>1</v>
      </c>
      <c r="G33" s="115">
        <f t="shared" si="0"/>
        <v>1</v>
      </c>
    </row>
    <row r="34" spans="1:8" ht="15" customHeight="1" x14ac:dyDescent="0.15">
      <c r="A34">
        <v>33</v>
      </c>
      <c r="B34" s="155" t="s">
        <v>225</v>
      </c>
      <c r="C34" s="178">
        <v>1</v>
      </c>
      <c r="D34" s="115">
        <v>0</v>
      </c>
      <c r="E34" s="178">
        <v>0</v>
      </c>
      <c r="F34" s="114">
        <v>0</v>
      </c>
      <c r="G34" s="115">
        <f>SUM(C34:F34)</f>
        <v>1</v>
      </c>
    </row>
    <row r="35" spans="1:8" ht="15" customHeight="1" x14ac:dyDescent="0.15">
      <c r="A35">
        <v>34</v>
      </c>
      <c r="B35" s="155" t="s">
        <v>226</v>
      </c>
      <c r="C35" s="178">
        <v>1</v>
      </c>
      <c r="D35" s="115">
        <v>0</v>
      </c>
      <c r="E35" s="178">
        <v>0</v>
      </c>
      <c r="F35" s="114">
        <v>0</v>
      </c>
      <c r="G35" s="115">
        <f>SUM(C35:F35)</f>
        <v>1</v>
      </c>
    </row>
    <row r="36" spans="1:8" ht="15" customHeight="1" x14ac:dyDescent="0.15">
      <c r="C36"/>
      <c r="D36"/>
      <c r="E36" s="115"/>
      <c r="F36" s="115"/>
      <c r="G36"/>
      <c r="H36"/>
    </row>
    <row r="37" spans="1:8" ht="15" customHeight="1" x14ac:dyDescent="0.15">
      <c r="C37"/>
      <c r="D37"/>
      <c r="E37" s="115"/>
      <c r="F37" s="115"/>
      <c r="G37"/>
      <c r="H37"/>
    </row>
    <row r="38" spans="1:8" ht="15" customHeight="1" x14ac:dyDescent="0.15">
      <c r="C38"/>
      <c r="D38"/>
      <c r="E38" s="115"/>
      <c r="F38" s="115"/>
      <c r="G38"/>
      <c r="H38"/>
    </row>
    <row r="39" spans="1:8" ht="15" customHeight="1" x14ac:dyDescent="0.15">
      <c r="C39"/>
      <c r="D39"/>
      <c r="E39" s="115"/>
      <c r="F39" s="115"/>
      <c r="G39"/>
      <c r="H39"/>
    </row>
    <row r="40" spans="1:8" ht="15" customHeight="1" x14ac:dyDescent="0.15">
      <c r="C40"/>
      <c r="D40"/>
      <c r="E40" s="115"/>
      <c r="F40" s="115"/>
      <c r="G40"/>
      <c r="H40"/>
    </row>
    <row r="41" spans="1:8" ht="15" customHeight="1" x14ac:dyDescent="0.15">
      <c r="C41"/>
      <c r="D41"/>
      <c r="E41" s="115"/>
      <c r="F41" s="115"/>
      <c r="G41"/>
      <c r="H41"/>
    </row>
    <row r="42" spans="1:8" ht="15" customHeight="1" x14ac:dyDescent="0.15">
      <c r="C42"/>
      <c r="D42"/>
      <c r="E42" s="115"/>
      <c r="F42" s="115"/>
      <c r="G42"/>
      <c r="H42"/>
    </row>
    <row r="43" spans="1:8" ht="15" customHeight="1" x14ac:dyDescent="0.15">
      <c r="C43"/>
      <c r="D43"/>
      <c r="E43" s="115"/>
      <c r="F43" s="115"/>
      <c r="G43"/>
      <c r="H43"/>
    </row>
    <row r="44" spans="1:8" ht="15" customHeight="1" x14ac:dyDescent="0.15">
      <c r="C44"/>
      <c r="D44"/>
      <c r="G44"/>
      <c r="H44"/>
    </row>
    <row r="45" spans="1:8" ht="15" customHeight="1" x14ac:dyDescent="0.15">
      <c r="C45"/>
      <c r="D45"/>
      <c r="G45"/>
      <c r="H45"/>
    </row>
    <row r="46" spans="1:8" ht="15" customHeight="1" x14ac:dyDescent="0.15">
      <c r="C46"/>
      <c r="D46"/>
      <c r="E46" s="115"/>
      <c r="F46" s="115"/>
      <c r="G46"/>
      <c r="H46"/>
    </row>
    <row r="47" spans="1:8" ht="15" customHeight="1" x14ac:dyDescent="0.15">
      <c r="C47"/>
      <c r="D47"/>
      <c r="G47"/>
      <c r="H47"/>
    </row>
    <row r="48" spans="1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3.33203125" bestFit="1" customWidth="1"/>
    <col min="3" max="5" width="6.83203125" bestFit="1" customWidth="1"/>
  </cols>
  <sheetData>
    <row r="1" spans="1:5" s="116" customFormat="1" ht="112" x14ac:dyDescent="0.15">
      <c r="A1" s="5" t="s">
        <v>21</v>
      </c>
      <c r="B1" s="3" t="s">
        <v>0</v>
      </c>
      <c r="C1" s="158" t="s">
        <v>225</v>
      </c>
      <c r="D1" s="158" t="s">
        <v>226</v>
      </c>
      <c r="E1" s="158" t="s">
        <v>230</v>
      </c>
    </row>
    <row r="2" spans="1:5" ht="15" customHeight="1" x14ac:dyDescent="0.15">
      <c r="A2">
        <v>1</v>
      </c>
      <c r="B2" s="157" t="s">
        <v>193</v>
      </c>
      <c r="C2">
        <v>0</v>
      </c>
      <c r="D2">
        <v>0</v>
      </c>
      <c r="E2">
        <v>0</v>
      </c>
    </row>
    <row r="3" spans="1:5" ht="15" customHeight="1" x14ac:dyDescent="0.15">
      <c r="A3">
        <v>2</v>
      </c>
      <c r="B3" s="157" t="s">
        <v>194</v>
      </c>
      <c r="C3">
        <v>0</v>
      </c>
      <c r="D3">
        <v>0</v>
      </c>
      <c r="E3">
        <v>0</v>
      </c>
    </row>
    <row r="4" spans="1:5" ht="15" customHeight="1" x14ac:dyDescent="0.15">
      <c r="A4">
        <v>3</v>
      </c>
      <c r="B4" s="157" t="s">
        <v>195</v>
      </c>
      <c r="C4">
        <v>0</v>
      </c>
      <c r="D4">
        <v>0</v>
      </c>
      <c r="E4">
        <v>0</v>
      </c>
    </row>
    <row r="5" spans="1:5" ht="15" customHeight="1" x14ac:dyDescent="0.15">
      <c r="A5">
        <v>4</v>
      </c>
      <c r="B5" s="157" t="s">
        <v>196</v>
      </c>
      <c r="C5">
        <v>0</v>
      </c>
      <c r="D5">
        <v>0</v>
      </c>
      <c r="E5">
        <v>0</v>
      </c>
    </row>
    <row r="6" spans="1:5" ht="15" customHeight="1" x14ac:dyDescent="0.15">
      <c r="A6">
        <v>5</v>
      </c>
      <c r="B6" s="157" t="s">
        <v>197</v>
      </c>
      <c r="C6">
        <v>0</v>
      </c>
      <c r="D6">
        <v>2.5000000000000001E-2</v>
      </c>
      <c r="E6">
        <v>2.5000000000000001E-2</v>
      </c>
    </row>
    <row r="7" spans="1:5" ht="15" customHeight="1" x14ac:dyDescent="0.15">
      <c r="A7">
        <v>6</v>
      </c>
      <c r="B7" s="157" t="s">
        <v>198</v>
      </c>
      <c r="C7">
        <v>0</v>
      </c>
      <c r="D7">
        <v>4.0000000000000001E-3</v>
      </c>
      <c r="E7">
        <v>4.0000000000000001E-3</v>
      </c>
    </row>
    <row r="8" spans="1:5" ht="15" customHeight="1" x14ac:dyDescent="0.15">
      <c r="A8">
        <v>7</v>
      </c>
      <c r="B8" s="157" t="s">
        <v>199</v>
      </c>
      <c r="C8">
        <v>0</v>
      </c>
      <c r="D8">
        <v>0.05</v>
      </c>
      <c r="E8">
        <v>0.05</v>
      </c>
    </row>
    <row r="9" spans="1:5" ht="15" customHeight="1" x14ac:dyDescent="0.15">
      <c r="A9">
        <v>8</v>
      </c>
      <c r="B9" s="157" t="s">
        <v>200</v>
      </c>
      <c r="C9">
        <v>0</v>
      </c>
      <c r="D9">
        <v>0</v>
      </c>
      <c r="E9">
        <v>0</v>
      </c>
    </row>
    <row r="10" spans="1:5" ht="15" customHeight="1" x14ac:dyDescent="0.15">
      <c r="A10">
        <v>9</v>
      </c>
      <c r="B10" s="157" t="s">
        <v>201</v>
      </c>
      <c r="C10">
        <v>0</v>
      </c>
      <c r="D10">
        <v>0.14699999999999999</v>
      </c>
      <c r="E10">
        <v>0.14699999999999999</v>
      </c>
    </row>
    <row r="11" spans="1:5" ht="15" customHeight="1" x14ac:dyDescent="0.15">
      <c r="A11">
        <v>10</v>
      </c>
      <c r="B11" s="157" t="s">
        <v>202</v>
      </c>
      <c r="C11">
        <v>1E-3</v>
      </c>
      <c r="D11">
        <v>5.5E-2</v>
      </c>
      <c r="E11">
        <v>5.6000000000000001E-2</v>
      </c>
    </row>
    <row r="12" spans="1:5" ht="15" customHeight="1" x14ac:dyDescent="0.15">
      <c r="A12">
        <v>11</v>
      </c>
      <c r="B12" s="157" t="s">
        <v>203</v>
      </c>
      <c r="C12">
        <v>0</v>
      </c>
      <c r="D12">
        <v>7.4999999999999997E-2</v>
      </c>
      <c r="E12">
        <v>7.4999999999999997E-2</v>
      </c>
    </row>
    <row r="13" spans="1:5" ht="15" customHeight="1" x14ac:dyDescent="0.15">
      <c r="A13">
        <v>12</v>
      </c>
      <c r="B13" s="157" t="s">
        <v>204</v>
      </c>
      <c r="C13">
        <v>0</v>
      </c>
      <c r="D13">
        <v>0.10199999999999999</v>
      </c>
      <c r="E13">
        <v>0.10199999999999999</v>
      </c>
    </row>
    <row r="14" spans="1:5" ht="15" customHeight="1" x14ac:dyDescent="0.15">
      <c r="A14">
        <v>13</v>
      </c>
      <c r="B14" s="157" t="s">
        <v>205</v>
      </c>
      <c r="C14">
        <v>8.9999999999999993E-3</v>
      </c>
      <c r="D14">
        <v>0.02</v>
      </c>
      <c r="E14">
        <v>2.8999999999999998E-2</v>
      </c>
    </row>
    <row r="15" spans="1:5" ht="15" customHeight="1" x14ac:dyDescent="0.15">
      <c r="A15">
        <v>14</v>
      </c>
      <c r="B15" s="157" t="s">
        <v>206</v>
      </c>
      <c r="C15">
        <v>5.0000000000000001E-4</v>
      </c>
      <c r="D15">
        <v>5.0000000000000001E-3</v>
      </c>
      <c r="E15">
        <v>5.4999999999999997E-3</v>
      </c>
    </row>
    <row r="16" spans="1:5" ht="15" customHeight="1" x14ac:dyDescent="0.15">
      <c r="A16">
        <v>15</v>
      </c>
      <c r="B16" s="157" t="s">
        <v>207</v>
      </c>
      <c r="C16">
        <v>0</v>
      </c>
      <c r="D16">
        <v>0.161</v>
      </c>
      <c r="E16">
        <v>0.161</v>
      </c>
    </row>
    <row r="17" spans="1:5" ht="15" customHeight="1" x14ac:dyDescent="0.15">
      <c r="A17">
        <v>16</v>
      </c>
      <c r="B17" s="157" t="s">
        <v>208</v>
      </c>
      <c r="C17">
        <v>2E-3</v>
      </c>
      <c r="D17">
        <v>7.2999999999999995E-2</v>
      </c>
      <c r="E17">
        <v>7.4999999999999997E-2</v>
      </c>
    </row>
    <row r="18" spans="1:5" ht="15" customHeight="1" x14ac:dyDescent="0.15">
      <c r="A18">
        <v>17</v>
      </c>
      <c r="B18" s="157" t="s">
        <v>209</v>
      </c>
      <c r="C18">
        <v>0</v>
      </c>
      <c r="D18">
        <v>9.5500000000000002E-2</v>
      </c>
      <c r="E18">
        <v>9.5500000000000002E-2</v>
      </c>
    </row>
    <row r="19" spans="1:5" ht="15" customHeight="1" x14ac:dyDescent="0.15">
      <c r="A19">
        <v>18</v>
      </c>
      <c r="B19" s="157" t="s">
        <v>210</v>
      </c>
      <c r="C19">
        <v>3.0000000000000001E-3</v>
      </c>
      <c r="D19">
        <v>4.3999999999999997E-2</v>
      </c>
      <c r="E19">
        <v>4.7E-2</v>
      </c>
    </row>
    <row r="20" spans="1:5" ht="15" customHeight="1" x14ac:dyDescent="0.15">
      <c r="A20">
        <v>19</v>
      </c>
      <c r="B20" s="157" t="s">
        <v>211</v>
      </c>
      <c r="C20">
        <v>4.0000000000000001E-3</v>
      </c>
      <c r="D20">
        <v>7.0000000000000007E-2</v>
      </c>
      <c r="E20">
        <v>7.400000000000001E-2</v>
      </c>
    </row>
    <row r="21" spans="1:5" ht="15" customHeight="1" x14ac:dyDescent="0.15">
      <c r="A21">
        <v>20</v>
      </c>
      <c r="B21" s="157" t="s">
        <v>212</v>
      </c>
      <c r="C21">
        <v>0</v>
      </c>
      <c r="D21">
        <v>4.2000000000000003E-2</v>
      </c>
      <c r="E21">
        <v>4.2000000000000003E-2</v>
      </c>
    </row>
    <row r="22" spans="1:5" ht="15" customHeight="1" x14ac:dyDescent="0.15">
      <c r="A22">
        <v>21</v>
      </c>
      <c r="B22" s="157" t="s">
        <v>213</v>
      </c>
      <c r="C22">
        <v>0.67</v>
      </c>
      <c r="D22">
        <v>0.39300000000000002</v>
      </c>
      <c r="E22">
        <v>1.0630000000000002</v>
      </c>
    </row>
    <row r="23" spans="1:5" ht="15" customHeight="1" x14ac:dyDescent="0.15">
      <c r="A23">
        <v>22</v>
      </c>
      <c r="B23" s="157" t="s">
        <v>214</v>
      </c>
      <c r="C23">
        <v>0.53600000000000003</v>
      </c>
      <c r="D23">
        <v>0</v>
      </c>
      <c r="E23">
        <v>0.53600000000000003</v>
      </c>
    </row>
    <row r="24" spans="1:5" ht="15" customHeight="1" x14ac:dyDescent="0.15">
      <c r="A24">
        <v>23</v>
      </c>
      <c r="B24" s="157" t="s">
        <v>215</v>
      </c>
      <c r="C24">
        <v>6.3E-2</v>
      </c>
      <c r="D24">
        <v>6.4000000000000001E-2</v>
      </c>
      <c r="E24">
        <v>0.127</v>
      </c>
    </row>
    <row r="25" spans="1:5" ht="15" customHeight="1" x14ac:dyDescent="0.15">
      <c r="A25">
        <v>24</v>
      </c>
      <c r="B25" s="157" t="s">
        <v>216</v>
      </c>
      <c r="C25">
        <v>6.3E-2</v>
      </c>
      <c r="D25">
        <v>3.5000000000000003E-2</v>
      </c>
      <c r="E25">
        <v>9.8000000000000004E-2</v>
      </c>
    </row>
    <row r="26" spans="1:5" ht="15" customHeight="1" x14ac:dyDescent="0.15">
      <c r="A26">
        <v>25</v>
      </c>
      <c r="B26" s="157" t="s">
        <v>217</v>
      </c>
      <c r="C26">
        <v>2.1000000000000001E-2</v>
      </c>
      <c r="D26">
        <v>0.10199999999999999</v>
      </c>
      <c r="E26">
        <v>0.123</v>
      </c>
    </row>
    <row r="27" spans="1:5" ht="15" customHeight="1" x14ac:dyDescent="0.15">
      <c r="A27">
        <v>26</v>
      </c>
      <c r="B27" s="157" t="s">
        <v>218</v>
      </c>
      <c r="C27">
        <v>7.0000000000000001E-3</v>
      </c>
      <c r="D27">
        <v>0.114</v>
      </c>
      <c r="E27">
        <v>0.12100000000000001</v>
      </c>
    </row>
    <row r="28" spans="1:5" ht="15" customHeight="1" x14ac:dyDescent="0.15">
      <c r="A28">
        <v>27</v>
      </c>
      <c r="B28" s="157" t="s">
        <v>219</v>
      </c>
      <c r="C28">
        <v>0</v>
      </c>
      <c r="D28">
        <v>0</v>
      </c>
      <c r="E28">
        <v>0</v>
      </c>
    </row>
    <row r="29" spans="1:5" ht="15" customHeight="1" x14ac:dyDescent="0.15">
      <c r="A29">
        <v>28</v>
      </c>
      <c r="B29" s="157" t="s">
        <v>220</v>
      </c>
      <c r="C29">
        <v>0</v>
      </c>
      <c r="D29">
        <v>0</v>
      </c>
      <c r="E29">
        <v>0</v>
      </c>
    </row>
    <row r="30" spans="1:5" ht="15" customHeight="1" x14ac:dyDescent="0.15">
      <c r="A30">
        <v>29</v>
      </c>
      <c r="B30" s="157" t="s">
        <v>221</v>
      </c>
      <c r="C30">
        <v>0</v>
      </c>
      <c r="D30">
        <v>0</v>
      </c>
      <c r="E30">
        <v>0</v>
      </c>
    </row>
    <row r="31" spans="1:5" ht="15" customHeight="1" x14ac:dyDescent="0.15">
      <c r="A31">
        <v>30</v>
      </c>
      <c r="B31" s="157" t="s">
        <v>222</v>
      </c>
      <c r="C31">
        <v>0</v>
      </c>
      <c r="D31">
        <v>0</v>
      </c>
      <c r="E31">
        <v>0</v>
      </c>
    </row>
    <row r="32" spans="1:5" ht="15" customHeight="1" x14ac:dyDescent="0.15">
      <c r="A32">
        <v>31</v>
      </c>
      <c r="B32" s="157" t="s">
        <v>223</v>
      </c>
      <c r="C32">
        <v>0</v>
      </c>
      <c r="D32">
        <v>0</v>
      </c>
      <c r="E32">
        <v>0</v>
      </c>
    </row>
    <row r="33" spans="1:5" ht="15" customHeight="1" x14ac:dyDescent="0.15">
      <c r="A33">
        <v>32</v>
      </c>
      <c r="B33" s="157" t="s">
        <v>224</v>
      </c>
      <c r="C33">
        <v>0</v>
      </c>
      <c r="D33">
        <v>0</v>
      </c>
      <c r="E33">
        <v>0</v>
      </c>
    </row>
    <row r="34" spans="1:5" ht="15" customHeight="1" x14ac:dyDescent="0.15"/>
    <row r="35" spans="1:5" ht="15" customHeight="1" x14ac:dyDescent="0.15"/>
    <row r="36" spans="1:5" ht="15" customHeight="1" x14ac:dyDescent="0.15"/>
    <row r="37" spans="1:5" ht="15" customHeight="1" x14ac:dyDescent="0.15"/>
    <row r="38" spans="1:5" ht="15" customHeight="1" x14ac:dyDescent="0.15"/>
    <row r="39" spans="1:5" ht="15" customHeight="1" x14ac:dyDescent="0.15"/>
    <row r="40" spans="1:5" ht="15" customHeight="1" x14ac:dyDescent="0.15"/>
    <row r="41" spans="1:5" ht="15" customHeight="1" x14ac:dyDescent="0.15"/>
    <row r="42" spans="1:5" ht="15" customHeight="1" x14ac:dyDescent="0.15"/>
    <row r="43" spans="1:5" ht="15" customHeight="1" x14ac:dyDescent="0.15"/>
    <row r="44" spans="1:5" ht="15" customHeight="1" x14ac:dyDescent="0.15"/>
    <row r="45" spans="1:5" ht="15" customHeight="1" x14ac:dyDescent="0.15"/>
    <row r="46" spans="1:5" ht="15" customHeight="1" x14ac:dyDescent="0.15"/>
    <row r="47" spans="1:5" ht="15" customHeight="1" x14ac:dyDescent="0.15"/>
    <row r="48" spans="1:5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E33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3.33203125" bestFit="1" customWidth="1"/>
    <col min="3" max="3" width="5.83203125" bestFit="1" customWidth="1"/>
    <col min="4" max="5" width="7.83203125" bestFit="1" customWidth="1"/>
  </cols>
  <sheetData>
    <row r="1" spans="1:5" s="116" customFormat="1" ht="112" x14ac:dyDescent="0.15">
      <c r="A1" s="5" t="s">
        <v>22</v>
      </c>
      <c r="B1" s="3" t="s">
        <v>0</v>
      </c>
      <c r="C1" s="160" t="s">
        <v>225</v>
      </c>
      <c r="D1" s="160" t="s">
        <v>226</v>
      </c>
      <c r="E1" s="160" t="s">
        <v>230</v>
      </c>
    </row>
    <row r="2" spans="1:5" x14ac:dyDescent="0.15">
      <c r="A2">
        <v>1</v>
      </c>
      <c r="B2" s="159" t="s">
        <v>193</v>
      </c>
      <c r="C2">
        <v>0</v>
      </c>
      <c r="D2">
        <v>0</v>
      </c>
      <c r="E2">
        <v>0</v>
      </c>
    </row>
    <row r="3" spans="1:5" x14ac:dyDescent="0.15">
      <c r="A3">
        <v>2</v>
      </c>
      <c r="B3" s="159" t="s">
        <v>194</v>
      </c>
      <c r="C3">
        <v>0</v>
      </c>
      <c r="D3">
        <v>0</v>
      </c>
      <c r="E3">
        <v>0</v>
      </c>
    </row>
    <row r="4" spans="1:5" x14ac:dyDescent="0.15">
      <c r="A4">
        <v>3</v>
      </c>
      <c r="B4" s="159" t="s">
        <v>195</v>
      </c>
      <c r="C4">
        <v>0</v>
      </c>
      <c r="D4">
        <v>0</v>
      </c>
      <c r="E4">
        <v>0</v>
      </c>
    </row>
    <row r="5" spans="1:5" x14ac:dyDescent="0.15">
      <c r="A5">
        <v>4</v>
      </c>
      <c r="B5" s="159" t="s">
        <v>196</v>
      </c>
      <c r="C5">
        <v>0</v>
      </c>
      <c r="D5">
        <v>0</v>
      </c>
      <c r="E5">
        <v>0</v>
      </c>
    </row>
    <row r="6" spans="1:5" x14ac:dyDescent="0.15">
      <c r="A6">
        <v>5</v>
      </c>
      <c r="B6" s="159" t="s">
        <v>197</v>
      </c>
      <c r="C6">
        <v>0</v>
      </c>
      <c r="D6">
        <v>3.0000000000000001E-3</v>
      </c>
      <c r="E6">
        <v>3.0000000000000001E-3</v>
      </c>
    </row>
    <row r="7" spans="1:5" x14ac:dyDescent="0.15">
      <c r="A7">
        <v>6</v>
      </c>
      <c r="B7" s="159" t="s">
        <v>198</v>
      </c>
      <c r="C7">
        <v>0</v>
      </c>
      <c r="D7">
        <v>0</v>
      </c>
      <c r="E7">
        <v>0</v>
      </c>
    </row>
    <row r="8" spans="1:5" x14ac:dyDescent="0.15">
      <c r="A8">
        <v>7</v>
      </c>
      <c r="B8" s="159" t="s">
        <v>199</v>
      </c>
      <c r="C8">
        <v>0</v>
      </c>
      <c r="D8">
        <v>5.0000000000000001E-3</v>
      </c>
      <c r="E8">
        <v>5.0000000000000001E-3</v>
      </c>
    </row>
    <row r="9" spans="1:5" x14ac:dyDescent="0.15">
      <c r="A9">
        <v>8</v>
      </c>
      <c r="B9" s="159" t="s">
        <v>200</v>
      </c>
      <c r="C9">
        <v>0</v>
      </c>
      <c r="D9">
        <v>0</v>
      </c>
      <c r="E9">
        <v>0</v>
      </c>
    </row>
    <row r="10" spans="1:5" x14ac:dyDescent="0.15">
      <c r="A10">
        <v>9</v>
      </c>
      <c r="B10" s="159" t="s">
        <v>201</v>
      </c>
      <c r="C10">
        <v>0</v>
      </c>
      <c r="D10">
        <v>1.4999999999999999E-2</v>
      </c>
      <c r="E10">
        <v>1.4999999999999999E-2</v>
      </c>
    </row>
    <row r="11" spans="1:5" x14ac:dyDescent="0.15">
      <c r="A11">
        <v>10</v>
      </c>
      <c r="B11" s="159" t="s">
        <v>202</v>
      </c>
      <c r="C11">
        <v>0</v>
      </c>
      <c r="D11">
        <v>5.0000000000000001E-3</v>
      </c>
      <c r="E11">
        <v>5.0000000000000001E-3</v>
      </c>
    </row>
    <row r="12" spans="1:5" x14ac:dyDescent="0.15">
      <c r="A12">
        <v>11</v>
      </c>
      <c r="B12" s="159" t="s">
        <v>203</v>
      </c>
      <c r="C12">
        <v>0</v>
      </c>
      <c r="D12">
        <v>7.0000000000000001E-3</v>
      </c>
      <c r="E12">
        <v>7.0000000000000001E-3</v>
      </c>
    </row>
    <row r="13" spans="1:5" x14ac:dyDescent="0.15">
      <c r="A13">
        <v>12</v>
      </c>
      <c r="B13" s="159" t="s">
        <v>204</v>
      </c>
      <c r="C13">
        <v>0</v>
      </c>
      <c r="D13">
        <v>0.01</v>
      </c>
      <c r="E13">
        <v>0.01</v>
      </c>
    </row>
    <row r="14" spans="1:5" x14ac:dyDescent="0.15">
      <c r="A14">
        <v>13</v>
      </c>
      <c r="B14" s="159" t="s">
        <v>205</v>
      </c>
      <c r="C14">
        <v>0</v>
      </c>
      <c r="D14">
        <v>2E-3</v>
      </c>
      <c r="E14">
        <v>2E-3</v>
      </c>
    </row>
    <row r="15" spans="1:5" x14ac:dyDescent="0.15">
      <c r="A15">
        <v>14</v>
      </c>
      <c r="B15" s="159" t="s">
        <v>206</v>
      </c>
      <c r="C15">
        <v>0</v>
      </c>
      <c r="D15">
        <v>5.0000000000000001E-4</v>
      </c>
      <c r="E15">
        <v>5.0000000000000001E-4</v>
      </c>
    </row>
    <row r="16" spans="1:5" x14ac:dyDescent="0.15">
      <c r="A16">
        <v>15</v>
      </c>
      <c r="B16" s="159" t="s">
        <v>207</v>
      </c>
      <c r="C16">
        <v>0</v>
      </c>
      <c r="D16">
        <v>1.6E-2</v>
      </c>
      <c r="E16">
        <v>1.6E-2</v>
      </c>
    </row>
    <row r="17" spans="1:5" x14ac:dyDescent="0.15">
      <c r="A17">
        <v>16</v>
      </c>
      <c r="B17" s="159" t="s">
        <v>208</v>
      </c>
      <c r="C17">
        <v>0</v>
      </c>
      <c r="D17">
        <v>7.0000000000000001E-3</v>
      </c>
      <c r="E17">
        <v>7.0000000000000001E-3</v>
      </c>
    </row>
    <row r="18" spans="1:5" x14ac:dyDescent="0.15">
      <c r="A18">
        <v>17</v>
      </c>
      <c r="B18" s="159" t="s">
        <v>209</v>
      </c>
      <c r="C18">
        <v>0</v>
      </c>
      <c r="D18">
        <v>9.4999999999999998E-3</v>
      </c>
      <c r="E18">
        <v>9.4999999999999998E-3</v>
      </c>
    </row>
    <row r="19" spans="1:5" x14ac:dyDescent="0.15">
      <c r="A19">
        <v>18</v>
      </c>
      <c r="B19" s="159" t="s">
        <v>210</v>
      </c>
      <c r="C19">
        <v>0</v>
      </c>
      <c r="D19">
        <v>4.0000000000000001E-3</v>
      </c>
      <c r="E19">
        <v>4.0000000000000001E-3</v>
      </c>
    </row>
    <row r="20" spans="1:5" x14ac:dyDescent="0.15">
      <c r="A20">
        <v>19</v>
      </c>
      <c r="B20" s="159" t="s">
        <v>211</v>
      </c>
      <c r="C20">
        <v>0</v>
      </c>
      <c r="D20">
        <v>7.0000000000000001E-3</v>
      </c>
      <c r="E20">
        <v>7.0000000000000001E-3</v>
      </c>
    </row>
    <row r="21" spans="1:5" x14ac:dyDescent="0.15">
      <c r="A21">
        <v>20</v>
      </c>
      <c r="B21" s="159" t="s">
        <v>212</v>
      </c>
      <c r="C21">
        <v>0</v>
      </c>
      <c r="D21">
        <v>4.0000000000000001E-3</v>
      </c>
      <c r="E21">
        <v>4.0000000000000001E-3</v>
      </c>
    </row>
    <row r="22" spans="1:5" x14ac:dyDescent="0.15">
      <c r="A22">
        <v>21</v>
      </c>
      <c r="B22" s="159" t="s">
        <v>213</v>
      </c>
      <c r="C22">
        <v>3.1E-2</v>
      </c>
      <c r="D22">
        <v>3.9E-2</v>
      </c>
      <c r="E22">
        <v>7.0000000000000007E-2</v>
      </c>
    </row>
    <row r="23" spans="1:5" x14ac:dyDescent="0.15">
      <c r="A23">
        <v>22</v>
      </c>
      <c r="B23" s="159" t="s">
        <v>214</v>
      </c>
      <c r="C23">
        <v>2.5000000000000001E-2</v>
      </c>
      <c r="D23">
        <v>0</v>
      </c>
      <c r="E23">
        <v>2.5000000000000001E-2</v>
      </c>
    </row>
    <row r="24" spans="1:5" x14ac:dyDescent="0.15">
      <c r="A24">
        <v>23</v>
      </c>
      <c r="B24" s="159" t="s">
        <v>215</v>
      </c>
      <c r="C24">
        <v>3.0000000000000001E-3</v>
      </c>
      <c r="D24">
        <v>6.0000000000000001E-3</v>
      </c>
      <c r="E24">
        <v>9.0000000000000011E-3</v>
      </c>
    </row>
    <row r="25" spans="1:5" x14ac:dyDescent="0.15">
      <c r="A25">
        <v>24</v>
      </c>
      <c r="B25" s="159" t="s">
        <v>216</v>
      </c>
      <c r="C25">
        <v>3.0000000000000001E-3</v>
      </c>
      <c r="D25">
        <v>4.0000000000000001E-3</v>
      </c>
      <c r="E25">
        <v>7.0000000000000001E-3</v>
      </c>
    </row>
    <row r="26" spans="1:5" x14ac:dyDescent="0.15">
      <c r="A26">
        <v>25</v>
      </c>
      <c r="B26" s="159" t="s">
        <v>217</v>
      </c>
      <c r="C26">
        <v>1E-3</v>
      </c>
      <c r="D26">
        <v>0.01</v>
      </c>
      <c r="E26">
        <v>1.0999999999999999E-2</v>
      </c>
    </row>
    <row r="27" spans="1:5" x14ac:dyDescent="0.15">
      <c r="A27">
        <v>26</v>
      </c>
      <c r="B27" s="159" t="s">
        <v>218</v>
      </c>
      <c r="C27">
        <v>0</v>
      </c>
      <c r="D27">
        <v>1.0999999999999999E-2</v>
      </c>
      <c r="E27">
        <v>1.0999999999999999E-2</v>
      </c>
    </row>
    <row r="28" spans="1:5" x14ac:dyDescent="0.15">
      <c r="A28">
        <v>27</v>
      </c>
      <c r="B28" s="159" t="s">
        <v>219</v>
      </c>
      <c r="C28">
        <v>0</v>
      </c>
      <c r="D28">
        <v>2.5000000000000001E-3</v>
      </c>
      <c r="E28">
        <v>2.5000000000000001E-3</v>
      </c>
    </row>
    <row r="29" spans="1:5" x14ac:dyDescent="0.15">
      <c r="A29">
        <v>28</v>
      </c>
      <c r="B29" s="159" t="s">
        <v>220</v>
      </c>
      <c r="C29">
        <v>0</v>
      </c>
      <c r="D29">
        <v>0</v>
      </c>
      <c r="E29">
        <v>0</v>
      </c>
    </row>
    <row r="30" spans="1:5" x14ac:dyDescent="0.15">
      <c r="A30">
        <v>29</v>
      </c>
      <c r="B30" s="159" t="s">
        <v>221</v>
      </c>
      <c r="C30">
        <v>0</v>
      </c>
      <c r="D30">
        <v>3.4000000000000002E-4</v>
      </c>
      <c r="E30">
        <v>3.4000000000000002E-4</v>
      </c>
    </row>
    <row r="31" spans="1:5" x14ac:dyDescent="0.15">
      <c r="A31">
        <v>30</v>
      </c>
      <c r="B31" s="159" t="s">
        <v>222</v>
      </c>
      <c r="C31">
        <v>0</v>
      </c>
      <c r="D31">
        <v>0</v>
      </c>
      <c r="E31">
        <v>0</v>
      </c>
    </row>
    <row r="32" spans="1:5" x14ac:dyDescent="0.15">
      <c r="A32">
        <v>31</v>
      </c>
      <c r="B32" s="159" t="s">
        <v>223</v>
      </c>
      <c r="C32">
        <v>0</v>
      </c>
      <c r="D32">
        <v>0</v>
      </c>
      <c r="E32">
        <v>0</v>
      </c>
    </row>
    <row r="33" spans="1:5" x14ac:dyDescent="0.15">
      <c r="A33">
        <v>32</v>
      </c>
      <c r="B33" s="159" t="s">
        <v>224</v>
      </c>
      <c r="C33">
        <v>0</v>
      </c>
      <c r="D33">
        <v>0</v>
      </c>
      <c r="E33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3.33203125" bestFit="1" customWidth="1"/>
    <col min="6" max="6" width="4.83203125" bestFit="1" customWidth="1"/>
    <col min="7" max="9" width="3.83203125" bestFit="1" customWidth="1"/>
    <col min="10" max="11" width="4.83203125" style="115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17" customFormat="1" ht="14" thickBot="1" x14ac:dyDescent="0.2">
      <c r="D1" s="118" t="s">
        <v>8</v>
      </c>
      <c r="E1" s="118" t="s">
        <v>0</v>
      </c>
      <c r="F1" s="119" t="s">
        <v>99</v>
      </c>
      <c r="G1" s="120" t="s">
        <v>84</v>
      </c>
      <c r="H1" s="120" t="s">
        <v>85</v>
      </c>
      <c r="I1" s="120" t="s">
        <v>86</v>
      </c>
      <c r="J1" s="120" t="s">
        <v>87</v>
      </c>
      <c r="K1" s="120" t="s">
        <v>88</v>
      </c>
      <c r="L1" s="121" t="s">
        <v>89</v>
      </c>
      <c r="M1" s="121" t="s">
        <v>93</v>
      </c>
      <c r="N1" s="121" t="s">
        <v>92</v>
      </c>
      <c r="O1" s="121" t="s">
        <v>90</v>
      </c>
      <c r="P1" s="121" t="s">
        <v>91</v>
      </c>
      <c r="Q1" s="122" t="s">
        <v>94</v>
      </c>
      <c r="R1" s="122" t="s">
        <v>95</v>
      </c>
      <c r="S1" s="122" t="s">
        <v>96</v>
      </c>
      <c r="T1" s="122" t="s">
        <v>97</v>
      </c>
      <c r="U1" s="122" t="s">
        <v>98</v>
      </c>
      <c r="V1" s="120" t="s">
        <v>100</v>
      </c>
      <c r="W1" s="120" t="s">
        <v>101</v>
      </c>
      <c r="X1" s="120" t="s">
        <v>102</v>
      </c>
      <c r="Y1" s="120" t="s">
        <v>134</v>
      </c>
      <c r="Z1" s="121" t="s">
        <v>103</v>
      </c>
      <c r="AA1" s="121" t="s">
        <v>104</v>
      </c>
      <c r="AB1" s="121" t="s">
        <v>105</v>
      </c>
      <c r="AC1" s="123" t="s">
        <v>135</v>
      </c>
      <c r="AD1" s="122" t="s">
        <v>106</v>
      </c>
      <c r="AE1" s="122" t="s">
        <v>107</v>
      </c>
      <c r="AF1" s="122" t="s">
        <v>108</v>
      </c>
      <c r="AG1" s="122" t="s">
        <v>136</v>
      </c>
      <c r="AH1" s="120" t="s">
        <v>109</v>
      </c>
      <c r="AI1" s="120" t="s">
        <v>111</v>
      </c>
      <c r="AJ1" s="120" t="s">
        <v>110</v>
      </c>
      <c r="AK1" s="121" t="s">
        <v>115</v>
      </c>
      <c r="AL1" s="121" t="s">
        <v>116</v>
      </c>
      <c r="AM1" s="121" t="s">
        <v>117</v>
      </c>
      <c r="AN1" s="122" t="s">
        <v>112</v>
      </c>
      <c r="AO1" s="122" t="s">
        <v>113</v>
      </c>
      <c r="AP1" s="122" t="s">
        <v>114</v>
      </c>
    </row>
    <row r="2" spans="1:42" x14ac:dyDescent="0.15">
      <c r="A2" s="124" t="s">
        <v>74</v>
      </c>
      <c r="B2" s="125">
        <v>1</v>
      </c>
      <c r="D2">
        <v>1</v>
      </c>
      <c r="E2" s="161" t="s">
        <v>193</v>
      </c>
      <c r="F2">
        <v>0.98</v>
      </c>
      <c r="G2">
        <v>0.8</v>
      </c>
      <c r="H2">
        <v>0.8</v>
      </c>
      <c r="I2">
        <v>0</v>
      </c>
      <c r="J2" s="115">
        <v>0</v>
      </c>
      <c r="K2" s="115">
        <v>0</v>
      </c>
    </row>
    <row r="3" spans="1:42" x14ac:dyDescent="0.15">
      <c r="A3" s="124" t="s">
        <v>75</v>
      </c>
      <c r="B3" s="126">
        <v>1</v>
      </c>
      <c r="D3">
        <v>2</v>
      </c>
      <c r="E3" s="161" t="s">
        <v>194</v>
      </c>
      <c r="F3">
        <v>0.98</v>
      </c>
      <c r="G3">
        <v>0.8</v>
      </c>
      <c r="H3">
        <v>0.8</v>
      </c>
      <c r="I3">
        <v>0.8</v>
      </c>
      <c r="J3" s="115">
        <v>0.25</v>
      </c>
      <c r="K3" s="115">
        <v>0.05</v>
      </c>
    </row>
    <row r="4" spans="1:42" x14ac:dyDescent="0.15">
      <c r="A4" s="124" t="s">
        <v>76</v>
      </c>
      <c r="B4" s="126">
        <v>1</v>
      </c>
      <c r="D4">
        <v>3</v>
      </c>
      <c r="E4" s="161" t="s">
        <v>195</v>
      </c>
      <c r="F4">
        <v>0.98</v>
      </c>
      <c r="G4">
        <v>0.8</v>
      </c>
      <c r="H4">
        <v>0.8</v>
      </c>
      <c r="I4">
        <v>0.8</v>
      </c>
      <c r="J4" s="115">
        <v>0.25</v>
      </c>
      <c r="K4" s="115">
        <v>0.05</v>
      </c>
    </row>
    <row r="5" spans="1:42" x14ac:dyDescent="0.15">
      <c r="A5" s="124" t="s">
        <v>77</v>
      </c>
      <c r="B5" s="126">
        <v>1</v>
      </c>
      <c r="D5">
        <v>4</v>
      </c>
      <c r="E5" s="161" t="s">
        <v>196</v>
      </c>
      <c r="F5">
        <v>0.98</v>
      </c>
      <c r="G5">
        <v>0.8</v>
      </c>
      <c r="H5">
        <v>0.8</v>
      </c>
      <c r="I5">
        <v>0.8</v>
      </c>
      <c r="J5" s="115">
        <v>0.25</v>
      </c>
      <c r="K5" s="115">
        <v>0.05</v>
      </c>
    </row>
    <row r="6" spans="1:42" x14ac:dyDescent="0.15">
      <c r="A6" s="124" t="s">
        <v>78</v>
      </c>
      <c r="B6" s="126">
        <v>1</v>
      </c>
      <c r="D6">
        <v>5</v>
      </c>
      <c r="E6" s="161" t="s">
        <v>197</v>
      </c>
      <c r="F6">
        <v>0.98</v>
      </c>
      <c r="G6">
        <v>0.8</v>
      </c>
      <c r="H6">
        <v>0.8</v>
      </c>
      <c r="I6">
        <v>0.8</v>
      </c>
      <c r="J6" s="115">
        <v>0.25</v>
      </c>
      <c r="K6" s="115">
        <v>0.05</v>
      </c>
    </row>
    <row r="7" spans="1:42" x14ac:dyDescent="0.15">
      <c r="A7" s="124" t="s">
        <v>79</v>
      </c>
      <c r="B7" s="126">
        <v>1</v>
      </c>
      <c r="D7">
        <v>6</v>
      </c>
      <c r="E7" s="161" t="s">
        <v>198</v>
      </c>
      <c r="F7">
        <v>0.98</v>
      </c>
      <c r="G7">
        <v>0.8</v>
      </c>
      <c r="H7">
        <v>0.8</v>
      </c>
      <c r="I7">
        <v>0.8</v>
      </c>
      <c r="J7" s="115">
        <v>0.25</v>
      </c>
      <c r="K7" s="115">
        <v>0.05</v>
      </c>
    </row>
    <row r="8" spans="1:42" x14ac:dyDescent="0.15">
      <c r="A8" s="124" t="s">
        <v>80</v>
      </c>
      <c r="B8" s="126">
        <v>1</v>
      </c>
      <c r="D8">
        <v>7</v>
      </c>
      <c r="E8" s="161" t="s">
        <v>199</v>
      </c>
      <c r="F8">
        <v>0.98</v>
      </c>
      <c r="G8">
        <v>0.8</v>
      </c>
      <c r="H8">
        <v>0.8</v>
      </c>
      <c r="I8">
        <v>0.8</v>
      </c>
      <c r="J8" s="115">
        <v>0.25</v>
      </c>
      <c r="K8" s="115">
        <v>0.05</v>
      </c>
    </row>
    <row r="9" spans="1:42" x14ac:dyDescent="0.15">
      <c r="A9" s="124" t="s">
        <v>81</v>
      </c>
      <c r="B9" s="126">
        <v>0.1</v>
      </c>
      <c r="C9" s="61" t="s">
        <v>150</v>
      </c>
      <c r="D9">
        <v>8</v>
      </c>
      <c r="E9" s="161" t="s">
        <v>200</v>
      </c>
      <c r="F9">
        <v>0.98</v>
      </c>
      <c r="G9">
        <v>0.8</v>
      </c>
      <c r="H9">
        <v>0.8</v>
      </c>
      <c r="I9">
        <v>0.8</v>
      </c>
      <c r="J9" s="115">
        <v>0.25</v>
      </c>
      <c r="K9" s="115">
        <v>0.05</v>
      </c>
    </row>
    <row r="10" spans="1:42" ht="14" thickBot="1" x14ac:dyDescent="0.2">
      <c r="A10" s="124" t="s">
        <v>149</v>
      </c>
      <c r="B10" s="127">
        <f>1/3</f>
        <v>0.33333333333333331</v>
      </c>
      <c r="C10" s="61" t="s">
        <v>150</v>
      </c>
      <c r="D10">
        <v>9</v>
      </c>
      <c r="E10" s="161" t="s">
        <v>201</v>
      </c>
      <c r="F10">
        <v>0.98</v>
      </c>
      <c r="G10">
        <v>0.8</v>
      </c>
      <c r="H10">
        <v>0.8</v>
      </c>
      <c r="I10">
        <v>0.8</v>
      </c>
      <c r="J10" s="115">
        <v>0.25</v>
      </c>
      <c r="K10" s="115">
        <v>0.05</v>
      </c>
    </row>
    <row r="11" spans="1:42" x14ac:dyDescent="0.15">
      <c r="D11">
        <v>10</v>
      </c>
      <c r="E11" s="161" t="s">
        <v>202</v>
      </c>
      <c r="F11">
        <v>0.98</v>
      </c>
      <c r="G11">
        <v>0.8</v>
      </c>
      <c r="H11">
        <v>0.8</v>
      </c>
      <c r="I11">
        <v>0.8</v>
      </c>
      <c r="J11" s="115">
        <v>0.25</v>
      </c>
      <c r="K11" s="115">
        <v>0.05</v>
      </c>
    </row>
    <row r="12" spans="1:42" x14ac:dyDescent="0.15">
      <c r="D12">
        <v>11</v>
      </c>
      <c r="E12" s="161" t="s">
        <v>203</v>
      </c>
      <c r="F12">
        <v>0.98</v>
      </c>
      <c r="G12">
        <v>0.8</v>
      </c>
      <c r="H12">
        <v>0.8</v>
      </c>
      <c r="I12">
        <v>0.8</v>
      </c>
      <c r="J12" s="115">
        <v>0.25</v>
      </c>
      <c r="K12" s="115">
        <v>0.05</v>
      </c>
    </row>
    <row r="13" spans="1:42" x14ac:dyDescent="0.15">
      <c r="D13">
        <v>12</v>
      </c>
      <c r="E13" s="161" t="s">
        <v>204</v>
      </c>
      <c r="F13">
        <v>0.98</v>
      </c>
      <c r="G13">
        <v>0.8</v>
      </c>
      <c r="H13">
        <v>0.8</v>
      </c>
      <c r="I13">
        <v>0.8</v>
      </c>
      <c r="J13" s="115">
        <v>0.25</v>
      </c>
      <c r="K13" s="115">
        <v>0.05</v>
      </c>
    </row>
    <row r="14" spans="1:42" x14ac:dyDescent="0.15">
      <c r="D14">
        <v>13</v>
      </c>
      <c r="E14" s="161" t="s">
        <v>205</v>
      </c>
      <c r="F14">
        <v>0.98</v>
      </c>
      <c r="G14">
        <v>0.8</v>
      </c>
      <c r="H14">
        <v>0.8</v>
      </c>
      <c r="I14">
        <v>0.8</v>
      </c>
      <c r="J14" s="115">
        <v>0.25</v>
      </c>
      <c r="K14" s="115">
        <v>0.05</v>
      </c>
    </row>
    <row r="15" spans="1:42" x14ac:dyDescent="0.15">
      <c r="D15">
        <v>14</v>
      </c>
      <c r="E15" s="161" t="s">
        <v>206</v>
      </c>
      <c r="F15">
        <v>0.98</v>
      </c>
      <c r="G15">
        <v>0.8</v>
      </c>
      <c r="H15">
        <v>0.8</v>
      </c>
      <c r="I15">
        <v>0.8</v>
      </c>
      <c r="J15" s="115">
        <v>0.25</v>
      </c>
      <c r="K15" s="115">
        <v>0.05</v>
      </c>
    </row>
    <row r="16" spans="1:42" x14ac:dyDescent="0.15">
      <c r="D16">
        <v>15</v>
      </c>
      <c r="E16" s="161" t="s">
        <v>207</v>
      </c>
      <c r="F16">
        <v>0.98</v>
      </c>
      <c r="G16">
        <v>0.8</v>
      </c>
      <c r="H16">
        <v>0.8</v>
      </c>
      <c r="I16">
        <v>0.8</v>
      </c>
      <c r="J16" s="115">
        <v>0.25</v>
      </c>
      <c r="K16" s="115">
        <v>0.05</v>
      </c>
    </row>
    <row r="17" spans="4:33" ht="15" customHeight="1" x14ac:dyDescent="0.15">
      <c r="D17">
        <v>16</v>
      </c>
      <c r="E17" s="161" t="s">
        <v>208</v>
      </c>
      <c r="F17">
        <v>0.98</v>
      </c>
      <c r="G17">
        <v>0.8</v>
      </c>
      <c r="H17">
        <v>0.8</v>
      </c>
      <c r="I17">
        <v>0.8</v>
      </c>
      <c r="J17" s="115">
        <v>0.25</v>
      </c>
      <c r="K17" s="115">
        <v>0.05</v>
      </c>
    </row>
    <row r="18" spans="4:33" ht="15" customHeight="1" x14ac:dyDescent="0.15">
      <c r="D18">
        <v>17</v>
      </c>
      <c r="E18" s="161" t="s">
        <v>209</v>
      </c>
      <c r="F18">
        <v>0.98</v>
      </c>
      <c r="G18">
        <v>0.8</v>
      </c>
      <c r="H18">
        <v>0.8</v>
      </c>
      <c r="I18">
        <v>0.8</v>
      </c>
      <c r="J18" s="115">
        <v>0.25</v>
      </c>
      <c r="K18" s="115">
        <v>0.05</v>
      </c>
    </row>
    <row r="19" spans="4:33" ht="15" customHeight="1" x14ac:dyDescent="0.15">
      <c r="D19">
        <v>18</v>
      </c>
      <c r="E19" s="161" t="s">
        <v>210</v>
      </c>
      <c r="F19">
        <v>0.98</v>
      </c>
      <c r="G19">
        <v>0.8</v>
      </c>
      <c r="H19">
        <v>0.8</v>
      </c>
      <c r="I19">
        <v>0.8</v>
      </c>
      <c r="J19" s="115">
        <v>0.25</v>
      </c>
      <c r="K19" s="115">
        <v>0.05</v>
      </c>
    </row>
    <row r="20" spans="4:33" ht="15" customHeight="1" x14ac:dyDescent="0.15">
      <c r="D20">
        <v>19</v>
      </c>
      <c r="E20" s="161" t="s">
        <v>211</v>
      </c>
      <c r="F20">
        <v>0.98</v>
      </c>
      <c r="G20">
        <v>0.8</v>
      </c>
      <c r="H20">
        <v>0.8</v>
      </c>
      <c r="I20">
        <v>0.8</v>
      </c>
      <c r="J20" s="115">
        <v>0.25</v>
      </c>
      <c r="K20" s="115">
        <v>0.05</v>
      </c>
    </row>
    <row r="21" spans="4:33" ht="15" customHeight="1" x14ac:dyDescent="0.15">
      <c r="D21">
        <v>20</v>
      </c>
      <c r="E21" s="161" t="s">
        <v>212</v>
      </c>
      <c r="F21">
        <v>0.98</v>
      </c>
      <c r="G21">
        <v>0.8</v>
      </c>
      <c r="H21">
        <v>0.8</v>
      </c>
      <c r="I21">
        <v>0.8</v>
      </c>
      <c r="J21" s="115">
        <v>0.25</v>
      </c>
      <c r="K21" s="115">
        <v>0.05</v>
      </c>
    </row>
    <row r="22" spans="4:33" ht="15" customHeight="1" x14ac:dyDescent="0.15">
      <c r="D22">
        <v>21</v>
      </c>
      <c r="E22" s="161" t="s">
        <v>213</v>
      </c>
      <c r="F22">
        <v>0.98</v>
      </c>
      <c r="G22">
        <v>0.8</v>
      </c>
      <c r="H22">
        <v>0.8</v>
      </c>
      <c r="I22">
        <v>0.8</v>
      </c>
      <c r="J22" s="115">
        <v>0.25</v>
      </c>
      <c r="K22" s="115">
        <v>0.05</v>
      </c>
    </row>
    <row r="23" spans="4:33" ht="15" customHeight="1" x14ac:dyDescent="0.15">
      <c r="D23">
        <v>22</v>
      </c>
      <c r="E23" s="161" t="s">
        <v>214</v>
      </c>
      <c r="F23">
        <v>0.98</v>
      </c>
      <c r="G23">
        <v>0.8</v>
      </c>
      <c r="H23">
        <v>0.8</v>
      </c>
      <c r="I23">
        <v>0.8</v>
      </c>
      <c r="J23" s="115">
        <v>0.25</v>
      </c>
      <c r="K23" s="115">
        <v>0.05</v>
      </c>
    </row>
    <row r="24" spans="4:33" ht="15" customHeight="1" x14ac:dyDescent="0.15">
      <c r="D24">
        <v>23</v>
      </c>
      <c r="E24" s="161" t="s">
        <v>215</v>
      </c>
      <c r="F24">
        <v>0.98</v>
      </c>
      <c r="G24">
        <v>0.8</v>
      </c>
      <c r="H24">
        <v>0.8</v>
      </c>
      <c r="I24">
        <v>0.8</v>
      </c>
      <c r="J24" s="115">
        <v>0.25</v>
      </c>
      <c r="K24" s="115">
        <v>0.05</v>
      </c>
    </row>
    <row r="25" spans="4:33" ht="15" customHeight="1" x14ac:dyDescent="0.15">
      <c r="D25">
        <v>24</v>
      </c>
      <c r="E25" s="161" t="s">
        <v>216</v>
      </c>
      <c r="F25">
        <v>0.98</v>
      </c>
      <c r="G25">
        <v>0.8</v>
      </c>
      <c r="H25">
        <v>0.8</v>
      </c>
      <c r="I25">
        <v>0.8</v>
      </c>
      <c r="J25" s="115">
        <v>0.25</v>
      </c>
      <c r="K25" s="115">
        <v>0.05</v>
      </c>
    </row>
    <row r="26" spans="4:33" ht="15" customHeight="1" x14ac:dyDescent="0.15">
      <c r="D26">
        <v>25</v>
      </c>
      <c r="E26" s="161" t="s">
        <v>217</v>
      </c>
      <c r="F26">
        <v>0.98</v>
      </c>
      <c r="G26">
        <v>0.8</v>
      </c>
      <c r="H26">
        <v>0.8</v>
      </c>
      <c r="I26">
        <v>0.8</v>
      </c>
      <c r="J26" s="115">
        <v>0.25</v>
      </c>
      <c r="K26" s="115">
        <v>0.05</v>
      </c>
    </row>
    <row r="27" spans="4:33" ht="15" customHeight="1" x14ac:dyDescent="0.15">
      <c r="D27">
        <v>26</v>
      </c>
      <c r="E27" s="161" t="s">
        <v>218</v>
      </c>
      <c r="F27">
        <v>0.98</v>
      </c>
      <c r="G27">
        <v>0.8</v>
      </c>
      <c r="H27">
        <v>0.8</v>
      </c>
      <c r="I27">
        <v>0.8</v>
      </c>
      <c r="J27" s="115">
        <v>0.25</v>
      </c>
      <c r="K27" s="115">
        <v>0.05</v>
      </c>
    </row>
    <row r="28" spans="4:33" ht="15" customHeight="1" x14ac:dyDescent="0.15">
      <c r="D28">
        <v>27</v>
      </c>
      <c r="E28" s="161" t="s">
        <v>219</v>
      </c>
      <c r="F28">
        <v>0.98</v>
      </c>
      <c r="G28">
        <v>0.8</v>
      </c>
      <c r="H28">
        <v>0.8</v>
      </c>
      <c r="I28">
        <v>0.8</v>
      </c>
      <c r="J28" s="115">
        <v>0.25</v>
      </c>
      <c r="K28" s="115">
        <v>0.05</v>
      </c>
    </row>
    <row r="29" spans="4:33" ht="15" customHeight="1" x14ac:dyDescent="0.15">
      <c r="D29">
        <v>28</v>
      </c>
      <c r="E29" s="161" t="s">
        <v>220</v>
      </c>
      <c r="F29">
        <v>0.98</v>
      </c>
      <c r="G29">
        <v>0.8</v>
      </c>
      <c r="H29">
        <v>0.8</v>
      </c>
      <c r="I29">
        <v>0.8</v>
      </c>
      <c r="J29" s="115">
        <v>0.25</v>
      </c>
      <c r="K29" s="115">
        <v>0.05</v>
      </c>
      <c r="Y29"/>
      <c r="AC29"/>
      <c r="AG29"/>
    </row>
    <row r="30" spans="4:33" ht="15" customHeight="1" x14ac:dyDescent="0.15">
      <c r="D30">
        <v>29</v>
      </c>
      <c r="E30" s="161" t="s">
        <v>221</v>
      </c>
      <c r="F30">
        <v>0.98</v>
      </c>
      <c r="G30">
        <v>0.8</v>
      </c>
      <c r="H30">
        <v>0.8</v>
      </c>
      <c r="I30">
        <v>0.8</v>
      </c>
      <c r="J30" s="115">
        <v>0.25</v>
      </c>
      <c r="K30" s="115">
        <v>0.05</v>
      </c>
      <c r="Y30"/>
      <c r="AC30"/>
      <c r="AG30"/>
    </row>
    <row r="31" spans="4:33" ht="15" customHeight="1" x14ac:dyDescent="0.15">
      <c r="D31">
        <v>30</v>
      </c>
      <c r="E31" s="161" t="s">
        <v>222</v>
      </c>
      <c r="F31">
        <v>0.98</v>
      </c>
      <c r="G31">
        <v>0.8</v>
      </c>
      <c r="H31">
        <v>0</v>
      </c>
      <c r="I31">
        <v>0</v>
      </c>
      <c r="J31" s="115">
        <v>0</v>
      </c>
      <c r="K31" s="115">
        <v>0</v>
      </c>
      <c r="Y31"/>
      <c r="AC31"/>
      <c r="AG31"/>
    </row>
    <row r="32" spans="4:33" ht="15" customHeight="1" x14ac:dyDescent="0.15">
      <c r="D32">
        <v>31</v>
      </c>
      <c r="E32" s="161" t="s">
        <v>223</v>
      </c>
      <c r="F32">
        <v>0.98</v>
      </c>
      <c r="G32">
        <v>0.8</v>
      </c>
      <c r="H32">
        <v>0</v>
      </c>
      <c r="I32">
        <v>0</v>
      </c>
      <c r="J32" s="115">
        <v>0</v>
      </c>
      <c r="K32" s="115">
        <v>0</v>
      </c>
      <c r="Y32"/>
      <c r="AC32"/>
      <c r="AG32"/>
    </row>
    <row r="33" spans="4:33" ht="15" customHeight="1" x14ac:dyDescent="0.15">
      <c r="D33">
        <v>32</v>
      </c>
      <c r="E33" s="161" t="s">
        <v>224</v>
      </c>
      <c r="F33">
        <v>0.98</v>
      </c>
      <c r="G33">
        <v>0.8</v>
      </c>
      <c r="H33">
        <v>0</v>
      </c>
      <c r="I33">
        <v>0</v>
      </c>
      <c r="J33" s="115">
        <v>0</v>
      </c>
      <c r="K33" s="115">
        <v>0</v>
      </c>
      <c r="Y33"/>
      <c r="AC33"/>
      <c r="AG33"/>
    </row>
    <row r="34" spans="4:33" ht="15" customHeight="1" x14ac:dyDescent="0.15">
      <c r="J34"/>
      <c r="K34"/>
      <c r="Y34"/>
      <c r="AC34"/>
      <c r="AG34"/>
    </row>
    <row r="35" spans="4:33" ht="15" customHeight="1" x14ac:dyDescent="0.15">
      <c r="J35"/>
      <c r="K35"/>
      <c r="Y35"/>
      <c r="AC35"/>
      <c r="AG35"/>
    </row>
    <row r="36" spans="4:33" ht="15" customHeight="1" x14ac:dyDescent="0.15">
      <c r="J36"/>
      <c r="K36"/>
      <c r="Y36"/>
      <c r="AC36"/>
      <c r="AG36"/>
    </row>
    <row r="37" spans="4:33" ht="15" customHeight="1" x14ac:dyDescent="0.15">
      <c r="J37"/>
      <c r="K37"/>
      <c r="Y37"/>
      <c r="AC37"/>
      <c r="AG37"/>
    </row>
    <row r="38" spans="4:33" ht="15" customHeight="1" x14ac:dyDescent="0.15">
      <c r="J38"/>
      <c r="K38"/>
      <c r="Y38"/>
      <c r="AC38"/>
      <c r="AG38"/>
    </row>
    <row r="39" spans="4:33" ht="15" customHeight="1" x14ac:dyDescent="0.15">
      <c r="J39"/>
      <c r="K39"/>
    </row>
    <row r="40" spans="4:33" ht="15" customHeight="1" x14ac:dyDescent="0.15">
      <c r="J40"/>
      <c r="K40"/>
      <c r="Y40"/>
      <c r="AC40"/>
      <c r="AG40"/>
    </row>
    <row r="41" spans="4:33" ht="15" customHeight="1" x14ac:dyDescent="0.15">
      <c r="J41"/>
      <c r="K41"/>
      <c r="Y41"/>
      <c r="AC41"/>
      <c r="AG41"/>
    </row>
    <row r="42" spans="4:33" ht="15" customHeight="1" x14ac:dyDescent="0.15">
      <c r="J42"/>
      <c r="K42"/>
      <c r="Y42"/>
      <c r="AC42"/>
      <c r="AG42"/>
    </row>
    <row r="43" spans="4:33" ht="15" customHeight="1" x14ac:dyDescent="0.15">
      <c r="J43"/>
      <c r="K43"/>
      <c r="Y43"/>
      <c r="AC43"/>
      <c r="AG43"/>
    </row>
    <row r="44" spans="4:33" ht="15" customHeight="1" x14ac:dyDescent="0.15">
      <c r="J44"/>
      <c r="K44"/>
      <c r="Y44"/>
      <c r="AC44"/>
      <c r="AG44"/>
    </row>
    <row r="45" spans="4:33" ht="15" customHeight="1" x14ac:dyDescent="0.15">
      <c r="J45"/>
      <c r="K45"/>
      <c r="Y45"/>
      <c r="AC45"/>
      <c r="AG45"/>
    </row>
    <row r="46" spans="4:33" ht="15" customHeight="1" x14ac:dyDescent="0.15">
      <c r="J46"/>
      <c r="K46"/>
      <c r="Y46"/>
      <c r="AC46"/>
      <c r="AG46"/>
    </row>
    <row r="47" spans="4:33" ht="15" customHeight="1" x14ac:dyDescent="0.15">
      <c r="J47"/>
      <c r="K47"/>
      <c r="Y47"/>
      <c r="AC47"/>
      <c r="AG47"/>
    </row>
    <row r="48" spans="4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G34"/>
  <sheetViews>
    <sheetView workbookViewId="0">
      <selection activeCell="A3" sqref="A3"/>
    </sheetView>
  </sheetViews>
  <sheetFormatPr baseColWidth="10" defaultRowHeight="13" x14ac:dyDescent="0.15"/>
  <cols>
    <col min="1" max="1" width="23.33203125" style="112" bestFit="1" customWidth="1"/>
    <col min="2" max="2" width="2.33203125" style="112" customWidth="1"/>
    <col min="3" max="30" width="3.83203125" style="112" customWidth="1"/>
    <col min="31" max="33" width="2.33203125" style="112" customWidth="1"/>
    <col min="34" max="16384" width="10.83203125" style="112"/>
  </cols>
  <sheetData>
    <row r="1" spans="1:33" x14ac:dyDescent="0.15">
      <c r="A1" s="63" t="s">
        <v>118</v>
      </c>
      <c r="B1" s="163" t="s">
        <v>193</v>
      </c>
      <c r="C1" s="163" t="s">
        <v>194</v>
      </c>
      <c r="D1" s="163" t="s">
        <v>195</v>
      </c>
      <c r="E1" s="163" t="s">
        <v>196</v>
      </c>
      <c r="F1" s="163" t="s">
        <v>197</v>
      </c>
      <c r="G1" s="163" t="s">
        <v>198</v>
      </c>
      <c r="H1" s="163" t="s">
        <v>199</v>
      </c>
      <c r="I1" s="163" t="s">
        <v>200</v>
      </c>
      <c r="J1" s="163" t="s">
        <v>201</v>
      </c>
      <c r="K1" s="163" t="s">
        <v>202</v>
      </c>
      <c r="L1" s="163" t="s">
        <v>203</v>
      </c>
      <c r="M1" s="163" t="s">
        <v>204</v>
      </c>
      <c r="N1" s="163" t="s">
        <v>205</v>
      </c>
      <c r="O1" s="163" t="s">
        <v>206</v>
      </c>
      <c r="P1" s="163" t="s">
        <v>207</v>
      </c>
      <c r="Q1" s="163" t="s">
        <v>208</v>
      </c>
      <c r="R1" s="163" t="s">
        <v>209</v>
      </c>
      <c r="S1" s="163" t="s">
        <v>210</v>
      </c>
      <c r="T1" s="163" t="s">
        <v>211</v>
      </c>
      <c r="U1" s="163" t="s">
        <v>212</v>
      </c>
      <c r="V1" s="163" t="s">
        <v>213</v>
      </c>
      <c r="W1" s="163" t="s">
        <v>214</v>
      </c>
      <c r="X1" s="163" t="s">
        <v>215</v>
      </c>
      <c r="Y1" s="163" t="s">
        <v>216</v>
      </c>
      <c r="Z1" s="163" t="s">
        <v>217</v>
      </c>
      <c r="AA1" s="163" t="s">
        <v>218</v>
      </c>
      <c r="AB1" s="163" t="s">
        <v>219</v>
      </c>
      <c r="AC1" s="163" t="s">
        <v>220</v>
      </c>
      <c r="AD1" s="163" t="s">
        <v>221</v>
      </c>
      <c r="AE1" s="163" t="s">
        <v>222</v>
      </c>
      <c r="AF1" s="163" t="s">
        <v>223</v>
      </c>
      <c r="AG1" s="163" t="s">
        <v>224</v>
      </c>
    </row>
    <row r="2" spans="1:33" customFormat="1" x14ac:dyDescent="0.15">
      <c r="A2" s="162" t="s">
        <v>193</v>
      </c>
      <c r="B2" s="112">
        <v>0</v>
      </c>
      <c r="C2" s="112">
        <v>0.8</v>
      </c>
      <c r="D2" s="112">
        <v>0.8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0.8</v>
      </c>
      <c r="O2" s="112">
        <v>0</v>
      </c>
      <c r="P2" s="112">
        <v>0</v>
      </c>
      <c r="Q2" s="112">
        <v>0.8</v>
      </c>
      <c r="R2" s="112">
        <v>0.8</v>
      </c>
      <c r="S2" s="112">
        <v>0.8</v>
      </c>
      <c r="T2" s="112">
        <v>0</v>
      </c>
      <c r="U2" s="112">
        <v>0</v>
      </c>
      <c r="V2" s="112">
        <v>0</v>
      </c>
      <c r="W2" s="112">
        <v>0.8</v>
      </c>
      <c r="X2" s="112">
        <v>0</v>
      </c>
      <c r="Y2" s="112">
        <v>0</v>
      </c>
      <c r="Z2" s="112">
        <v>0.8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</row>
    <row r="3" spans="1:33" customFormat="1" x14ac:dyDescent="0.15">
      <c r="A3" s="162" t="s">
        <v>194</v>
      </c>
      <c r="B3" s="112">
        <v>0</v>
      </c>
      <c r="C3" s="112">
        <v>0.8</v>
      </c>
      <c r="D3" s="112">
        <v>0.8</v>
      </c>
      <c r="E3" s="112">
        <v>0</v>
      </c>
      <c r="F3" s="112">
        <v>0.8</v>
      </c>
      <c r="G3" s="112">
        <v>0.8</v>
      </c>
      <c r="H3" s="112">
        <v>0.8</v>
      </c>
      <c r="I3" s="112">
        <v>0</v>
      </c>
      <c r="J3" s="112">
        <v>0.8</v>
      </c>
      <c r="K3" s="112">
        <v>0.8</v>
      </c>
      <c r="L3" s="112">
        <v>0.8</v>
      </c>
      <c r="M3" s="112">
        <v>0.8</v>
      </c>
      <c r="N3" s="112">
        <v>0.8</v>
      </c>
      <c r="O3" s="112">
        <v>0.8</v>
      </c>
      <c r="P3" s="112">
        <v>0.8</v>
      </c>
      <c r="Q3" s="112">
        <v>0.8</v>
      </c>
      <c r="R3" s="112">
        <v>0.8</v>
      </c>
      <c r="S3" s="112">
        <v>0.8</v>
      </c>
      <c r="T3" s="112">
        <v>0.8</v>
      </c>
      <c r="U3" s="112">
        <v>0.8</v>
      </c>
      <c r="V3" s="112">
        <v>0.8</v>
      </c>
      <c r="W3" s="112">
        <v>0.8</v>
      </c>
      <c r="X3" s="112">
        <v>0.8</v>
      </c>
      <c r="Y3" s="112">
        <v>0.8</v>
      </c>
      <c r="Z3" s="112">
        <v>0.8</v>
      </c>
      <c r="AA3" s="112">
        <v>0.8</v>
      </c>
      <c r="AB3" s="112">
        <v>0.8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</row>
    <row r="4" spans="1:33" customFormat="1" x14ac:dyDescent="0.15">
      <c r="A4" s="162" t="s">
        <v>195</v>
      </c>
      <c r="B4" s="112">
        <v>0</v>
      </c>
      <c r="C4" s="112">
        <v>0</v>
      </c>
      <c r="D4" s="112">
        <v>0.8</v>
      </c>
      <c r="E4" s="112">
        <v>0</v>
      </c>
      <c r="F4" s="112">
        <v>0.8</v>
      </c>
      <c r="G4" s="112">
        <v>0.8</v>
      </c>
      <c r="H4" s="112">
        <v>0.8</v>
      </c>
      <c r="I4" s="112">
        <v>0</v>
      </c>
      <c r="J4" s="112">
        <v>0.8</v>
      </c>
      <c r="K4" s="112">
        <v>0.8</v>
      </c>
      <c r="L4" s="112">
        <v>0.8</v>
      </c>
      <c r="M4" s="112">
        <v>0.8</v>
      </c>
      <c r="N4" s="112">
        <v>0.8</v>
      </c>
      <c r="O4" s="112">
        <v>0.8</v>
      </c>
      <c r="P4" s="112">
        <v>0.8</v>
      </c>
      <c r="Q4" s="112">
        <v>0.8</v>
      </c>
      <c r="R4" s="112">
        <v>0.8</v>
      </c>
      <c r="S4" s="112">
        <v>0.8</v>
      </c>
      <c r="T4" s="112">
        <v>0.8</v>
      </c>
      <c r="U4" s="112">
        <v>0.8</v>
      </c>
      <c r="V4" s="112">
        <v>0</v>
      </c>
      <c r="W4" s="112">
        <v>0.8</v>
      </c>
      <c r="X4" s="112">
        <v>0.8</v>
      </c>
      <c r="Y4" s="112">
        <v>0.8</v>
      </c>
      <c r="Z4" s="112">
        <v>0.8</v>
      </c>
      <c r="AA4" s="112">
        <v>0.8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</row>
    <row r="5" spans="1:33" customFormat="1" x14ac:dyDescent="0.15">
      <c r="A5" s="162" t="s">
        <v>196</v>
      </c>
      <c r="B5" s="112">
        <v>0</v>
      </c>
      <c r="C5" s="112">
        <v>0</v>
      </c>
      <c r="D5" s="112">
        <v>0.8</v>
      </c>
      <c r="E5" s="112">
        <v>0.8</v>
      </c>
      <c r="F5" s="112">
        <v>0.8</v>
      </c>
      <c r="G5" s="112">
        <v>0.8</v>
      </c>
      <c r="H5" s="112">
        <v>0.8</v>
      </c>
      <c r="I5" s="112">
        <v>0.8</v>
      </c>
      <c r="J5" s="112">
        <v>0.8</v>
      </c>
      <c r="K5" s="112">
        <v>0.8</v>
      </c>
      <c r="L5" s="112">
        <v>0.8</v>
      </c>
      <c r="M5" s="112">
        <v>0.8</v>
      </c>
      <c r="N5" s="112">
        <v>0.8</v>
      </c>
      <c r="O5" s="112">
        <v>0</v>
      </c>
      <c r="P5" s="112">
        <v>0</v>
      </c>
      <c r="Q5" s="112">
        <v>0.8</v>
      </c>
      <c r="R5" s="112">
        <v>0.8</v>
      </c>
      <c r="S5" s="112">
        <v>0.8</v>
      </c>
      <c r="T5" s="112">
        <v>0.8</v>
      </c>
      <c r="U5" s="112">
        <v>0.8</v>
      </c>
      <c r="V5" s="112">
        <v>0</v>
      </c>
      <c r="W5" s="112">
        <v>0</v>
      </c>
      <c r="X5" s="112">
        <v>0.8</v>
      </c>
      <c r="Y5" s="112">
        <v>0</v>
      </c>
      <c r="Z5" s="112">
        <v>0</v>
      </c>
      <c r="AA5" s="112">
        <v>0.8</v>
      </c>
      <c r="AB5" s="112">
        <v>0.8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</row>
    <row r="6" spans="1:33" customFormat="1" x14ac:dyDescent="0.15">
      <c r="A6" s="162" t="s">
        <v>197</v>
      </c>
      <c r="B6" s="112">
        <v>0</v>
      </c>
      <c r="C6" s="112">
        <v>0</v>
      </c>
      <c r="D6" s="112">
        <v>0</v>
      </c>
      <c r="E6" s="112">
        <v>0</v>
      </c>
      <c r="F6" s="112">
        <v>0.8</v>
      </c>
      <c r="G6" s="112">
        <v>0.8</v>
      </c>
      <c r="H6" s="112">
        <v>0.8</v>
      </c>
      <c r="I6" s="112">
        <v>0</v>
      </c>
      <c r="J6" s="112">
        <v>0.8</v>
      </c>
      <c r="K6" s="112">
        <v>0.8</v>
      </c>
      <c r="L6" s="112">
        <v>0.8</v>
      </c>
      <c r="M6" s="112">
        <v>0.8</v>
      </c>
      <c r="N6" s="112">
        <v>0.8</v>
      </c>
      <c r="O6" s="112">
        <v>0.8</v>
      </c>
      <c r="P6" s="112">
        <v>0.8</v>
      </c>
      <c r="Q6" s="112">
        <v>0.8</v>
      </c>
      <c r="R6" s="112">
        <v>0.8</v>
      </c>
      <c r="S6" s="112">
        <v>0.8</v>
      </c>
      <c r="T6" s="112">
        <v>0.8</v>
      </c>
      <c r="U6" s="112">
        <v>0.8</v>
      </c>
      <c r="V6" s="112">
        <v>0</v>
      </c>
      <c r="W6" s="112">
        <v>0</v>
      </c>
      <c r="X6" s="112">
        <v>0.8</v>
      </c>
      <c r="Y6" s="112">
        <v>0.8</v>
      </c>
      <c r="Z6" s="112">
        <v>0</v>
      </c>
      <c r="AA6" s="112">
        <v>0.8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</row>
    <row r="7" spans="1:33" customFormat="1" x14ac:dyDescent="0.15">
      <c r="A7" s="162" t="s">
        <v>198</v>
      </c>
      <c r="B7" s="112">
        <v>0</v>
      </c>
      <c r="C7" s="112">
        <v>0</v>
      </c>
      <c r="D7" s="112">
        <v>0</v>
      </c>
      <c r="E7" s="112">
        <v>0</v>
      </c>
      <c r="F7" s="112">
        <v>0.8</v>
      </c>
      <c r="G7" s="112">
        <v>0.8</v>
      </c>
      <c r="H7" s="112">
        <v>0.8</v>
      </c>
      <c r="I7" s="112">
        <v>0</v>
      </c>
      <c r="J7" s="112">
        <v>0.8</v>
      </c>
      <c r="K7" s="112">
        <v>0.8</v>
      </c>
      <c r="L7" s="112">
        <v>0.8</v>
      </c>
      <c r="M7" s="112">
        <v>0</v>
      </c>
      <c r="N7" s="112">
        <v>0.8</v>
      </c>
      <c r="O7" s="112">
        <v>0.8</v>
      </c>
      <c r="P7" s="112">
        <v>0</v>
      </c>
      <c r="Q7" s="112">
        <v>0.8</v>
      </c>
      <c r="R7" s="112">
        <v>0.8</v>
      </c>
      <c r="S7" s="112">
        <v>0.8</v>
      </c>
      <c r="T7" s="112">
        <v>0</v>
      </c>
      <c r="U7" s="112">
        <v>0.8</v>
      </c>
      <c r="V7" s="112">
        <v>0</v>
      </c>
      <c r="W7" s="112">
        <v>0</v>
      </c>
      <c r="X7" s="112">
        <v>0.8</v>
      </c>
      <c r="Y7" s="112">
        <v>0</v>
      </c>
      <c r="Z7" s="112">
        <v>0</v>
      </c>
      <c r="AA7" s="112">
        <v>0</v>
      </c>
      <c r="AB7" s="112">
        <v>0.8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</row>
    <row r="8" spans="1:33" customFormat="1" x14ac:dyDescent="0.15">
      <c r="A8" s="162" t="s">
        <v>199</v>
      </c>
      <c r="B8" s="112">
        <v>0</v>
      </c>
      <c r="C8" s="112">
        <v>0</v>
      </c>
      <c r="D8" s="112">
        <v>0</v>
      </c>
      <c r="E8" s="112">
        <v>0</v>
      </c>
      <c r="F8" s="112">
        <v>0</v>
      </c>
      <c r="G8" s="112">
        <v>0.8</v>
      </c>
      <c r="H8" s="112">
        <v>0</v>
      </c>
      <c r="I8" s="112">
        <v>0</v>
      </c>
      <c r="J8" s="112">
        <v>0.8</v>
      </c>
      <c r="K8" s="112">
        <v>0</v>
      </c>
      <c r="L8" s="112">
        <v>0</v>
      </c>
      <c r="M8" s="112">
        <v>0.8</v>
      </c>
      <c r="N8" s="112">
        <v>0</v>
      </c>
      <c r="O8" s="112">
        <v>0</v>
      </c>
      <c r="P8" s="112">
        <v>0.8</v>
      </c>
      <c r="Q8" s="112">
        <v>0</v>
      </c>
      <c r="R8" s="112">
        <v>0.8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112">
        <v>0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</row>
    <row r="9" spans="1:33" customFormat="1" x14ac:dyDescent="0.15">
      <c r="A9" s="162" t="s">
        <v>200</v>
      </c>
      <c r="B9" s="112">
        <v>0</v>
      </c>
      <c r="C9" s="112">
        <v>0</v>
      </c>
      <c r="D9" s="112">
        <v>0.8</v>
      </c>
      <c r="E9" s="112">
        <v>0.8</v>
      </c>
      <c r="F9" s="112">
        <v>0.8</v>
      </c>
      <c r="G9" s="112">
        <v>0.8</v>
      </c>
      <c r="H9" s="112">
        <v>0.8</v>
      </c>
      <c r="I9" s="112">
        <v>0.8</v>
      </c>
      <c r="J9" s="112">
        <v>0.8</v>
      </c>
      <c r="K9" s="112">
        <v>0.8</v>
      </c>
      <c r="L9" s="112">
        <v>0.8</v>
      </c>
      <c r="M9" s="112">
        <v>0.8</v>
      </c>
      <c r="N9" s="112">
        <v>0.8</v>
      </c>
      <c r="O9" s="112">
        <v>0.8</v>
      </c>
      <c r="P9" s="112">
        <v>0.8</v>
      </c>
      <c r="Q9" s="112">
        <v>0.8</v>
      </c>
      <c r="R9" s="112">
        <v>0.8</v>
      </c>
      <c r="S9" s="112">
        <v>0.8</v>
      </c>
      <c r="T9" s="112">
        <v>0</v>
      </c>
      <c r="U9" s="112">
        <v>0.8</v>
      </c>
      <c r="V9" s="112">
        <v>0</v>
      </c>
      <c r="W9" s="112">
        <v>0</v>
      </c>
      <c r="X9" s="112">
        <v>0.8</v>
      </c>
      <c r="Y9" s="112">
        <v>0.8</v>
      </c>
      <c r="Z9" s="112">
        <v>0.8</v>
      </c>
      <c r="AA9" s="112">
        <v>0.8</v>
      </c>
      <c r="AB9" s="112">
        <v>0.8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</row>
    <row r="10" spans="1:33" customFormat="1" x14ac:dyDescent="0.15">
      <c r="A10" s="162" t="s">
        <v>201</v>
      </c>
      <c r="B10" s="112">
        <v>0</v>
      </c>
      <c r="C10" s="112">
        <v>0</v>
      </c>
      <c r="D10" s="112">
        <v>0</v>
      </c>
      <c r="E10" s="112">
        <v>0</v>
      </c>
      <c r="F10" s="112">
        <v>0.8</v>
      </c>
      <c r="G10" s="112">
        <v>0</v>
      </c>
      <c r="H10" s="112">
        <v>0</v>
      </c>
      <c r="I10" s="112">
        <v>0</v>
      </c>
      <c r="J10" s="112">
        <v>0.8</v>
      </c>
      <c r="K10" s="112">
        <v>0.8</v>
      </c>
      <c r="L10" s="112">
        <v>0</v>
      </c>
      <c r="M10" s="112">
        <v>0.8</v>
      </c>
      <c r="N10" s="112">
        <v>0.8</v>
      </c>
      <c r="O10" s="112">
        <v>0.8</v>
      </c>
      <c r="P10" s="112">
        <v>0.8</v>
      </c>
      <c r="Q10" s="112">
        <v>0</v>
      </c>
      <c r="R10" s="112">
        <v>0.8</v>
      </c>
      <c r="S10" s="112">
        <v>0.8</v>
      </c>
      <c r="T10" s="112">
        <v>0</v>
      </c>
      <c r="U10" s="112">
        <v>0.8</v>
      </c>
      <c r="V10" s="112">
        <v>0</v>
      </c>
      <c r="W10" s="112">
        <v>0</v>
      </c>
      <c r="X10" s="112">
        <v>0.8</v>
      </c>
      <c r="Y10" s="112">
        <v>0</v>
      </c>
      <c r="Z10" s="112">
        <v>0</v>
      </c>
      <c r="AA10" s="112">
        <v>0.8</v>
      </c>
      <c r="AB10" s="112">
        <v>0.8</v>
      </c>
      <c r="AC10" s="112">
        <v>0</v>
      </c>
      <c r="AD10" s="112">
        <v>0.8</v>
      </c>
      <c r="AE10" s="112">
        <v>0</v>
      </c>
      <c r="AF10" s="112">
        <v>0</v>
      </c>
      <c r="AG10" s="112">
        <v>0</v>
      </c>
    </row>
    <row r="11" spans="1:33" customFormat="1" x14ac:dyDescent="0.15">
      <c r="A11" s="162" t="s">
        <v>202</v>
      </c>
      <c r="B11" s="112">
        <v>0</v>
      </c>
      <c r="C11" s="112">
        <v>0</v>
      </c>
      <c r="D11" s="112">
        <v>0</v>
      </c>
      <c r="E11" s="112">
        <v>0</v>
      </c>
      <c r="F11" s="112">
        <v>0</v>
      </c>
      <c r="G11" s="112">
        <v>0</v>
      </c>
      <c r="H11" s="112">
        <v>0</v>
      </c>
      <c r="I11" s="112">
        <v>0</v>
      </c>
      <c r="J11" s="112">
        <v>0</v>
      </c>
      <c r="K11" s="112">
        <v>0.8</v>
      </c>
      <c r="L11" s="112">
        <v>0</v>
      </c>
      <c r="M11" s="112">
        <v>0</v>
      </c>
      <c r="N11" s="112">
        <v>0</v>
      </c>
      <c r="O11" s="112">
        <v>0</v>
      </c>
      <c r="P11" s="112">
        <v>0.8</v>
      </c>
      <c r="Q11" s="112">
        <v>0</v>
      </c>
      <c r="R11" s="112">
        <v>0</v>
      </c>
      <c r="S11" s="112">
        <v>0</v>
      </c>
      <c r="T11" s="112">
        <v>0</v>
      </c>
      <c r="U11" s="112">
        <v>0.8</v>
      </c>
      <c r="V11" s="112">
        <v>0</v>
      </c>
      <c r="W11" s="112">
        <v>0</v>
      </c>
      <c r="X11" s="112">
        <v>0.8</v>
      </c>
      <c r="Y11" s="112">
        <v>0.8</v>
      </c>
      <c r="Z11" s="112">
        <v>0</v>
      </c>
      <c r="AA11" s="112">
        <v>0.8</v>
      </c>
      <c r="AB11" s="112">
        <v>0.8</v>
      </c>
      <c r="AC11" s="112">
        <v>0</v>
      </c>
      <c r="AD11" s="112">
        <v>0.8</v>
      </c>
      <c r="AE11" s="112">
        <v>0</v>
      </c>
      <c r="AF11" s="112">
        <v>0</v>
      </c>
      <c r="AG11" s="112">
        <v>0</v>
      </c>
    </row>
    <row r="12" spans="1:33" customFormat="1" x14ac:dyDescent="0.15">
      <c r="A12" s="162" t="s">
        <v>203</v>
      </c>
      <c r="B12" s="112">
        <v>0</v>
      </c>
      <c r="C12" s="112">
        <v>0</v>
      </c>
      <c r="D12" s="112">
        <v>0</v>
      </c>
      <c r="E12" s="112">
        <v>0</v>
      </c>
      <c r="F12" s="112">
        <v>0</v>
      </c>
      <c r="G12" s="112">
        <v>0</v>
      </c>
      <c r="H12" s="112">
        <v>0</v>
      </c>
      <c r="I12" s="112">
        <v>0</v>
      </c>
      <c r="J12" s="112">
        <v>0</v>
      </c>
      <c r="K12" s="112">
        <v>0.8</v>
      </c>
      <c r="L12" s="112">
        <v>0</v>
      </c>
      <c r="M12" s="112">
        <v>0.8</v>
      </c>
      <c r="N12" s="112">
        <v>0</v>
      </c>
      <c r="O12" s="112">
        <v>0.8</v>
      </c>
      <c r="P12" s="112">
        <v>0</v>
      </c>
      <c r="Q12" s="112">
        <v>0</v>
      </c>
      <c r="R12" s="112">
        <v>0.8</v>
      </c>
      <c r="S12" s="112">
        <v>0</v>
      </c>
      <c r="T12" s="112">
        <v>0</v>
      </c>
      <c r="U12" s="112">
        <v>0.8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0.8</v>
      </c>
      <c r="AB12" s="112">
        <v>0.8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</row>
    <row r="13" spans="1:33" customFormat="1" x14ac:dyDescent="0.15">
      <c r="A13" s="162" t="s">
        <v>204</v>
      </c>
      <c r="B13" s="112">
        <v>0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0</v>
      </c>
      <c r="J13" s="112">
        <v>0</v>
      </c>
      <c r="K13" s="112">
        <v>0</v>
      </c>
      <c r="L13" s="112">
        <v>0</v>
      </c>
      <c r="M13" s="112">
        <v>0.8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0.8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</row>
    <row r="14" spans="1:33" customFormat="1" x14ac:dyDescent="0.15">
      <c r="A14" s="162" t="s">
        <v>205</v>
      </c>
      <c r="B14" s="112">
        <v>0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0.8</v>
      </c>
      <c r="N14" s="112">
        <v>0.8</v>
      </c>
      <c r="O14" s="112">
        <v>0</v>
      </c>
      <c r="P14" s="112">
        <v>0.8</v>
      </c>
      <c r="Q14" s="112">
        <v>0</v>
      </c>
      <c r="R14" s="112">
        <v>0</v>
      </c>
      <c r="S14" s="112">
        <v>0</v>
      </c>
      <c r="T14" s="112">
        <v>0</v>
      </c>
      <c r="U14" s="112">
        <v>0.8</v>
      </c>
      <c r="V14" s="112">
        <v>0</v>
      </c>
      <c r="W14" s="112">
        <v>0</v>
      </c>
      <c r="X14" s="112">
        <v>0.8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0.8</v>
      </c>
      <c r="AE14" s="112">
        <v>0</v>
      </c>
      <c r="AF14" s="112">
        <v>0</v>
      </c>
      <c r="AG14" s="112">
        <v>0</v>
      </c>
    </row>
    <row r="15" spans="1:33" customFormat="1" x14ac:dyDescent="0.15">
      <c r="A15" s="162" t="s">
        <v>206</v>
      </c>
      <c r="B15" s="112">
        <v>0</v>
      </c>
      <c r="C15" s="112">
        <v>0</v>
      </c>
      <c r="D15" s="112">
        <v>0</v>
      </c>
      <c r="E15" s="112">
        <v>0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0.8</v>
      </c>
      <c r="L15" s="112">
        <v>0</v>
      </c>
      <c r="M15" s="112">
        <v>0.8</v>
      </c>
      <c r="N15" s="112">
        <v>0.8</v>
      </c>
      <c r="O15" s="112">
        <v>0.8</v>
      </c>
      <c r="P15" s="112">
        <v>0.8</v>
      </c>
      <c r="Q15" s="112">
        <v>0</v>
      </c>
      <c r="R15" s="112">
        <v>0.8</v>
      </c>
      <c r="S15" s="112">
        <v>0.8</v>
      </c>
      <c r="T15" s="112">
        <v>0</v>
      </c>
      <c r="U15" s="112">
        <v>0.8</v>
      </c>
      <c r="V15" s="112">
        <v>0</v>
      </c>
      <c r="W15" s="112">
        <v>0</v>
      </c>
      <c r="X15" s="112">
        <v>0.8</v>
      </c>
      <c r="Y15" s="112">
        <v>0.8</v>
      </c>
      <c r="Z15" s="112">
        <v>0</v>
      </c>
      <c r="AA15" s="112">
        <v>0.8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</row>
    <row r="16" spans="1:33" customFormat="1" x14ac:dyDescent="0.15">
      <c r="A16" s="162" t="s">
        <v>207</v>
      </c>
      <c r="B16" s="112">
        <v>0</v>
      </c>
      <c r="C16" s="112">
        <v>0</v>
      </c>
      <c r="D16" s="112">
        <v>0</v>
      </c>
      <c r="E16" s="112">
        <v>0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0.8</v>
      </c>
      <c r="L16" s="112">
        <v>0</v>
      </c>
      <c r="M16" s="112">
        <v>0.8</v>
      </c>
      <c r="N16" s="112">
        <v>0</v>
      </c>
      <c r="O16" s="112">
        <v>0</v>
      </c>
      <c r="P16" s="112">
        <v>0.8</v>
      </c>
      <c r="Q16" s="112">
        <v>0</v>
      </c>
      <c r="R16" s="112">
        <v>0</v>
      </c>
      <c r="S16" s="112">
        <v>0</v>
      </c>
      <c r="T16" s="112">
        <v>0</v>
      </c>
      <c r="U16" s="112">
        <v>0.8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0.8</v>
      </c>
      <c r="AB16" s="112">
        <v>0</v>
      </c>
      <c r="AC16" s="112">
        <v>0</v>
      </c>
      <c r="AD16" s="112">
        <v>0.8</v>
      </c>
      <c r="AE16" s="112">
        <v>0</v>
      </c>
      <c r="AF16" s="112">
        <v>0</v>
      </c>
      <c r="AG16" s="112">
        <v>0</v>
      </c>
    </row>
    <row r="17" spans="1:33" customFormat="1" x14ac:dyDescent="0.15">
      <c r="A17" s="162" t="s">
        <v>208</v>
      </c>
      <c r="B17" s="112">
        <v>0</v>
      </c>
      <c r="C17" s="112">
        <v>0</v>
      </c>
      <c r="D17" s="112">
        <v>0</v>
      </c>
      <c r="E17" s="112">
        <v>0</v>
      </c>
      <c r="F17" s="112">
        <v>0</v>
      </c>
      <c r="G17" s="112">
        <v>0.8</v>
      </c>
      <c r="H17" s="112">
        <v>0</v>
      </c>
      <c r="I17" s="112">
        <v>0</v>
      </c>
      <c r="J17" s="112">
        <v>0</v>
      </c>
      <c r="K17" s="112">
        <v>0.8</v>
      </c>
      <c r="L17" s="112">
        <v>0.8</v>
      </c>
      <c r="M17" s="112">
        <v>0.8</v>
      </c>
      <c r="N17" s="112">
        <v>0.8</v>
      </c>
      <c r="O17" s="112">
        <v>0.8</v>
      </c>
      <c r="P17" s="112">
        <v>0.8</v>
      </c>
      <c r="Q17" s="112">
        <v>0</v>
      </c>
      <c r="R17" s="112">
        <v>0.8</v>
      </c>
      <c r="S17" s="112">
        <v>0.8</v>
      </c>
      <c r="T17" s="112">
        <v>0</v>
      </c>
      <c r="U17" s="112">
        <v>0.8</v>
      </c>
      <c r="V17" s="112">
        <v>0</v>
      </c>
      <c r="W17" s="112">
        <v>0</v>
      </c>
      <c r="X17" s="112">
        <v>0</v>
      </c>
      <c r="Y17" s="112">
        <v>0.8</v>
      </c>
      <c r="Z17" s="112">
        <v>0</v>
      </c>
      <c r="AA17" s="112">
        <v>0.8</v>
      </c>
      <c r="AB17" s="112">
        <v>0.8</v>
      </c>
      <c r="AC17" s="112">
        <v>0</v>
      </c>
      <c r="AD17" s="112">
        <v>0.8</v>
      </c>
      <c r="AE17" s="112">
        <v>0</v>
      </c>
      <c r="AF17" s="112">
        <v>0</v>
      </c>
      <c r="AG17" s="112">
        <v>0</v>
      </c>
    </row>
    <row r="18" spans="1:33" customFormat="1" x14ac:dyDescent="0.15">
      <c r="A18" s="162" t="s">
        <v>209</v>
      </c>
      <c r="B18" s="112">
        <v>0</v>
      </c>
      <c r="C18" s="112">
        <v>0</v>
      </c>
      <c r="D18" s="112">
        <v>0</v>
      </c>
      <c r="E18" s="112">
        <v>0</v>
      </c>
      <c r="F18" s="112">
        <v>0</v>
      </c>
      <c r="G18" s="112">
        <v>0</v>
      </c>
      <c r="H18" s="112">
        <v>0</v>
      </c>
      <c r="I18" s="112">
        <v>0</v>
      </c>
      <c r="J18" s="112">
        <v>0.8</v>
      </c>
      <c r="K18" s="112">
        <v>0</v>
      </c>
      <c r="L18" s="112">
        <v>0</v>
      </c>
      <c r="M18" s="112">
        <v>0.8</v>
      </c>
      <c r="N18" s="112">
        <v>0.8</v>
      </c>
      <c r="O18" s="112">
        <v>0</v>
      </c>
      <c r="P18" s="112">
        <v>0.8</v>
      </c>
      <c r="Q18" s="112">
        <v>0</v>
      </c>
      <c r="R18" s="112">
        <v>0.8</v>
      </c>
      <c r="S18" s="112">
        <v>0.8</v>
      </c>
      <c r="T18" s="112">
        <v>0</v>
      </c>
      <c r="U18" s="112">
        <v>0.8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0.8</v>
      </c>
      <c r="AE18" s="112">
        <v>0</v>
      </c>
      <c r="AF18" s="112">
        <v>0</v>
      </c>
      <c r="AG18" s="112">
        <v>0</v>
      </c>
    </row>
    <row r="19" spans="1:33" customFormat="1" x14ac:dyDescent="0.15">
      <c r="A19" s="162" t="s">
        <v>210</v>
      </c>
      <c r="B19" s="112">
        <v>0</v>
      </c>
      <c r="C19" s="112">
        <v>0</v>
      </c>
      <c r="D19" s="112">
        <v>0</v>
      </c>
      <c r="E19" s="112">
        <v>0</v>
      </c>
      <c r="F19" s="112">
        <v>0</v>
      </c>
      <c r="G19" s="112">
        <v>0.8</v>
      </c>
      <c r="H19" s="112">
        <v>0</v>
      </c>
      <c r="I19" s="112">
        <v>0</v>
      </c>
      <c r="J19" s="112">
        <v>0.8</v>
      </c>
      <c r="K19" s="112">
        <v>0</v>
      </c>
      <c r="L19" s="112">
        <v>0</v>
      </c>
      <c r="M19" s="112">
        <v>0</v>
      </c>
      <c r="N19" s="112">
        <v>0.8</v>
      </c>
      <c r="O19" s="112">
        <v>0.8</v>
      </c>
      <c r="P19" s="112">
        <v>0.8</v>
      </c>
      <c r="Q19" s="112">
        <v>0</v>
      </c>
      <c r="R19" s="112">
        <v>0</v>
      </c>
      <c r="S19" s="112">
        <v>0</v>
      </c>
      <c r="T19" s="112">
        <v>0</v>
      </c>
      <c r="U19" s="112">
        <v>0.8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0.8</v>
      </c>
      <c r="AC19" s="112">
        <v>0</v>
      </c>
      <c r="AD19" s="112">
        <v>0.8</v>
      </c>
      <c r="AE19" s="112">
        <v>0</v>
      </c>
      <c r="AF19" s="112">
        <v>0</v>
      </c>
      <c r="AG19" s="112">
        <v>0</v>
      </c>
    </row>
    <row r="20" spans="1:33" customFormat="1" x14ac:dyDescent="0.15">
      <c r="A20" s="162" t="s">
        <v>211</v>
      </c>
      <c r="B20" s="112">
        <v>0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0.8</v>
      </c>
      <c r="K20" s="112">
        <v>0.8</v>
      </c>
      <c r="L20" s="112">
        <v>0</v>
      </c>
      <c r="M20" s="112">
        <v>0.8</v>
      </c>
      <c r="N20" s="112">
        <v>0</v>
      </c>
      <c r="O20" s="112">
        <v>0.8</v>
      </c>
      <c r="P20" s="112">
        <v>0.8</v>
      </c>
      <c r="Q20" s="112">
        <v>0</v>
      </c>
      <c r="R20" s="112">
        <v>0.8</v>
      </c>
      <c r="S20" s="112">
        <v>0.8</v>
      </c>
      <c r="T20" s="112">
        <v>0</v>
      </c>
      <c r="U20" s="112">
        <v>0.8</v>
      </c>
      <c r="V20" s="112">
        <v>0</v>
      </c>
      <c r="W20" s="112">
        <v>0</v>
      </c>
      <c r="X20" s="112">
        <v>0.8</v>
      </c>
      <c r="Y20" s="112">
        <v>0</v>
      </c>
      <c r="Z20" s="112">
        <v>0</v>
      </c>
      <c r="AA20" s="112">
        <v>0.8</v>
      </c>
      <c r="AB20" s="112">
        <v>0.8</v>
      </c>
      <c r="AC20" s="112">
        <v>0</v>
      </c>
      <c r="AD20" s="112">
        <v>0.8</v>
      </c>
      <c r="AE20" s="112">
        <v>0</v>
      </c>
      <c r="AF20" s="112">
        <v>0</v>
      </c>
      <c r="AG20" s="112">
        <v>0</v>
      </c>
    </row>
    <row r="21" spans="1:33" customFormat="1" x14ac:dyDescent="0.15">
      <c r="A21" s="162" t="s">
        <v>212</v>
      </c>
      <c r="B21" s="112">
        <v>0</v>
      </c>
      <c r="C21" s="112">
        <v>0</v>
      </c>
      <c r="D21" s="112">
        <v>0</v>
      </c>
      <c r="E21" s="112">
        <v>0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0.8</v>
      </c>
      <c r="L21" s="112">
        <v>0</v>
      </c>
      <c r="M21" s="112">
        <v>0.8</v>
      </c>
      <c r="N21" s="112">
        <v>0.8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0.8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</row>
    <row r="22" spans="1:33" customFormat="1" x14ac:dyDescent="0.15">
      <c r="A22" s="162" t="s">
        <v>213</v>
      </c>
      <c r="B22" s="112">
        <v>0</v>
      </c>
      <c r="C22" s="112">
        <v>0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0.8</v>
      </c>
      <c r="L22" s="112">
        <v>0</v>
      </c>
      <c r="M22" s="112">
        <v>0.8</v>
      </c>
      <c r="N22" s="112">
        <v>0.8</v>
      </c>
      <c r="O22" s="112">
        <v>0.8</v>
      </c>
      <c r="P22" s="112">
        <v>0.8</v>
      </c>
      <c r="Q22" s="112">
        <v>0</v>
      </c>
      <c r="R22" s="112">
        <v>0</v>
      </c>
      <c r="S22" s="112">
        <v>0.8</v>
      </c>
      <c r="T22" s="112">
        <v>0</v>
      </c>
      <c r="U22" s="112">
        <v>0.8</v>
      </c>
      <c r="V22" s="112">
        <v>0</v>
      </c>
      <c r="W22" s="112">
        <v>0</v>
      </c>
      <c r="X22" s="112">
        <v>0.8</v>
      </c>
      <c r="Y22" s="112">
        <v>0.8</v>
      </c>
      <c r="Z22" s="112">
        <v>0</v>
      </c>
      <c r="AA22" s="112">
        <v>0.8</v>
      </c>
      <c r="AB22" s="112">
        <v>0.8</v>
      </c>
      <c r="AC22" s="112">
        <v>0.8</v>
      </c>
      <c r="AD22" s="112">
        <v>0.8</v>
      </c>
      <c r="AE22" s="112">
        <v>0</v>
      </c>
      <c r="AF22" s="112">
        <v>0</v>
      </c>
      <c r="AG22" s="112">
        <v>0</v>
      </c>
    </row>
    <row r="23" spans="1:33" customFormat="1" x14ac:dyDescent="0.15">
      <c r="A23" s="162" t="s">
        <v>214</v>
      </c>
      <c r="B23" s="112">
        <v>0</v>
      </c>
      <c r="C23" s="112">
        <v>0</v>
      </c>
      <c r="D23" s="112">
        <v>0</v>
      </c>
      <c r="E23" s="112">
        <v>0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0.8</v>
      </c>
      <c r="L23" s="112">
        <v>0</v>
      </c>
      <c r="M23" s="112">
        <v>0.8</v>
      </c>
      <c r="N23" s="112">
        <v>0.8</v>
      </c>
      <c r="O23" s="112">
        <v>0.8</v>
      </c>
      <c r="P23" s="112">
        <v>0.8</v>
      </c>
      <c r="Q23" s="112">
        <v>0</v>
      </c>
      <c r="R23" s="112">
        <v>0.8</v>
      </c>
      <c r="S23" s="112">
        <v>0.8</v>
      </c>
      <c r="T23" s="112">
        <v>0</v>
      </c>
      <c r="U23" s="112">
        <v>0.8</v>
      </c>
      <c r="V23" s="112">
        <v>0</v>
      </c>
      <c r="W23" s="112">
        <v>0</v>
      </c>
      <c r="X23" s="112">
        <v>0.8</v>
      </c>
      <c r="Y23" s="112">
        <v>0.8</v>
      </c>
      <c r="Z23" s="112">
        <v>0</v>
      </c>
      <c r="AA23" s="112">
        <v>0.8</v>
      </c>
      <c r="AB23" s="112">
        <v>0.8</v>
      </c>
      <c r="AC23" s="112">
        <v>0.8</v>
      </c>
      <c r="AD23" s="112">
        <v>0.8</v>
      </c>
      <c r="AE23" s="112">
        <v>0</v>
      </c>
      <c r="AF23" s="112">
        <v>0</v>
      </c>
      <c r="AG23" s="112">
        <v>0</v>
      </c>
    </row>
    <row r="24" spans="1:33" customFormat="1" x14ac:dyDescent="0.15">
      <c r="A24" s="162" t="s">
        <v>215</v>
      </c>
      <c r="B24" s="112">
        <v>0</v>
      </c>
      <c r="C24" s="112">
        <v>0</v>
      </c>
      <c r="D24" s="112">
        <v>0</v>
      </c>
      <c r="E24" s="112">
        <v>0</v>
      </c>
      <c r="F24" s="112">
        <v>0</v>
      </c>
      <c r="G24" s="112">
        <v>0</v>
      </c>
      <c r="H24" s="112">
        <v>0</v>
      </c>
      <c r="I24" s="112">
        <v>0</v>
      </c>
      <c r="J24" s="112">
        <v>0</v>
      </c>
      <c r="K24" s="112">
        <v>0.8</v>
      </c>
      <c r="L24" s="112">
        <v>0</v>
      </c>
      <c r="M24" s="112">
        <v>0.8</v>
      </c>
      <c r="N24" s="112">
        <v>0.8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0.8</v>
      </c>
      <c r="V24" s="112">
        <v>0</v>
      </c>
      <c r="W24" s="112">
        <v>0</v>
      </c>
      <c r="X24" s="112">
        <v>0</v>
      </c>
      <c r="Y24" s="112">
        <v>0.8</v>
      </c>
      <c r="Z24" s="112">
        <v>0</v>
      </c>
      <c r="AA24" s="112">
        <v>0.8</v>
      </c>
      <c r="AB24" s="112">
        <v>0.8</v>
      </c>
      <c r="AC24" s="112">
        <v>0</v>
      </c>
      <c r="AD24" s="112">
        <v>0.8</v>
      </c>
      <c r="AE24" s="112">
        <v>0</v>
      </c>
      <c r="AF24" s="112">
        <v>0</v>
      </c>
      <c r="AG24" s="112">
        <v>0</v>
      </c>
    </row>
    <row r="25" spans="1:33" customFormat="1" x14ac:dyDescent="0.15">
      <c r="A25" s="162" t="s">
        <v>216</v>
      </c>
      <c r="B25" s="112">
        <v>0</v>
      </c>
      <c r="C25" s="112">
        <v>0</v>
      </c>
      <c r="D25" s="112">
        <v>0</v>
      </c>
      <c r="E25" s="112">
        <v>0</v>
      </c>
      <c r="F25" s="112">
        <v>0</v>
      </c>
      <c r="G25" s="112">
        <v>0</v>
      </c>
      <c r="H25" s="112">
        <v>0</v>
      </c>
      <c r="I25" s="112">
        <v>0</v>
      </c>
      <c r="J25" s="112">
        <v>0</v>
      </c>
      <c r="K25" s="112">
        <v>0.8</v>
      </c>
      <c r="L25" s="112">
        <v>0</v>
      </c>
      <c r="M25" s="112">
        <v>0.8</v>
      </c>
      <c r="N25" s="112">
        <v>0.8</v>
      </c>
      <c r="O25" s="112">
        <v>0</v>
      </c>
      <c r="P25" s="112">
        <v>0</v>
      </c>
      <c r="Q25" s="112">
        <v>0</v>
      </c>
      <c r="R25" s="112">
        <v>0.8</v>
      </c>
      <c r="S25" s="112">
        <v>0.8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0.8</v>
      </c>
      <c r="AB25" s="112">
        <v>0</v>
      </c>
      <c r="AC25" s="112">
        <v>0</v>
      </c>
      <c r="AD25" s="112">
        <v>0.8</v>
      </c>
      <c r="AE25" s="112">
        <v>0</v>
      </c>
      <c r="AF25" s="112">
        <v>0</v>
      </c>
      <c r="AG25" s="112">
        <v>0</v>
      </c>
    </row>
    <row r="26" spans="1:33" customFormat="1" x14ac:dyDescent="0.15">
      <c r="A26" s="162" t="s">
        <v>217</v>
      </c>
      <c r="B26" s="112">
        <v>0</v>
      </c>
      <c r="C26" s="112">
        <v>0</v>
      </c>
      <c r="D26" s="112">
        <v>0</v>
      </c>
      <c r="E26" s="112">
        <v>0</v>
      </c>
      <c r="F26" s="112">
        <v>0</v>
      </c>
      <c r="G26" s="112">
        <v>0</v>
      </c>
      <c r="H26" s="112">
        <v>0</v>
      </c>
      <c r="I26" s="112">
        <v>0</v>
      </c>
      <c r="J26" s="112">
        <v>0</v>
      </c>
      <c r="K26" s="112">
        <v>0.8</v>
      </c>
      <c r="L26" s="112">
        <v>0</v>
      </c>
      <c r="M26" s="112">
        <v>0</v>
      </c>
      <c r="N26" s="112">
        <v>0</v>
      </c>
      <c r="O26" s="112">
        <v>0</v>
      </c>
      <c r="P26" s="112">
        <v>0.8</v>
      </c>
      <c r="Q26" s="112">
        <v>0</v>
      </c>
      <c r="R26" s="112">
        <v>0.8</v>
      </c>
      <c r="S26" s="112">
        <v>0</v>
      </c>
      <c r="T26" s="112">
        <v>0</v>
      </c>
      <c r="U26" s="112">
        <v>0</v>
      </c>
      <c r="V26" s="112">
        <v>0</v>
      </c>
      <c r="W26" s="112">
        <v>0</v>
      </c>
      <c r="X26" s="112">
        <v>0.8</v>
      </c>
      <c r="Y26" s="112">
        <v>0.8</v>
      </c>
      <c r="Z26" s="112">
        <v>0</v>
      </c>
      <c r="AA26" s="112">
        <v>0.8</v>
      </c>
      <c r="AB26" s="112">
        <v>0</v>
      </c>
      <c r="AC26" s="112">
        <v>0.8</v>
      </c>
      <c r="AD26" s="112">
        <v>0.8</v>
      </c>
      <c r="AE26" s="112">
        <v>0</v>
      </c>
      <c r="AF26" s="112">
        <v>0</v>
      </c>
      <c r="AG26" s="112">
        <v>0</v>
      </c>
    </row>
    <row r="27" spans="1:33" customFormat="1" x14ac:dyDescent="0.15">
      <c r="A27" s="162" t="s">
        <v>218</v>
      </c>
      <c r="B27" s="112">
        <v>0</v>
      </c>
      <c r="C27" s="112">
        <v>0</v>
      </c>
      <c r="D27" s="112">
        <v>0</v>
      </c>
      <c r="E27" s="112">
        <v>0</v>
      </c>
      <c r="F27" s="112">
        <v>0</v>
      </c>
      <c r="G27" s="112">
        <v>0</v>
      </c>
      <c r="H27" s="112">
        <v>0</v>
      </c>
      <c r="I27" s="112">
        <v>0</v>
      </c>
      <c r="J27" s="112">
        <v>0</v>
      </c>
      <c r="K27" s="112">
        <v>0</v>
      </c>
      <c r="L27" s="112">
        <v>0</v>
      </c>
      <c r="M27" s="112">
        <v>0</v>
      </c>
      <c r="N27" s="112">
        <v>0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112">
        <v>0</v>
      </c>
      <c r="V27" s="112">
        <v>0</v>
      </c>
      <c r="W27" s="112">
        <v>0</v>
      </c>
      <c r="X27" s="112">
        <v>0</v>
      </c>
      <c r="Y27" s="112">
        <v>0</v>
      </c>
      <c r="Z27" s="112">
        <v>0</v>
      </c>
      <c r="AA27" s="112">
        <v>0.8</v>
      </c>
      <c r="AB27" s="112">
        <v>0</v>
      </c>
      <c r="AC27" s="112">
        <v>0</v>
      </c>
      <c r="AD27" s="112">
        <v>0</v>
      </c>
      <c r="AE27" s="112">
        <v>0</v>
      </c>
      <c r="AF27" s="112">
        <v>0</v>
      </c>
      <c r="AG27" s="112">
        <v>0</v>
      </c>
    </row>
    <row r="28" spans="1:33" customFormat="1" x14ac:dyDescent="0.15">
      <c r="A28" s="162" t="s">
        <v>219</v>
      </c>
      <c r="B28" s="112">
        <v>0</v>
      </c>
      <c r="C28" s="112">
        <v>0</v>
      </c>
      <c r="D28" s="112">
        <v>0</v>
      </c>
      <c r="E28" s="112">
        <v>0</v>
      </c>
      <c r="F28" s="112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0</v>
      </c>
      <c r="N28" s="112">
        <v>0</v>
      </c>
      <c r="O28" s="112">
        <v>0</v>
      </c>
      <c r="P28" s="112">
        <v>0</v>
      </c>
      <c r="Q28" s="112">
        <v>0</v>
      </c>
      <c r="R28" s="112">
        <v>0</v>
      </c>
      <c r="S28" s="112">
        <v>0</v>
      </c>
      <c r="T28" s="112">
        <v>0</v>
      </c>
      <c r="U28" s="112">
        <v>0</v>
      </c>
      <c r="V28" s="112">
        <v>0</v>
      </c>
      <c r="W28" s="112">
        <v>0</v>
      </c>
      <c r="X28" s="112">
        <v>0</v>
      </c>
      <c r="Y28" s="112">
        <v>0</v>
      </c>
      <c r="Z28" s="112">
        <v>0</v>
      </c>
      <c r="AA28" s="112">
        <v>0</v>
      </c>
      <c r="AB28" s="112">
        <v>0</v>
      </c>
      <c r="AC28" s="112">
        <v>0</v>
      </c>
      <c r="AD28" s="112">
        <v>0</v>
      </c>
      <c r="AE28" s="112">
        <v>0</v>
      </c>
      <c r="AF28" s="112">
        <v>0</v>
      </c>
      <c r="AG28" s="112">
        <v>0</v>
      </c>
    </row>
    <row r="29" spans="1:33" customFormat="1" x14ac:dyDescent="0.15">
      <c r="A29" s="162" t="s">
        <v>220</v>
      </c>
      <c r="B29" s="112">
        <v>0</v>
      </c>
      <c r="C29" s="112">
        <v>0</v>
      </c>
      <c r="D29" s="112">
        <v>0</v>
      </c>
      <c r="E29" s="112">
        <v>0</v>
      </c>
      <c r="F29" s="112">
        <v>0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0</v>
      </c>
      <c r="M29" s="112">
        <v>0</v>
      </c>
      <c r="N29" s="112">
        <v>0</v>
      </c>
      <c r="O29" s="112">
        <v>0</v>
      </c>
      <c r="P29" s="112">
        <v>0</v>
      </c>
      <c r="Q29" s="112">
        <v>0</v>
      </c>
      <c r="R29" s="112">
        <v>0</v>
      </c>
      <c r="S29" s="112">
        <v>0</v>
      </c>
      <c r="T29" s="112">
        <v>0</v>
      </c>
      <c r="U29" s="112">
        <v>0</v>
      </c>
      <c r="V29" s="112">
        <v>0</v>
      </c>
      <c r="W29" s="112">
        <v>0</v>
      </c>
      <c r="X29" s="112">
        <v>0</v>
      </c>
      <c r="Y29" s="112">
        <v>0</v>
      </c>
      <c r="Z29" s="112">
        <v>0</v>
      </c>
      <c r="AA29" s="112">
        <v>0</v>
      </c>
      <c r="AB29" s="112">
        <v>0</v>
      </c>
      <c r="AC29" s="112">
        <v>0</v>
      </c>
      <c r="AD29" s="112">
        <v>0</v>
      </c>
      <c r="AE29" s="112">
        <v>0</v>
      </c>
      <c r="AF29" s="112">
        <v>0</v>
      </c>
      <c r="AG29" s="112">
        <v>0</v>
      </c>
    </row>
    <row r="30" spans="1:33" customFormat="1" x14ac:dyDescent="0.15">
      <c r="A30" s="162" t="s">
        <v>221</v>
      </c>
      <c r="B30" s="112">
        <v>0</v>
      </c>
      <c r="C30" s="112">
        <v>0</v>
      </c>
      <c r="D30" s="112">
        <v>0</v>
      </c>
      <c r="E30" s="112">
        <v>0</v>
      </c>
      <c r="F30" s="112">
        <v>0</v>
      </c>
      <c r="G30" s="112">
        <v>0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2">
        <v>0</v>
      </c>
      <c r="N30" s="112">
        <v>0</v>
      </c>
      <c r="O30" s="112">
        <v>0</v>
      </c>
      <c r="P30" s="112">
        <v>0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112">
        <v>0</v>
      </c>
      <c r="X30" s="112">
        <v>0</v>
      </c>
      <c r="Y30" s="112">
        <v>0</v>
      </c>
      <c r="Z30" s="112">
        <v>0</v>
      </c>
      <c r="AA30" s="112">
        <v>0</v>
      </c>
      <c r="AB30" s="112">
        <v>0</v>
      </c>
      <c r="AC30" s="112">
        <v>0</v>
      </c>
      <c r="AD30" s="112">
        <v>0</v>
      </c>
      <c r="AE30" s="112">
        <v>0</v>
      </c>
      <c r="AF30" s="112">
        <v>0</v>
      </c>
      <c r="AG30" s="112">
        <v>0</v>
      </c>
    </row>
    <row r="31" spans="1:33" customFormat="1" x14ac:dyDescent="0.15">
      <c r="A31" s="162" t="s">
        <v>222</v>
      </c>
      <c r="B31" s="112">
        <v>0</v>
      </c>
      <c r="C31" s="112">
        <v>0</v>
      </c>
      <c r="D31" s="112">
        <v>0.8</v>
      </c>
      <c r="E31" s="112">
        <v>0</v>
      </c>
      <c r="F31" s="112">
        <v>0.8</v>
      </c>
      <c r="G31" s="112">
        <v>0.8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0.8</v>
      </c>
      <c r="P31" s="112">
        <v>0</v>
      </c>
      <c r="Q31" s="112">
        <v>0</v>
      </c>
      <c r="R31" s="112">
        <v>0</v>
      </c>
      <c r="S31" s="112">
        <v>0</v>
      </c>
      <c r="T31" s="112">
        <v>0</v>
      </c>
      <c r="U31" s="112">
        <v>0</v>
      </c>
      <c r="V31" s="112">
        <v>0</v>
      </c>
      <c r="W31" s="112">
        <v>0</v>
      </c>
      <c r="X31" s="112">
        <v>0</v>
      </c>
      <c r="Y31" s="112">
        <v>0</v>
      </c>
      <c r="Z31" s="112">
        <v>0</v>
      </c>
      <c r="AA31" s="112">
        <v>0</v>
      </c>
      <c r="AB31" s="112">
        <v>0.8</v>
      </c>
      <c r="AC31" s="112">
        <v>0.8</v>
      </c>
      <c r="AD31" s="112">
        <v>0</v>
      </c>
      <c r="AE31" s="112">
        <v>0</v>
      </c>
      <c r="AF31" s="112">
        <v>0</v>
      </c>
      <c r="AG31" s="112">
        <v>0</v>
      </c>
    </row>
    <row r="32" spans="1:33" customFormat="1" x14ac:dyDescent="0.15">
      <c r="A32" s="162" t="s">
        <v>223</v>
      </c>
      <c r="B32" s="112">
        <v>0</v>
      </c>
      <c r="C32" s="112">
        <v>0.8</v>
      </c>
      <c r="D32" s="112">
        <v>0.8</v>
      </c>
      <c r="E32" s="112">
        <v>0.8</v>
      </c>
      <c r="F32" s="112">
        <v>0.8</v>
      </c>
      <c r="G32" s="112">
        <v>0.8</v>
      </c>
      <c r="H32" s="112">
        <v>0.8</v>
      </c>
      <c r="I32" s="112">
        <v>0.8</v>
      </c>
      <c r="J32" s="112">
        <v>0</v>
      </c>
      <c r="K32" s="112">
        <v>0</v>
      </c>
      <c r="L32" s="112">
        <v>0.8</v>
      </c>
      <c r="M32" s="112">
        <v>0</v>
      </c>
      <c r="N32" s="112">
        <v>0.8</v>
      </c>
      <c r="O32" s="112">
        <v>0</v>
      </c>
      <c r="P32" s="112">
        <v>0</v>
      </c>
      <c r="Q32" s="112">
        <v>0</v>
      </c>
      <c r="R32" s="112">
        <v>0</v>
      </c>
      <c r="S32" s="112">
        <v>0</v>
      </c>
      <c r="T32" s="112">
        <v>0</v>
      </c>
      <c r="U32" s="112">
        <v>0</v>
      </c>
      <c r="V32" s="112">
        <v>0</v>
      </c>
      <c r="W32" s="112">
        <v>0</v>
      </c>
      <c r="X32" s="112">
        <v>0</v>
      </c>
      <c r="Y32" s="112">
        <v>0</v>
      </c>
      <c r="Z32" s="112">
        <v>0.8</v>
      </c>
      <c r="AA32" s="112">
        <v>0</v>
      </c>
      <c r="AB32" s="112">
        <v>0</v>
      </c>
      <c r="AC32" s="112">
        <v>0.8</v>
      </c>
      <c r="AD32" s="112">
        <v>0</v>
      </c>
      <c r="AE32" s="112">
        <v>0</v>
      </c>
      <c r="AF32" s="112">
        <v>0</v>
      </c>
      <c r="AG32" s="112">
        <v>0</v>
      </c>
    </row>
    <row r="33" spans="1:33" x14ac:dyDescent="0.15">
      <c r="A33" s="162" t="s">
        <v>224</v>
      </c>
      <c r="B33" s="112">
        <v>0</v>
      </c>
      <c r="C33" s="112">
        <v>0</v>
      </c>
      <c r="D33" s="112">
        <v>0</v>
      </c>
      <c r="E33" s="112">
        <v>0</v>
      </c>
      <c r="F33" s="112">
        <v>0</v>
      </c>
      <c r="G33" s="112">
        <v>0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2">
        <v>0</v>
      </c>
      <c r="Q33" s="112">
        <v>0</v>
      </c>
      <c r="R33" s="112">
        <v>0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112">
        <v>0</v>
      </c>
      <c r="Z33" s="112">
        <v>0</v>
      </c>
      <c r="AA33" s="112">
        <v>0</v>
      </c>
      <c r="AB33" s="112">
        <v>0</v>
      </c>
      <c r="AC33" s="112">
        <v>0</v>
      </c>
      <c r="AD33" s="112">
        <v>0</v>
      </c>
      <c r="AE33" s="112">
        <v>0</v>
      </c>
      <c r="AF33" s="112">
        <v>0</v>
      </c>
      <c r="AG33" s="112">
        <v>0</v>
      </c>
    </row>
    <row r="34" spans="1:33" x14ac:dyDescent="0.15">
      <c r="A34" s="162" t="s">
        <v>227</v>
      </c>
      <c r="B34" s="112">
        <v>0</v>
      </c>
      <c r="C34" s="112">
        <v>0</v>
      </c>
      <c r="D34" s="112">
        <v>0</v>
      </c>
      <c r="E34" s="112">
        <v>0.8</v>
      </c>
      <c r="F34" s="112">
        <v>0.8</v>
      </c>
      <c r="G34" s="112">
        <v>0.8</v>
      </c>
      <c r="H34" s="112">
        <v>0</v>
      </c>
      <c r="I34" s="112">
        <v>0.8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</v>
      </c>
      <c r="Y34" s="112">
        <v>0</v>
      </c>
      <c r="Z34" s="112">
        <v>0.8</v>
      </c>
      <c r="AA34" s="112">
        <v>0</v>
      </c>
      <c r="AB34" s="112">
        <v>0</v>
      </c>
      <c r="AC34" s="112">
        <v>0.8</v>
      </c>
      <c r="AD34" s="112">
        <v>0</v>
      </c>
      <c r="AE34" s="112">
        <v>0</v>
      </c>
      <c r="AF34" s="112">
        <v>0</v>
      </c>
      <c r="AG34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G34"/>
  <sheetViews>
    <sheetView workbookViewId="0">
      <selection activeCell="A3" sqref="A3"/>
    </sheetView>
  </sheetViews>
  <sheetFormatPr baseColWidth="10" defaultRowHeight="13" x14ac:dyDescent="0.15"/>
  <cols>
    <col min="1" max="1" width="23.33203125" style="112" bestFit="1" customWidth="1"/>
    <col min="2" max="33" width="2.33203125" style="112" customWidth="1"/>
    <col min="34" max="16384" width="10.83203125" style="112"/>
  </cols>
  <sheetData>
    <row r="1" spans="1:33" x14ac:dyDescent="0.15">
      <c r="A1" s="63" t="s">
        <v>139</v>
      </c>
      <c r="B1" s="165" t="s">
        <v>193</v>
      </c>
      <c r="C1" s="165" t="s">
        <v>194</v>
      </c>
      <c r="D1" s="165" t="s">
        <v>195</v>
      </c>
      <c r="E1" s="165" t="s">
        <v>196</v>
      </c>
      <c r="F1" s="165" t="s">
        <v>197</v>
      </c>
      <c r="G1" s="165" t="s">
        <v>198</v>
      </c>
      <c r="H1" s="165" t="s">
        <v>199</v>
      </c>
      <c r="I1" s="165" t="s">
        <v>200</v>
      </c>
      <c r="J1" s="165" t="s">
        <v>201</v>
      </c>
      <c r="K1" s="165" t="s">
        <v>202</v>
      </c>
      <c r="L1" s="165" t="s">
        <v>203</v>
      </c>
      <c r="M1" s="165" t="s">
        <v>204</v>
      </c>
      <c r="N1" s="165" t="s">
        <v>205</v>
      </c>
      <c r="O1" s="165" t="s">
        <v>206</v>
      </c>
      <c r="P1" s="165" t="s">
        <v>207</v>
      </c>
      <c r="Q1" s="165" t="s">
        <v>208</v>
      </c>
      <c r="R1" s="165" t="s">
        <v>209</v>
      </c>
      <c r="S1" s="165" t="s">
        <v>210</v>
      </c>
      <c r="T1" s="165" t="s">
        <v>211</v>
      </c>
      <c r="U1" s="165" t="s">
        <v>212</v>
      </c>
      <c r="V1" s="165" t="s">
        <v>213</v>
      </c>
      <c r="W1" s="165" t="s">
        <v>214</v>
      </c>
      <c r="X1" s="165" t="s">
        <v>215</v>
      </c>
      <c r="Y1" s="165" t="s">
        <v>216</v>
      </c>
      <c r="Z1" s="165" t="s">
        <v>217</v>
      </c>
      <c r="AA1" s="165" t="s">
        <v>218</v>
      </c>
      <c r="AB1" s="165" t="s">
        <v>219</v>
      </c>
      <c r="AC1" s="165" t="s">
        <v>220</v>
      </c>
      <c r="AD1" s="165" t="s">
        <v>221</v>
      </c>
      <c r="AE1" s="165" t="s">
        <v>222</v>
      </c>
      <c r="AF1" s="165" t="s">
        <v>223</v>
      </c>
      <c r="AG1" s="165" t="s">
        <v>224</v>
      </c>
    </row>
    <row r="2" spans="1:33" customFormat="1" x14ac:dyDescent="0.15">
      <c r="A2" s="164" t="s">
        <v>193</v>
      </c>
      <c r="B2" s="112">
        <v>0</v>
      </c>
      <c r="C2" s="112">
        <v>1</v>
      </c>
      <c r="D2" s="112">
        <v>1</v>
      </c>
      <c r="E2" s="112">
        <v>0</v>
      </c>
      <c r="F2" s="112">
        <v>0</v>
      </c>
      <c r="G2" s="112">
        <v>0</v>
      </c>
      <c r="H2" s="112">
        <v>0</v>
      </c>
      <c r="I2" s="112">
        <v>0</v>
      </c>
      <c r="J2" s="112">
        <v>0</v>
      </c>
      <c r="K2" s="112">
        <v>0</v>
      </c>
      <c r="L2" s="112">
        <v>0</v>
      </c>
      <c r="M2" s="112">
        <v>0</v>
      </c>
      <c r="N2" s="112">
        <v>1</v>
      </c>
      <c r="O2" s="112">
        <v>0</v>
      </c>
      <c r="P2" s="112">
        <v>0</v>
      </c>
      <c r="Q2" s="112">
        <v>1</v>
      </c>
      <c r="R2" s="112">
        <v>1</v>
      </c>
      <c r="S2" s="112">
        <v>1</v>
      </c>
      <c r="T2" s="112">
        <v>0</v>
      </c>
      <c r="U2" s="112">
        <v>0</v>
      </c>
      <c r="V2" s="112">
        <v>0</v>
      </c>
      <c r="W2" s="112">
        <v>1</v>
      </c>
      <c r="X2" s="112">
        <v>0</v>
      </c>
      <c r="Y2" s="112">
        <v>0</v>
      </c>
      <c r="Z2" s="112">
        <v>1</v>
      </c>
      <c r="AA2" s="112">
        <v>0</v>
      </c>
      <c r="AB2" s="112">
        <v>0</v>
      </c>
      <c r="AC2" s="112">
        <v>0</v>
      </c>
      <c r="AD2" s="112">
        <v>0</v>
      </c>
      <c r="AE2" s="112">
        <v>0</v>
      </c>
      <c r="AF2" s="112">
        <v>0</v>
      </c>
      <c r="AG2" s="112">
        <v>0</v>
      </c>
    </row>
    <row r="3" spans="1:33" customFormat="1" x14ac:dyDescent="0.15">
      <c r="A3" s="164" t="s">
        <v>194</v>
      </c>
      <c r="B3" s="112">
        <v>0</v>
      </c>
      <c r="C3" s="112">
        <v>1</v>
      </c>
      <c r="D3" s="112">
        <v>1</v>
      </c>
      <c r="E3" s="112">
        <v>0</v>
      </c>
      <c r="F3" s="112">
        <v>1</v>
      </c>
      <c r="G3" s="112">
        <v>1</v>
      </c>
      <c r="H3" s="112">
        <v>1</v>
      </c>
      <c r="I3" s="112">
        <v>0</v>
      </c>
      <c r="J3" s="112">
        <v>1</v>
      </c>
      <c r="K3" s="112">
        <v>1</v>
      </c>
      <c r="L3" s="112">
        <v>1</v>
      </c>
      <c r="M3" s="112">
        <v>1</v>
      </c>
      <c r="N3" s="112">
        <v>1</v>
      </c>
      <c r="O3" s="112">
        <v>1</v>
      </c>
      <c r="P3" s="112">
        <v>1</v>
      </c>
      <c r="Q3" s="112">
        <v>1</v>
      </c>
      <c r="R3" s="112">
        <v>1</v>
      </c>
      <c r="S3" s="112">
        <v>1</v>
      </c>
      <c r="T3" s="112">
        <v>1</v>
      </c>
      <c r="U3" s="112">
        <v>1</v>
      </c>
      <c r="V3" s="112">
        <v>1</v>
      </c>
      <c r="W3" s="112">
        <v>1</v>
      </c>
      <c r="X3" s="112">
        <v>1</v>
      </c>
      <c r="Y3" s="112">
        <v>1</v>
      </c>
      <c r="Z3" s="112">
        <v>1</v>
      </c>
      <c r="AA3" s="112">
        <v>1</v>
      </c>
      <c r="AB3" s="112">
        <v>1</v>
      </c>
      <c r="AC3" s="112">
        <v>0</v>
      </c>
      <c r="AD3" s="112">
        <v>0</v>
      </c>
      <c r="AE3" s="112">
        <v>0</v>
      </c>
      <c r="AF3" s="112">
        <v>0</v>
      </c>
      <c r="AG3" s="112">
        <v>0</v>
      </c>
    </row>
    <row r="4" spans="1:33" customFormat="1" x14ac:dyDescent="0.15">
      <c r="A4" s="164" t="s">
        <v>195</v>
      </c>
      <c r="B4" s="112">
        <v>0</v>
      </c>
      <c r="C4" s="112">
        <v>0</v>
      </c>
      <c r="D4" s="112">
        <v>1</v>
      </c>
      <c r="E4" s="112">
        <v>0</v>
      </c>
      <c r="F4" s="112">
        <v>1</v>
      </c>
      <c r="G4" s="112">
        <v>1</v>
      </c>
      <c r="H4" s="112">
        <v>1</v>
      </c>
      <c r="I4" s="112">
        <v>0</v>
      </c>
      <c r="J4" s="112">
        <v>1</v>
      </c>
      <c r="K4" s="112">
        <v>1</v>
      </c>
      <c r="L4" s="112">
        <v>1</v>
      </c>
      <c r="M4" s="112">
        <v>1</v>
      </c>
      <c r="N4" s="112">
        <v>1</v>
      </c>
      <c r="O4" s="112">
        <v>1</v>
      </c>
      <c r="P4" s="112">
        <v>1</v>
      </c>
      <c r="Q4" s="112">
        <v>1</v>
      </c>
      <c r="R4" s="112">
        <v>1</v>
      </c>
      <c r="S4" s="112">
        <v>1</v>
      </c>
      <c r="T4" s="112">
        <v>1</v>
      </c>
      <c r="U4" s="112">
        <v>1</v>
      </c>
      <c r="V4" s="112">
        <v>0</v>
      </c>
      <c r="W4" s="112">
        <v>1</v>
      </c>
      <c r="X4" s="112">
        <v>1</v>
      </c>
      <c r="Y4" s="112">
        <v>1</v>
      </c>
      <c r="Z4" s="112">
        <v>1</v>
      </c>
      <c r="AA4" s="112">
        <v>1</v>
      </c>
      <c r="AB4" s="112">
        <v>0</v>
      </c>
      <c r="AC4" s="112">
        <v>0</v>
      </c>
      <c r="AD4" s="112">
        <v>0</v>
      </c>
      <c r="AE4" s="112">
        <v>0</v>
      </c>
      <c r="AF4" s="112">
        <v>0</v>
      </c>
      <c r="AG4" s="112">
        <v>0</v>
      </c>
    </row>
    <row r="5" spans="1:33" customFormat="1" x14ac:dyDescent="0.15">
      <c r="A5" s="164" t="s">
        <v>196</v>
      </c>
      <c r="B5" s="112">
        <v>0</v>
      </c>
      <c r="C5" s="112">
        <v>0</v>
      </c>
      <c r="D5" s="112">
        <v>1</v>
      </c>
      <c r="E5" s="112">
        <v>1</v>
      </c>
      <c r="F5" s="112">
        <v>1</v>
      </c>
      <c r="G5" s="112">
        <v>1</v>
      </c>
      <c r="H5" s="112">
        <v>1</v>
      </c>
      <c r="I5" s="112">
        <v>1</v>
      </c>
      <c r="J5" s="112">
        <v>1</v>
      </c>
      <c r="K5" s="112">
        <v>1</v>
      </c>
      <c r="L5" s="112">
        <v>1</v>
      </c>
      <c r="M5" s="112">
        <v>1</v>
      </c>
      <c r="N5" s="112">
        <v>1</v>
      </c>
      <c r="O5" s="112">
        <v>0</v>
      </c>
      <c r="P5" s="112">
        <v>0</v>
      </c>
      <c r="Q5" s="112">
        <v>1</v>
      </c>
      <c r="R5" s="112">
        <v>1</v>
      </c>
      <c r="S5" s="112">
        <v>1</v>
      </c>
      <c r="T5" s="112">
        <v>1</v>
      </c>
      <c r="U5" s="112">
        <v>1</v>
      </c>
      <c r="V5" s="112">
        <v>0</v>
      </c>
      <c r="W5" s="112">
        <v>0</v>
      </c>
      <c r="X5" s="112">
        <v>1</v>
      </c>
      <c r="Y5" s="112">
        <v>0</v>
      </c>
      <c r="Z5" s="112">
        <v>0</v>
      </c>
      <c r="AA5" s="112">
        <v>1</v>
      </c>
      <c r="AB5" s="112">
        <v>1</v>
      </c>
      <c r="AC5" s="112">
        <v>0</v>
      </c>
      <c r="AD5" s="112">
        <v>0</v>
      </c>
      <c r="AE5" s="112">
        <v>0</v>
      </c>
      <c r="AF5" s="112">
        <v>0</v>
      </c>
      <c r="AG5" s="112">
        <v>0</v>
      </c>
    </row>
    <row r="6" spans="1:33" customFormat="1" x14ac:dyDescent="0.15">
      <c r="A6" s="164" t="s">
        <v>197</v>
      </c>
      <c r="B6" s="112">
        <v>0</v>
      </c>
      <c r="C6" s="112">
        <v>0</v>
      </c>
      <c r="D6" s="112">
        <v>0</v>
      </c>
      <c r="E6" s="112">
        <v>0</v>
      </c>
      <c r="F6" s="112">
        <v>1</v>
      </c>
      <c r="G6" s="112">
        <v>1</v>
      </c>
      <c r="H6" s="112">
        <v>1</v>
      </c>
      <c r="I6" s="112">
        <v>0</v>
      </c>
      <c r="J6" s="112">
        <v>1</v>
      </c>
      <c r="K6" s="112">
        <v>1</v>
      </c>
      <c r="L6" s="112">
        <v>1</v>
      </c>
      <c r="M6" s="112">
        <v>1</v>
      </c>
      <c r="N6" s="112">
        <v>1</v>
      </c>
      <c r="O6" s="112">
        <v>1</v>
      </c>
      <c r="P6" s="112">
        <v>1</v>
      </c>
      <c r="Q6" s="112">
        <v>1</v>
      </c>
      <c r="R6" s="112">
        <v>1</v>
      </c>
      <c r="S6" s="112">
        <v>1</v>
      </c>
      <c r="T6" s="112">
        <v>1</v>
      </c>
      <c r="U6" s="112">
        <v>1</v>
      </c>
      <c r="V6" s="112">
        <v>0</v>
      </c>
      <c r="W6" s="112">
        <v>0</v>
      </c>
      <c r="X6" s="112">
        <v>1</v>
      </c>
      <c r="Y6" s="112">
        <v>1</v>
      </c>
      <c r="Z6" s="112">
        <v>0</v>
      </c>
      <c r="AA6" s="112">
        <v>1</v>
      </c>
      <c r="AB6" s="112">
        <v>0</v>
      </c>
      <c r="AC6" s="112">
        <v>0</v>
      </c>
      <c r="AD6" s="112">
        <v>0</v>
      </c>
      <c r="AE6" s="112">
        <v>0</v>
      </c>
      <c r="AF6" s="112">
        <v>0</v>
      </c>
      <c r="AG6" s="112">
        <v>0</v>
      </c>
    </row>
    <row r="7" spans="1:33" customFormat="1" x14ac:dyDescent="0.15">
      <c r="A7" s="164" t="s">
        <v>198</v>
      </c>
      <c r="B7" s="112">
        <v>0</v>
      </c>
      <c r="C7" s="112">
        <v>0</v>
      </c>
      <c r="D7" s="112">
        <v>0</v>
      </c>
      <c r="E7" s="112">
        <v>0</v>
      </c>
      <c r="F7" s="112">
        <v>1</v>
      </c>
      <c r="G7" s="112">
        <v>1</v>
      </c>
      <c r="H7" s="112">
        <v>1</v>
      </c>
      <c r="I7" s="112">
        <v>0</v>
      </c>
      <c r="J7" s="112">
        <v>1</v>
      </c>
      <c r="K7" s="112">
        <v>1</v>
      </c>
      <c r="L7" s="112">
        <v>1</v>
      </c>
      <c r="M7" s="112">
        <v>0</v>
      </c>
      <c r="N7" s="112">
        <v>1</v>
      </c>
      <c r="O7" s="112">
        <v>1</v>
      </c>
      <c r="P7" s="112">
        <v>0</v>
      </c>
      <c r="Q7" s="112">
        <v>1</v>
      </c>
      <c r="R7" s="112">
        <v>1</v>
      </c>
      <c r="S7" s="112">
        <v>1</v>
      </c>
      <c r="T7" s="112">
        <v>0</v>
      </c>
      <c r="U7" s="112">
        <v>1</v>
      </c>
      <c r="V7" s="112">
        <v>0</v>
      </c>
      <c r="W7" s="112">
        <v>0</v>
      </c>
      <c r="X7" s="112">
        <v>1</v>
      </c>
      <c r="Y7" s="112">
        <v>0</v>
      </c>
      <c r="Z7" s="112">
        <v>0</v>
      </c>
      <c r="AA7" s="112">
        <v>0</v>
      </c>
      <c r="AB7" s="112">
        <v>1</v>
      </c>
      <c r="AC7" s="112">
        <v>0</v>
      </c>
      <c r="AD7" s="112">
        <v>0</v>
      </c>
      <c r="AE7" s="112">
        <v>0</v>
      </c>
      <c r="AF7" s="112">
        <v>0</v>
      </c>
      <c r="AG7" s="112">
        <v>0</v>
      </c>
    </row>
    <row r="8" spans="1:33" customFormat="1" x14ac:dyDescent="0.15">
      <c r="A8" s="164" t="s">
        <v>199</v>
      </c>
      <c r="B8" s="112">
        <v>0</v>
      </c>
      <c r="C8" s="112">
        <v>0</v>
      </c>
      <c r="D8" s="112">
        <v>0</v>
      </c>
      <c r="E8" s="112">
        <v>0</v>
      </c>
      <c r="F8" s="112">
        <v>0</v>
      </c>
      <c r="G8" s="112">
        <v>1</v>
      </c>
      <c r="H8" s="112">
        <v>0</v>
      </c>
      <c r="I8" s="112">
        <v>0</v>
      </c>
      <c r="J8" s="112">
        <v>1</v>
      </c>
      <c r="K8" s="112">
        <v>0</v>
      </c>
      <c r="L8" s="112">
        <v>0</v>
      </c>
      <c r="M8" s="112">
        <v>1</v>
      </c>
      <c r="N8" s="112">
        <v>0</v>
      </c>
      <c r="O8" s="112">
        <v>0</v>
      </c>
      <c r="P8" s="112">
        <v>1</v>
      </c>
      <c r="Q8" s="112">
        <v>0</v>
      </c>
      <c r="R8" s="112">
        <v>1</v>
      </c>
      <c r="S8" s="112">
        <v>0</v>
      </c>
      <c r="T8" s="112">
        <v>0</v>
      </c>
      <c r="U8" s="112">
        <v>0</v>
      </c>
      <c r="V8" s="112">
        <v>0</v>
      </c>
      <c r="W8" s="112">
        <v>0</v>
      </c>
      <c r="X8" s="112">
        <v>0</v>
      </c>
      <c r="Y8" s="112">
        <v>0</v>
      </c>
      <c r="Z8" s="112">
        <v>0</v>
      </c>
      <c r="AA8" s="112">
        <v>0</v>
      </c>
      <c r="AB8" s="112">
        <v>0</v>
      </c>
      <c r="AC8" s="112">
        <v>0</v>
      </c>
      <c r="AD8" s="112">
        <v>0</v>
      </c>
      <c r="AE8" s="112">
        <v>0</v>
      </c>
      <c r="AF8" s="112">
        <v>0</v>
      </c>
      <c r="AG8" s="112">
        <v>0</v>
      </c>
    </row>
    <row r="9" spans="1:33" customFormat="1" x14ac:dyDescent="0.15">
      <c r="A9" s="164" t="s">
        <v>200</v>
      </c>
      <c r="B9" s="112">
        <v>0</v>
      </c>
      <c r="C9" s="112">
        <v>0</v>
      </c>
      <c r="D9" s="112">
        <v>1</v>
      </c>
      <c r="E9" s="112">
        <v>1</v>
      </c>
      <c r="F9" s="112">
        <v>1</v>
      </c>
      <c r="G9" s="112">
        <v>1</v>
      </c>
      <c r="H9" s="112">
        <v>1</v>
      </c>
      <c r="I9" s="112">
        <v>1</v>
      </c>
      <c r="J9" s="112">
        <v>1</v>
      </c>
      <c r="K9" s="112">
        <v>1</v>
      </c>
      <c r="L9" s="112">
        <v>1</v>
      </c>
      <c r="M9" s="112">
        <v>1</v>
      </c>
      <c r="N9" s="112">
        <v>1</v>
      </c>
      <c r="O9" s="112">
        <v>1</v>
      </c>
      <c r="P9" s="112">
        <v>1</v>
      </c>
      <c r="Q9" s="112">
        <v>1</v>
      </c>
      <c r="R9" s="112">
        <v>1</v>
      </c>
      <c r="S9" s="112">
        <v>1</v>
      </c>
      <c r="T9" s="112">
        <v>0</v>
      </c>
      <c r="U9" s="112">
        <v>1</v>
      </c>
      <c r="V9" s="112">
        <v>0</v>
      </c>
      <c r="W9" s="112">
        <v>0</v>
      </c>
      <c r="X9" s="112">
        <v>1</v>
      </c>
      <c r="Y9" s="112">
        <v>1</v>
      </c>
      <c r="Z9" s="112">
        <v>1</v>
      </c>
      <c r="AA9" s="112">
        <v>1</v>
      </c>
      <c r="AB9" s="112">
        <v>1</v>
      </c>
      <c r="AC9" s="112">
        <v>0</v>
      </c>
      <c r="AD9" s="112">
        <v>0</v>
      </c>
      <c r="AE9" s="112">
        <v>0</v>
      </c>
      <c r="AF9" s="112">
        <v>0</v>
      </c>
      <c r="AG9" s="112">
        <v>0</v>
      </c>
    </row>
    <row r="10" spans="1:33" customFormat="1" x14ac:dyDescent="0.15">
      <c r="A10" s="164" t="s">
        <v>201</v>
      </c>
      <c r="B10" s="112">
        <v>0</v>
      </c>
      <c r="C10" s="112">
        <v>0</v>
      </c>
      <c r="D10" s="112">
        <v>0</v>
      </c>
      <c r="E10" s="112">
        <v>0</v>
      </c>
      <c r="F10" s="112">
        <v>1</v>
      </c>
      <c r="G10" s="112">
        <v>0</v>
      </c>
      <c r="H10" s="112">
        <v>0</v>
      </c>
      <c r="I10" s="112">
        <v>0</v>
      </c>
      <c r="J10" s="112">
        <v>1</v>
      </c>
      <c r="K10" s="112">
        <v>1</v>
      </c>
      <c r="L10" s="112">
        <v>0</v>
      </c>
      <c r="M10" s="112">
        <v>1</v>
      </c>
      <c r="N10" s="112">
        <v>1</v>
      </c>
      <c r="O10" s="112">
        <v>1</v>
      </c>
      <c r="P10" s="112">
        <v>1</v>
      </c>
      <c r="Q10" s="112">
        <v>0</v>
      </c>
      <c r="R10" s="112">
        <v>1</v>
      </c>
      <c r="S10" s="112">
        <v>1</v>
      </c>
      <c r="T10" s="112">
        <v>0</v>
      </c>
      <c r="U10" s="112">
        <v>1</v>
      </c>
      <c r="V10" s="112">
        <v>0</v>
      </c>
      <c r="W10" s="112">
        <v>0</v>
      </c>
      <c r="X10" s="112">
        <v>1</v>
      </c>
      <c r="Y10" s="112">
        <v>0</v>
      </c>
      <c r="Z10" s="112">
        <v>0</v>
      </c>
      <c r="AA10" s="112">
        <v>1</v>
      </c>
      <c r="AB10" s="112">
        <v>1</v>
      </c>
      <c r="AC10" s="112">
        <v>0</v>
      </c>
      <c r="AD10" s="112">
        <v>1</v>
      </c>
      <c r="AE10" s="112">
        <v>0</v>
      </c>
      <c r="AF10" s="112">
        <v>0</v>
      </c>
      <c r="AG10" s="112">
        <v>0</v>
      </c>
    </row>
    <row r="11" spans="1:33" customFormat="1" x14ac:dyDescent="0.15">
      <c r="A11" s="164" t="s">
        <v>202</v>
      </c>
      <c r="B11" s="112">
        <v>0</v>
      </c>
      <c r="C11" s="112">
        <v>0</v>
      </c>
      <c r="D11" s="112">
        <v>0</v>
      </c>
      <c r="E11" s="112">
        <v>0</v>
      </c>
      <c r="F11" s="112">
        <v>0</v>
      </c>
      <c r="G11" s="112">
        <v>0</v>
      </c>
      <c r="H11" s="112">
        <v>0</v>
      </c>
      <c r="I11" s="112">
        <v>0</v>
      </c>
      <c r="J11" s="112">
        <v>0</v>
      </c>
      <c r="K11" s="112">
        <v>1</v>
      </c>
      <c r="L11" s="112">
        <v>0</v>
      </c>
      <c r="M11" s="112">
        <v>0</v>
      </c>
      <c r="N11" s="112">
        <v>0</v>
      </c>
      <c r="O11" s="112">
        <v>0</v>
      </c>
      <c r="P11" s="112">
        <v>1</v>
      </c>
      <c r="Q11" s="112">
        <v>0</v>
      </c>
      <c r="R11" s="112">
        <v>0</v>
      </c>
      <c r="S11" s="112">
        <v>0</v>
      </c>
      <c r="T11" s="112">
        <v>0</v>
      </c>
      <c r="U11" s="112">
        <v>1</v>
      </c>
      <c r="V11" s="112">
        <v>0</v>
      </c>
      <c r="W11" s="112">
        <v>0</v>
      </c>
      <c r="X11" s="112">
        <v>1</v>
      </c>
      <c r="Y11" s="112">
        <v>1</v>
      </c>
      <c r="Z11" s="112">
        <v>0</v>
      </c>
      <c r="AA11" s="112">
        <v>1</v>
      </c>
      <c r="AB11" s="112">
        <v>1</v>
      </c>
      <c r="AC11" s="112">
        <v>0</v>
      </c>
      <c r="AD11" s="112">
        <v>1</v>
      </c>
      <c r="AE11" s="112">
        <v>0</v>
      </c>
      <c r="AF11" s="112">
        <v>0</v>
      </c>
      <c r="AG11" s="112">
        <v>0</v>
      </c>
    </row>
    <row r="12" spans="1:33" customFormat="1" x14ac:dyDescent="0.15">
      <c r="A12" s="164" t="s">
        <v>203</v>
      </c>
      <c r="B12" s="112">
        <v>0</v>
      </c>
      <c r="C12" s="112">
        <v>0</v>
      </c>
      <c r="D12" s="112">
        <v>0</v>
      </c>
      <c r="E12" s="112">
        <v>0</v>
      </c>
      <c r="F12" s="112">
        <v>0</v>
      </c>
      <c r="G12" s="112">
        <v>0</v>
      </c>
      <c r="H12" s="112">
        <v>0</v>
      </c>
      <c r="I12" s="112">
        <v>0</v>
      </c>
      <c r="J12" s="112">
        <v>0</v>
      </c>
      <c r="K12" s="112">
        <v>1</v>
      </c>
      <c r="L12" s="112">
        <v>0</v>
      </c>
      <c r="M12" s="112">
        <v>1</v>
      </c>
      <c r="N12" s="112">
        <v>0</v>
      </c>
      <c r="O12" s="112">
        <v>1</v>
      </c>
      <c r="P12" s="112">
        <v>0</v>
      </c>
      <c r="Q12" s="112">
        <v>0</v>
      </c>
      <c r="R12" s="112">
        <v>1</v>
      </c>
      <c r="S12" s="112">
        <v>0</v>
      </c>
      <c r="T12" s="112">
        <v>0</v>
      </c>
      <c r="U12" s="112">
        <v>1</v>
      </c>
      <c r="V12" s="112">
        <v>0</v>
      </c>
      <c r="W12" s="112">
        <v>0</v>
      </c>
      <c r="X12" s="112">
        <v>0</v>
      </c>
      <c r="Y12" s="112">
        <v>0</v>
      </c>
      <c r="Z12" s="112">
        <v>0</v>
      </c>
      <c r="AA12" s="112">
        <v>1</v>
      </c>
      <c r="AB12" s="112">
        <v>1</v>
      </c>
      <c r="AC12" s="112">
        <v>0</v>
      </c>
      <c r="AD12" s="112">
        <v>0</v>
      </c>
      <c r="AE12" s="112">
        <v>0</v>
      </c>
      <c r="AF12" s="112">
        <v>0</v>
      </c>
      <c r="AG12" s="112">
        <v>0</v>
      </c>
    </row>
    <row r="13" spans="1:33" customFormat="1" x14ac:dyDescent="0.15">
      <c r="A13" s="164" t="s">
        <v>204</v>
      </c>
      <c r="B13" s="112">
        <v>0</v>
      </c>
      <c r="C13" s="112">
        <v>0</v>
      </c>
      <c r="D13" s="112">
        <v>0</v>
      </c>
      <c r="E13" s="112">
        <v>0</v>
      </c>
      <c r="F13" s="112">
        <v>0</v>
      </c>
      <c r="G13" s="112">
        <v>0</v>
      </c>
      <c r="H13" s="112">
        <v>0</v>
      </c>
      <c r="I13" s="112">
        <v>0</v>
      </c>
      <c r="J13" s="112">
        <v>0</v>
      </c>
      <c r="K13" s="112">
        <v>0</v>
      </c>
      <c r="L13" s="112">
        <v>0</v>
      </c>
      <c r="M13" s="112">
        <v>1</v>
      </c>
      <c r="N13" s="112">
        <v>0</v>
      </c>
      <c r="O13" s="112">
        <v>0</v>
      </c>
      <c r="P13" s="112">
        <v>0</v>
      </c>
      <c r="Q13" s="112">
        <v>0</v>
      </c>
      <c r="R13" s="112">
        <v>0</v>
      </c>
      <c r="S13" s="112">
        <v>0</v>
      </c>
      <c r="T13" s="112">
        <v>0</v>
      </c>
      <c r="U13" s="112">
        <v>1</v>
      </c>
      <c r="V13" s="112">
        <v>0</v>
      </c>
      <c r="W13" s="112">
        <v>0</v>
      </c>
      <c r="X13" s="112">
        <v>0</v>
      </c>
      <c r="Y13" s="112">
        <v>0</v>
      </c>
      <c r="Z13" s="112">
        <v>0</v>
      </c>
      <c r="AA13" s="112">
        <v>0</v>
      </c>
      <c r="AB13" s="112">
        <v>0</v>
      </c>
      <c r="AC13" s="112">
        <v>0</v>
      </c>
      <c r="AD13" s="112">
        <v>0</v>
      </c>
      <c r="AE13" s="112">
        <v>0</v>
      </c>
      <c r="AF13" s="112">
        <v>0</v>
      </c>
      <c r="AG13" s="112">
        <v>0</v>
      </c>
    </row>
    <row r="14" spans="1:33" customFormat="1" x14ac:dyDescent="0.15">
      <c r="A14" s="164" t="s">
        <v>205</v>
      </c>
      <c r="B14" s="112">
        <v>0</v>
      </c>
      <c r="C14" s="112">
        <v>0</v>
      </c>
      <c r="D14" s="112">
        <v>0</v>
      </c>
      <c r="E14" s="112">
        <v>0</v>
      </c>
      <c r="F14" s="112">
        <v>0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1</v>
      </c>
      <c r="N14" s="112">
        <v>1</v>
      </c>
      <c r="O14" s="112">
        <v>0</v>
      </c>
      <c r="P14" s="112">
        <v>1</v>
      </c>
      <c r="Q14" s="112">
        <v>0</v>
      </c>
      <c r="R14" s="112">
        <v>0</v>
      </c>
      <c r="S14" s="112">
        <v>0</v>
      </c>
      <c r="T14" s="112">
        <v>0</v>
      </c>
      <c r="U14" s="112">
        <v>1</v>
      </c>
      <c r="V14" s="112">
        <v>0</v>
      </c>
      <c r="W14" s="112">
        <v>0</v>
      </c>
      <c r="X14" s="112">
        <v>1</v>
      </c>
      <c r="Y14" s="112">
        <v>0</v>
      </c>
      <c r="Z14" s="112">
        <v>0</v>
      </c>
      <c r="AA14" s="112">
        <v>0</v>
      </c>
      <c r="AB14" s="112">
        <v>0</v>
      </c>
      <c r="AC14" s="112">
        <v>0</v>
      </c>
      <c r="AD14" s="112">
        <v>1</v>
      </c>
      <c r="AE14" s="112">
        <v>0</v>
      </c>
      <c r="AF14" s="112">
        <v>0</v>
      </c>
      <c r="AG14" s="112">
        <v>0</v>
      </c>
    </row>
    <row r="15" spans="1:33" customFormat="1" x14ac:dyDescent="0.15">
      <c r="A15" s="164" t="s">
        <v>206</v>
      </c>
      <c r="B15" s="112">
        <v>0</v>
      </c>
      <c r="C15" s="112">
        <v>0</v>
      </c>
      <c r="D15" s="112">
        <v>0</v>
      </c>
      <c r="E15" s="112">
        <v>0</v>
      </c>
      <c r="F15" s="112">
        <v>0</v>
      </c>
      <c r="G15" s="112">
        <v>0</v>
      </c>
      <c r="H15" s="112">
        <v>0</v>
      </c>
      <c r="I15" s="112">
        <v>0</v>
      </c>
      <c r="J15" s="112">
        <v>0</v>
      </c>
      <c r="K15" s="112">
        <v>1</v>
      </c>
      <c r="L15" s="112">
        <v>0</v>
      </c>
      <c r="M15" s="112">
        <v>1</v>
      </c>
      <c r="N15" s="112">
        <v>1</v>
      </c>
      <c r="O15" s="112">
        <v>1</v>
      </c>
      <c r="P15" s="112">
        <v>1</v>
      </c>
      <c r="Q15" s="112">
        <v>0</v>
      </c>
      <c r="R15" s="112">
        <v>1</v>
      </c>
      <c r="S15" s="112">
        <v>1</v>
      </c>
      <c r="T15" s="112">
        <v>0</v>
      </c>
      <c r="U15" s="112">
        <v>1</v>
      </c>
      <c r="V15" s="112">
        <v>0</v>
      </c>
      <c r="W15" s="112">
        <v>0</v>
      </c>
      <c r="X15" s="112">
        <v>1</v>
      </c>
      <c r="Y15" s="112">
        <v>1</v>
      </c>
      <c r="Z15" s="112">
        <v>0</v>
      </c>
      <c r="AA15" s="112">
        <v>1</v>
      </c>
      <c r="AB15" s="112">
        <v>0</v>
      </c>
      <c r="AC15" s="112">
        <v>0</v>
      </c>
      <c r="AD15" s="112">
        <v>0</v>
      </c>
      <c r="AE15" s="112">
        <v>0</v>
      </c>
      <c r="AF15" s="112">
        <v>0</v>
      </c>
      <c r="AG15" s="112">
        <v>0</v>
      </c>
    </row>
    <row r="16" spans="1:33" customFormat="1" x14ac:dyDescent="0.15">
      <c r="A16" s="164" t="s">
        <v>207</v>
      </c>
      <c r="B16" s="112">
        <v>0</v>
      </c>
      <c r="C16" s="112">
        <v>0</v>
      </c>
      <c r="D16" s="112">
        <v>0</v>
      </c>
      <c r="E16" s="112">
        <v>0</v>
      </c>
      <c r="F16" s="112">
        <v>0</v>
      </c>
      <c r="G16" s="112">
        <v>0</v>
      </c>
      <c r="H16" s="112">
        <v>0</v>
      </c>
      <c r="I16" s="112">
        <v>0</v>
      </c>
      <c r="J16" s="112">
        <v>0</v>
      </c>
      <c r="K16" s="112">
        <v>1</v>
      </c>
      <c r="L16" s="112">
        <v>0</v>
      </c>
      <c r="M16" s="112">
        <v>1</v>
      </c>
      <c r="N16" s="112">
        <v>0</v>
      </c>
      <c r="O16" s="112">
        <v>0</v>
      </c>
      <c r="P16" s="112">
        <v>1</v>
      </c>
      <c r="Q16" s="112">
        <v>0</v>
      </c>
      <c r="R16" s="112">
        <v>0</v>
      </c>
      <c r="S16" s="112">
        <v>0</v>
      </c>
      <c r="T16" s="112">
        <v>0</v>
      </c>
      <c r="U16" s="112">
        <v>1</v>
      </c>
      <c r="V16" s="112">
        <v>0</v>
      </c>
      <c r="W16" s="112">
        <v>0</v>
      </c>
      <c r="X16" s="112">
        <v>0</v>
      </c>
      <c r="Y16" s="112">
        <v>0</v>
      </c>
      <c r="Z16" s="112">
        <v>0</v>
      </c>
      <c r="AA16" s="112">
        <v>1</v>
      </c>
      <c r="AB16" s="112">
        <v>0</v>
      </c>
      <c r="AC16" s="112">
        <v>0</v>
      </c>
      <c r="AD16" s="112">
        <v>1</v>
      </c>
      <c r="AE16" s="112">
        <v>0</v>
      </c>
      <c r="AF16" s="112">
        <v>0</v>
      </c>
      <c r="AG16" s="112">
        <v>0</v>
      </c>
    </row>
    <row r="17" spans="1:33" customFormat="1" x14ac:dyDescent="0.15">
      <c r="A17" s="164" t="s">
        <v>208</v>
      </c>
      <c r="B17" s="112">
        <v>0</v>
      </c>
      <c r="C17" s="112">
        <v>0</v>
      </c>
      <c r="D17" s="112">
        <v>0</v>
      </c>
      <c r="E17" s="112">
        <v>0</v>
      </c>
      <c r="F17" s="112">
        <v>0</v>
      </c>
      <c r="G17" s="112">
        <v>1</v>
      </c>
      <c r="H17" s="112">
        <v>0</v>
      </c>
      <c r="I17" s="112">
        <v>0</v>
      </c>
      <c r="J17" s="112">
        <v>0</v>
      </c>
      <c r="K17" s="112">
        <v>1</v>
      </c>
      <c r="L17" s="112">
        <v>1</v>
      </c>
      <c r="M17" s="112">
        <v>1</v>
      </c>
      <c r="N17" s="112">
        <v>1</v>
      </c>
      <c r="O17" s="112">
        <v>1</v>
      </c>
      <c r="P17" s="112">
        <v>1</v>
      </c>
      <c r="Q17" s="112">
        <v>0</v>
      </c>
      <c r="R17" s="112">
        <v>1</v>
      </c>
      <c r="S17" s="112">
        <v>1</v>
      </c>
      <c r="T17" s="112">
        <v>0</v>
      </c>
      <c r="U17" s="112">
        <v>1</v>
      </c>
      <c r="V17" s="112">
        <v>0</v>
      </c>
      <c r="W17" s="112">
        <v>0</v>
      </c>
      <c r="X17" s="112">
        <v>0</v>
      </c>
      <c r="Y17" s="112">
        <v>1</v>
      </c>
      <c r="Z17" s="112">
        <v>0</v>
      </c>
      <c r="AA17" s="112">
        <v>1</v>
      </c>
      <c r="AB17" s="112">
        <v>1</v>
      </c>
      <c r="AC17" s="112">
        <v>0</v>
      </c>
      <c r="AD17" s="112">
        <v>1</v>
      </c>
      <c r="AE17" s="112">
        <v>0</v>
      </c>
      <c r="AF17" s="112">
        <v>0</v>
      </c>
      <c r="AG17" s="112">
        <v>0</v>
      </c>
    </row>
    <row r="18" spans="1:33" customFormat="1" x14ac:dyDescent="0.15">
      <c r="A18" s="164" t="s">
        <v>209</v>
      </c>
      <c r="B18" s="112">
        <v>0</v>
      </c>
      <c r="C18" s="112">
        <v>0</v>
      </c>
      <c r="D18" s="112">
        <v>0</v>
      </c>
      <c r="E18" s="112">
        <v>0</v>
      </c>
      <c r="F18" s="112">
        <v>0</v>
      </c>
      <c r="G18" s="112">
        <v>0</v>
      </c>
      <c r="H18" s="112">
        <v>0</v>
      </c>
      <c r="I18" s="112">
        <v>0</v>
      </c>
      <c r="J18" s="112">
        <v>1</v>
      </c>
      <c r="K18" s="112">
        <v>0</v>
      </c>
      <c r="L18" s="112">
        <v>0</v>
      </c>
      <c r="M18" s="112">
        <v>1</v>
      </c>
      <c r="N18" s="112">
        <v>1</v>
      </c>
      <c r="O18" s="112">
        <v>0</v>
      </c>
      <c r="P18" s="112">
        <v>1</v>
      </c>
      <c r="Q18" s="112">
        <v>0</v>
      </c>
      <c r="R18" s="112">
        <v>1</v>
      </c>
      <c r="S18" s="112">
        <v>1</v>
      </c>
      <c r="T18" s="112">
        <v>0</v>
      </c>
      <c r="U18" s="112">
        <v>1</v>
      </c>
      <c r="V18" s="112">
        <v>0</v>
      </c>
      <c r="W18" s="112">
        <v>0</v>
      </c>
      <c r="X18" s="112">
        <v>0</v>
      </c>
      <c r="Y18" s="112">
        <v>0</v>
      </c>
      <c r="Z18" s="112">
        <v>0</v>
      </c>
      <c r="AA18" s="112">
        <v>0</v>
      </c>
      <c r="AB18" s="112">
        <v>0</v>
      </c>
      <c r="AC18" s="112">
        <v>0</v>
      </c>
      <c r="AD18" s="112">
        <v>1</v>
      </c>
      <c r="AE18" s="112">
        <v>0</v>
      </c>
      <c r="AF18" s="112">
        <v>0</v>
      </c>
      <c r="AG18" s="112">
        <v>0</v>
      </c>
    </row>
    <row r="19" spans="1:33" customFormat="1" x14ac:dyDescent="0.15">
      <c r="A19" s="164" t="s">
        <v>210</v>
      </c>
      <c r="B19" s="112">
        <v>0</v>
      </c>
      <c r="C19" s="112">
        <v>0</v>
      </c>
      <c r="D19" s="112">
        <v>0</v>
      </c>
      <c r="E19" s="112">
        <v>0</v>
      </c>
      <c r="F19" s="112">
        <v>0</v>
      </c>
      <c r="G19" s="112">
        <v>1</v>
      </c>
      <c r="H19" s="112">
        <v>0</v>
      </c>
      <c r="I19" s="112">
        <v>0</v>
      </c>
      <c r="J19" s="112">
        <v>1</v>
      </c>
      <c r="K19" s="112">
        <v>0</v>
      </c>
      <c r="L19" s="112">
        <v>0</v>
      </c>
      <c r="M19" s="112">
        <v>0</v>
      </c>
      <c r="N19" s="112">
        <v>1</v>
      </c>
      <c r="O19" s="112">
        <v>1</v>
      </c>
      <c r="P19" s="112">
        <v>1</v>
      </c>
      <c r="Q19" s="112">
        <v>0</v>
      </c>
      <c r="R19" s="112">
        <v>0</v>
      </c>
      <c r="S19" s="112">
        <v>0</v>
      </c>
      <c r="T19" s="112">
        <v>0</v>
      </c>
      <c r="U19" s="112">
        <v>1</v>
      </c>
      <c r="V19" s="112">
        <v>0</v>
      </c>
      <c r="W19" s="112">
        <v>0</v>
      </c>
      <c r="X19" s="112">
        <v>0</v>
      </c>
      <c r="Y19" s="112">
        <v>0</v>
      </c>
      <c r="Z19" s="112">
        <v>0</v>
      </c>
      <c r="AA19" s="112">
        <v>0</v>
      </c>
      <c r="AB19" s="112">
        <v>1</v>
      </c>
      <c r="AC19" s="112">
        <v>0</v>
      </c>
      <c r="AD19" s="112">
        <v>1</v>
      </c>
      <c r="AE19" s="112">
        <v>0</v>
      </c>
      <c r="AF19" s="112">
        <v>0</v>
      </c>
      <c r="AG19" s="112">
        <v>0</v>
      </c>
    </row>
    <row r="20" spans="1:33" customFormat="1" x14ac:dyDescent="0.15">
      <c r="A20" s="164" t="s">
        <v>211</v>
      </c>
      <c r="B20" s="112">
        <v>0</v>
      </c>
      <c r="C20" s="112">
        <v>0</v>
      </c>
      <c r="D20" s="112">
        <v>0</v>
      </c>
      <c r="E20" s="112">
        <v>0</v>
      </c>
      <c r="F20" s="112">
        <v>0</v>
      </c>
      <c r="G20" s="112">
        <v>0</v>
      </c>
      <c r="H20" s="112">
        <v>0</v>
      </c>
      <c r="I20" s="112">
        <v>0</v>
      </c>
      <c r="J20" s="112">
        <v>1</v>
      </c>
      <c r="K20" s="112">
        <v>1</v>
      </c>
      <c r="L20" s="112">
        <v>0</v>
      </c>
      <c r="M20" s="112">
        <v>1</v>
      </c>
      <c r="N20" s="112">
        <v>0</v>
      </c>
      <c r="O20" s="112">
        <v>1</v>
      </c>
      <c r="P20" s="112">
        <v>1</v>
      </c>
      <c r="Q20" s="112">
        <v>0</v>
      </c>
      <c r="R20" s="112">
        <v>1</v>
      </c>
      <c r="S20" s="112">
        <v>1</v>
      </c>
      <c r="T20" s="112">
        <v>0</v>
      </c>
      <c r="U20" s="112">
        <v>1</v>
      </c>
      <c r="V20" s="112">
        <v>0</v>
      </c>
      <c r="W20" s="112">
        <v>0</v>
      </c>
      <c r="X20" s="112">
        <v>1</v>
      </c>
      <c r="Y20" s="112">
        <v>0</v>
      </c>
      <c r="Z20" s="112">
        <v>0</v>
      </c>
      <c r="AA20" s="112">
        <v>1</v>
      </c>
      <c r="AB20" s="112">
        <v>1</v>
      </c>
      <c r="AC20" s="112">
        <v>0</v>
      </c>
      <c r="AD20" s="112">
        <v>1</v>
      </c>
      <c r="AE20" s="112">
        <v>0</v>
      </c>
      <c r="AF20" s="112">
        <v>0</v>
      </c>
      <c r="AG20" s="112">
        <v>0</v>
      </c>
    </row>
    <row r="21" spans="1:33" customFormat="1" x14ac:dyDescent="0.15">
      <c r="A21" s="164" t="s">
        <v>212</v>
      </c>
      <c r="B21" s="112">
        <v>0</v>
      </c>
      <c r="C21" s="112">
        <v>0</v>
      </c>
      <c r="D21" s="112">
        <v>0</v>
      </c>
      <c r="E21" s="112">
        <v>0</v>
      </c>
      <c r="F21" s="112">
        <v>0</v>
      </c>
      <c r="G21" s="112">
        <v>0</v>
      </c>
      <c r="H21" s="112">
        <v>0</v>
      </c>
      <c r="I21" s="112">
        <v>0</v>
      </c>
      <c r="J21" s="112">
        <v>0</v>
      </c>
      <c r="K21" s="112">
        <v>1</v>
      </c>
      <c r="L21" s="112">
        <v>0</v>
      </c>
      <c r="M21" s="112">
        <v>1</v>
      </c>
      <c r="N21" s="112">
        <v>1</v>
      </c>
      <c r="O21" s="112">
        <v>0</v>
      </c>
      <c r="P21" s="112">
        <v>0</v>
      </c>
      <c r="Q21" s="112">
        <v>0</v>
      </c>
      <c r="R21" s="112">
        <v>0</v>
      </c>
      <c r="S21" s="112">
        <v>0</v>
      </c>
      <c r="T21" s="112">
        <v>0</v>
      </c>
      <c r="U21" s="112">
        <v>1</v>
      </c>
      <c r="V21" s="112">
        <v>0</v>
      </c>
      <c r="W21" s="112">
        <v>0</v>
      </c>
      <c r="X21" s="112">
        <v>0</v>
      </c>
      <c r="Y21" s="112">
        <v>0</v>
      </c>
      <c r="Z21" s="112">
        <v>0</v>
      </c>
      <c r="AA21" s="112">
        <v>0</v>
      </c>
      <c r="AB21" s="112">
        <v>0</v>
      </c>
      <c r="AC21" s="112">
        <v>0</v>
      </c>
      <c r="AD21" s="112">
        <v>0</v>
      </c>
      <c r="AE21" s="112">
        <v>0</v>
      </c>
      <c r="AF21" s="112">
        <v>0</v>
      </c>
      <c r="AG21" s="112">
        <v>0</v>
      </c>
    </row>
    <row r="22" spans="1:33" customFormat="1" x14ac:dyDescent="0.15">
      <c r="A22" s="164" t="s">
        <v>213</v>
      </c>
      <c r="B22" s="112">
        <v>0</v>
      </c>
      <c r="C22" s="112">
        <v>0</v>
      </c>
      <c r="D22" s="112">
        <v>0</v>
      </c>
      <c r="E22" s="112">
        <v>0</v>
      </c>
      <c r="F22" s="112">
        <v>0</v>
      </c>
      <c r="G22" s="112">
        <v>0</v>
      </c>
      <c r="H22" s="112">
        <v>0</v>
      </c>
      <c r="I22" s="112">
        <v>0</v>
      </c>
      <c r="J22" s="112">
        <v>0</v>
      </c>
      <c r="K22" s="112">
        <v>1</v>
      </c>
      <c r="L22" s="112">
        <v>0</v>
      </c>
      <c r="M22" s="112">
        <v>1</v>
      </c>
      <c r="N22" s="112">
        <v>1</v>
      </c>
      <c r="O22" s="112">
        <v>1</v>
      </c>
      <c r="P22" s="112">
        <v>1</v>
      </c>
      <c r="Q22" s="112">
        <v>0</v>
      </c>
      <c r="R22" s="112">
        <v>0</v>
      </c>
      <c r="S22" s="112">
        <v>1</v>
      </c>
      <c r="T22" s="112">
        <v>0</v>
      </c>
      <c r="U22" s="112">
        <v>1</v>
      </c>
      <c r="V22" s="112">
        <v>0</v>
      </c>
      <c r="W22" s="112">
        <v>0</v>
      </c>
      <c r="X22" s="112">
        <v>1</v>
      </c>
      <c r="Y22" s="112">
        <v>1</v>
      </c>
      <c r="Z22" s="112">
        <v>0</v>
      </c>
      <c r="AA22" s="112">
        <v>1</v>
      </c>
      <c r="AB22" s="112">
        <v>1</v>
      </c>
      <c r="AC22" s="112">
        <v>1</v>
      </c>
      <c r="AD22" s="112">
        <v>1</v>
      </c>
      <c r="AE22" s="112">
        <v>0</v>
      </c>
      <c r="AF22" s="112">
        <v>0</v>
      </c>
      <c r="AG22" s="112">
        <v>0</v>
      </c>
    </row>
    <row r="23" spans="1:33" customFormat="1" x14ac:dyDescent="0.15">
      <c r="A23" s="164" t="s">
        <v>214</v>
      </c>
      <c r="B23" s="112">
        <v>0</v>
      </c>
      <c r="C23" s="112">
        <v>0</v>
      </c>
      <c r="D23" s="112">
        <v>0</v>
      </c>
      <c r="E23" s="112">
        <v>0</v>
      </c>
      <c r="F23" s="112">
        <v>0</v>
      </c>
      <c r="G23" s="112">
        <v>0</v>
      </c>
      <c r="H23" s="112">
        <v>0</v>
      </c>
      <c r="I23" s="112">
        <v>0</v>
      </c>
      <c r="J23" s="112">
        <v>0</v>
      </c>
      <c r="K23" s="112">
        <v>1</v>
      </c>
      <c r="L23" s="112">
        <v>0</v>
      </c>
      <c r="M23" s="112">
        <v>1</v>
      </c>
      <c r="N23" s="112">
        <v>1</v>
      </c>
      <c r="O23" s="112">
        <v>1</v>
      </c>
      <c r="P23" s="112">
        <v>1</v>
      </c>
      <c r="Q23" s="112">
        <v>0</v>
      </c>
      <c r="R23" s="112">
        <v>1</v>
      </c>
      <c r="S23" s="112">
        <v>1</v>
      </c>
      <c r="T23" s="112">
        <v>0</v>
      </c>
      <c r="U23" s="112">
        <v>1</v>
      </c>
      <c r="V23" s="112">
        <v>0</v>
      </c>
      <c r="W23" s="112">
        <v>0</v>
      </c>
      <c r="X23" s="112">
        <v>1</v>
      </c>
      <c r="Y23" s="112">
        <v>1</v>
      </c>
      <c r="Z23" s="112">
        <v>0</v>
      </c>
      <c r="AA23" s="112">
        <v>1</v>
      </c>
      <c r="AB23" s="112">
        <v>1</v>
      </c>
      <c r="AC23" s="112">
        <v>1</v>
      </c>
      <c r="AD23" s="112">
        <v>1</v>
      </c>
      <c r="AE23" s="112">
        <v>0</v>
      </c>
      <c r="AF23" s="112">
        <v>0</v>
      </c>
      <c r="AG23" s="112">
        <v>0</v>
      </c>
    </row>
    <row r="24" spans="1:33" customFormat="1" x14ac:dyDescent="0.15">
      <c r="A24" s="164" t="s">
        <v>215</v>
      </c>
      <c r="B24" s="112">
        <v>0</v>
      </c>
      <c r="C24" s="112">
        <v>0</v>
      </c>
      <c r="D24" s="112">
        <v>0</v>
      </c>
      <c r="E24" s="112">
        <v>0</v>
      </c>
      <c r="F24" s="112">
        <v>0</v>
      </c>
      <c r="G24" s="112">
        <v>0</v>
      </c>
      <c r="H24" s="112">
        <v>0</v>
      </c>
      <c r="I24" s="112">
        <v>0</v>
      </c>
      <c r="J24" s="112">
        <v>0</v>
      </c>
      <c r="K24" s="112">
        <v>1</v>
      </c>
      <c r="L24" s="112">
        <v>0</v>
      </c>
      <c r="M24" s="112">
        <v>1</v>
      </c>
      <c r="N24" s="112">
        <v>1</v>
      </c>
      <c r="O24" s="112">
        <v>0</v>
      </c>
      <c r="P24" s="112">
        <v>0</v>
      </c>
      <c r="Q24" s="112">
        <v>0</v>
      </c>
      <c r="R24" s="112">
        <v>0</v>
      </c>
      <c r="S24" s="112">
        <v>0</v>
      </c>
      <c r="T24" s="112">
        <v>0</v>
      </c>
      <c r="U24" s="112">
        <v>1</v>
      </c>
      <c r="V24" s="112">
        <v>0</v>
      </c>
      <c r="W24" s="112">
        <v>0</v>
      </c>
      <c r="X24" s="112">
        <v>0</v>
      </c>
      <c r="Y24" s="112">
        <v>1</v>
      </c>
      <c r="Z24" s="112">
        <v>0</v>
      </c>
      <c r="AA24" s="112">
        <v>1</v>
      </c>
      <c r="AB24" s="112">
        <v>1</v>
      </c>
      <c r="AC24" s="112">
        <v>0</v>
      </c>
      <c r="AD24" s="112">
        <v>1</v>
      </c>
      <c r="AE24" s="112">
        <v>0</v>
      </c>
      <c r="AF24" s="112">
        <v>0</v>
      </c>
      <c r="AG24" s="112">
        <v>0</v>
      </c>
    </row>
    <row r="25" spans="1:33" customFormat="1" x14ac:dyDescent="0.15">
      <c r="A25" s="164" t="s">
        <v>216</v>
      </c>
      <c r="B25" s="112">
        <v>0</v>
      </c>
      <c r="C25" s="112">
        <v>0</v>
      </c>
      <c r="D25" s="112">
        <v>0</v>
      </c>
      <c r="E25" s="112">
        <v>0</v>
      </c>
      <c r="F25" s="112">
        <v>0</v>
      </c>
      <c r="G25" s="112">
        <v>0</v>
      </c>
      <c r="H25" s="112">
        <v>0</v>
      </c>
      <c r="I25" s="112">
        <v>0</v>
      </c>
      <c r="J25" s="112">
        <v>0</v>
      </c>
      <c r="K25" s="112">
        <v>1</v>
      </c>
      <c r="L25" s="112">
        <v>0</v>
      </c>
      <c r="M25" s="112">
        <v>1</v>
      </c>
      <c r="N25" s="112">
        <v>1</v>
      </c>
      <c r="O25" s="112">
        <v>0</v>
      </c>
      <c r="P25" s="112">
        <v>0</v>
      </c>
      <c r="Q25" s="112">
        <v>0</v>
      </c>
      <c r="R25" s="112">
        <v>1</v>
      </c>
      <c r="S25" s="112">
        <v>1</v>
      </c>
      <c r="T25" s="112">
        <v>0</v>
      </c>
      <c r="U25" s="112">
        <v>0</v>
      </c>
      <c r="V25" s="112">
        <v>0</v>
      </c>
      <c r="W25" s="112">
        <v>0</v>
      </c>
      <c r="X25" s="112">
        <v>0</v>
      </c>
      <c r="Y25" s="112">
        <v>0</v>
      </c>
      <c r="Z25" s="112">
        <v>0</v>
      </c>
      <c r="AA25" s="112">
        <v>1</v>
      </c>
      <c r="AB25" s="112">
        <v>0</v>
      </c>
      <c r="AC25" s="112">
        <v>0</v>
      </c>
      <c r="AD25" s="112">
        <v>1</v>
      </c>
      <c r="AE25" s="112">
        <v>0</v>
      </c>
      <c r="AF25" s="112">
        <v>0</v>
      </c>
      <c r="AG25" s="112">
        <v>0</v>
      </c>
    </row>
    <row r="26" spans="1:33" customFormat="1" x14ac:dyDescent="0.15">
      <c r="A26" s="164" t="s">
        <v>217</v>
      </c>
      <c r="B26" s="112">
        <v>0</v>
      </c>
      <c r="C26" s="112">
        <v>0</v>
      </c>
      <c r="D26" s="112">
        <v>0</v>
      </c>
      <c r="E26" s="112">
        <v>0</v>
      </c>
      <c r="F26" s="112">
        <v>0</v>
      </c>
      <c r="G26" s="112">
        <v>0</v>
      </c>
      <c r="H26" s="112">
        <v>0</v>
      </c>
      <c r="I26" s="112">
        <v>0</v>
      </c>
      <c r="J26" s="112">
        <v>0</v>
      </c>
      <c r="K26" s="112">
        <v>1</v>
      </c>
      <c r="L26" s="112">
        <v>0</v>
      </c>
      <c r="M26" s="112">
        <v>0</v>
      </c>
      <c r="N26" s="112">
        <v>0</v>
      </c>
      <c r="O26" s="112">
        <v>0</v>
      </c>
      <c r="P26" s="112">
        <v>1</v>
      </c>
      <c r="Q26" s="112">
        <v>0</v>
      </c>
      <c r="R26" s="112">
        <v>1</v>
      </c>
      <c r="S26" s="112">
        <v>0</v>
      </c>
      <c r="T26" s="112">
        <v>0</v>
      </c>
      <c r="U26" s="112">
        <v>0</v>
      </c>
      <c r="V26" s="112">
        <v>0</v>
      </c>
      <c r="W26" s="112">
        <v>0</v>
      </c>
      <c r="X26" s="112">
        <v>1</v>
      </c>
      <c r="Y26" s="112">
        <v>1</v>
      </c>
      <c r="Z26" s="112">
        <v>0</v>
      </c>
      <c r="AA26" s="112">
        <v>1</v>
      </c>
      <c r="AB26" s="112">
        <v>0</v>
      </c>
      <c r="AC26" s="112">
        <v>1</v>
      </c>
      <c r="AD26" s="112">
        <v>1</v>
      </c>
      <c r="AE26" s="112">
        <v>0</v>
      </c>
      <c r="AF26" s="112">
        <v>0</v>
      </c>
      <c r="AG26" s="112">
        <v>0</v>
      </c>
    </row>
    <row r="27" spans="1:33" customFormat="1" x14ac:dyDescent="0.15">
      <c r="A27" s="164" t="s">
        <v>218</v>
      </c>
      <c r="B27" s="112">
        <v>0</v>
      </c>
      <c r="C27" s="112">
        <v>0</v>
      </c>
      <c r="D27" s="112">
        <v>0</v>
      </c>
      <c r="E27" s="112">
        <v>0</v>
      </c>
      <c r="F27" s="112">
        <v>0</v>
      </c>
      <c r="G27" s="112">
        <v>0</v>
      </c>
      <c r="H27" s="112">
        <v>0</v>
      </c>
      <c r="I27" s="112">
        <v>0</v>
      </c>
      <c r="J27" s="112">
        <v>0</v>
      </c>
      <c r="K27" s="112">
        <v>0</v>
      </c>
      <c r="L27" s="112">
        <v>0</v>
      </c>
      <c r="M27" s="112">
        <v>0</v>
      </c>
      <c r="N27" s="112">
        <v>0</v>
      </c>
      <c r="O27" s="112">
        <v>0</v>
      </c>
      <c r="P27" s="112">
        <v>0</v>
      </c>
      <c r="Q27" s="112">
        <v>0</v>
      </c>
      <c r="R27" s="112">
        <v>0</v>
      </c>
      <c r="S27" s="112">
        <v>0</v>
      </c>
      <c r="T27" s="112">
        <v>0</v>
      </c>
      <c r="U27" s="112">
        <v>0</v>
      </c>
      <c r="V27" s="112">
        <v>0</v>
      </c>
      <c r="W27" s="112">
        <v>0</v>
      </c>
      <c r="X27" s="112">
        <v>0</v>
      </c>
      <c r="Y27" s="112">
        <v>0</v>
      </c>
      <c r="Z27" s="112">
        <v>0</v>
      </c>
      <c r="AA27" s="112">
        <v>1</v>
      </c>
      <c r="AB27" s="112">
        <v>0</v>
      </c>
      <c r="AC27" s="112">
        <v>0</v>
      </c>
      <c r="AD27" s="112">
        <v>0</v>
      </c>
      <c r="AE27" s="112">
        <v>0</v>
      </c>
      <c r="AF27" s="112">
        <v>0</v>
      </c>
      <c r="AG27" s="112">
        <v>0</v>
      </c>
    </row>
    <row r="28" spans="1:33" customFormat="1" x14ac:dyDescent="0.15">
      <c r="A28" s="164" t="s">
        <v>219</v>
      </c>
      <c r="B28" s="112">
        <v>0</v>
      </c>
      <c r="C28" s="112">
        <v>0</v>
      </c>
      <c r="D28" s="112">
        <v>0</v>
      </c>
      <c r="E28" s="112">
        <v>0</v>
      </c>
      <c r="F28" s="112">
        <v>0</v>
      </c>
      <c r="G28" s="112">
        <v>0</v>
      </c>
      <c r="H28" s="112">
        <v>0</v>
      </c>
      <c r="I28" s="112">
        <v>0</v>
      </c>
      <c r="J28" s="112">
        <v>0</v>
      </c>
      <c r="K28" s="112">
        <v>0</v>
      </c>
      <c r="L28" s="112">
        <v>0</v>
      </c>
      <c r="M28" s="112">
        <v>0</v>
      </c>
      <c r="N28" s="112">
        <v>0</v>
      </c>
      <c r="O28" s="112">
        <v>0</v>
      </c>
      <c r="P28" s="112">
        <v>0</v>
      </c>
      <c r="Q28" s="112">
        <v>0</v>
      </c>
      <c r="R28" s="112">
        <v>0</v>
      </c>
      <c r="S28" s="112">
        <v>0</v>
      </c>
      <c r="T28" s="112">
        <v>0</v>
      </c>
      <c r="U28" s="112">
        <v>0</v>
      </c>
      <c r="V28" s="112">
        <v>0</v>
      </c>
      <c r="W28" s="112">
        <v>0</v>
      </c>
      <c r="X28" s="112">
        <v>0</v>
      </c>
      <c r="Y28" s="112">
        <v>0</v>
      </c>
      <c r="Z28" s="112">
        <v>0</v>
      </c>
      <c r="AA28" s="112">
        <v>0</v>
      </c>
      <c r="AB28" s="112">
        <v>0</v>
      </c>
      <c r="AC28" s="112">
        <v>0</v>
      </c>
      <c r="AD28" s="112">
        <v>0</v>
      </c>
      <c r="AE28" s="112">
        <v>0</v>
      </c>
      <c r="AF28" s="112">
        <v>0</v>
      </c>
      <c r="AG28" s="112">
        <v>0</v>
      </c>
    </row>
    <row r="29" spans="1:33" customFormat="1" x14ac:dyDescent="0.15">
      <c r="A29" s="164" t="s">
        <v>220</v>
      </c>
      <c r="B29" s="112">
        <v>0</v>
      </c>
      <c r="C29" s="112">
        <v>0</v>
      </c>
      <c r="D29" s="112">
        <v>0</v>
      </c>
      <c r="E29" s="112">
        <v>0</v>
      </c>
      <c r="F29" s="112">
        <v>0</v>
      </c>
      <c r="G29" s="112">
        <v>0</v>
      </c>
      <c r="H29" s="112">
        <v>0</v>
      </c>
      <c r="I29" s="112">
        <v>0</v>
      </c>
      <c r="J29" s="112">
        <v>0</v>
      </c>
      <c r="K29" s="112">
        <v>0</v>
      </c>
      <c r="L29" s="112">
        <v>0</v>
      </c>
      <c r="M29" s="112">
        <v>0</v>
      </c>
      <c r="N29" s="112">
        <v>0</v>
      </c>
      <c r="O29" s="112">
        <v>0</v>
      </c>
      <c r="P29" s="112">
        <v>0</v>
      </c>
      <c r="Q29" s="112">
        <v>0</v>
      </c>
      <c r="R29" s="112">
        <v>0</v>
      </c>
      <c r="S29" s="112">
        <v>0</v>
      </c>
      <c r="T29" s="112">
        <v>0</v>
      </c>
      <c r="U29" s="112">
        <v>0</v>
      </c>
      <c r="V29" s="112">
        <v>0</v>
      </c>
      <c r="W29" s="112">
        <v>0</v>
      </c>
      <c r="X29" s="112">
        <v>0</v>
      </c>
      <c r="Y29" s="112">
        <v>0</v>
      </c>
      <c r="Z29" s="112">
        <v>0</v>
      </c>
      <c r="AA29" s="112">
        <v>0</v>
      </c>
      <c r="AB29" s="112">
        <v>0</v>
      </c>
      <c r="AC29" s="112">
        <v>0</v>
      </c>
      <c r="AD29" s="112">
        <v>0</v>
      </c>
      <c r="AE29" s="112">
        <v>0</v>
      </c>
      <c r="AF29" s="112">
        <v>0</v>
      </c>
      <c r="AG29" s="112">
        <v>0</v>
      </c>
    </row>
    <row r="30" spans="1:33" customFormat="1" x14ac:dyDescent="0.15">
      <c r="A30" s="164" t="s">
        <v>221</v>
      </c>
      <c r="B30" s="112">
        <v>0</v>
      </c>
      <c r="C30" s="112">
        <v>0</v>
      </c>
      <c r="D30" s="112">
        <v>0</v>
      </c>
      <c r="E30" s="112">
        <v>0</v>
      </c>
      <c r="F30" s="112">
        <v>0</v>
      </c>
      <c r="G30" s="112">
        <v>0</v>
      </c>
      <c r="H30" s="112">
        <v>0</v>
      </c>
      <c r="I30" s="112">
        <v>0</v>
      </c>
      <c r="J30" s="112">
        <v>0</v>
      </c>
      <c r="K30" s="112">
        <v>0</v>
      </c>
      <c r="L30" s="112">
        <v>0</v>
      </c>
      <c r="M30" s="112">
        <v>0</v>
      </c>
      <c r="N30" s="112">
        <v>0</v>
      </c>
      <c r="O30" s="112">
        <v>0</v>
      </c>
      <c r="P30" s="112">
        <v>0</v>
      </c>
      <c r="Q30" s="112">
        <v>0</v>
      </c>
      <c r="R30" s="112">
        <v>0</v>
      </c>
      <c r="S30" s="112">
        <v>0</v>
      </c>
      <c r="T30" s="112">
        <v>0</v>
      </c>
      <c r="U30" s="112">
        <v>0</v>
      </c>
      <c r="V30" s="112">
        <v>0</v>
      </c>
      <c r="W30" s="112">
        <v>0</v>
      </c>
      <c r="X30" s="112">
        <v>0</v>
      </c>
      <c r="Y30" s="112">
        <v>0</v>
      </c>
      <c r="Z30" s="112">
        <v>0</v>
      </c>
      <c r="AA30" s="112">
        <v>0</v>
      </c>
      <c r="AB30" s="112">
        <v>0</v>
      </c>
      <c r="AC30" s="112">
        <v>0</v>
      </c>
      <c r="AD30" s="112">
        <v>0</v>
      </c>
      <c r="AE30" s="112">
        <v>0</v>
      </c>
      <c r="AF30" s="112">
        <v>0</v>
      </c>
      <c r="AG30" s="112">
        <v>0</v>
      </c>
    </row>
    <row r="31" spans="1:33" customFormat="1" x14ac:dyDescent="0.15">
      <c r="A31" s="164" t="s">
        <v>222</v>
      </c>
      <c r="B31" s="112">
        <v>0</v>
      </c>
      <c r="C31" s="112">
        <v>0</v>
      </c>
      <c r="D31" s="112">
        <v>1</v>
      </c>
      <c r="E31" s="112">
        <v>0</v>
      </c>
      <c r="F31" s="112">
        <v>1</v>
      </c>
      <c r="G31" s="112">
        <v>1</v>
      </c>
      <c r="H31" s="112">
        <v>0</v>
      </c>
      <c r="I31" s="112">
        <v>0</v>
      </c>
      <c r="J31" s="112">
        <v>0</v>
      </c>
      <c r="K31" s="112">
        <v>0</v>
      </c>
      <c r="L31" s="112">
        <v>0</v>
      </c>
      <c r="M31" s="112">
        <v>0</v>
      </c>
      <c r="N31" s="112">
        <v>0</v>
      </c>
      <c r="O31" s="112">
        <v>1</v>
      </c>
      <c r="P31" s="112">
        <v>0</v>
      </c>
      <c r="Q31" s="112">
        <v>0</v>
      </c>
      <c r="R31" s="112">
        <v>0</v>
      </c>
      <c r="S31" s="112">
        <v>0</v>
      </c>
      <c r="T31" s="112">
        <v>0</v>
      </c>
      <c r="U31" s="112">
        <v>0</v>
      </c>
      <c r="V31" s="112">
        <v>0</v>
      </c>
      <c r="W31" s="112">
        <v>0</v>
      </c>
      <c r="X31" s="112">
        <v>0</v>
      </c>
      <c r="Y31" s="112">
        <v>0</v>
      </c>
      <c r="Z31" s="112">
        <v>0</v>
      </c>
      <c r="AA31" s="112">
        <v>0</v>
      </c>
      <c r="AB31" s="112">
        <v>1</v>
      </c>
      <c r="AC31" s="112">
        <v>1</v>
      </c>
      <c r="AD31" s="112">
        <v>0</v>
      </c>
      <c r="AE31" s="112">
        <v>0</v>
      </c>
      <c r="AF31" s="112">
        <v>0</v>
      </c>
      <c r="AG31" s="112">
        <v>0</v>
      </c>
    </row>
    <row r="32" spans="1:33" x14ac:dyDescent="0.15">
      <c r="A32" s="164" t="s">
        <v>223</v>
      </c>
      <c r="B32" s="112">
        <v>0</v>
      </c>
      <c r="C32" s="112">
        <v>1</v>
      </c>
      <c r="D32" s="112">
        <v>1</v>
      </c>
      <c r="E32" s="112">
        <v>1</v>
      </c>
      <c r="F32" s="112">
        <v>1</v>
      </c>
      <c r="G32" s="112">
        <v>1</v>
      </c>
      <c r="H32" s="112">
        <v>1</v>
      </c>
      <c r="I32" s="112">
        <v>1</v>
      </c>
      <c r="J32" s="112">
        <v>0</v>
      </c>
      <c r="K32" s="112">
        <v>0</v>
      </c>
      <c r="L32" s="112">
        <v>1</v>
      </c>
      <c r="M32" s="112">
        <v>0</v>
      </c>
      <c r="N32" s="112">
        <v>1</v>
      </c>
      <c r="O32" s="112">
        <v>0</v>
      </c>
      <c r="P32" s="112">
        <v>0</v>
      </c>
      <c r="Q32" s="112">
        <v>0</v>
      </c>
      <c r="R32" s="112">
        <v>0</v>
      </c>
      <c r="S32" s="112">
        <v>0</v>
      </c>
      <c r="T32" s="112">
        <v>0</v>
      </c>
      <c r="U32" s="112">
        <v>0</v>
      </c>
      <c r="V32" s="112">
        <v>0</v>
      </c>
      <c r="W32" s="112">
        <v>0</v>
      </c>
      <c r="X32" s="112">
        <v>0</v>
      </c>
      <c r="Y32" s="112">
        <v>0</v>
      </c>
      <c r="Z32" s="112">
        <v>1</v>
      </c>
      <c r="AA32" s="112">
        <v>0</v>
      </c>
      <c r="AB32" s="112">
        <v>0</v>
      </c>
      <c r="AC32" s="112">
        <v>1</v>
      </c>
      <c r="AD32" s="112">
        <v>0</v>
      </c>
      <c r="AE32" s="112">
        <v>0</v>
      </c>
      <c r="AF32" s="112">
        <v>0</v>
      </c>
      <c r="AG32" s="112">
        <v>0</v>
      </c>
    </row>
    <row r="33" spans="1:33" x14ac:dyDescent="0.15">
      <c r="A33" s="164" t="s">
        <v>224</v>
      </c>
      <c r="B33" s="112">
        <v>0</v>
      </c>
      <c r="C33" s="112">
        <v>0</v>
      </c>
      <c r="D33" s="112">
        <v>0</v>
      </c>
      <c r="E33" s="112">
        <v>0</v>
      </c>
      <c r="F33" s="112">
        <v>0</v>
      </c>
      <c r="G33" s="112">
        <v>0</v>
      </c>
      <c r="H33" s="112">
        <v>0</v>
      </c>
      <c r="I33" s="112">
        <v>0</v>
      </c>
      <c r="J33" s="112">
        <v>0</v>
      </c>
      <c r="K33" s="112">
        <v>0</v>
      </c>
      <c r="L33" s="112">
        <v>0</v>
      </c>
      <c r="M33" s="112">
        <v>0</v>
      </c>
      <c r="N33" s="112">
        <v>0</v>
      </c>
      <c r="O33" s="112">
        <v>0</v>
      </c>
      <c r="P33" s="112">
        <v>0</v>
      </c>
      <c r="Q33" s="112">
        <v>0</v>
      </c>
      <c r="R33" s="112">
        <v>0</v>
      </c>
      <c r="S33" s="112">
        <v>0</v>
      </c>
      <c r="T33" s="112">
        <v>0</v>
      </c>
      <c r="U33" s="112">
        <v>0</v>
      </c>
      <c r="V33" s="112">
        <v>0</v>
      </c>
      <c r="W33" s="112">
        <v>0</v>
      </c>
      <c r="X33" s="112">
        <v>0</v>
      </c>
      <c r="Y33" s="112">
        <v>0</v>
      </c>
      <c r="Z33" s="112">
        <v>0</v>
      </c>
      <c r="AA33" s="112">
        <v>0</v>
      </c>
      <c r="AB33" s="112">
        <v>0</v>
      </c>
      <c r="AC33" s="112">
        <v>0</v>
      </c>
      <c r="AD33" s="112">
        <v>0</v>
      </c>
      <c r="AE33" s="112">
        <v>0</v>
      </c>
      <c r="AF33" s="112">
        <v>0</v>
      </c>
      <c r="AG33" s="112">
        <v>0</v>
      </c>
    </row>
    <row r="34" spans="1:33" x14ac:dyDescent="0.15">
      <c r="A34" s="164" t="s">
        <v>227</v>
      </c>
      <c r="B34" s="112">
        <v>0</v>
      </c>
      <c r="C34" s="112">
        <v>0</v>
      </c>
      <c r="D34" s="112">
        <v>0</v>
      </c>
      <c r="E34" s="112">
        <v>1</v>
      </c>
      <c r="F34" s="112">
        <v>1</v>
      </c>
      <c r="G34" s="112">
        <v>1</v>
      </c>
      <c r="H34" s="112">
        <v>0</v>
      </c>
      <c r="I34" s="112">
        <v>1</v>
      </c>
      <c r="J34" s="112">
        <v>0</v>
      </c>
      <c r="K34" s="112">
        <v>0</v>
      </c>
      <c r="L34" s="112">
        <v>0</v>
      </c>
      <c r="M34" s="112">
        <v>0</v>
      </c>
      <c r="N34" s="112">
        <v>0</v>
      </c>
      <c r="O34" s="112">
        <v>0</v>
      </c>
      <c r="P34" s="112">
        <v>0</v>
      </c>
      <c r="Q34" s="112">
        <v>0</v>
      </c>
      <c r="R34" s="112">
        <v>0</v>
      </c>
      <c r="S34" s="112">
        <v>0</v>
      </c>
      <c r="T34" s="112">
        <v>0</v>
      </c>
      <c r="U34" s="112">
        <v>0</v>
      </c>
      <c r="V34" s="112">
        <v>0</v>
      </c>
      <c r="W34" s="112">
        <v>0</v>
      </c>
      <c r="X34" s="112">
        <v>0</v>
      </c>
      <c r="Y34" s="112">
        <v>0</v>
      </c>
      <c r="Z34" s="112">
        <v>1</v>
      </c>
      <c r="AA34" s="112">
        <v>0</v>
      </c>
      <c r="AB34" s="112">
        <v>0</v>
      </c>
      <c r="AC34" s="112">
        <v>1</v>
      </c>
      <c r="AD34" s="112">
        <v>0</v>
      </c>
      <c r="AE34" s="112">
        <v>0</v>
      </c>
      <c r="AF34" s="112">
        <v>0</v>
      </c>
      <c r="AG34" s="11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D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3.33203125" bestFit="1" customWidth="1"/>
    <col min="3" max="4" width="3.83203125" bestFit="1" customWidth="1"/>
  </cols>
  <sheetData>
    <row r="1" spans="1:4" ht="112" x14ac:dyDescent="0.15">
      <c r="A1" s="5" t="s">
        <v>83</v>
      </c>
      <c r="B1" s="3" t="s">
        <v>0</v>
      </c>
      <c r="C1" s="167" t="s">
        <v>225</v>
      </c>
      <c r="D1" s="167" t="s">
        <v>226</v>
      </c>
    </row>
    <row r="2" spans="1:4" x14ac:dyDescent="0.15">
      <c r="A2">
        <v>1</v>
      </c>
      <c r="B2" s="166" t="s">
        <v>193</v>
      </c>
      <c r="C2">
        <v>0</v>
      </c>
      <c r="D2">
        <v>0</v>
      </c>
    </row>
    <row r="3" spans="1:4" x14ac:dyDescent="0.15">
      <c r="A3">
        <v>2</v>
      </c>
      <c r="B3" s="166" t="s">
        <v>194</v>
      </c>
      <c r="C3">
        <v>0</v>
      </c>
      <c r="D3">
        <v>0</v>
      </c>
    </row>
    <row r="4" spans="1:4" x14ac:dyDescent="0.15">
      <c r="A4">
        <v>3</v>
      </c>
      <c r="B4" s="166" t="s">
        <v>195</v>
      </c>
      <c r="C4">
        <v>0</v>
      </c>
      <c r="D4">
        <v>0</v>
      </c>
    </row>
    <row r="5" spans="1:4" x14ac:dyDescent="0.15">
      <c r="A5">
        <v>4</v>
      </c>
      <c r="B5" s="166" t="s">
        <v>196</v>
      </c>
      <c r="C5">
        <v>0</v>
      </c>
      <c r="D5">
        <v>0</v>
      </c>
    </row>
    <row r="6" spans="1:4" x14ac:dyDescent="0.15">
      <c r="A6">
        <v>5</v>
      </c>
      <c r="B6" s="166" t="s">
        <v>197</v>
      </c>
      <c r="C6">
        <v>0</v>
      </c>
      <c r="D6">
        <v>0.8</v>
      </c>
    </row>
    <row r="7" spans="1:4" x14ac:dyDescent="0.15">
      <c r="A7">
        <v>6</v>
      </c>
      <c r="B7" s="166" t="s">
        <v>198</v>
      </c>
      <c r="C7">
        <v>0</v>
      </c>
      <c r="D7">
        <v>0.8</v>
      </c>
    </row>
    <row r="8" spans="1:4" x14ac:dyDescent="0.15">
      <c r="A8">
        <v>7</v>
      </c>
      <c r="B8" s="166" t="s">
        <v>199</v>
      </c>
      <c r="C8">
        <v>0</v>
      </c>
      <c r="D8">
        <v>0.8</v>
      </c>
    </row>
    <row r="9" spans="1:4" x14ac:dyDescent="0.15">
      <c r="A9">
        <v>8</v>
      </c>
      <c r="B9" s="166" t="s">
        <v>200</v>
      </c>
      <c r="C9">
        <v>0</v>
      </c>
      <c r="D9">
        <v>0</v>
      </c>
    </row>
    <row r="10" spans="1:4" x14ac:dyDescent="0.15">
      <c r="A10">
        <v>9</v>
      </c>
      <c r="B10" s="166" t="s">
        <v>201</v>
      </c>
      <c r="C10">
        <v>0</v>
      </c>
      <c r="D10">
        <v>0.8</v>
      </c>
    </row>
    <row r="11" spans="1:4" x14ac:dyDescent="0.15">
      <c r="A11">
        <v>10</v>
      </c>
      <c r="B11" s="166" t="s">
        <v>202</v>
      </c>
      <c r="C11">
        <v>0.8</v>
      </c>
      <c r="D11">
        <v>0.8</v>
      </c>
    </row>
    <row r="12" spans="1:4" x14ac:dyDescent="0.15">
      <c r="A12">
        <v>11</v>
      </c>
      <c r="B12" s="166" t="s">
        <v>203</v>
      </c>
      <c r="C12">
        <v>0</v>
      </c>
      <c r="D12">
        <v>0.8</v>
      </c>
    </row>
    <row r="13" spans="1:4" x14ac:dyDescent="0.15">
      <c r="A13">
        <v>12</v>
      </c>
      <c r="B13" s="166" t="s">
        <v>204</v>
      </c>
      <c r="C13">
        <v>0</v>
      </c>
      <c r="D13">
        <v>0.8</v>
      </c>
    </row>
    <row r="14" spans="1:4" x14ac:dyDescent="0.15">
      <c r="A14">
        <v>13</v>
      </c>
      <c r="B14" s="166" t="s">
        <v>205</v>
      </c>
      <c r="C14">
        <v>0.8</v>
      </c>
      <c r="D14">
        <v>0.8</v>
      </c>
    </row>
    <row r="15" spans="1:4" x14ac:dyDescent="0.15">
      <c r="A15">
        <v>14</v>
      </c>
      <c r="B15" s="166" t="s">
        <v>206</v>
      </c>
      <c r="C15">
        <v>0.8</v>
      </c>
      <c r="D15">
        <v>0.8</v>
      </c>
    </row>
    <row r="16" spans="1:4" x14ac:dyDescent="0.15">
      <c r="A16">
        <v>15</v>
      </c>
      <c r="B16" s="166" t="s">
        <v>207</v>
      </c>
      <c r="C16">
        <v>0</v>
      </c>
      <c r="D16">
        <v>0.8</v>
      </c>
    </row>
    <row r="17" spans="1:4" x14ac:dyDescent="0.15">
      <c r="A17">
        <v>16</v>
      </c>
      <c r="B17" s="166" t="s">
        <v>208</v>
      </c>
      <c r="C17">
        <v>0.8</v>
      </c>
      <c r="D17">
        <v>0.8</v>
      </c>
    </row>
    <row r="18" spans="1:4" x14ac:dyDescent="0.15">
      <c r="A18">
        <v>17</v>
      </c>
      <c r="B18" s="166" t="s">
        <v>209</v>
      </c>
      <c r="C18">
        <v>0</v>
      </c>
      <c r="D18">
        <v>0.8</v>
      </c>
    </row>
    <row r="19" spans="1:4" x14ac:dyDescent="0.15">
      <c r="A19">
        <v>18</v>
      </c>
      <c r="B19" s="166" t="s">
        <v>210</v>
      </c>
      <c r="C19">
        <v>0.8</v>
      </c>
      <c r="D19">
        <v>0.8</v>
      </c>
    </row>
    <row r="20" spans="1:4" x14ac:dyDescent="0.15">
      <c r="A20">
        <v>19</v>
      </c>
      <c r="B20" s="166" t="s">
        <v>211</v>
      </c>
      <c r="C20">
        <v>0.8</v>
      </c>
      <c r="D20">
        <v>0.8</v>
      </c>
    </row>
    <row r="21" spans="1:4" x14ac:dyDescent="0.15">
      <c r="A21">
        <v>20</v>
      </c>
      <c r="B21" s="166" t="s">
        <v>212</v>
      </c>
      <c r="C21">
        <v>0</v>
      </c>
      <c r="D21">
        <v>0.8</v>
      </c>
    </row>
    <row r="22" spans="1:4" x14ac:dyDescent="0.15">
      <c r="A22">
        <v>21</v>
      </c>
      <c r="B22" s="166" t="s">
        <v>213</v>
      </c>
      <c r="C22">
        <v>0.8</v>
      </c>
      <c r="D22">
        <v>0.8</v>
      </c>
    </row>
    <row r="23" spans="1:4" x14ac:dyDescent="0.15">
      <c r="A23">
        <v>22</v>
      </c>
      <c r="B23" s="166" t="s">
        <v>214</v>
      </c>
      <c r="C23">
        <v>0.8</v>
      </c>
      <c r="D23">
        <v>0</v>
      </c>
    </row>
    <row r="24" spans="1:4" x14ac:dyDescent="0.15">
      <c r="A24">
        <v>23</v>
      </c>
      <c r="B24" s="166" t="s">
        <v>215</v>
      </c>
      <c r="C24">
        <v>0.8</v>
      </c>
      <c r="D24">
        <v>0.8</v>
      </c>
    </row>
    <row r="25" spans="1:4" x14ac:dyDescent="0.15">
      <c r="A25">
        <v>24</v>
      </c>
      <c r="B25" s="166" t="s">
        <v>216</v>
      </c>
      <c r="C25">
        <v>0.8</v>
      </c>
      <c r="D25">
        <v>0.8</v>
      </c>
    </row>
    <row r="26" spans="1:4" x14ac:dyDescent="0.15">
      <c r="A26">
        <v>25</v>
      </c>
      <c r="B26" s="166" t="s">
        <v>217</v>
      </c>
      <c r="C26">
        <v>0.8</v>
      </c>
      <c r="D26">
        <v>0.8</v>
      </c>
    </row>
    <row r="27" spans="1:4" x14ac:dyDescent="0.15">
      <c r="A27">
        <v>26</v>
      </c>
      <c r="B27" s="166" t="s">
        <v>218</v>
      </c>
      <c r="C27">
        <v>0.8</v>
      </c>
      <c r="D27">
        <v>0.8</v>
      </c>
    </row>
    <row r="28" spans="1:4" x14ac:dyDescent="0.15">
      <c r="A28">
        <v>27</v>
      </c>
      <c r="B28" s="166" t="s">
        <v>219</v>
      </c>
      <c r="C28">
        <v>0</v>
      </c>
      <c r="D28">
        <v>0.8</v>
      </c>
    </row>
    <row r="29" spans="1:4" x14ac:dyDescent="0.15">
      <c r="A29">
        <v>28</v>
      </c>
      <c r="B29" s="166" t="s">
        <v>220</v>
      </c>
      <c r="C29">
        <v>0</v>
      </c>
      <c r="D29">
        <v>0</v>
      </c>
    </row>
    <row r="30" spans="1:4" x14ac:dyDescent="0.15">
      <c r="A30">
        <v>29</v>
      </c>
      <c r="B30" s="166" t="s">
        <v>221</v>
      </c>
      <c r="C30">
        <v>0</v>
      </c>
      <c r="D30">
        <v>0.8</v>
      </c>
    </row>
    <row r="31" spans="1:4" x14ac:dyDescent="0.15">
      <c r="A31">
        <v>30</v>
      </c>
      <c r="B31" s="166" t="s">
        <v>222</v>
      </c>
      <c r="C31">
        <v>0</v>
      </c>
      <c r="D31">
        <v>0</v>
      </c>
    </row>
    <row r="32" spans="1:4" x14ac:dyDescent="0.15">
      <c r="A32">
        <v>31</v>
      </c>
      <c r="B32" s="166" t="s">
        <v>223</v>
      </c>
      <c r="C32">
        <v>0</v>
      </c>
      <c r="D32">
        <v>0</v>
      </c>
    </row>
    <row r="33" spans="1:4" x14ac:dyDescent="0.15">
      <c r="A33">
        <v>32</v>
      </c>
      <c r="B33" s="166" t="s">
        <v>224</v>
      </c>
      <c r="C33">
        <v>0</v>
      </c>
      <c r="D33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D33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23.33203125" bestFit="1" customWidth="1"/>
    <col min="3" max="4" width="3.83203125" bestFit="1" customWidth="1"/>
  </cols>
  <sheetData>
    <row r="1" spans="1:4" ht="112" x14ac:dyDescent="0.15">
      <c r="A1" s="5" t="s">
        <v>82</v>
      </c>
      <c r="B1" s="3" t="s">
        <v>0</v>
      </c>
      <c r="C1" s="169" t="s">
        <v>225</v>
      </c>
      <c r="D1" s="169" t="s">
        <v>226</v>
      </c>
    </row>
    <row r="2" spans="1:4" x14ac:dyDescent="0.15">
      <c r="A2">
        <v>1</v>
      </c>
      <c r="B2" s="168" t="s">
        <v>193</v>
      </c>
      <c r="C2">
        <v>0</v>
      </c>
      <c r="D2">
        <v>0</v>
      </c>
    </row>
    <row r="3" spans="1:4" x14ac:dyDescent="0.15">
      <c r="A3">
        <v>2</v>
      </c>
      <c r="B3" s="168" t="s">
        <v>194</v>
      </c>
      <c r="C3">
        <v>0</v>
      </c>
      <c r="D3">
        <v>0</v>
      </c>
    </row>
    <row r="4" spans="1:4" x14ac:dyDescent="0.15">
      <c r="A4">
        <v>3</v>
      </c>
      <c r="B4" s="168" t="s">
        <v>195</v>
      </c>
      <c r="C4">
        <v>0</v>
      </c>
      <c r="D4">
        <v>0</v>
      </c>
    </row>
    <row r="5" spans="1:4" x14ac:dyDescent="0.15">
      <c r="A5">
        <v>4</v>
      </c>
      <c r="B5" s="168" t="s">
        <v>196</v>
      </c>
      <c r="C5">
        <v>0</v>
      </c>
      <c r="D5">
        <v>0</v>
      </c>
    </row>
    <row r="6" spans="1:4" x14ac:dyDescent="0.15">
      <c r="A6">
        <v>5</v>
      </c>
      <c r="B6" s="168" t="s">
        <v>197</v>
      </c>
      <c r="C6">
        <v>0</v>
      </c>
      <c r="D6">
        <v>0.8</v>
      </c>
    </row>
    <row r="7" spans="1:4" x14ac:dyDescent="0.15">
      <c r="A7">
        <v>6</v>
      </c>
      <c r="B7" s="168" t="s">
        <v>198</v>
      </c>
      <c r="C7">
        <v>0</v>
      </c>
      <c r="D7">
        <v>0.8</v>
      </c>
    </row>
    <row r="8" spans="1:4" x14ac:dyDescent="0.15">
      <c r="A8">
        <v>7</v>
      </c>
      <c r="B8" s="168" t="s">
        <v>199</v>
      </c>
      <c r="C8">
        <v>0</v>
      </c>
      <c r="D8">
        <v>0.8</v>
      </c>
    </row>
    <row r="9" spans="1:4" x14ac:dyDescent="0.15">
      <c r="A9">
        <v>8</v>
      </c>
      <c r="B9" s="168" t="s">
        <v>200</v>
      </c>
      <c r="C9">
        <v>0</v>
      </c>
      <c r="D9">
        <v>0</v>
      </c>
    </row>
    <row r="10" spans="1:4" x14ac:dyDescent="0.15">
      <c r="A10">
        <v>9</v>
      </c>
      <c r="B10" s="168" t="s">
        <v>201</v>
      </c>
      <c r="C10">
        <v>0</v>
      </c>
      <c r="D10">
        <v>0.8</v>
      </c>
    </row>
    <row r="11" spans="1:4" x14ac:dyDescent="0.15">
      <c r="A11">
        <v>10</v>
      </c>
      <c r="B11" s="168" t="s">
        <v>202</v>
      </c>
      <c r="C11">
        <v>0.8</v>
      </c>
      <c r="D11">
        <v>0.8</v>
      </c>
    </row>
    <row r="12" spans="1:4" x14ac:dyDescent="0.15">
      <c r="A12">
        <v>11</v>
      </c>
      <c r="B12" s="168" t="s">
        <v>203</v>
      </c>
      <c r="C12">
        <v>0</v>
      </c>
      <c r="D12">
        <v>0.8</v>
      </c>
    </row>
    <row r="13" spans="1:4" x14ac:dyDescent="0.15">
      <c r="A13">
        <v>12</v>
      </c>
      <c r="B13" s="168" t="s">
        <v>204</v>
      </c>
      <c r="C13">
        <v>0</v>
      </c>
      <c r="D13">
        <v>0.8</v>
      </c>
    </row>
    <row r="14" spans="1:4" x14ac:dyDescent="0.15">
      <c r="A14">
        <v>13</v>
      </c>
      <c r="B14" s="168" t="s">
        <v>205</v>
      </c>
      <c r="C14">
        <v>0.8</v>
      </c>
      <c r="D14">
        <v>0.8</v>
      </c>
    </row>
    <row r="15" spans="1:4" x14ac:dyDescent="0.15">
      <c r="A15">
        <v>14</v>
      </c>
      <c r="B15" s="168" t="s">
        <v>206</v>
      </c>
      <c r="C15">
        <v>0.8</v>
      </c>
      <c r="D15">
        <v>0.8</v>
      </c>
    </row>
    <row r="16" spans="1:4" x14ac:dyDescent="0.15">
      <c r="A16">
        <v>15</v>
      </c>
      <c r="B16" s="168" t="s">
        <v>207</v>
      </c>
      <c r="C16">
        <v>0</v>
      </c>
      <c r="D16">
        <v>0.8</v>
      </c>
    </row>
    <row r="17" spans="1:4" x14ac:dyDescent="0.15">
      <c r="A17">
        <v>16</v>
      </c>
      <c r="B17" s="168" t="s">
        <v>208</v>
      </c>
      <c r="C17">
        <v>0.8</v>
      </c>
      <c r="D17">
        <v>0.8</v>
      </c>
    </row>
    <row r="18" spans="1:4" x14ac:dyDescent="0.15">
      <c r="A18">
        <v>17</v>
      </c>
      <c r="B18" s="168" t="s">
        <v>209</v>
      </c>
      <c r="C18">
        <v>0</v>
      </c>
      <c r="D18">
        <v>0.8</v>
      </c>
    </row>
    <row r="19" spans="1:4" x14ac:dyDescent="0.15">
      <c r="A19">
        <v>18</v>
      </c>
      <c r="B19" s="168" t="s">
        <v>210</v>
      </c>
      <c r="C19">
        <v>0.8</v>
      </c>
      <c r="D19">
        <v>0.8</v>
      </c>
    </row>
    <row r="20" spans="1:4" x14ac:dyDescent="0.15">
      <c r="A20">
        <v>19</v>
      </c>
      <c r="B20" s="168" t="s">
        <v>211</v>
      </c>
      <c r="C20">
        <v>0.8</v>
      </c>
      <c r="D20">
        <v>0.8</v>
      </c>
    </row>
    <row r="21" spans="1:4" x14ac:dyDescent="0.15">
      <c r="A21">
        <v>20</v>
      </c>
      <c r="B21" s="168" t="s">
        <v>212</v>
      </c>
      <c r="C21">
        <v>0</v>
      </c>
      <c r="D21">
        <v>0.8</v>
      </c>
    </row>
    <row r="22" spans="1:4" x14ac:dyDescent="0.15">
      <c r="A22">
        <v>21</v>
      </c>
      <c r="B22" s="168" t="s">
        <v>213</v>
      </c>
      <c r="C22">
        <v>0.8</v>
      </c>
      <c r="D22">
        <v>0.8</v>
      </c>
    </row>
    <row r="23" spans="1:4" x14ac:dyDescent="0.15">
      <c r="A23">
        <v>22</v>
      </c>
      <c r="B23" s="168" t="s">
        <v>214</v>
      </c>
      <c r="C23">
        <v>0.8</v>
      </c>
      <c r="D23">
        <v>0</v>
      </c>
    </row>
    <row r="24" spans="1:4" x14ac:dyDescent="0.15">
      <c r="A24">
        <v>23</v>
      </c>
      <c r="B24" s="168" t="s">
        <v>215</v>
      </c>
      <c r="C24">
        <v>0.8</v>
      </c>
      <c r="D24">
        <v>0.8</v>
      </c>
    </row>
    <row r="25" spans="1:4" x14ac:dyDescent="0.15">
      <c r="A25">
        <v>24</v>
      </c>
      <c r="B25" s="168" t="s">
        <v>216</v>
      </c>
      <c r="C25">
        <v>0.8</v>
      </c>
      <c r="D25">
        <v>0.8</v>
      </c>
    </row>
    <row r="26" spans="1:4" x14ac:dyDescent="0.15">
      <c r="A26">
        <v>25</v>
      </c>
      <c r="B26" s="168" t="s">
        <v>217</v>
      </c>
      <c r="C26">
        <v>0.8</v>
      </c>
      <c r="D26">
        <v>0.8</v>
      </c>
    </row>
    <row r="27" spans="1:4" x14ac:dyDescent="0.15">
      <c r="A27">
        <v>26</v>
      </c>
      <c r="B27" s="168" t="s">
        <v>218</v>
      </c>
      <c r="C27">
        <v>0.8</v>
      </c>
      <c r="D27">
        <v>0.8</v>
      </c>
    </row>
    <row r="28" spans="1:4" x14ac:dyDescent="0.15">
      <c r="A28">
        <v>27</v>
      </c>
      <c r="B28" s="168" t="s">
        <v>219</v>
      </c>
      <c r="C28">
        <v>0</v>
      </c>
      <c r="D28">
        <v>0.8</v>
      </c>
    </row>
    <row r="29" spans="1:4" x14ac:dyDescent="0.15">
      <c r="A29">
        <v>28</v>
      </c>
      <c r="B29" s="168" t="s">
        <v>220</v>
      </c>
      <c r="C29">
        <v>0</v>
      </c>
      <c r="D29">
        <v>0</v>
      </c>
    </row>
    <row r="30" spans="1:4" x14ac:dyDescent="0.15">
      <c r="A30">
        <v>29</v>
      </c>
      <c r="B30" s="168" t="s">
        <v>221</v>
      </c>
      <c r="C30">
        <v>0</v>
      </c>
      <c r="D30">
        <v>0.8</v>
      </c>
    </row>
    <row r="31" spans="1:4" x14ac:dyDescent="0.15">
      <c r="A31">
        <v>30</v>
      </c>
      <c r="B31" s="168" t="s">
        <v>222</v>
      </c>
      <c r="C31">
        <v>0</v>
      </c>
      <c r="D31">
        <v>0</v>
      </c>
    </row>
    <row r="32" spans="1:4" x14ac:dyDescent="0.15">
      <c r="A32">
        <v>31</v>
      </c>
      <c r="B32" s="168" t="s">
        <v>223</v>
      </c>
      <c r="C32">
        <v>0</v>
      </c>
      <c r="D32">
        <v>0</v>
      </c>
    </row>
    <row r="33" spans="1:4" x14ac:dyDescent="0.15">
      <c r="A33">
        <v>32</v>
      </c>
      <c r="B33" s="168" t="s">
        <v>224</v>
      </c>
      <c r="C33">
        <v>0</v>
      </c>
      <c r="D33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3" sqref="K3"/>
    </sheetView>
  </sheetViews>
  <sheetFormatPr baseColWidth="10" defaultColWidth="8.83203125" defaultRowHeight="15" customHeight="1" x14ac:dyDescent="0.15"/>
  <cols>
    <col min="1" max="1" width="8.83203125" style="83"/>
    <col min="2" max="2" width="41.83203125" style="83" bestFit="1" customWidth="1"/>
    <col min="3" max="3" width="9.33203125" style="83" bestFit="1" customWidth="1"/>
    <col min="4" max="4" width="13" style="83" bestFit="1" customWidth="1"/>
    <col min="5" max="6" width="9.33203125" style="83" bestFit="1" customWidth="1"/>
    <col min="7" max="7" width="9.33203125" style="99" bestFit="1" customWidth="1"/>
    <col min="8" max="8" width="9.33203125" style="83" bestFit="1" customWidth="1"/>
    <col min="9" max="9" width="11" style="83" customWidth="1"/>
    <col min="10" max="10" width="8.83203125" style="83"/>
    <col min="15" max="16384" width="8.83203125" style="83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5" t="s">
        <v>14</v>
      </c>
      <c r="H1" s="1" t="s">
        <v>26</v>
      </c>
      <c r="I1" s="1" t="s">
        <v>24</v>
      </c>
    </row>
    <row r="2" spans="1:10" ht="15" customHeight="1" x14ac:dyDescent="0.15">
      <c r="A2" s="249">
        <v>1</v>
      </c>
      <c r="B2" s="249" t="s">
        <v>193</v>
      </c>
      <c r="C2" s="8">
        <v>1</v>
      </c>
      <c r="D2" s="9">
        <v>6.0710000991821289</v>
      </c>
      <c r="E2" s="9">
        <v>117.30000305175781</v>
      </c>
      <c r="F2" s="10"/>
      <c r="G2" s="9">
        <v>0.76054233312606812</v>
      </c>
      <c r="H2" s="10"/>
      <c r="I2">
        <v>0</v>
      </c>
      <c r="J2"/>
    </row>
    <row r="3" spans="1:10" ht="15" customHeight="1" x14ac:dyDescent="0.15">
      <c r="A3" s="250">
        <v>2</v>
      </c>
      <c r="B3" s="250" t="s">
        <v>194</v>
      </c>
      <c r="C3" s="8">
        <v>2.2195122241973877</v>
      </c>
      <c r="D3" s="9">
        <v>4.9800000190734863</v>
      </c>
      <c r="E3" s="9">
        <v>59.490001678466797</v>
      </c>
      <c r="F3" s="9">
        <v>177.5</v>
      </c>
      <c r="G3" s="9">
        <v>0.94462943077087402</v>
      </c>
      <c r="H3" s="9">
        <v>0.3351549506187439</v>
      </c>
      <c r="I3">
        <v>0</v>
      </c>
      <c r="J3"/>
    </row>
    <row r="4" spans="1:10" ht="15" customHeight="1" x14ac:dyDescent="0.15">
      <c r="A4" s="251">
        <v>3</v>
      </c>
      <c r="B4" s="251" t="s">
        <v>195</v>
      </c>
      <c r="C4" s="8">
        <v>2.2081291675567627</v>
      </c>
      <c r="D4" s="9">
        <v>2.1814568042755127</v>
      </c>
      <c r="E4" s="9">
        <v>7.320000171661377</v>
      </c>
      <c r="F4" s="9">
        <v>54.400001525878906</v>
      </c>
      <c r="G4" s="9">
        <v>0.86999768018722534</v>
      </c>
      <c r="H4" s="9">
        <v>0.13455882668495178</v>
      </c>
      <c r="I4">
        <v>0</v>
      </c>
      <c r="J4"/>
    </row>
    <row r="5" spans="1:10" ht="15" customHeight="1" x14ac:dyDescent="0.15">
      <c r="A5" s="252">
        <v>4</v>
      </c>
      <c r="B5" s="252" t="s">
        <v>196</v>
      </c>
      <c r="C5" s="8">
        <v>2.0998742580413818</v>
      </c>
      <c r="D5" s="9">
        <v>14.46697998046875</v>
      </c>
      <c r="E5" s="9">
        <v>1.6299999952316284</v>
      </c>
      <c r="F5" s="9">
        <v>12.460000038146973</v>
      </c>
      <c r="G5" s="9">
        <v>0.91999685764312744</v>
      </c>
      <c r="H5" s="9">
        <v>0.13081862032413483</v>
      </c>
      <c r="I5">
        <v>0</v>
      </c>
      <c r="J5"/>
    </row>
    <row r="6" spans="1:10" ht="15" customHeight="1" x14ac:dyDescent="0.15">
      <c r="A6" s="253">
        <v>5</v>
      </c>
      <c r="B6" s="253" t="s">
        <v>197</v>
      </c>
      <c r="C6" s="8">
        <v>3.095860481262207</v>
      </c>
      <c r="D6" s="9">
        <v>1.25</v>
      </c>
      <c r="E6" s="9">
        <v>3.2100000381469727</v>
      </c>
      <c r="F6" s="9">
        <v>7.5199999809265137</v>
      </c>
      <c r="G6" s="9">
        <v>0.98989111185073853</v>
      </c>
      <c r="H6" s="9">
        <v>0.42686170339584351</v>
      </c>
      <c r="I6">
        <v>2.8000000864267349E-2</v>
      </c>
      <c r="J6"/>
    </row>
    <row r="7" spans="1:10" ht="15" customHeight="1" x14ac:dyDescent="0.15">
      <c r="A7" s="254">
        <v>6</v>
      </c>
      <c r="B7" s="254" t="s">
        <v>198</v>
      </c>
      <c r="C7" s="8">
        <v>2.9643194675445557</v>
      </c>
      <c r="D7" s="9">
        <v>1.1000000238418579</v>
      </c>
      <c r="E7" s="9">
        <v>2.440000057220459</v>
      </c>
      <c r="F7" s="9">
        <v>4.940000057220459</v>
      </c>
      <c r="G7" s="9">
        <v>0.99103927612304688</v>
      </c>
      <c r="H7" s="9">
        <v>0.49392712116241455</v>
      </c>
      <c r="I7">
        <v>4.0000001899898052E-3</v>
      </c>
      <c r="J7"/>
    </row>
    <row r="8" spans="1:10" ht="15" customHeight="1" x14ac:dyDescent="0.15">
      <c r="A8" s="255">
        <v>7</v>
      </c>
      <c r="B8" s="255" t="s">
        <v>199</v>
      </c>
      <c r="C8" s="8">
        <v>2.8664155006408691</v>
      </c>
      <c r="D8" s="9">
        <v>0.95300000905990601</v>
      </c>
      <c r="E8" s="9">
        <v>1.3200000524520874</v>
      </c>
      <c r="F8" s="9">
        <v>4.7600002288818359</v>
      </c>
      <c r="G8" s="9">
        <v>0.99461376667022705</v>
      </c>
      <c r="H8" s="9">
        <v>0.27731090784072876</v>
      </c>
      <c r="I8">
        <v>5.4999999701976776E-2</v>
      </c>
      <c r="J8"/>
    </row>
    <row r="9" spans="1:10" ht="15" customHeight="1" x14ac:dyDescent="0.15">
      <c r="A9" s="256">
        <v>8</v>
      </c>
      <c r="B9" s="256" t="s">
        <v>200</v>
      </c>
      <c r="C9" s="8">
        <v>2.0531713962554932</v>
      </c>
      <c r="D9" s="9">
        <v>25.35081672668457</v>
      </c>
      <c r="E9" s="9">
        <v>1.1499999761581421</v>
      </c>
      <c r="F9" s="9">
        <v>3.2699999809265137</v>
      </c>
      <c r="G9" s="9">
        <v>0.94999814033508301</v>
      </c>
      <c r="H9" s="9">
        <v>0.35168194770812988</v>
      </c>
      <c r="I9">
        <v>0</v>
      </c>
      <c r="J9"/>
    </row>
    <row r="10" spans="1:10" ht="15" customHeight="1" x14ac:dyDescent="0.15">
      <c r="A10" s="257">
        <v>9</v>
      </c>
      <c r="B10" s="257" t="s">
        <v>201</v>
      </c>
      <c r="C10" s="8">
        <v>3.3171107769012451</v>
      </c>
      <c r="D10" s="9">
        <v>0.45600000023841858</v>
      </c>
      <c r="E10" s="9">
        <v>2.690000057220459</v>
      </c>
      <c r="F10" s="9">
        <v>5.5300002098083496</v>
      </c>
      <c r="G10" s="9">
        <v>0.99647760391235352</v>
      </c>
      <c r="H10" s="9">
        <v>0.48643761873245239</v>
      </c>
      <c r="I10">
        <v>0.16200000047683716</v>
      </c>
      <c r="J10"/>
    </row>
    <row r="11" spans="1:10" ht="15" customHeight="1" x14ac:dyDescent="0.15">
      <c r="A11" s="258">
        <v>10</v>
      </c>
      <c r="B11" s="258" t="s">
        <v>202</v>
      </c>
      <c r="C11" s="8">
        <v>3.8286557197570801</v>
      </c>
      <c r="D11" s="9">
        <v>0.5</v>
      </c>
      <c r="E11" s="9">
        <v>2.5999999046325684</v>
      </c>
      <c r="F11" s="9">
        <v>22.153999328613281</v>
      </c>
      <c r="G11" s="9">
        <v>0.99065244197845459</v>
      </c>
      <c r="H11" s="9">
        <v>0.11736029386520386</v>
      </c>
      <c r="I11">
        <v>6.1000000685453415E-2</v>
      </c>
      <c r="J11"/>
    </row>
    <row r="12" spans="1:10" ht="15" customHeight="1" x14ac:dyDescent="0.15">
      <c r="A12" s="259">
        <v>11</v>
      </c>
      <c r="B12" s="259" t="s">
        <v>203</v>
      </c>
      <c r="C12" s="8">
        <v>2.885765552520752</v>
      </c>
      <c r="D12" s="9">
        <v>0.20600000023841858</v>
      </c>
      <c r="E12" s="9">
        <v>1.8500000238418579</v>
      </c>
      <c r="F12" s="9">
        <v>6.8959999084472656</v>
      </c>
      <c r="G12" s="9">
        <v>0.99630659818649292</v>
      </c>
      <c r="H12" s="9">
        <v>0.26827147603034973</v>
      </c>
      <c r="I12">
        <v>8.2000002264976501E-2</v>
      </c>
      <c r="J12"/>
    </row>
    <row r="13" spans="1:10" ht="15" customHeight="1" x14ac:dyDescent="0.15">
      <c r="A13" s="260">
        <v>12</v>
      </c>
      <c r="B13" s="260" t="s">
        <v>204</v>
      </c>
      <c r="C13" s="8">
        <v>4.2906589508056641</v>
      </c>
      <c r="D13" s="9">
        <v>0.42199999094009399</v>
      </c>
      <c r="E13" s="9">
        <v>1</v>
      </c>
      <c r="F13" s="9">
        <v>3.5999999046325684</v>
      </c>
      <c r="G13" s="9">
        <v>0.92992550134658813</v>
      </c>
      <c r="H13" s="9">
        <v>0.27777779102325439</v>
      </c>
      <c r="I13">
        <v>0.1119999960064888</v>
      </c>
      <c r="J13"/>
    </row>
    <row r="14" spans="1:10" ht="15" customHeight="1" x14ac:dyDescent="0.15">
      <c r="A14" s="261">
        <v>13</v>
      </c>
      <c r="B14" s="261" t="s">
        <v>205</v>
      </c>
      <c r="C14" s="8">
        <v>3.6315710544586182</v>
      </c>
      <c r="D14" s="9">
        <v>0.28600001335144043</v>
      </c>
      <c r="E14" s="9">
        <v>1.5</v>
      </c>
      <c r="F14" s="9">
        <v>7.7340002059936523</v>
      </c>
      <c r="G14" s="9">
        <v>0.9915127158164978</v>
      </c>
      <c r="H14" s="9">
        <v>0.19394879043102264</v>
      </c>
      <c r="I14">
        <v>3.0999999493360519E-2</v>
      </c>
      <c r="J14"/>
    </row>
    <row r="15" spans="1:10" ht="15" customHeight="1" x14ac:dyDescent="0.15">
      <c r="A15" s="262">
        <v>14</v>
      </c>
      <c r="B15" s="262" t="s">
        <v>206</v>
      </c>
      <c r="C15" s="8">
        <v>3.9267871379852295</v>
      </c>
      <c r="D15" s="9">
        <v>0.40000000596046448</v>
      </c>
      <c r="E15" s="9">
        <v>1.2000000476837158</v>
      </c>
      <c r="F15" s="9">
        <v>7.1500000953674316</v>
      </c>
      <c r="G15" s="9">
        <v>0.98296785354614258</v>
      </c>
      <c r="H15" s="9">
        <v>0.16783216595649719</v>
      </c>
      <c r="I15">
        <v>6.0000000521540642E-3</v>
      </c>
      <c r="J15"/>
    </row>
    <row r="16" spans="1:10" ht="15" customHeight="1" x14ac:dyDescent="0.15">
      <c r="A16" s="263">
        <v>15</v>
      </c>
      <c r="B16" s="263" t="s">
        <v>207</v>
      </c>
      <c r="C16" s="8">
        <v>4.1627554893493652</v>
      </c>
      <c r="D16" s="9">
        <v>1.156999945640564</v>
      </c>
      <c r="E16" s="9">
        <v>0.69999998807907104</v>
      </c>
      <c r="F16" s="9">
        <v>3.5</v>
      </c>
      <c r="G16" s="9">
        <v>0.99479204416275024</v>
      </c>
      <c r="H16" s="9">
        <v>0.20000000298023224</v>
      </c>
      <c r="I16">
        <v>0.17700000107288361</v>
      </c>
      <c r="J16"/>
    </row>
    <row r="17" spans="1:10" ht="15" customHeight="1" x14ac:dyDescent="0.15">
      <c r="A17" s="264">
        <v>16</v>
      </c>
      <c r="B17" s="264" t="s">
        <v>208</v>
      </c>
      <c r="C17" s="8">
        <v>3.1889512538909912</v>
      </c>
      <c r="D17" s="9">
        <v>1.746999979019165</v>
      </c>
      <c r="E17" s="9">
        <v>1.5</v>
      </c>
      <c r="F17" s="9">
        <v>8.1730003356933594</v>
      </c>
      <c r="G17" s="9">
        <v>0.99828928709030151</v>
      </c>
      <c r="H17" s="9">
        <v>0.18353113532066345</v>
      </c>
      <c r="I17">
        <v>8.2000002264976501E-2</v>
      </c>
      <c r="J17"/>
    </row>
    <row r="18" spans="1:10" ht="15" customHeight="1" x14ac:dyDescent="0.15">
      <c r="A18" s="265">
        <v>17</v>
      </c>
      <c r="B18" s="265" t="s">
        <v>209</v>
      </c>
      <c r="C18" s="8">
        <v>3.794205904006958</v>
      </c>
      <c r="D18" s="9">
        <v>2.9000000953674316</v>
      </c>
      <c r="E18" s="9">
        <v>1</v>
      </c>
      <c r="F18" s="9">
        <v>5.5999999046325684</v>
      </c>
      <c r="G18" s="9">
        <v>0.99026519060134888</v>
      </c>
      <c r="H18" s="9">
        <v>0.1785714328289032</v>
      </c>
      <c r="I18">
        <v>0.10499999672174454</v>
      </c>
      <c r="J18"/>
    </row>
    <row r="19" spans="1:10" ht="15" customHeight="1" x14ac:dyDescent="0.15">
      <c r="A19" s="266">
        <v>18</v>
      </c>
      <c r="B19" s="266" t="s">
        <v>210</v>
      </c>
      <c r="C19" s="8">
        <v>3.6272146701812744</v>
      </c>
      <c r="D19" s="9">
        <v>1</v>
      </c>
      <c r="E19" s="9">
        <v>0.89999997615814209</v>
      </c>
      <c r="F19" s="9">
        <v>5.5100002288818359</v>
      </c>
      <c r="G19" s="9">
        <v>0.99441993236541748</v>
      </c>
      <c r="H19" s="9">
        <v>0.16333937644958496</v>
      </c>
      <c r="I19">
        <v>5.0999999046325684E-2</v>
      </c>
      <c r="J19"/>
    </row>
    <row r="20" spans="1:10" ht="15" customHeight="1" x14ac:dyDescent="0.15">
      <c r="A20" s="267">
        <v>19</v>
      </c>
      <c r="B20" s="267" t="s">
        <v>211</v>
      </c>
      <c r="C20" s="8">
        <v>3.2229211330413818</v>
      </c>
      <c r="D20" s="9">
        <v>1.878000020980835</v>
      </c>
      <c r="E20" s="9">
        <v>1.6000000238418579</v>
      </c>
      <c r="F20" s="9">
        <v>8.2370004653930664</v>
      </c>
      <c r="G20" s="9">
        <v>0.99744343757629395</v>
      </c>
      <c r="H20" s="9">
        <v>0.19424547255039215</v>
      </c>
      <c r="I20">
        <v>8.1000000238418579E-2</v>
      </c>
      <c r="J20"/>
    </row>
    <row r="21" spans="1:10" ht="15" customHeight="1" x14ac:dyDescent="0.15">
      <c r="A21" s="268">
        <v>20</v>
      </c>
      <c r="B21" s="268" t="s">
        <v>212</v>
      </c>
      <c r="C21" s="8">
        <v>4.3746027946472168</v>
      </c>
      <c r="D21" s="9">
        <v>0.45399999618530273</v>
      </c>
      <c r="E21" s="9">
        <v>1.4140000343322754</v>
      </c>
      <c r="F21" s="9">
        <v>3.1459999084472656</v>
      </c>
      <c r="G21" s="9">
        <v>0.83804285526275635</v>
      </c>
      <c r="H21" s="9">
        <v>0.44945964217185974</v>
      </c>
      <c r="I21">
        <v>4.6000000089406967E-2</v>
      </c>
      <c r="J21"/>
    </row>
    <row r="22" spans="1:10" ht="15" customHeight="1" x14ac:dyDescent="0.15">
      <c r="A22" s="269">
        <v>21</v>
      </c>
      <c r="B22" s="269" t="s">
        <v>213</v>
      </c>
      <c r="C22" s="8">
        <v>3.2195122241973877</v>
      </c>
      <c r="D22" s="9">
        <v>3.1099998950958252</v>
      </c>
      <c r="E22" s="9">
        <v>1.6419999599456787</v>
      </c>
      <c r="F22" s="9">
        <v>6.5329999923706055</v>
      </c>
      <c r="G22" s="9">
        <v>0.99940270185470581</v>
      </c>
      <c r="H22" s="9">
        <v>0.25133934617042542</v>
      </c>
      <c r="I22">
        <v>1.1330000162124634</v>
      </c>
      <c r="J22"/>
    </row>
    <row r="23" spans="1:10" ht="15" customHeight="1" x14ac:dyDescent="0.15">
      <c r="A23" s="270">
        <v>22</v>
      </c>
      <c r="B23" s="270" t="s">
        <v>214</v>
      </c>
      <c r="C23" s="8">
        <v>3.0595285892486572</v>
      </c>
      <c r="D23" s="9">
        <v>5.1609997749328613</v>
      </c>
      <c r="E23" s="9">
        <v>1.2799999713897705</v>
      </c>
      <c r="F23" s="9">
        <v>11.390000343322754</v>
      </c>
      <c r="G23" s="9">
        <v>0.99587380886077881</v>
      </c>
      <c r="H23" s="9">
        <v>0.1123792752623558</v>
      </c>
      <c r="I23">
        <v>0.56099998950958252</v>
      </c>
      <c r="J23"/>
    </row>
    <row r="24" spans="1:10" ht="15" customHeight="1" x14ac:dyDescent="0.15">
      <c r="A24" s="271">
        <v>23</v>
      </c>
      <c r="B24" s="271" t="s">
        <v>215</v>
      </c>
      <c r="C24" s="8">
        <v>3.4131810665130615</v>
      </c>
      <c r="D24" s="9">
        <v>0.35420000553131104</v>
      </c>
      <c r="E24" s="9">
        <v>1.1000000238418579</v>
      </c>
      <c r="F24" s="9">
        <v>6.429999828338623</v>
      </c>
      <c r="G24" s="9">
        <v>0.9985194206237793</v>
      </c>
      <c r="H24" s="9">
        <v>0.17107310891151428</v>
      </c>
      <c r="I24">
        <v>0.13600000739097595</v>
      </c>
      <c r="J24"/>
    </row>
    <row r="25" spans="1:10" ht="15" customHeight="1" x14ac:dyDescent="0.15">
      <c r="A25" s="272">
        <v>24</v>
      </c>
      <c r="B25" s="272" t="s">
        <v>216</v>
      </c>
      <c r="C25" s="8">
        <v>3.696727991104126</v>
      </c>
      <c r="D25" s="9">
        <v>0.33000001311302185</v>
      </c>
      <c r="E25" s="9">
        <v>1.121999979019165</v>
      </c>
      <c r="F25" s="9">
        <v>6.004000186920166</v>
      </c>
      <c r="G25" s="9">
        <v>0.99570417404174805</v>
      </c>
      <c r="H25" s="9">
        <v>0.18687540292739868</v>
      </c>
      <c r="I25">
        <v>0.10499999672174454</v>
      </c>
      <c r="J25"/>
    </row>
    <row r="26" spans="1:10" ht="15" customHeight="1" x14ac:dyDescent="0.15">
      <c r="A26" s="273">
        <v>25</v>
      </c>
      <c r="B26" s="273" t="s">
        <v>217</v>
      </c>
      <c r="C26" s="8">
        <v>3.179152250289917</v>
      </c>
      <c r="D26" s="9">
        <v>1.2000000476837158</v>
      </c>
      <c r="E26" s="9">
        <v>1.2050000429153442</v>
      </c>
      <c r="F26" s="9">
        <v>6.0809998512268066</v>
      </c>
      <c r="G26" s="9">
        <v>0.9946439266204834</v>
      </c>
      <c r="H26" s="9">
        <v>0.19815820455551147</v>
      </c>
      <c r="I26">
        <v>0.13400000333786011</v>
      </c>
      <c r="J26"/>
    </row>
    <row r="27" spans="1:10" ht="15" customHeight="1" x14ac:dyDescent="0.15">
      <c r="A27" s="274">
        <v>26</v>
      </c>
      <c r="B27" s="274" t="s">
        <v>218</v>
      </c>
      <c r="C27" s="8">
        <v>4.2172794342041016</v>
      </c>
      <c r="D27" s="9">
        <v>0.23999999463558197</v>
      </c>
      <c r="E27" s="9">
        <v>0.69800001382827759</v>
      </c>
      <c r="F27" s="9">
        <v>2.6610000133514404</v>
      </c>
      <c r="G27" s="9">
        <v>0.98237454891204834</v>
      </c>
      <c r="H27" s="9">
        <v>0.26230740547180176</v>
      </c>
      <c r="I27">
        <v>0.13199999928474426</v>
      </c>
      <c r="J27"/>
    </row>
    <row r="28" spans="1:10" ht="15" customHeight="1" x14ac:dyDescent="0.15">
      <c r="A28" s="275">
        <v>27</v>
      </c>
      <c r="B28" s="275" t="s">
        <v>219</v>
      </c>
      <c r="C28" s="8">
        <v>3.3045611381530762</v>
      </c>
      <c r="D28" s="9">
        <v>1.9999999552965164E-2</v>
      </c>
      <c r="E28" s="9">
        <v>0.15999999642372131</v>
      </c>
      <c r="F28" s="9">
        <v>2.6800000667572021</v>
      </c>
      <c r="G28" s="9">
        <v>0.78125</v>
      </c>
      <c r="H28" s="9">
        <v>5.9701491147279739E-2</v>
      </c>
      <c r="I28">
        <v>2.4999999441206455E-3</v>
      </c>
      <c r="J28"/>
    </row>
    <row r="29" spans="1:10" ht="15" customHeight="1" x14ac:dyDescent="0.15">
      <c r="A29" s="276">
        <v>28</v>
      </c>
      <c r="B29" s="276" t="s">
        <v>220</v>
      </c>
      <c r="C29" s="8">
        <v>2.3099143505096436</v>
      </c>
      <c r="D29" s="9">
        <v>1.0000000474974513E-3</v>
      </c>
      <c r="E29" s="9">
        <v>4.7800002098083496</v>
      </c>
      <c r="F29" s="9">
        <v>111.61000061035156</v>
      </c>
      <c r="G29" s="7">
        <v>0</v>
      </c>
      <c r="H29" s="9">
        <v>4.2827706784009933E-2</v>
      </c>
      <c r="I29">
        <v>0</v>
      </c>
      <c r="J29"/>
    </row>
    <row r="30" spans="1:10" ht="15" customHeight="1" x14ac:dyDescent="0.15">
      <c r="A30" s="277">
        <v>29</v>
      </c>
      <c r="B30" s="277" t="s">
        <v>221</v>
      </c>
      <c r="C30" s="8">
        <v>4.4622406959533691</v>
      </c>
      <c r="D30" s="9">
        <v>1.9999999552965164E-2</v>
      </c>
      <c r="E30" s="9">
        <v>7.9999998211860657E-2</v>
      </c>
      <c r="F30" s="9">
        <v>13.810000419616699</v>
      </c>
      <c r="G30" s="9">
        <v>0.21250000596046448</v>
      </c>
      <c r="H30" s="9">
        <v>5.7929032482206821E-3</v>
      </c>
      <c r="I30">
        <v>3.3999999868683517E-4</v>
      </c>
      <c r="J30"/>
    </row>
    <row r="31" spans="1:10" ht="15" customHeight="1" x14ac:dyDescent="0.15">
      <c r="A31" s="278">
        <v>30</v>
      </c>
      <c r="B31" s="278" t="s">
        <v>222</v>
      </c>
      <c r="C31" s="8">
        <v>1</v>
      </c>
      <c r="D31" s="10"/>
      <c r="E31" s="10"/>
      <c r="F31" s="10"/>
      <c r="G31" s="9">
        <v>0.81229841709136963</v>
      </c>
      <c r="H31" s="10"/>
      <c r="I31">
        <v>0</v>
      </c>
      <c r="J31"/>
    </row>
    <row r="32" spans="1:10" ht="15" customHeight="1" x14ac:dyDescent="0.15">
      <c r="A32" s="279">
        <v>31</v>
      </c>
      <c r="B32" s="279" t="s">
        <v>223</v>
      </c>
      <c r="C32" s="8">
        <v>1</v>
      </c>
      <c r="D32" s="9">
        <v>31.440000534057617</v>
      </c>
      <c r="E32" s="10"/>
      <c r="F32" s="10"/>
      <c r="G32" s="7">
        <v>0.67664700746536255</v>
      </c>
      <c r="H32" s="10"/>
      <c r="I32">
        <v>0</v>
      </c>
      <c r="J32"/>
    </row>
    <row r="33" spans="1:10" ht="15" customHeight="1" x14ac:dyDescent="0.15">
      <c r="A33" s="280">
        <v>32</v>
      </c>
      <c r="B33" s="280" t="s">
        <v>224</v>
      </c>
      <c r="C33" s="8">
        <v>1</v>
      </c>
      <c r="D33" s="9">
        <v>5</v>
      </c>
      <c r="E33" s="10"/>
      <c r="F33" s="10"/>
      <c r="G33" s="7">
        <v>0</v>
      </c>
      <c r="H33" s="10"/>
      <c r="I33">
        <v>0</v>
      </c>
      <c r="J33"/>
    </row>
    <row r="34" spans="1:10" ht="15" customHeight="1" x14ac:dyDescent="0.15">
      <c r="A34" s="281">
        <v>33</v>
      </c>
      <c r="B34" s="281" t="s">
        <v>225</v>
      </c>
      <c r="C34" s="8">
        <v>4.1962695121765137</v>
      </c>
      <c r="D34" s="10"/>
      <c r="E34" s="10"/>
      <c r="F34" s="10"/>
      <c r="G34" s="10"/>
      <c r="H34" s="10"/>
      <c r="I34">
        <v>1.4424998760223389</v>
      </c>
      <c r="J34"/>
    </row>
    <row r="35" spans="1:10" ht="15" customHeight="1" x14ac:dyDescent="0.15">
      <c r="A35" s="282">
        <v>34</v>
      </c>
      <c r="B35" s="282" t="s">
        <v>226</v>
      </c>
      <c r="C35" s="8">
        <v>4.5366086959838867</v>
      </c>
      <c r="D35" s="10"/>
      <c r="E35" s="10"/>
      <c r="F35" s="10"/>
      <c r="G35" s="10"/>
      <c r="H35" s="10"/>
      <c r="I35">
        <v>1.8443402051925659</v>
      </c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83" bestFit="1" customWidth="1"/>
    <col min="2" max="4" width="9.5" style="83" bestFit="1" customWidth="1"/>
    <col min="5" max="7" width="9" style="83" bestFit="1" customWidth="1"/>
    <col min="8" max="16" width="12.6640625" style="83" bestFit="1" customWidth="1"/>
    <col min="17" max="17" width="12.33203125" style="83" bestFit="1" customWidth="1"/>
    <col min="18" max="18" width="8.83203125" style="83"/>
    <col min="19" max="21" width="9.33203125" style="83" bestFit="1" customWidth="1"/>
    <col min="22" max="23" width="8.83203125" style="83"/>
    <col min="24" max="24" width="9.33203125" style="83" bestFit="1" customWidth="1"/>
    <col min="25" max="27" width="8.83203125" style="83"/>
    <col min="28" max="58" width="9" style="83" bestFit="1" customWidth="1"/>
    <col min="59" max="59" width="12.33203125" style="83" bestFit="1" customWidth="1"/>
    <col min="60" max="60" width="9" style="83" bestFit="1" customWidth="1"/>
    <col min="61" max="61" width="11.33203125" style="83" bestFit="1" customWidth="1"/>
    <col min="62" max="77" width="9" style="83" bestFit="1" customWidth="1"/>
    <col min="78" max="78" width="12.33203125" style="83" bestFit="1" customWidth="1"/>
    <col min="79" max="79" width="9" style="83" bestFit="1" customWidth="1"/>
    <col min="80" max="80" width="12.33203125" style="83" bestFit="1" customWidth="1"/>
    <col min="81" max="107" width="9" style="83" bestFit="1" customWidth="1"/>
    <col min="108" max="108" width="11.33203125" style="83" bestFit="1" customWidth="1"/>
    <col min="109" max="124" width="9" style="83" bestFit="1" customWidth="1"/>
    <col min="125" max="125" width="10.33203125" style="83" bestFit="1" customWidth="1"/>
    <col min="126" max="129" width="9.33203125" style="83" bestFit="1" customWidth="1"/>
    <col min="130" max="130" width="9" style="83" bestFit="1" customWidth="1"/>
    <col min="131" max="134" width="9.33203125" style="83" bestFit="1" customWidth="1"/>
    <col min="135" max="165" width="9" style="83" bestFit="1" customWidth="1"/>
    <col min="166" max="166" width="12.33203125" style="83" bestFit="1" customWidth="1"/>
    <col min="167" max="170" width="9" style="83" bestFit="1" customWidth="1"/>
    <col min="171" max="176" width="8.83203125" style="83"/>
    <col min="177" max="177" width="13.83203125" style="83" bestFit="1" customWidth="1"/>
    <col min="178" max="16384" width="8.83203125" style="83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231</v>
      </c>
      <c r="E1" t="s">
        <v>232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 t="s">
        <v>211</v>
      </c>
      <c r="Y1" t="s">
        <v>212</v>
      </c>
      <c r="Z1" t="s">
        <v>213</v>
      </c>
      <c r="AA1" t="s">
        <v>214</v>
      </c>
      <c r="AB1" t="s">
        <v>215</v>
      </c>
      <c r="AC1" t="s">
        <v>216</v>
      </c>
      <c r="AD1" t="s">
        <v>217</v>
      </c>
      <c r="AE1" t="s">
        <v>218</v>
      </c>
      <c r="AF1" t="s">
        <v>219</v>
      </c>
      <c r="AG1" t="s">
        <v>220</v>
      </c>
      <c r="AH1" t="s">
        <v>221</v>
      </c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193</v>
      </c>
      <c r="B2">
        <v>117.30000305175781</v>
      </c>
      <c r="C2">
        <v>28.088384628295898</v>
      </c>
      <c r="D2"/>
      <c r="E2"/>
      <c r="F2"/>
      <c r="G2" s="248">
        <v>87.361221313476562</v>
      </c>
      <c r="H2" s="12">
        <v>0.39094465970993042</v>
      </c>
      <c r="I2"/>
      <c r="J2"/>
      <c r="K2"/>
      <c r="L2"/>
      <c r="M2"/>
      <c r="N2"/>
      <c r="O2"/>
      <c r="P2"/>
      <c r="Q2"/>
      <c r="R2" s="11">
        <v>7.6504303142428398E-3</v>
      </c>
      <c r="S2"/>
      <c r="T2"/>
      <c r="U2" s="11">
        <v>6.1148744076490402E-2</v>
      </c>
      <c r="V2" s="11">
        <v>8.0250360071659088E-2</v>
      </c>
      <c r="W2" s="11">
        <v>2.9950585216283798E-2</v>
      </c>
      <c r="X2"/>
      <c r="Y2"/>
      <c r="Z2"/>
      <c r="AA2" s="18">
        <v>1.2684363126754761</v>
      </c>
      <c r="AB2"/>
      <c r="AC2"/>
      <c r="AD2" s="11">
        <v>1.2019765563309193E-2</v>
      </c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194</v>
      </c>
      <c r="B3">
        <v>59.490001678466797</v>
      </c>
      <c r="C3">
        <v>3.2939951419830322</v>
      </c>
      <c r="D3"/>
      <c r="E3"/>
      <c r="F3"/>
      <c r="G3" s="247">
        <v>31.950000762939453</v>
      </c>
      <c r="H3" s="212">
        <v>2.3114683628082275</v>
      </c>
      <c r="I3"/>
      <c r="J3" s="12">
        <v>0.19441767036914825</v>
      </c>
      <c r="K3" s="11">
        <v>5.455823615193367E-3</v>
      </c>
      <c r="L3" s="12">
        <v>0.21861593425273895</v>
      </c>
      <c r="M3"/>
      <c r="N3" s="11">
        <v>4.5572530478239059E-2</v>
      </c>
      <c r="O3" s="23">
        <v>0.38925197720527649</v>
      </c>
      <c r="P3" s="11">
        <v>3.9650611579418182E-2</v>
      </c>
      <c r="Q3" s="11">
        <v>5.4910839535295963E-3</v>
      </c>
      <c r="R3" s="11">
        <v>5.6402869522571564E-2</v>
      </c>
      <c r="S3" s="11">
        <v>5.7429727166891098E-2</v>
      </c>
      <c r="T3" s="14">
        <v>0.11137963086366653</v>
      </c>
      <c r="U3" s="21">
        <v>1.2127895355224609</v>
      </c>
      <c r="V3" s="18">
        <v>0.74677908420562744</v>
      </c>
      <c r="W3" s="12">
        <v>0.29098999500274658</v>
      </c>
      <c r="X3" s="29">
        <v>2.7956180572509766</v>
      </c>
      <c r="Y3" s="11">
        <v>2.8677532449364662E-2</v>
      </c>
      <c r="Z3" s="194">
        <v>4.0798449516296387</v>
      </c>
      <c r="AA3" s="78">
        <v>10.021574020385742</v>
      </c>
      <c r="AB3" s="23">
        <v>0.32013136148452759</v>
      </c>
      <c r="AC3" s="14">
        <v>0.1352708637714386</v>
      </c>
      <c r="AD3" s="21">
        <v>1.1722409725189209</v>
      </c>
      <c r="AE3" s="11">
        <v>6.4114080742001534E-3</v>
      </c>
      <c r="AF3" s="11">
        <v>5.3815264254808426E-4</v>
      </c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195</v>
      </c>
      <c r="B4">
        <v>7.320000171661377</v>
      </c>
      <c r="C4">
        <v>0.95161700248718262</v>
      </c>
      <c r="D4"/>
      <c r="E4"/>
      <c r="F4"/>
      <c r="G4"/>
      <c r="H4" s="242">
        <v>1.6319999694824219</v>
      </c>
      <c r="I4"/>
      <c r="J4" s="200">
        <v>0.99108082056045532</v>
      </c>
      <c r="K4" s="21">
        <v>0.14945976436138153</v>
      </c>
      <c r="L4" s="22">
        <v>6.2384191900491714E-2</v>
      </c>
      <c r="M4"/>
      <c r="N4" s="64">
        <v>0.16183461248874664</v>
      </c>
      <c r="O4" s="208">
        <v>0.64995831251144409</v>
      </c>
      <c r="P4" s="12">
        <v>2.60482057929039E-2</v>
      </c>
      <c r="Q4" s="12">
        <v>2.7856612578034401E-2</v>
      </c>
      <c r="R4" s="16">
        <v>0.11659448593854904</v>
      </c>
      <c r="S4" s="24">
        <v>0.19665761291980743</v>
      </c>
      <c r="T4" s="14">
        <v>1.4847656711935997E-2</v>
      </c>
      <c r="U4" s="234">
        <v>0.59889250993728638</v>
      </c>
      <c r="V4" s="150">
        <v>0.21589240431785583</v>
      </c>
      <c r="W4" s="12">
        <v>3.0310023576021194E-2</v>
      </c>
      <c r="X4" s="231">
        <v>0.35455864667892456</v>
      </c>
      <c r="Y4" s="14">
        <v>1.9640194252133369E-2</v>
      </c>
      <c r="Z4"/>
      <c r="AA4" s="193">
        <v>0.53894072771072388</v>
      </c>
      <c r="AB4" s="12">
        <v>3.132089227437973E-2</v>
      </c>
      <c r="AC4" s="23">
        <v>4.5412778854370117E-2</v>
      </c>
      <c r="AD4" s="194">
        <v>0.50176560878753662</v>
      </c>
      <c r="AE4" s="11">
        <v>2.9272926039993763E-3</v>
      </c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196</v>
      </c>
      <c r="B5">
        <v>1.6299999952316284</v>
      </c>
      <c r="C5">
        <v>0.13040512800216675</v>
      </c>
      <c r="D5"/>
      <c r="E5"/>
      <c r="F5"/>
      <c r="G5"/>
      <c r="H5" s="147">
        <v>0.16405808925628662</v>
      </c>
      <c r="I5" s="245">
        <v>0.37379997968673706</v>
      </c>
      <c r="J5" s="205">
        <v>0.1299511045217514</v>
      </c>
      <c r="K5" s="73">
        <v>0.15400175750255585</v>
      </c>
      <c r="L5" s="12">
        <v>6.2712198123335838E-3</v>
      </c>
      <c r="M5" s="70">
        <v>0.11460189521312714</v>
      </c>
      <c r="N5" s="23">
        <v>1.0458353906869888E-2</v>
      </c>
      <c r="O5" s="28">
        <v>5.7425599545240402E-2</v>
      </c>
      <c r="P5" s="18">
        <v>1.7724083736538887E-2</v>
      </c>
      <c r="Q5" s="12">
        <v>6.3006924465298653E-3</v>
      </c>
      <c r="R5" s="150">
        <v>4.6781092882156372E-2</v>
      </c>
      <c r="S5"/>
      <c r="T5"/>
      <c r="U5" s="244">
        <v>0.27091863751411438</v>
      </c>
      <c r="V5" s="65">
        <v>6.8475931882858276E-2</v>
      </c>
      <c r="W5" s="17">
        <v>2.2471174597740173E-2</v>
      </c>
      <c r="X5" s="26">
        <v>4.2770739644765854E-2</v>
      </c>
      <c r="Y5" s="12">
        <v>4.9358648248016834E-3</v>
      </c>
      <c r="Z5"/>
      <c r="AA5"/>
      <c r="AB5" s="12">
        <v>7.871394045650959E-3</v>
      </c>
      <c r="AC5"/>
      <c r="AD5"/>
      <c r="AE5" s="11">
        <v>1.103506438084878E-4</v>
      </c>
      <c r="AF5" s="11">
        <v>6.6689803497865796E-4</v>
      </c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197</v>
      </c>
      <c r="B6">
        <v>3.2100000381469727</v>
      </c>
      <c r="C6">
        <v>3.2449532300233841E-2</v>
      </c>
      <c r="D6"/>
      <c r="E6" s="22">
        <v>2.2400001063942909E-2</v>
      </c>
      <c r="F6"/>
      <c r="G6"/>
      <c r="H6"/>
      <c r="I6"/>
      <c r="J6" s="73">
        <v>0.30079999566078186</v>
      </c>
      <c r="K6" s="21">
        <v>6.5208002924919128E-2</v>
      </c>
      <c r="L6" s="107">
        <v>0.3991926908493042</v>
      </c>
      <c r="M6"/>
      <c r="N6" s="11">
        <v>2.0173441153019667E-3</v>
      </c>
      <c r="O6" s="17">
        <v>4.4307999312877655E-2</v>
      </c>
      <c r="P6" s="20">
        <v>0.13864821195602417</v>
      </c>
      <c r="Q6" s="11">
        <v>1.2153600109741092E-3</v>
      </c>
      <c r="R6" s="24">
        <v>8.8468119502067566E-2</v>
      </c>
      <c r="S6" s="28">
        <v>0.11440001428127289</v>
      </c>
      <c r="T6" s="11">
        <v>3.2389519037678838E-4</v>
      </c>
      <c r="U6" s="181">
        <v>0.57112926244735718</v>
      </c>
      <c r="V6" s="233">
        <v>0.85747206211090088</v>
      </c>
      <c r="W6" s="144">
        <v>0.3834959864616394</v>
      </c>
      <c r="X6" s="212">
        <v>0.12375269085168839</v>
      </c>
      <c r="Y6" s="23">
        <v>2.1707745268940926E-2</v>
      </c>
      <c r="Z6"/>
      <c r="AA6"/>
      <c r="AB6" s="23">
        <v>1.8220048397779465E-2</v>
      </c>
      <c r="AC6" s="23">
        <v>1.585056260228157E-2</v>
      </c>
      <c r="AD6"/>
      <c r="AE6" s="14">
        <v>8.9400671422481537E-3</v>
      </c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198</v>
      </c>
      <c r="B7">
        <v>2.440000057220459</v>
      </c>
      <c r="C7">
        <v>2.1864166483283043E-2</v>
      </c>
      <c r="D7"/>
      <c r="E7" s="14">
        <v>3.6363636609166861E-3</v>
      </c>
      <c r="F7"/>
      <c r="G7"/>
      <c r="H7"/>
      <c r="I7"/>
      <c r="J7" s="207">
        <v>0.22218182682991028</v>
      </c>
      <c r="K7" s="65">
        <v>9.8800003528594971E-2</v>
      </c>
      <c r="L7" s="195">
        <v>0.28867241740226746</v>
      </c>
      <c r="M7"/>
      <c r="N7" s="21">
        <v>4.5848727226257324E-2</v>
      </c>
      <c r="O7" s="26">
        <v>6.0419995337724686E-2</v>
      </c>
      <c r="P7" s="65">
        <v>0.10266889631748199</v>
      </c>
      <c r="Q7"/>
      <c r="R7" s="12">
        <v>8.0425562337040901E-3</v>
      </c>
      <c r="S7" s="76">
        <v>0.15600001811981201</v>
      </c>
      <c r="T7"/>
      <c r="U7" s="205">
        <v>0.19470314681529999</v>
      </c>
      <c r="V7" s="232">
        <v>0.88581806421279907</v>
      </c>
      <c r="W7" s="107">
        <v>0.30054545402526855</v>
      </c>
      <c r="X7"/>
      <c r="Y7" s="15">
        <v>2.3369582369923592E-2</v>
      </c>
      <c r="Z7"/>
      <c r="AA7"/>
      <c r="AB7" s="22">
        <v>2.0704599097371101E-2</v>
      </c>
      <c r="AC7"/>
      <c r="AD7"/>
      <c r="AE7"/>
      <c r="AF7" s="14">
        <v>6.7243636585772038E-3</v>
      </c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199</v>
      </c>
      <c r="B8">
        <v>1.3200000524520874</v>
      </c>
      <c r="C8">
        <v>7.1098282933235168E-3</v>
      </c>
      <c r="D8"/>
      <c r="E8" s="20">
        <v>5.7712487876415253E-2</v>
      </c>
      <c r="F8"/>
      <c r="G8"/>
      <c r="H8"/>
      <c r="I8"/>
      <c r="J8"/>
      <c r="K8" s="20">
        <v>5.7019941508769989E-2</v>
      </c>
      <c r="L8"/>
      <c r="M8"/>
      <c r="N8" s="205">
        <v>0.10584176331758499</v>
      </c>
      <c r="O8"/>
      <c r="P8"/>
      <c r="Q8" s="29">
        <v>6.2170825898647308E-2</v>
      </c>
      <c r="R8"/>
      <c r="S8"/>
      <c r="T8" s="220">
        <v>0.29738539457321167</v>
      </c>
      <c r="U8"/>
      <c r="V8" s="230">
        <v>0.73275971412658691</v>
      </c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200</v>
      </c>
      <c r="B9">
        <v>1.1499999761581421</v>
      </c>
      <c r="C9">
        <v>5.7502135634422302E-2</v>
      </c>
      <c r="D9"/>
      <c r="E9"/>
      <c r="F9"/>
      <c r="G9"/>
      <c r="H9" s="243">
        <v>0.14043483138084412</v>
      </c>
      <c r="I9" s="246">
        <v>0.42663374543190002</v>
      </c>
      <c r="J9" s="207">
        <v>0.10382308065891266</v>
      </c>
      <c r="K9" s="239">
        <v>6.6449150443077087E-2</v>
      </c>
      <c r="L9" s="64">
        <v>2.5051631033420563E-2</v>
      </c>
      <c r="M9" s="225">
        <v>9.8099999129772186E-2</v>
      </c>
      <c r="N9" s="198">
        <v>5.2620347589254379E-2</v>
      </c>
      <c r="O9" s="22">
        <v>8.7389685213565826E-3</v>
      </c>
      <c r="P9" s="14">
        <v>1.3728989288210869E-3</v>
      </c>
      <c r="Q9" s="12">
        <v>5.393435712903738E-3</v>
      </c>
      <c r="R9" s="12">
        <v>3.7514856085181236E-3</v>
      </c>
      <c r="S9" s="14">
        <v>1.1281690094619989E-3</v>
      </c>
      <c r="T9" s="12">
        <v>4.7911950387060642E-3</v>
      </c>
      <c r="U9" s="66">
        <v>6.7587085068225861E-2</v>
      </c>
      <c r="V9" s="192">
        <v>2.6265032589435577E-2</v>
      </c>
      <c r="W9" s="196">
        <v>3.8470949977636337E-2</v>
      </c>
      <c r="X9"/>
      <c r="Y9" s="12">
        <v>5.6335115805268288E-3</v>
      </c>
      <c r="Z9"/>
      <c r="AA9"/>
      <c r="AB9" s="12">
        <v>4.4919773936271667E-3</v>
      </c>
      <c r="AC9" s="23">
        <v>7.0340465754270554E-3</v>
      </c>
      <c r="AD9" s="14">
        <v>2.8784871101379395E-3</v>
      </c>
      <c r="AE9" s="14">
        <v>1.1713150888681412E-3</v>
      </c>
      <c r="AF9" s="11">
        <v>6.7658571060746908E-4</v>
      </c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201</v>
      </c>
      <c r="B10">
        <v>2.690000057220459</v>
      </c>
      <c r="C10">
        <v>9.4752460718154907E-3</v>
      </c>
      <c r="D10"/>
      <c r="E10" s="182">
        <v>0.35526314377784729</v>
      </c>
      <c r="F10"/>
      <c r="G10"/>
      <c r="H10"/>
      <c r="I10"/>
      <c r="J10" s="27">
        <v>0.20614033937454224</v>
      </c>
      <c r="K10"/>
      <c r="L10"/>
      <c r="M10"/>
      <c r="N10" s="209">
        <v>0.27649998664855957</v>
      </c>
      <c r="O10" s="207">
        <v>0.24291665852069855</v>
      </c>
      <c r="P10"/>
      <c r="Q10" s="13">
        <v>9.9947355687618256E-2</v>
      </c>
      <c r="R10" s="186">
        <v>0.19400903582572937</v>
      </c>
      <c r="S10" s="192">
        <v>6.2719307839870453E-2</v>
      </c>
      <c r="T10" s="109">
        <v>0.46169275045394897</v>
      </c>
      <c r="U10"/>
      <c r="V10" s="144">
        <v>0.32052630186080933</v>
      </c>
      <c r="W10" s="143">
        <v>0.35041669011116028</v>
      </c>
      <c r="X10"/>
      <c r="Y10" s="14">
        <v>3.1318885739892721E-3</v>
      </c>
      <c r="Z10"/>
      <c r="AA10"/>
      <c r="AB10" s="13">
        <v>9.9890612065792084E-2</v>
      </c>
      <c r="AC10"/>
      <c r="AD10"/>
      <c r="AE10" s="11">
        <v>1.4003863907419145E-4</v>
      </c>
      <c r="AF10" s="11">
        <v>1.175438635982573E-3</v>
      </c>
      <c r="AG10"/>
      <c r="AH10" s="14">
        <v>6.0552009381353855E-3</v>
      </c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202</v>
      </c>
      <c r="B11">
        <v>2.5999999046325684</v>
      </c>
      <c r="C11">
        <v>2.4303650483489037E-2</v>
      </c>
      <c r="D11" s="11">
        <v>2.0000000949949026E-3</v>
      </c>
      <c r="E11" s="29">
        <v>0.11999999731779099</v>
      </c>
      <c r="F11"/>
      <c r="G11"/>
      <c r="H11"/>
      <c r="I11"/>
      <c r="J11"/>
      <c r="K11"/>
      <c r="L11"/>
      <c r="M11"/>
      <c r="N11"/>
      <c r="O11" s="228">
        <v>1.1520079374313354</v>
      </c>
      <c r="P11"/>
      <c r="Q11"/>
      <c r="R11"/>
      <c r="S11"/>
      <c r="T11" s="215">
        <v>0.64779037237167358</v>
      </c>
      <c r="U11"/>
      <c r="V11"/>
      <c r="W11"/>
      <c r="X11"/>
      <c r="Y11" s="27">
        <v>0.19993977248668671</v>
      </c>
      <c r="Z11"/>
      <c r="AA11"/>
      <c r="AB11" s="208">
        <v>0.22775059938430786</v>
      </c>
      <c r="AC11" s="16">
        <v>3.9626404643058777E-2</v>
      </c>
      <c r="AD11"/>
      <c r="AE11" s="198">
        <v>0.11813659220933914</v>
      </c>
      <c r="AF11" s="11">
        <v>1.0720000136643648E-3</v>
      </c>
      <c r="AG11"/>
      <c r="AH11" s="26">
        <v>6.7372590303421021E-2</v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203</v>
      </c>
      <c r="B12">
        <v>1.8500000238418579</v>
      </c>
      <c r="C12">
        <v>6.8327933549880981E-3</v>
      </c>
      <c r="D12"/>
      <c r="E12" s="145">
        <v>0.39805826544761658</v>
      </c>
      <c r="F12"/>
      <c r="G12"/>
      <c r="H12"/>
      <c r="I12"/>
      <c r="J12"/>
      <c r="K12"/>
      <c r="L12"/>
      <c r="M12"/>
      <c r="N12"/>
      <c r="O12" s="202">
        <v>0.32263103127479553</v>
      </c>
      <c r="P12"/>
      <c r="Q12" s="12">
        <v>7.3747574351727962E-3</v>
      </c>
      <c r="R12"/>
      <c r="S12" s="113">
        <v>0.69417488574981689</v>
      </c>
      <c r="T12"/>
      <c r="U12"/>
      <c r="V12" s="201">
        <v>0.3153398334980011</v>
      </c>
      <c r="W12"/>
      <c r="X12"/>
      <c r="Y12" s="185">
        <v>9.7058132290840149E-2</v>
      </c>
      <c r="Z12"/>
      <c r="AA12"/>
      <c r="AB12"/>
      <c r="AC12"/>
      <c r="AD12"/>
      <c r="AE12" s="12">
        <v>7.7497116290032864E-3</v>
      </c>
      <c r="AF12" s="11">
        <v>7.8058254439383745E-4</v>
      </c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204</v>
      </c>
      <c r="B13">
        <v>1</v>
      </c>
      <c r="C13">
        <v>7.0074498653411865E-2</v>
      </c>
      <c r="D13"/>
      <c r="E13" s="183">
        <v>0.26540285348892212</v>
      </c>
      <c r="F13"/>
      <c r="G13"/>
      <c r="H13"/>
      <c r="I13"/>
      <c r="J13"/>
      <c r="K13"/>
      <c r="L13"/>
      <c r="M13"/>
      <c r="N13"/>
      <c r="O13"/>
      <c r="P13"/>
      <c r="Q13" s="197">
        <v>0.13320000469684601</v>
      </c>
      <c r="R13"/>
      <c r="S13"/>
      <c r="T13"/>
      <c r="U13"/>
      <c r="V13"/>
      <c r="W13"/>
      <c r="X13"/>
      <c r="Y13" s="217">
        <v>0.5313226580619812</v>
      </c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205</v>
      </c>
      <c r="B14">
        <v>1.5</v>
      </c>
      <c r="C14">
        <v>1.2730926275253296E-2</v>
      </c>
      <c r="D14" s="64">
        <v>3.1468529254198074E-2</v>
      </c>
      <c r="E14" s="68">
        <v>7.6923072338104248E-2</v>
      </c>
      <c r="F14"/>
      <c r="G14"/>
      <c r="H14"/>
      <c r="I14"/>
      <c r="J14"/>
      <c r="K14"/>
      <c r="L14"/>
      <c r="M14"/>
      <c r="N14"/>
      <c r="O14"/>
      <c r="P14"/>
      <c r="Q14" s="147">
        <v>0.14873285591602325</v>
      </c>
      <c r="R14" s="203">
        <v>0.30932906270027161</v>
      </c>
      <c r="S14"/>
      <c r="T14" s="146">
        <v>0.56625032424926758</v>
      </c>
      <c r="U14"/>
      <c r="V14"/>
      <c r="W14"/>
      <c r="X14"/>
      <c r="Y14" s="110">
        <v>0.27464249730110168</v>
      </c>
      <c r="Z14"/>
      <c r="AA14"/>
      <c r="AB14" s="185">
        <v>7.9633072018623352E-2</v>
      </c>
      <c r="AC14"/>
      <c r="AD14"/>
      <c r="AE14"/>
      <c r="AF14"/>
      <c r="AG14"/>
      <c r="AH14" s="11">
        <v>2.8963337535969913E-4</v>
      </c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206</v>
      </c>
      <c r="B15">
        <v>1.2000000476837158</v>
      </c>
      <c r="C15">
        <v>2.0438576117157936E-2</v>
      </c>
      <c r="D15" s="14">
        <v>1.2500000884756446E-3</v>
      </c>
      <c r="E15" s="18">
        <v>1.3749999925494194E-2</v>
      </c>
      <c r="F15"/>
      <c r="G15"/>
      <c r="H15"/>
      <c r="I15"/>
      <c r="J15"/>
      <c r="K15"/>
      <c r="L15"/>
      <c r="M15"/>
      <c r="N15"/>
      <c r="O15" s="194">
        <v>8.3077490329742432E-2</v>
      </c>
      <c r="P15"/>
      <c r="Q15" s="12">
        <v>3.7980000488460064E-3</v>
      </c>
      <c r="R15" s="194">
        <v>8.2938864827156067E-2</v>
      </c>
      <c r="S15" s="66">
        <v>7.1500010788440704E-2</v>
      </c>
      <c r="T15" s="78">
        <v>0.20243449509143829</v>
      </c>
      <c r="U15"/>
      <c r="V15" s="200">
        <v>0.1624000072479248</v>
      </c>
      <c r="W15" s="213">
        <v>0.41324999928474426</v>
      </c>
      <c r="X15"/>
      <c r="Y15" s="12">
        <v>3.5703529138118029E-3</v>
      </c>
      <c r="Z15"/>
      <c r="AA15"/>
      <c r="AB15" s="29">
        <v>5.6937649846076965E-2</v>
      </c>
      <c r="AC15" s="65">
        <v>4.9533005803823471E-2</v>
      </c>
      <c r="AD15"/>
      <c r="AE15" s="150">
        <v>3.5121690481901169E-2</v>
      </c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207</v>
      </c>
      <c r="B16">
        <v>0.69999998807907104</v>
      </c>
      <c r="C16">
        <v>3.6455690860748291E-3</v>
      </c>
      <c r="D16"/>
      <c r="E16" s="184">
        <v>0.15298186242580414</v>
      </c>
      <c r="F16"/>
      <c r="G16"/>
      <c r="H16"/>
      <c r="I16"/>
      <c r="J16"/>
      <c r="K16"/>
      <c r="L16"/>
      <c r="M16"/>
      <c r="N16"/>
      <c r="O16" s="24">
        <v>1.9147796556353569E-2</v>
      </c>
      <c r="P16"/>
      <c r="Q16" s="219">
        <v>0.2363491952419281</v>
      </c>
      <c r="R16"/>
      <c r="S16"/>
      <c r="T16" s="215">
        <v>0.17496500909328461</v>
      </c>
      <c r="U16"/>
      <c r="V16"/>
      <c r="W16"/>
      <c r="X16"/>
      <c r="Y16" s="77">
        <v>9.8747879266738892E-2</v>
      </c>
      <c r="Z16"/>
      <c r="AA16"/>
      <c r="AB16"/>
      <c r="AC16"/>
      <c r="AD16"/>
      <c r="AE16" s="23">
        <v>4.139430820941925E-3</v>
      </c>
      <c r="AF16"/>
      <c r="AG16"/>
      <c r="AH16" s="17">
        <v>1.0023267939686775E-2</v>
      </c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208</v>
      </c>
      <c r="B17">
        <v>1.5</v>
      </c>
      <c r="C17">
        <v>2.5660693645477295E-3</v>
      </c>
      <c r="D17" s="11">
        <v>1.1448197765275836E-3</v>
      </c>
      <c r="E17" s="25">
        <v>4.579278826713562E-2</v>
      </c>
      <c r="F17"/>
      <c r="G17"/>
      <c r="H17"/>
      <c r="I17"/>
      <c r="J17"/>
      <c r="K17" s="15">
        <v>1.5552377328276634E-2</v>
      </c>
      <c r="L17"/>
      <c r="M17"/>
      <c r="N17"/>
      <c r="O17" s="196">
        <v>5.072467029094696E-2</v>
      </c>
      <c r="P17" s="22">
        <v>1.1790699325501919E-2</v>
      </c>
      <c r="Q17" s="64">
        <v>3.130577877163887E-2</v>
      </c>
      <c r="R17" s="20">
        <v>6.3300028443336487E-2</v>
      </c>
      <c r="S17" s="27">
        <v>0.11459646373987198</v>
      </c>
      <c r="T17" s="67">
        <v>0.13905060291290283</v>
      </c>
      <c r="U17"/>
      <c r="V17" s="236">
        <v>0.80874639749526978</v>
      </c>
      <c r="W17" s="223">
        <v>0.17346881330013275</v>
      </c>
      <c r="X17"/>
      <c r="Y17" s="23">
        <v>8.1748208031058311E-3</v>
      </c>
      <c r="Z17"/>
      <c r="AA17"/>
      <c r="AB17"/>
      <c r="AC17" s="22">
        <v>1.1341271921992302E-2</v>
      </c>
      <c r="AD17"/>
      <c r="AE17" s="12">
        <v>4.5690913684666157E-3</v>
      </c>
      <c r="AF17" s="11">
        <v>1.534058537799865E-5</v>
      </c>
      <c r="AG17"/>
      <c r="AH17" s="18">
        <v>1.7859896644949913E-2</v>
      </c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209</v>
      </c>
      <c r="B18">
        <v>1</v>
      </c>
      <c r="C18">
        <v>9.734809398651123E-3</v>
      </c>
      <c r="D18"/>
      <c r="E18" s="28">
        <v>3.6206893622875214E-2</v>
      </c>
      <c r="F18"/>
      <c r="G18"/>
      <c r="H18"/>
      <c r="I18"/>
      <c r="J18"/>
      <c r="K18"/>
      <c r="L18"/>
      <c r="M18"/>
      <c r="N18" s="19">
        <v>1.7390897497534752E-2</v>
      </c>
      <c r="O18"/>
      <c r="P18"/>
      <c r="Q18" s="26">
        <v>2.6193100959062576E-2</v>
      </c>
      <c r="R18" s="76">
        <v>6.5588429570198059E-2</v>
      </c>
      <c r="S18"/>
      <c r="T18" s="65">
        <v>4.1882999241352081E-2</v>
      </c>
      <c r="U18"/>
      <c r="V18" s="240">
        <v>0.67199993133544922</v>
      </c>
      <c r="W18" s="224">
        <v>0.10830000042915344</v>
      </c>
      <c r="X18"/>
      <c r="Y18" s="15">
        <v>9.8492493852972984E-3</v>
      </c>
      <c r="Z18"/>
      <c r="AA18"/>
      <c r="AB18"/>
      <c r="AC18"/>
      <c r="AD18"/>
      <c r="AE18"/>
      <c r="AF18"/>
      <c r="AG18"/>
      <c r="AH18" s="17">
        <v>1.2853731401264668E-2</v>
      </c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210</v>
      </c>
      <c r="B19">
        <v>0.89999997615814209</v>
      </c>
      <c r="C19">
        <v>5.0220605917274952E-3</v>
      </c>
      <c r="D19" s="12">
        <v>3.0000000260770321E-3</v>
      </c>
      <c r="E19" s="185">
        <v>4.8000000417232513E-2</v>
      </c>
      <c r="F19"/>
      <c r="G19"/>
      <c r="H19"/>
      <c r="I19"/>
      <c r="J19"/>
      <c r="K19" s="18">
        <v>1.0868001729249954E-2</v>
      </c>
      <c r="L19"/>
      <c r="M19"/>
      <c r="N19" s="206">
        <v>0.10086720436811447</v>
      </c>
      <c r="O19"/>
      <c r="P19"/>
      <c r="Q19"/>
      <c r="R19" s="210">
        <v>0.13270218670368195</v>
      </c>
      <c r="S19" s="222">
        <v>0.28600004315376282</v>
      </c>
      <c r="T19" s="218">
        <v>0.24697010219097137</v>
      </c>
      <c r="U19"/>
      <c r="V19"/>
      <c r="W19"/>
      <c r="X19"/>
      <c r="Y19" s="25">
        <v>2.8562823310494423E-2</v>
      </c>
      <c r="Z19"/>
      <c r="AA19"/>
      <c r="AB19"/>
      <c r="AC19"/>
      <c r="AD19"/>
      <c r="AE19"/>
      <c r="AF19" s="11">
        <v>4.556000349111855E-4</v>
      </c>
      <c r="AG19"/>
      <c r="AH19" s="65">
        <v>3.7551932036876678E-2</v>
      </c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211</v>
      </c>
      <c r="B20">
        <v>1.6000000238418579</v>
      </c>
      <c r="C20">
        <v>4.0905000641942024E-3</v>
      </c>
      <c r="D20" s="14">
        <v>2.1299254149198532E-3</v>
      </c>
      <c r="E20" s="26">
        <v>4.1001066565513611E-2</v>
      </c>
      <c r="F20"/>
      <c r="G20"/>
      <c r="H20"/>
      <c r="I20"/>
      <c r="J20"/>
      <c r="K20"/>
      <c r="L20"/>
      <c r="M20"/>
      <c r="N20" s="22">
        <v>1.3427476398646832E-2</v>
      </c>
      <c r="O20" s="227">
        <v>0.29491481184959412</v>
      </c>
      <c r="P20"/>
      <c r="Q20" s="65">
        <v>6.4715653657913208E-2</v>
      </c>
      <c r="R20"/>
      <c r="S20" s="221">
        <v>0.15228968858718872</v>
      </c>
      <c r="T20" s="108">
        <v>0.10779260098934174</v>
      </c>
      <c r="U20"/>
      <c r="V20" s="238">
        <v>0.81286466121673584</v>
      </c>
      <c r="W20" s="21">
        <v>3.2273698598146439E-2</v>
      </c>
      <c r="X20"/>
      <c r="Y20" s="14">
        <v>3.8022927474230528E-3</v>
      </c>
      <c r="Z20"/>
      <c r="AA20"/>
      <c r="AB20" s="192">
        <v>3.6381881684064865E-2</v>
      </c>
      <c r="AC20"/>
      <c r="AD20"/>
      <c r="AE20" s="12">
        <v>5.1004486158490181E-3</v>
      </c>
      <c r="AF20" s="11">
        <v>1.4270500978454947E-3</v>
      </c>
      <c r="AG20"/>
      <c r="AH20" s="19">
        <v>2.7788147330284119E-2</v>
      </c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212</v>
      </c>
      <c r="B21">
        <v>1.4140000343322754</v>
      </c>
      <c r="C21">
        <v>0.22900740802288055</v>
      </c>
      <c r="D21"/>
      <c r="E21" s="186">
        <v>0.10132158547639847</v>
      </c>
      <c r="F21"/>
      <c r="G21"/>
      <c r="H21"/>
      <c r="I21"/>
      <c r="J21"/>
      <c r="K21"/>
      <c r="L21"/>
      <c r="M21"/>
      <c r="N21"/>
      <c r="O21" s="216">
        <v>0.4635748565196991</v>
      </c>
      <c r="P21"/>
      <c r="Q21" s="195">
        <v>0.16731277108192444</v>
      </c>
      <c r="R21" s="25">
        <v>4.3844331055879593E-2</v>
      </c>
      <c r="S21"/>
      <c r="T21"/>
      <c r="U21"/>
      <c r="V21"/>
      <c r="W21"/>
      <c r="X21"/>
      <c r="Y21" s="214">
        <v>0.40893909335136414</v>
      </c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213</v>
      </c>
      <c r="B22">
        <v>1.6419999599456787</v>
      </c>
      <c r="C22">
        <v>9.807635797187686E-4</v>
      </c>
      <c r="D22" s="179">
        <v>0.22540193796157837</v>
      </c>
      <c r="E22" s="180">
        <v>0.13890676200389862</v>
      </c>
      <c r="F22"/>
      <c r="G22"/>
      <c r="H22"/>
      <c r="I22"/>
      <c r="J22"/>
      <c r="K22"/>
      <c r="L22"/>
      <c r="M22"/>
      <c r="N22"/>
      <c r="O22" s="237">
        <v>0.47014918923377991</v>
      </c>
      <c r="P22"/>
      <c r="Q22" s="196">
        <v>5.3245272487401962E-2</v>
      </c>
      <c r="R22" s="12">
        <v>7.1115852333605289E-3</v>
      </c>
      <c r="S22" s="147">
        <v>0.16553059220314026</v>
      </c>
      <c r="T22" s="143">
        <v>0.21089640259742737</v>
      </c>
      <c r="U22"/>
      <c r="V22"/>
      <c r="W22" s="225">
        <v>0.14173634350299835</v>
      </c>
      <c r="X22"/>
      <c r="Y22" s="19">
        <v>2.7552563697099686E-2</v>
      </c>
      <c r="Z22"/>
      <c r="AA22"/>
      <c r="AB22" s="14">
        <v>3.6615852732211351E-3</v>
      </c>
      <c r="AC22" s="74">
        <v>0.12741610407829285</v>
      </c>
      <c r="AD22"/>
      <c r="AE22" s="65">
        <v>6.6116251051425934E-2</v>
      </c>
      <c r="AF22" s="11">
        <v>1.7234728147741407E-4</v>
      </c>
      <c r="AG22" s="11">
        <v>1.4354984741657972E-3</v>
      </c>
      <c r="AH22" s="14">
        <v>1.6868895618245006E-3</v>
      </c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 t="s">
        <v>214</v>
      </c>
      <c r="B23">
        <v>1.2799999713897705</v>
      </c>
      <c r="C23">
        <v>5.281524732708931E-3</v>
      </c>
      <c r="D23" s="180">
        <v>0.10869987308979034</v>
      </c>
      <c r="E23"/>
      <c r="F23"/>
      <c r="G23"/>
      <c r="H23"/>
      <c r="I23"/>
      <c r="J23"/>
      <c r="K23"/>
      <c r="L23"/>
      <c r="M23"/>
      <c r="N23"/>
      <c r="O23" s="241">
        <v>0.51510947942733765</v>
      </c>
      <c r="P23"/>
      <c r="Q23" s="64">
        <v>2.6492541655898094E-2</v>
      </c>
      <c r="R23" s="14">
        <v>2.9997909441590309E-3</v>
      </c>
      <c r="S23" s="20">
        <v>5.5415626615285873E-2</v>
      </c>
      <c r="T23" s="67">
        <v>0.11767167598009109</v>
      </c>
      <c r="U23"/>
      <c r="V23" s="235">
        <v>0.26746755838394165</v>
      </c>
      <c r="W23" s="150">
        <v>3.8434412330389023E-2</v>
      </c>
      <c r="X23"/>
      <c r="Y23" s="17">
        <v>1.6603076830506325E-2</v>
      </c>
      <c r="Z23"/>
      <c r="AA23"/>
      <c r="AB23" s="14">
        <v>2.2064580116420984E-3</v>
      </c>
      <c r="AC23" s="193">
        <v>9.5975607633590698E-2</v>
      </c>
      <c r="AD23"/>
      <c r="AE23" s="21">
        <v>2.4436891078948975E-2</v>
      </c>
      <c r="AF23" s="11">
        <v>5.1927927415817976E-4</v>
      </c>
      <c r="AG23" s="11">
        <v>1.0812827385962009E-3</v>
      </c>
      <c r="AH23" s="14">
        <v>1.6050214180722833E-3</v>
      </c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 t="s">
        <v>215</v>
      </c>
      <c r="B24">
        <v>1.1000000238418579</v>
      </c>
      <c r="C24">
        <v>1.6286373138427734E-3</v>
      </c>
      <c r="D24" s="78">
        <v>0.18633539974689484</v>
      </c>
      <c r="E24" s="187">
        <v>0.19762846827507019</v>
      </c>
      <c r="F24"/>
      <c r="G24"/>
      <c r="H24"/>
      <c r="I24"/>
      <c r="J24"/>
      <c r="K24"/>
      <c r="L24"/>
      <c r="M24"/>
      <c r="N24"/>
      <c r="O24" s="211">
        <v>0.4065527617931366</v>
      </c>
      <c r="P24"/>
      <c r="Q24" s="195">
        <v>0.12867304682731628</v>
      </c>
      <c r="R24" s="11">
        <v>6.2442204216495156E-4</v>
      </c>
      <c r="S24"/>
      <c r="T24"/>
      <c r="U24"/>
      <c r="V24"/>
      <c r="W24"/>
      <c r="X24"/>
      <c r="Y24" s="11">
        <v>4.0320187690667808E-4</v>
      </c>
      <c r="Z24"/>
      <c r="AA24"/>
      <c r="AB24"/>
      <c r="AC24" s="68">
        <v>5.5937893688678741E-2</v>
      </c>
      <c r="AD24"/>
      <c r="AE24" s="193">
        <v>8.1129103899002075E-2</v>
      </c>
      <c r="AF24" s="22">
        <v>7.566346786916256E-3</v>
      </c>
      <c r="AG24"/>
      <c r="AH24" s="25">
        <v>3.3520717173814774E-2</v>
      </c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 t="s">
        <v>216</v>
      </c>
      <c r="B25">
        <v>1.121999979019165</v>
      </c>
      <c r="C25">
        <v>4.8199165612459183E-3</v>
      </c>
      <c r="D25" s="181">
        <v>0.19999998807907104</v>
      </c>
      <c r="E25" s="188">
        <v>0.11818181723356247</v>
      </c>
      <c r="F25"/>
      <c r="G25"/>
      <c r="H25"/>
      <c r="I25"/>
      <c r="J25"/>
      <c r="K25"/>
      <c r="L25"/>
      <c r="M25"/>
      <c r="N25"/>
      <c r="O25" s="204">
        <v>0.30209997296333313</v>
      </c>
      <c r="P25"/>
      <c r="Q25" s="107">
        <v>0.13810907304286957</v>
      </c>
      <c r="R25" s="66">
        <v>6.7021302878856659E-2</v>
      </c>
      <c r="S25"/>
      <c r="T25"/>
      <c r="U25"/>
      <c r="V25" s="20">
        <v>4.9212120473384857E-2</v>
      </c>
      <c r="W25" s="199">
        <v>0.18366667628288269</v>
      </c>
      <c r="X25"/>
      <c r="Y25"/>
      <c r="Z25"/>
      <c r="AA25"/>
      <c r="AB25"/>
      <c r="AC25"/>
      <c r="AD25"/>
      <c r="AE25" s="68">
        <v>5.8052375912666321E-2</v>
      </c>
      <c r="AF25"/>
      <c r="AG25"/>
      <c r="AH25" s="11">
        <v>8.3671859465539455E-4</v>
      </c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 t="s">
        <v>217</v>
      </c>
      <c r="B26">
        <v>1.2050000429153442</v>
      </c>
      <c r="C26">
        <v>6.4540687017142773E-3</v>
      </c>
      <c r="D26" s="16">
        <v>1.8333332613110542E-2</v>
      </c>
      <c r="E26" s="74">
        <v>9.3333326280117035E-2</v>
      </c>
      <c r="F26"/>
      <c r="G26"/>
      <c r="H26"/>
      <c r="I26"/>
      <c r="J26"/>
      <c r="K26"/>
      <c r="L26"/>
      <c r="M26"/>
      <c r="N26"/>
      <c r="O26" s="226">
        <v>0.43384912610054016</v>
      </c>
      <c r="P26"/>
      <c r="Q26"/>
      <c r="R26"/>
      <c r="S26"/>
      <c r="T26" s="11">
        <v>3.3739081118255854E-4</v>
      </c>
      <c r="U26"/>
      <c r="V26" s="229">
        <v>0.50073331594467163</v>
      </c>
      <c r="W26"/>
      <c r="X26"/>
      <c r="Y26"/>
      <c r="Z26"/>
      <c r="AA26"/>
      <c r="AB26" s="25">
        <v>3.7958431988954544E-2</v>
      </c>
      <c r="AC26" s="24">
        <v>3.3022001385688782E-2</v>
      </c>
      <c r="AD26"/>
      <c r="AE26" s="196">
        <v>4.0443155914545059E-2</v>
      </c>
      <c r="AF26"/>
      <c r="AG26" s="12">
        <v>3.7203331012278795E-3</v>
      </c>
      <c r="AH26" s="25">
        <v>3.6815620958805084E-2</v>
      </c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 t="s">
        <v>218</v>
      </c>
      <c r="B27">
        <v>0.69800001382827759</v>
      </c>
      <c r="C27">
        <v>1.2302565388381481E-2</v>
      </c>
      <c r="D27" s="65">
        <v>2.9166668653488159E-2</v>
      </c>
      <c r="E27" s="189">
        <v>0.52083337306976318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 s="111">
        <v>0.13569743931293488</v>
      </c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 t="s">
        <v>219</v>
      </c>
      <c r="B28">
        <v>0.15999999642372131</v>
      </c>
      <c r="C28">
        <v>3.5000000149011612E-2</v>
      </c>
      <c r="D28"/>
      <c r="E28" s="190">
        <v>0.125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 t="s">
        <v>220</v>
      </c>
      <c r="B29">
        <v>4.7800002098083496</v>
      </c>
      <c r="C29">
        <v>4.7800002098083496</v>
      </c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 t="s">
        <v>221</v>
      </c>
      <c r="B30">
        <v>7.9999998211860657E-2</v>
      </c>
      <c r="C30">
        <v>6.3000001013278961E-2</v>
      </c>
      <c r="D30"/>
      <c r="E30" s="191">
        <v>1.7000000923871994E-2</v>
      </c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 t="s">
        <v>222</v>
      </c>
      <c r="B31"/>
      <c r="C31">
        <v>0.81229841709136963</v>
      </c>
      <c r="D31"/>
      <c r="E31"/>
      <c r="F31"/>
      <c r="G31"/>
      <c r="H31" s="9">
        <v>0.11867126077413559</v>
      </c>
      <c r="I31"/>
      <c r="J31" s="9">
        <v>9.4000007957220078E-3</v>
      </c>
      <c r="K31" s="9">
        <v>5.4340008646249771E-3</v>
      </c>
      <c r="L31"/>
      <c r="M31"/>
      <c r="N31"/>
      <c r="O31"/>
      <c r="P31"/>
      <c r="Q31"/>
      <c r="R31"/>
      <c r="S31" s="9">
        <v>2.8600005432963371E-2</v>
      </c>
      <c r="T31"/>
      <c r="U31"/>
      <c r="V31"/>
      <c r="W31"/>
      <c r="X31"/>
      <c r="Y31"/>
      <c r="Z31"/>
      <c r="AA31"/>
      <c r="AB31"/>
      <c r="AC31"/>
      <c r="AD31"/>
      <c r="AE31"/>
      <c r="AF31" s="9">
        <v>6.4320000819861889E-3</v>
      </c>
      <c r="AG31" s="9">
        <v>1.8973700702190399E-2</v>
      </c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 t="s">
        <v>223</v>
      </c>
      <c r="B32"/>
      <c r="C32">
        <v>0.67664700746536255</v>
      </c>
      <c r="D32"/>
      <c r="E32"/>
      <c r="F32"/>
      <c r="G32" s="9">
        <v>194.468994140625</v>
      </c>
      <c r="H32" s="9">
        <v>95.174346923828125</v>
      </c>
      <c r="I32" s="9">
        <v>146.00944519042969</v>
      </c>
      <c r="J32" s="9">
        <v>0.84600001573562622</v>
      </c>
      <c r="K32" s="9">
        <v>0.86400610208511353</v>
      </c>
      <c r="L32" s="9">
        <v>1.7691494226455688</v>
      </c>
      <c r="M32" s="9">
        <v>74.607452392578125</v>
      </c>
      <c r="N32"/>
      <c r="O32"/>
      <c r="P32" s="9">
        <v>0.56823039054870605</v>
      </c>
      <c r="Q32"/>
      <c r="R32" s="9">
        <v>1.5481920912861824E-2</v>
      </c>
      <c r="S32"/>
      <c r="T32"/>
      <c r="U32"/>
      <c r="V32"/>
      <c r="W32"/>
      <c r="X32"/>
      <c r="Y32"/>
      <c r="Z32"/>
      <c r="AA32"/>
      <c r="AB32"/>
      <c r="AC32"/>
      <c r="AD32" s="9">
        <v>0.14594399929046631</v>
      </c>
      <c r="AE32"/>
      <c r="AF32"/>
      <c r="AG32" s="9">
        <v>6.696600466966629E-2</v>
      </c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 t="s">
        <v>224</v>
      </c>
      <c r="B33"/>
      <c r="C33">
        <v>0</v>
      </c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5" sqref="D5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3.332031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3.332031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54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62" t="s">
        <v>166</v>
      </c>
    </row>
    <row r="2" spans="1:12" x14ac:dyDescent="0.15">
      <c r="A2" s="1" t="s">
        <v>37</v>
      </c>
      <c r="B2" s="39">
        <v>3</v>
      </c>
      <c r="C2" s="37"/>
      <c r="D2" t="s">
        <v>38</v>
      </c>
      <c r="E2">
        <v>1</v>
      </c>
      <c r="F2">
        <v>1</v>
      </c>
      <c r="G2">
        <v>1</v>
      </c>
      <c r="H2" t="s">
        <v>38</v>
      </c>
      <c r="J2" s="55"/>
      <c r="K2" s="56"/>
      <c r="L2" s="62" t="s">
        <v>167</v>
      </c>
    </row>
    <row r="3" spans="1:12" ht="14" thickBot="1" x14ac:dyDescent="0.2">
      <c r="A3" s="1" t="s">
        <v>39</v>
      </c>
      <c r="B3" s="40">
        <v>0</v>
      </c>
      <c r="C3" s="37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7"/>
      <c r="K3" s="58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7"/>
      <c r="K4" s="58"/>
    </row>
    <row r="5" spans="1:12" x14ac:dyDescent="0.15">
      <c r="D5" s="170" t="s">
        <v>193</v>
      </c>
      <c r="E5">
        <v>4</v>
      </c>
      <c r="F5">
        <v>2.1</v>
      </c>
      <c r="G5">
        <v>4</v>
      </c>
      <c r="H5" s="171" t="s">
        <v>193</v>
      </c>
      <c r="J5" s="57"/>
      <c r="K5" s="58"/>
    </row>
    <row r="6" spans="1:12" ht="14" thickBot="1" x14ac:dyDescent="0.2">
      <c r="A6" s="41" t="s">
        <v>121</v>
      </c>
      <c r="D6" s="170" t="s">
        <v>194</v>
      </c>
      <c r="E6">
        <v>5</v>
      </c>
      <c r="F6">
        <v>3.11</v>
      </c>
      <c r="G6">
        <v>5</v>
      </c>
      <c r="H6" s="171" t="s">
        <v>194</v>
      </c>
      <c r="J6" s="57"/>
      <c r="K6" s="58"/>
    </row>
    <row r="7" spans="1:12" x14ac:dyDescent="0.15">
      <c r="A7" s="36" t="s">
        <v>126</v>
      </c>
      <c r="B7" s="43">
        <v>1</v>
      </c>
      <c r="C7" s="38"/>
      <c r="D7" s="170" t="s">
        <v>195</v>
      </c>
      <c r="E7">
        <v>6</v>
      </c>
      <c r="F7">
        <v>3.21</v>
      </c>
      <c r="G7">
        <v>6</v>
      </c>
      <c r="H7" s="171" t="s">
        <v>195</v>
      </c>
      <c r="J7" s="57"/>
      <c r="K7" s="58"/>
    </row>
    <row r="8" spans="1:12" x14ac:dyDescent="0.15">
      <c r="A8" s="36" t="s">
        <v>38</v>
      </c>
      <c r="B8" s="44">
        <v>1</v>
      </c>
      <c r="C8" s="38"/>
      <c r="D8" s="170" t="s">
        <v>196</v>
      </c>
      <c r="E8">
        <v>7</v>
      </c>
      <c r="F8">
        <v>3.21</v>
      </c>
      <c r="G8">
        <v>7</v>
      </c>
      <c r="H8" s="171" t="s">
        <v>196</v>
      </c>
      <c r="J8" s="57"/>
      <c r="K8" s="58"/>
    </row>
    <row r="9" spans="1:12" x14ac:dyDescent="0.15">
      <c r="A9" s="36" t="s">
        <v>40</v>
      </c>
      <c r="B9" s="44">
        <v>1.1000000000000001</v>
      </c>
      <c r="C9" s="38"/>
      <c r="D9" s="170" t="s">
        <v>197</v>
      </c>
      <c r="E9">
        <v>8</v>
      </c>
      <c r="F9">
        <v>3.02</v>
      </c>
      <c r="G9">
        <v>8</v>
      </c>
      <c r="H9" s="171" t="s">
        <v>197</v>
      </c>
      <c r="J9" s="57"/>
      <c r="K9" s="58"/>
    </row>
    <row r="10" spans="1:12" x14ac:dyDescent="0.15">
      <c r="A10" s="36" t="s">
        <v>41</v>
      </c>
      <c r="B10" s="44">
        <v>1.2</v>
      </c>
      <c r="C10" s="38"/>
      <c r="D10" s="170" t="s">
        <v>198</v>
      </c>
      <c r="E10">
        <v>9</v>
      </c>
      <c r="F10">
        <v>3.21</v>
      </c>
      <c r="G10">
        <v>9</v>
      </c>
      <c r="H10" s="171" t="s">
        <v>198</v>
      </c>
      <c r="J10" s="57"/>
      <c r="K10" s="58"/>
    </row>
    <row r="11" spans="1:12" ht="12" customHeight="1" x14ac:dyDescent="0.15">
      <c r="A11" s="42" t="s">
        <v>127</v>
      </c>
      <c r="B11" s="44">
        <v>2</v>
      </c>
      <c r="C11" s="38"/>
      <c r="D11" s="170" t="s">
        <v>199</v>
      </c>
      <c r="E11">
        <v>10</v>
      </c>
      <c r="F11">
        <v>3.21</v>
      </c>
      <c r="G11">
        <v>10</v>
      </c>
      <c r="H11" s="171" t="s">
        <v>199</v>
      </c>
      <c r="J11" s="57"/>
      <c r="K11" s="58"/>
    </row>
    <row r="12" spans="1:12" x14ac:dyDescent="0.15">
      <c r="A12" s="36" t="s">
        <v>42</v>
      </c>
      <c r="B12" s="44">
        <v>2.1</v>
      </c>
      <c r="C12" s="38"/>
      <c r="D12" s="170" t="s">
        <v>200</v>
      </c>
      <c r="E12">
        <v>11</v>
      </c>
      <c r="F12">
        <v>3.21</v>
      </c>
      <c r="G12">
        <v>11</v>
      </c>
      <c r="H12" s="171" t="s">
        <v>200</v>
      </c>
      <c r="J12" s="57"/>
      <c r="K12" s="58"/>
    </row>
    <row r="13" spans="1:12" x14ac:dyDescent="0.15">
      <c r="A13" s="36" t="s">
        <v>43</v>
      </c>
      <c r="B13" s="44">
        <v>2.2000000000000002</v>
      </c>
      <c r="C13" s="38"/>
      <c r="D13" s="170" t="s">
        <v>201</v>
      </c>
      <c r="E13">
        <v>12</v>
      </c>
      <c r="F13">
        <v>3.23</v>
      </c>
      <c r="G13">
        <v>12</v>
      </c>
      <c r="H13" s="171" t="s">
        <v>201</v>
      </c>
      <c r="J13" s="57"/>
      <c r="K13" s="58"/>
    </row>
    <row r="14" spans="1:12" x14ac:dyDescent="0.15">
      <c r="A14" s="36" t="s">
        <v>67</v>
      </c>
      <c r="B14" s="44">
        <v>2.2999999999999998</v>
      </c>
      <c r="C14" s="38"/>
      <c r="D14" s="170" t="s">
        <v>202</v>
      </c>
      <c r="E14">
        <v>13</v>
      </c>
      <c r="F14">
        <v>3.13</v>
      </c>
      <c r="G14">
        <v>13</v>
      </c>
      <c r="H14" s="171" t="s">
        <v>202</v>
      </c>
      <c r="J14" s="57"/>
      <c r="K14" s="58"/>
    </row>
    <row r="15" spans="1:12" x14ac:dyDescent="0.15">
      <c r="A15" s="42" t="s">
        <v>128</v>
      </c>
      <c r="B15" s="44">
        <v>3</v>
      </c>
      <c r="C15" s="38"/>
      <c r="D15" s="170" t="s">
        <v>203</v>
      </c>
      <c r="E15">
        <v>14</v>
      </c>
      <c r="F15">
        <v>3.14</v>
      </c>
      <c r="G15">
        <v>14</v>
      </c>
      <c r="H15" s="171" t="s">
        <v>203</v>
      </c>
      <c r="J15" s="57"/>
      <c r="K15" s="58"/>
    </row>
    <row r="16" spans="1:12" x14ac:dyDescent="0.15">
      <c r="A16" s="36" t="s">
        <v>62</v>
      </c>
      <c r="B16" s="44">
        <v>3.11</v>
      </c>
      <c r="C16" s="38"/>
      <c r="D16" s="170" t="s">
        <v>204</v>
      </c>
      <c r="E16">
        <v>15</v>
      </c>
      <c r="F16">
        <v>3.14</v>
      </c>
      <c r="G16">
        <v>15</v>
      </c>
      <c r="H16" s="171" t="s">
        <v>204</v>
      </c>
      <c r="J16" s="57"/>
      <c r="K16" s="58"/>
    </row>
    <row r="17" spans="1:12" x14ac:dyDescent="0.15">
      <c r="A17" s="36" t="s">
        <v>61</v>
      </c>
      <c r="B17" s="44">
        <v>3.12</v>
      </c>
      <c r="C17" s="38"/>
      <c r="D17" s="170" t="s">
        <v>205</v>
      </c>
      <c r="E17">
        <v>16</v>
      </c>
      <c r="F17">
        <v>3.24</v>
      </c>
      <c r="G17">
        <v>16</v>
      </c>
      <c r="H17" s="171" t="s">
        <v>205</v>
      </c>
      <c r="J17" s="57"/>
      <c r="K17" s="58"/>
    </row>
    <row r="18" spans="1:12" x14ac:dyDescent="0.15">
      <c r="A18" s="36" t="s">
        <v>68</v>
      </c>
      <c r="B18" s="44">
        <v>3.13</v>
      </c>
      <c r="C18" s="38"/>
      <c r="D18" s="170" t="s">
        <v>206</v>
      </c>
      <c r="E18">
        <v>17</v>
      </c>
      <c r="F18">
        <v>3.24</v>
      </c>
      <c r="G18">
        <v>17</v>
      </c>
      <c r="H18" s="171" t="s">
        <v>206</v>
      </c>
      <c r="J18" s="57"/>
      <c r="K18" s="58"/>
    </row>
    <row r="19" spans="1:12" x14ac:dyDescent="0.15">
      <c r="A19" s="36" t="s">
        <v>66</v>
      </c>
      <c r="B19" s="44">
        <v>3.21</v>
      </c>
      <c r="C19" s="38"/>
      <c r="D19" s="170" t="s">
        <v>207</v>
      </c>
      <c r="E19">
        <v>18</v>
      </c>
      <c r="F19">
        <v>3.14</v>
      </c>
      <c r="G19">
        <v>18</v>
      </c>
      <c r="H19" s="171" t="s">
        <v>207</v>
      </c>
      <c r="J19" s="57"/>
      <c r="K19" s="58"/>
    </row>
    <row r="20" spans="1:12" x14ac:dyDescent="0.15">
      <c r="A20" s="36" t="s">
        <v>63</v>
      </c>
      <c r="B20" s="44">
        <v>3.22</v>
      </c>
      <c r="C20" s="38"/>
      <c r="D20" s="170" t="s">
        <v>208</v>
      </c>
      <c r="E20">
        <v>19</v>
      </c>
      <c r="F20">
        <v>3.24</v>
      </c>
      <c r="G20">
        <v>19</v>
      </c>
      <c r="H20" s="171" t="s">
        <v>208</v>
      </c>
      <c r="J20" s="57"/>
      <c r="K20" s="58"/>
    </row>
    <row r="21" spans="1:12" ht="14" thickBot="1" x14ac:dyDescent="0.2">
      <c r="A21" s="36" t="s">
        <v>69</v>
      </c>
      <c r="B21" s="44">
        <v>3.23</v>
      </c>
      <c r="C21" s="38"/>
      <c r="D21" s="170" t="s">
        <v>209</v>
      </c>
      <c r="E21">
        <v>20</v>
      </c>
      <c r="F21">
        <v>3.24</v>
      </c>
      <c r="G21">
        <v>20</v>
      </c>
      <c r="H21" s="171" t="s">
        <v>209</v>
      </c>
      <c r="J21" s="59"/>
      <c r="K21" s="60"/>
      <c r="L21" s="62" t="s">
        <v>152</v>
      </c>
    </row>
    <row r="22" spans="1:12" x14ac:dyDescent="0.15">
      <c r="A22" s="36" t="s">
        <v>64</v>
      </c>
      <c r="B22" s="44">
        <v>8</v>
      </c>
      <c r="C22" s="38"/>
      <c r="D22" s="170" t="s">
        <v>210</v>
      </c>
      <c r="E22">
        <v>21</v>
      </c>
      <c r="F22">
        <v>3.24</v>
      </c>
      <c r="G22">
        <v>21</v>
      </c>
      <c r="H22" s="171" t="s">
        <v>210</v>
      </c>
    </row>
    <row r="23" spans="1:12" x14ac:dyDescent="0.15">
      <c r="A23" s="36" t="s">
        <v>129</v>
      </c>
      <c r="B23" s="44">
        <v>4</v>
      </c>
      <c r="C23" s="38"/>
      <c r="D23" s="170" t="s">
        <v>211</v>
      </c>
      <c r="E23">
        <v>22</v>
      </c>
      <c r="F23">
        <v>3.24</v>
      </c>
      <c r="G23">
        <v>22</v>
      </c>
      <c r="H23" s="171" t="s">
        <v>211</v>
      </c>
    </row>
    <row r="24" spans="1:12" x14ac:dyDescent="0.15">
      <c r="A24" s="36" t="s">
        <v>122</v>
      </c>
      <c r="B24" s="44">
        <v>4.0999999999999996</v>
      </c>
      <c r="C24" s="38"/>
      <c r="D24" s="170" t="s">
        <v>212</v>
      </c>
      <c r="E24">
        <v>23</v>
      </c>
      <c r="F24">
        <v>3.24</v>
      </c>
      <c r="G24">
        <v>23</v>
      </c>
      <c r="H24" s="171" t="s">
        <v>212</v>
      </c>
    </row>
    <row r="25" spans="1:12" x14ac:dyDescent="0.15">
      <c r="A25" s="36" t="s">
        <v>70</v>
      </c>
      <c r="B25" s="44">
        <v>4.2</v>
      </c>
      <c r="C25" s="38"/>
      <c r="D25" s="170" t="s">
        <v>213</v>
      </c>
      <c r="E25">
        <v>24</v>
      </c>
      <c r="F25">
        <v>3.14</v>
      </c>
      <c r="G25">
        <v>24</v>
      </c>
      <c r="H25" s="171" t="s">
        <v>213</v>
      </c>
    </row>
    <row r="26" spans="1:12" x14ac:dyDescent="0.15">
      <c r="A26" s="36" t="s">
        <v>123</v>
      </c>
      <c r="B26" s="44">
        <v>4.3</v>
      </c>
      <c r="C26" s="38"/>
      <c r="D26" s="170" t="s">
        <v>214</v>
      </c>
      <c r="E26">
        <v>25</v>
      </c>
      <c r="F26">
        <v>3.14</v>
      </c>
      <c r="G26">
        <v>25</v>
      </c>
      <c r="H26" s="171" t="s">
        <v>214</v>
      </c>
    </row>
    <row r="27" spans="1:12" x14ac:dyDescent="0.15">
      <c r="A27" s="36" t="s">
        <v>125</v>
      </c>
      <c r="B27" s="44">
        <v>6.1</v>
      </c>
      <c r="D27" s="170" t="s">
        <v>215</v>
      </c>
      <c r="E27">
        <v>26</v>
      </c>
      <c r="F27">
        <v>3.14</v>
      </c>
      <c r="G27">
        <v>26</v>
      </c>
      <c r="H27" s="171" t="s">
        <v>215</v>
      </c>
    </row>
    <row r="28" spans="1:12" x14ac:dyDescent="0.15">
      <c r="A28" s="36" t="s">
        <v>124</v>
      </c>
      <c r="B28" s="44">
        <v>6.2</v>
      </c>
      <c r="D28" s="170" t="s">
        <v>216</v>
      </c>
      <c r="E28">
        <v>27</v>
      </c>
      <c r="F28">
        <v>3.14</v>
      </c>
      <c r="G28">
        <v>27</v>
      </c>
      <c r="H28" s="171" t="s">
        <v>216</v>
      </c>
    </row>
    <row r="29" spans="1:12" x14ac:dyDescent="0.15">
      <c r="A29" s="36" t="s">
        <v>44</v>
      </c>
      <c r="B29" s="44">
        <v>5</v>
      </c>
      <c r="D29" s="170" t="s">
        <v>217</v>
      </c>
      <c r="E29">
        <v>28</v>
      </c>
      <c r="F29">
        <v>3.1</v>
      </c>
      <c r="G29">
        <v>28</v>
      </c>
      <c r="H29" s="171" t="s">
        <v>217</v>
      </c>
    </row>
    <row r="30" spans="1:12" x14ac:dyDescent="0.15">
      <c r="A30" s="36" t="s">
        <v>73</v>
      </c>
      <c r="B30" s="44">
        <v>7</v>
      </c>
      <c r="D30" s="170" t="s">
        <v>218</v>
      </c>
      <c r="E30">
        <v>29</v>
      </c>
      <c r="F30">
        <v>3.1</v>
      </c>
      <c r="G30">
        <v>29</v>
      </c>
      <c r="H30" s="171" t="s">
        <v>218</v>
      </c>
    </row>
    <row r="31" spans="1:12" x14ac:dyDescent="0.15">
      <c r="A31" s="36" t="s">
        <v>169</v>
      </c>
      <c r="B31" s="44">
        <v>3.14</v>
      </c>
      <c r="D31" s="170" t="s">
        <v>219</v>
      </c>
      <c r="E31">
        <v>30</v>
      </c>
      <c r="F31">
        <v>3.15</v>
      </c>
      <c r="G31">
        <v>30</v>
      </c>
      <c r="H31" s="171" t="s">
        <v>219</v>
      </c>
    </row>
    <row r="32" spans="1:12" ht="12" customHeight="1" thickBot="1" x14ac:dyDescent="0.2">
      <c r="A32" s="42" t="s">
        <v>170</v>
      </c>
      <c r="B32" s="45">
        <v>9</v>
      </c>
      <c r="D32" s="170" t="s">
        <v>220</v>
      </c>
      <c r="E32">
        <v>31</v>
      </c>
      <c r="F32">
        <v>3.16</v>
      </c>
      <c r="G32">
        <v>31</v>
      </c>
      <c r="H32" s="171" t="s">
        <v>220</v>
      </c>
    </row>
    <row r="33" spans="4:8" customFormat="1" ht="12" customHeight="1" x14ac:dyDescent="0.15">
      <c r="D33" s="170" t="s">
        <v>221</v>
      </c>
      <c r="E33">
        <v>32</v>
      </c>
      <c r="F33">
        <v>3.16</v>
      </c>
      <c r="G33">
        <v>32</v>
      </c>
      <c r="H33" s="171" t="s">
        <v>221</v>
      </c>
    </row>
    <row r="34" spans="4:8" customFormat="1" ht="12" customHeight="1" x14ac:dyDescent="0.15">
      <c r="D34" s="170" t="s">
        <v>222</v>
      </c>
      <c r="E34">
        <v>33</v>
      </c>
      <c r="F34">
        <v>4.22</v>
      </c>
      <c r="G34">
        <v>33</v>
      </c>
      <c r="H34" s="171" t="s">
        <v>222</v>
      </c>
    </row>
    <row r="35" spans="4:8" customFormat="1" x14ac:dyDescent="0.15">
      <c r="D35" s="170" t="s">
        <v>223</v>
      </c>
      <c r="E35">
        <v>34</v>
      </c>
      <c r="F35">
        <v>4.0999999999999996</v>
      </c>
      <c r="G35">
        <v>34</v>
      </c>
      <c r="H35" s="171" t="s">
        <v>223</v>
      </c>
    </row>
    <row r="36" spans="4:8" customFormat="1" x14ac:dyDescent="0.15">
      <c r="D36" s="170" t="s">
        <v>224</v>
      </c>
      <c r="E36">
        <v>35</v>
      </c>
      <c r="F36">
        <v>4.3</v>
      </c>
      <c r="G36">
        <v>35</v>
      </c>
      <c r="H36" s="171" t="s">
        <v>224</v>
      </c>
    </row>
    <row r="37" spans="4:8" customFormat="1" ht="12" customHeight="1" x14ac:dyDescent="0.15">
      <c r="D37" s="170" t="s">
        <v>225</v>
      </c>
      <c r="E37">
        <v>36</v>
      </c>
      <c r="F37">
        <v>5</v>
      </c>
      <c r="G37">
        <v>36</v>
      </c>
      <c r="H37" s="171" t="s">
        <v>225</v>
      </c>
    </row>
    <row r="38" spans="4:8" customFormat="1" x14ac:dyDescent="0.15">
      <c r="D38" s="170" t="s">
        <v>226</v>
      </c>
      <c r="E38">
        <v>37</v>
      </c>
      <c r="F38">
        <v>5</v>
      </c>
      <c r="G38">
        <v>37</v>
      </c>
      <c r="H38" s="171" t="s">
        <v>226</v>
      </c>
    </row>
    <row r="39" spans="4:8" customFormat="1" x14ac:dyDescent="0.15">
      <c r="D39" s="170" t="s">
        <v>138</v>
      </c>
      <c r="E39">
        <v>38</v>
      </c>
      <c r="F39">
        <v>6.1</v>
      </c>
      <c r="G39">
        <v>38</v>
      </c>
      <c r="H39" s="171" t="s">
        <v>138</v>
      </c>
    </row>
    <row r="40" spans="4:8" customFormat="1" x14ac:dyDescent="0.15">
      <c r="D40" s="170" t="s">
        <v>45</v>
      </c>
      <c r="E40">
        <v>39</v>
      </c>
      <c r="F40">
        <v>6.2</v>
      </c>
      <c r="G40">
        <v>39</v>
      </c>
      <c r="H40" s="171" t="s">
        <v>45</v>
      </c>
    </row>
    <row r="41" spans="4:8" customFormat="1" x14ac:dyDescent="0.15"/>
    <row r="42" spans="4:8" customFormat="1" x14ac:dyDescent="0.15"/>
    <row r="43" spans="4:8" customFormat="1" x14ac:dyDescent="0.15"/>
    <row r="44" spans="4:8" customFormat="1" x14ac:dyDescent="0.15"/>
    <row r="45" spans="4:8" customFormat="1" x14ac:dyDescent="0.15"/>
    <row r="46" spans="4:8" customFormat="1" x14ac:dyDescent="0.15"/>
    <row r="47" spans="4:8" customFormat="1" x14ac:dyDescent="0.15"/>
    <row r="48" spans="4: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1" workbookViewId="0">
      <pane ySplit="2" topLeftCell="A3" activePane="bottomLeft" state="frozen"/>
      <selection pane="bottomLeft" activeCell="T7" sqref="T7"/>
    </sheetView>
  </sheetViews>
  <sheetFormatPr baseColWidth="10" defaultColWidth="11.5" defaultRowHeight="15" customHeight="1" x14ac:dyDescent="0.15"/>
  <cols>
    <col min="1" max="1" width="40.1640625" style="84" bestFit="1" customWidth="1"/>
    <col min="2" max="2" width="5.83203125" style="83" customWidth="1"/>
    <col min="3" max="3" width="13.1640625" style="83" customWidth="1"/>
    <col min="4" max="4" width="39.6640625" style="83" customWidth="1"/>
    <col min="5" max="5" width="8.1640625" style="83" customWidth="1"/>
    <col min="6" max="6" width="23.33203125" style="83" bestFit="1" customWidth="1"/>
    <col min="7" max="9" width="2.33203125" style="83" customWidth="1"/>
    <col min="10" max="10" width="2.33203125" style="83" bestFit="1" customWidth="1"/>
    <col min="11" max="15" width="2.33203125" style="83" customWidth="1"/>
    <col min="16" max="16" width="2.33203125" style="71" customWidth="1"/>
    <col min="17" max="17" width="2.33203125" style="83" customWidth="1"/>
    <col min="18" max="18" width="2.33203125" style="72" customWidth="1"/>
    <col min="19" max="16384" width="11.5" style="83"/>
  </cols>
  <sheetData>
    <row r="1" spans="1:23" ht="15" customHeight="1" thickBot="1" x14ac:dyDescent="0.2">
      <c r="F1" s="1"/>
      <c r="G1" s="69" t="s">
        <v>46</v>
      </c>
      <c r="H1" s="69" t="s">
        <v>47</v>
      </c>
      <c r="I1" s="69" t="s">
        <v>120</v>
      </c>
      <c r="J1" s="69" t="s">
        <v>132</v>
      </c>
      <c r="K1" s="85" t="s">
        <v>48</v>
      </c>
      <c r="L1" s="72"/>
      <c r="M1" s="85" t="s">
        <v>119</v>
      </c>
      <c r="N1" s="72"/>
      <c r="O1" s="85" t="s">
        <v>49</v>
      </c>
      <c r="P1" s="75"/>
      <c r="Q1" s="85" t="s">
        <v>50</v>
      </c>
      <c r="R1" s="69" t="s">
        <v>154</v>
      </c>
    </row>
    <row r="2" spans="1:23" ht="15" customHeight="1" x14ac:dyDescent="0.15">
      <c r="A2" s="85" t="s">
        <v>51</v>
      </c>
      <c r="B2" s="86">
        <v>0.5</v>
      </c>
      <c r="C2" s="84" t="s">
        <v>52</v>
      </c>
      <c r="D2" s="87"/>
      <c r="F2" s="1"/>
      <c r="G2" s="88"/>
      <c r="H2" s="88"/>
      <c r="I2" s="88" t="s">
        <v>133</v>
      </c>
      <c r="J2" s="88" t="s">
        <v>133</v>
      </c>
      <c r="K2" s="88" t="s">
        <v>52</v>
      </c>
      <c r="L2" s="88" t="s">
        <v>53</v>
      </c>
      <c r="M2" s="88" t="s">
        <v>52</v>
      </c>
      <c r="N2" s="88" t="s">
        <v>53</v>
      </c>
      <c r="O2" s="88" t="s">
        <v>52</v>
      </c>
      <c r="P2" s="89" t="s">
        <v>53</v>
      </c>
      <c r="Q2" s="88"/>
      <c r="R2" s="90" t="s">
        <v>155</v>
      </c>
    </row>
    <row r="3" spans="1:23" ht="15" customHeight="1" thickBot="1" x14ac:dyDescent="0.2">
      <c r="A3" s="85" t="s">
        <v>54</v>
      </c>
      <c r="B3" s="91">
        <v>0.5</v>
      </c>
      <c r="C3" s="84" t="s">
        <v>53</v>
      </c>
      <c r="D3" s="87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42">
        <v>0</v>
      </c>
      <c r="R3" s="38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42">
        <v>0</v>
      </c>
      <c r="R4" s="114">
        <v>0</v>
      </c>
    </row>
    <row r="5" spans="1:23" ht="15" customHeight="1" x14ac:dyDescent="0.15">
      <c r="A5" s="85" t="s">
        <v>55</v>
      </c>
      <c r="B5" s="92">
        <v>0.5</v>
      </c>
      <c r="C5" s="84" t="s">
        <v>52</v>
      </c>
      <c r="D5" s="87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42">
        <v>0</v>
      </c>
      <c r="R5" s="114">
        <v>0</v>
      </c>
    </row>
    <row r="6" spans="1:23" ht="15" customHeight="1" thickBot="1" x14ac:dyDescent="0.2">
      <c r="A6" s="85"/>
      <c r="B6" s="93">
        <v>0.5</v>
      </c>
      <c r="C6" s="84" t="s">
        <v>53</v>
      </c>
      <c r="D6" s="87"/>
      <c r="F6" s="172" t="s">
        <v>193</v>
      </c>
      <c r="G6" s="83">
        <v>0</v>
      </c>
      <c r="H6" s="83">
        <v>0</v>
      </c>
      <c r="I6" s="83">
        <v>0</v>
      </c>
      <c r="J6" s="83">
        <v>0</v>
      </c>
      <c r="K6" s="83">
        <v>0</v>
      </c>
      <c r="L6" s="83">
        <v>0</v>
      </c>
      <c r="M6" s="83">
        <v>1</v>
      </c>
      <c r="N6" s="83">
        <v>0</v>
      </c>
      <c r="O6" s="83">
        <v>0</v>
      </c>
      <c r="P6" s="71">
        <v>0</v>
      </c>
      <c r="Q6" s="83">
        <v>0</v>
      </c>
      <c r="R6" s="72">
        <v>1</v>
      </c>
      <c r="S6"/>
      <c r="T6"/>
    </row>
    <row r="7" spans="1:23" ht="15" customHeight="1" thickBot="1" x14ac:dyDescent="0.2">
      <c r="F7" s="172" t="s">
        <v>194</v>
      </c>
      <c r="G7" s="83">
        <v>0</v>
      </c>
      <c r="H7" s="83">
        <v>0</v>
      </c>
      <c r="I7" s="83">
        <v>0</v>
      </c>
      <c r="J7" s="83">
        <v>0</v>
      </c>
      <c r="K7" s="83">
        <v>1</v>
      </c>
      <c r="L7" s="83">
        <v>0</v>
      </c>
      <c r="M7" s="83">
        <v>1</v>
      </c>
      <c r="N7" s="83">
        <v>0</v>
      </c>
      <c r="O7" s="83">
        <v>1</v>
      </c>
      <c r="P7" s="71">
        <v>0</v>
      </c>
      <c r="Q7" s="83">
        <v>0</v>
      </c>
      <c r="R7" s="72">
        <v>1</v>
      </c>
      <c r="S7"/>
      <c r="T7"/>
    </row>
    <row r="8" spans="1:23" ht="15" customHeight="1" x14ac:dyDescent="0.15">
      <c r="A8" s="85" t="s">
        <v>56</v>
      </c>
      <c r="B8" s="92">
        <v>1</v>
      </c>
      <c r="C8" s="173" t="s">
        <v>193</v>
      </c>
      <c r="D8" s="87" t="s">
        <v>160</v>
      </c>
      <c r="F8" s="172" t="s">
        <v>195</v>
      </c>
      <c r="G8" s="83">
        <v>0</v>
      </c>
      <c r="H8" s="83">
        <v>0</v>
      </c>
      <c r="I8" s="83">
        <v>0</v>
      </c>
      <c r="J8" s="83">
        <v>0</v>
      </c>
      <c r="K8" s="83">
        <v>1</v>
      </c>
      <c r="L8" s="83">
        <v>0</v>
      </c>
      <c r="M8" s="83">
        <v>1</v>
      </c>
      <c r="N8" s="83">
        <v>0</v>
      </c>
      <c r="O8" s="83">
        <v>1</v>
      </c>
      <c r="P8" s="71">
        <v>0</v>
      </c>
      <c r="Q8" s="83">
        <v>0</v>
      </c>
      <c r="R8" s="72">
        <v>1</v>
      </c>
      <c r="S8"/>
      <c r="T8"/>
      <c r="W8"/>
    </row>
    <row r="9" spans="1:23" ht="15" customHeight="1" x14ac:dyDescent="0.15">
      <c r="A9" s="128" t="s">
        <v>168</v>
      </c>
      <c r="B9" s="94"/>
      <c r="C9" s="82"/>
      <c r="D9" s="87" t="s">
        <v>160</v>
      </c>
      <c r="F9" s="172" t="s">
        <v>196</v>
      </c>
      <c r="G9" s="83">
        <v>0</v>
      </c>
      <c r="H9" s="83">
        <v>0</v>
      </c>
      <c r="I9" s="83">
        <v>0</v>
      </c>
      <c r="J9" s="83">
        <v>0</v>
      </c>
      <c r="K9" s="83">
        <v>1</v>
      </c>
      <c r="L9" s="83">
        <v>0</v>
      </c>
      <c r="M9" s="83">
        <v>1</v>
      </c>
      <c r="N9" s="83">
        <v>0</v>
      </c>
      <c r="O9" s="83">
        <v>1</v>
      </c>
      <c r="P9" s="71">
        <v>0</v>
      </c>
      <c r="Q9" s="83">
        <v>0</v>
      </c>
      <c r="R9" s="72">
        <v>1</v>
      </c>
      <c r="S9"/>
      <c r="T9"/>
      <c r="W9"/>
    </row>
    <row r="10" spans="1:23" ht="15" customHeight="1" x14ac:dyDescent="0.15">
      <c r="B10" s="94"/>
      <c r="C10" s="82"/>
      <c r="D10" s="87" t="s">
        <v>160</v>
      </c>
      <c r="F10" s="172" t="s">
        <v>197</v>
      </c>
      <c r="G10" s="83">
        <v>0</v>
      </c>
      <c r="H10" s="83">
        <v>0</v>
      </c>
      <c r="I10" s="83">
        <v>0</v>
      </c>
      <c r="J10" s="83">
        <v>0</v>
      </c>
      <c r="K10" s="83">
        <v>1</v>
      </c>
      <c r="L10" s="83">
        <v>0</v>
      </c>
      <c r="M10" s="83">
        <v>1</v>
      </c>
      <c r="N10" s="83">
        <v>0</v>
      </c>
      <c r="O10" s="83">
        <v>1</v>
      </c>
      <c r="P10" s="71">
        <v>0</v>
      </c>
      <c r="Q10" s="83">
        <v>0</v>
      </c>
      <c r="R10" s="72">
        <v>1</v>
      </c>
      <c r="S10"/>
      <c r="T10"/>
      <c r="W10"/>
    </row>
    <row r="11" spans="1:23" ht="15" customHeight="1" x14ac:dyDescent="0.15">
      <c r="A11" s="85"/>
      <c r="B11" s="94"/>
      <c r="C11" s="97"/>
      <c r="D11" s="87" t="s">
        <v>160</v>
      </c>
      <c r="F11" s="172" t="s">
        <v>198</v>
      </c>
      <c r="G11" s="83">
        <v>0</v>
      </c>
      <c r="H11" s="83">
        <v>0</v>
      </c>
      <c r="I11" s="83">
        <v>0</v>
      </c>
      <c r="J11" s="83">
        <v>0</v>
      </c>
      <c r="K11" s="83">
        <v>1</v>
      </c>
      <c r="L11" s="83">
        <v>0</v>
      </c>
      <c r="M11" s="83">
        <v>1</v>
      </c>
      <c r="N11" s="83">
        <v>0</v>
      </c>
      <c r="O11" s="83">
        <v>1</v>
      </c>
      <c r="P11" s="71">
        <v>0</v>
      </c>
      <c r="Q11" s="83">
        <v>0</v>
      </c>
      <c r="R11" s="72">
        <v>1</v>
      </c>
      <c r="S11"/>
      <c r="T11"/>
      <c r="W11"/>
    </row>
    <row r="12" spans="1:23" ht="15" customHeight="1" x14ac:dyDescent="0.15">
      <c r="B12" s="94"/>
      <c r="C12" s="98"/>
      <c r="D12" s="87" t="s">
        <v>160</v>
      </c>
      <c r="F12" s="172" t="s">
        <v>199</v>
      </c>
      <c r="G12" s="83">
        <v>0</v>
      </c>
      <c r="H12" s="83">
        <v>0</v>
      </c>
      <c r="I12" s="83">
        <v>0</v>
      </c>
      <c r="J12" s="83">
        <v>0</v>
      </c>
      <c r="K12" s="83">
        <v>1</v>
      </c>
      <c r="L12" s="83">
        <v>0</v>
      </c>
      <c r="M12" s="83">
        <v>1</v>
      </c>
      <c r="N12" s="83">
        <v>0</v>
      </c>
      <c r="O12" s="83">
        <v>1</v>
      </c>
      <c r="P12" s="71">
        <v>0</v>
      </c>
      <c r="Q12" s="83">
        <v>0</v>
      </c>
      <c r="R12" s="72">
        <v>1</v>
      </c>
      <c r="S12"/>
      <c r="T12"/>
      <c r="W12"/>
    </row>
    <row r="13" spans="1:23" ht="15" customHeight="1" x14ac:dyDescent="0.15">
      <c r="B13" s="94"/>
      <c r="C13" s="98"/>
      <c r="D13" s="87" t="s">
        <v>160</v>
      </c>
      <c r="F13" s="172" t="s">
        <v>200</v>
      </c>
      <c r="G13" s="83">
        <v>0</v>
      </c>
      <c r="H13" s="83">
        <v>0</v>
      </c>
      <c r="I13" s="83">
        <v>0</v>
      </c>
      <c r="J13" s="83">
        <v>0</v>
      </c>
      <c r="K13" s="83">
        <v>1</v>
      </c>
      <c r="L13" s="83">
        <v>0</v>
      </c>
      <c r="M13" s="83">
        <v>1</v>
      </c>
      <c r="N13" s="83">
        <v>0</v>
      </c>
      <c r="O13" s="83">
        <v>1</v>
      </c>
      <c r="P13" s="71">
        <v>0</v>
      </c>
      <c r="Q13" s="83">
        <v>0</v>
      </c>
      <c r="R13" s="72">
        <v>1</v>
      </c>
      <c r="S13"/>
      <c r="T13"/>
      <c r="W13"/>
    </row>
    <row r="14" spans="1:23" ht="15" customHeight="1" x14ac:dyDescent="0.15">
      <c r="B14" s="94"/>
      <c r="C14" s="82"/>
      <c r="D14" s="87" t="s">
        <v>160</v>
      </c>
      <c r="F14" s="172" t="s">
        <v>201</v>
      </c>
      <c r="G14" s="83">
        <v>0</v>
      </c>
      <c r="H14" s="83">
        <v>0</v>
      </c>
      <c r="I14" s="83">
        <v>0</v>
      </c>
      <c r="J14" s="83">
        <v>0</v>
      </c>
      <c r="K14" s="83">
        <v>1</v>
      </c>
      <c r="L14" s="83">
        <v>0</v>
      </c>
      <c r="M14" s="83">
        <v>1</v>
      </c>
      <c r="N14" s="83">
        <v>0</v>
      </c>
      <c r="O14" s="83">
        <v>1</v>
      </c>
      <c r="P14" s="71">
        <v>0</v>
      </c>
      <c r="Q14" s="83">
        <v>0</v>
      </c>
      <c r="R14" s="72">
        <v>1</v>
      </c>
      <c r="S14"/>
      <c r="T14"/>
      <c r="W14"/>
    </row>
    <row r="15" spans="1:23" ht="15" customHeight="1" x14ac:dyDescent="0.15">
      <c r="B15" s="94"/>
      <c r="C15" s="82"/>
      <c r="D15" s="87" t="s">
        <v>160</v>
      </c>
      <c r="F15" s="172" t="s">
        <v>202</v>
      </c>
      <c r="G15" s="83">
        <v>0</v>
      </c>
      <c r="H15" s="83">
        <v>0</v>
      </c>
      <c r="I15" s="83">
        <v>0</v>
      </c>
      <c r="J15" s="83">
        <v>0</v>
      </c>
      <c r="K15" s="83">
        <v>1</v>
      </c>
      <c r="L15" s="83">
        <v>0</v>
      </c>
      <c r="M15" s="83">
        <v>1</v>
      </c>
      <c r="N15" s="83">
        <v>0</v>
      </c>
      <c r="O15" s="83">
        <v>1</v>
      </c>
      <c r="P15" s="71">
        <v>0</v>
      </c>
      <c r="Q15" s="83">
        <v>0</v>
      </c>
      <c r="R15" s="72">
        <v>1</v>
      </c>
      <c r="S15"/>
      <c r="T15"/>
      <c r="W15"/>
    </row>
    <row r="16" spans="1:23" ht="15" customHeight="1" x14ac:dyDescent="0.15">
      <c r="B16" s="94"/>
      <c r="C16" s="82"/>
      <c r="D16" s="87" t="s">
        <v>160</v>
      </c>
      <c r="F16" s="172" t="s">
        <v>203</v>
      </c>
      <c r="G16" s="83">
        <v>0</v>
      </c>
      <c r="H16" s="83">
        <v>0</v>
      </c>
      <c r="I16" s="83">
        <v>0</v>
      </c>
      <c r="J16" s="83">
        <v>0</v>
      </c>
      <c r="K16" s="83">
        <v>1</v>
      </c>
      <c r="L16" s="83">
        <v>0</v>
      </c>
      <c r="M16" s="83">
        <v>1</v>
      </c>
      <c r="N16" s="83">
        <v>0</v>
      </c>
      <c r="O16" s="83">
        <v>1</v>
      </c>
      <c r="P16" s="71">
        <v>0</v>
      </c>
      <c r="Q16" s="83">
        <v>0</v>
      </c>
      <c r="R16" s="72">
        <v>1</v>
      </c>
      <c r="S16"/>
      <c r="T16"/>
    </row>
    <row r="17" spans="1:20" ht="15" customHeight="1" thickBot="1" x14ac:dyDescent="0.2">
      <c r="B17" s="93"/>
      <c r="C17" s="82"/>
      <c r="D17" s="87" t="s">
        <v>160</v>
      </c>
      <c r="F17" s="172" t="s">
        <v>204</v>
      </c>
      <c r="G17" s="83">
        <v>0</v>
      </c>
      <c r="H17" s="83">
        <v>0</v>
      </c>
      <c r="I17" s="83">
        <v>0</v>
      </c>
      <c r="J17" s="83">
        <v>0</v>
      </c>
      <c r="K17" s="83">
        <v>1</v>
      </c>
      <c r="L17" s="83">
        <v>0</v>
      </c>
      <c r="M17" s="83">
        <v>1</v>
      </c>
      <c r="N17" s="83">
        <v>0</v>
      </c>
      <c r="O17" s="83">
        <v>1</v>
      </c>
      <c r="P17" s="71">
        <v>0</v>
      </c>
      <c r="Q17" s="83">
        <v>0</v>
      </c>
      <c r="R17" s="72">
        <v>1</v>
      </c>
      <c r="S17"/>
      <c r="T17"/>
    </row>
    <row r="18" spans="1:20" ht="15" customHeight="1" thickBot="1" x14ac:dyDescent="0.2">
      <c r="B18" s="95"/>
      <c r="F18" s="172" t="s">
        <v>205</v>
      </c>
      <c r="G18" s="83">
        <v>0</v>
      </c>
      <c r="H18" s="83">
        <v>0</v>
      </c>
      <c r="I18" s="83">
        <v>0</v>
      </c>
      <c r="J18" s="83">
        <v>0</v>
      </c>
      <c r="K18" s="83">
        <v>1</v>
      </c>
      <c r="L18" s="83">
        <v>0</v>
      </c>
      <c r="M18" s="83">
        <v>1</v>
      </c>
      <c r="N18" s="83">
        <v>0</v>
      </c>
      <c r="O18" s="83">
        <v>1</v>
      </c>
      <c r="P18" s="71">
        <v>0</v>
      </c>
      <c r="Q18" s="83">
        <v>0</v>
      </c>
      <c r="R18" s="72">
        <v>1</v>
      </c>
      <c r="S18"/>
      <c r="T18"/>
    </row>
    <row r="19" spans="1:20" ht="15" customHeight="1" x14ac:dyDescent="0.15">
      <c r="A19" s="85" t="s">
        <v>57</v>
      </c>
      <c r="B19" s="92">
        <v>1</v>
      </c>
      <c r="C19" s="174" t="s">
        <v>193</v>
      </c>
      <c r="D19" s="87" t="s">
        <v>160</v>
      </c>
      <c r="F19" s="172" t="s">
        <v>206</v>
      </c>
      <c r="G19" s="83">
        <v>0</v>
      </c>
      <c r="H19" s="83">
        <v>0</v>
      </c>
      <c r="I19" s="83">
        <v>0</v>
      </c>
      <c r="J19" s="83">
        <v>0</v>
      </c>
      <c r="K19" s="83">
        <v>1</v>
      </c>
      <c r="L19" s="83">
        <v>0</v>
      </c>
      <c r="M19" s="83">
        <v>1</v>
      </c>
      <c r="N19" s="83">
        <v>0</v>
      </c>
      <c r="O19" s="83">
        <v>1</v>
      </c>
      <c r="P19" s="71">
        <v>0</v>
      </c>
      <c r="Q19" s="83">
        <v>0</v>
      </c>
      <c r="R19" s="72">
        <v>1</v>
      </c>
      <c r="S19"/>
      <c r="T19"/>
    </row>
    <row r="20" spans="1:20" ht="15" customHeight="1" x14ac:dyDescent="0.15">
      <c r="A20" s="128" t="s">
        <v>168</v>
      </c>
      <c r="B20" s="94"/>
      <c r="C20" s="82"/>
      <c r="D20" s="87" t="s">
        <v>160</v>
      </c>
      <c r="F20" s="172" t="s">
        <v>207</v>
      </c>
      <c r="G20" s="83">
        <v>0</v>
      </c>
      <c r="H20" s="83">
        <v>0</v>
      </c>
      <c r="I20" s="83">
        <v>0</v>
      </c>
      <c r="J20" s="83">
        <v>0</v>
      </c>
      <c r="K20" s="83">
        <v>1</v>
      </c>
      <c r="L20" s="83">
        <v>0</v>
      </c>
      <c r="M20" s="83">
        <v>1</v>
      </c>
      <c r="N20" s="83">
        <v>0</v>
      </c>
      <c r="O20" s="83">
        <v>1</v>
      </c>
      <c r="P20" s="71">
        <v>0</v>
      </c>
      <c r="Q20" s="83">
        <v>0</v>
      </c>
      <c r="R20" s="72">
        <v>1</v>
      </c>
      <c r="S20"/>
      <c r="T20"/>
    </row>
    <row r="21" spans="1:20" ht="15" customHeight="1" x14ac:dyDescent="0.15">
      <c r="B21" s="94"/>
      <c r="C21" s="82"/>
      <c r="D21" s="87" t="s">
        <v>160</v>
      </c>
      <c r="F21" s="172" t="s">
        <v>208</v>
      </c>
      <c r="G21" s="83">
        <v>0</v>
      </c>
      <c r="H21" s="83">
        <v>0</v>
      </c>
      <c r="I21" s="83">
        <v>0</v>
      </c>
      <c r="J21" s="83">
        <v>0</v>
      </c>
      <c r="K21" s="83">
        <v>1</v>
      </c>
      <c r="L21" s="83">
        <v>0</v>
      </c>
      <c r="M21" s="83">
        <v>1</v>
      </c>
      <c r="N21" s="83">
        <v>0</v>
      </c>
      <c r="O21" s="83">
        <v>1</v>
      </c>
      <c r="P21" s="71">
        <v>0</v>
      </c>
      <c r="Q21" s="83">
        <v>0</v>
      </c>
      <c r="R21" s="72">
        <v>1</v>
      </c>
      <c r="S21"/>
      <c r="T21"/>
    </row>
    <row r="22" spans="1:20" ht="15" customHeight="1" x14ac:dyDescent="0.15">
      <c r="A22" s="83"/>
      <c r="B22" s="94"/>
      <c r="C22" s="97"/>
      <c r="D22" s="87" t="s">
        <v>160</v>
      </c>
      <c r="F22" s="172" t="s">
        <v>209</v>
      </c>
      <c r="G22" s="83">
        <v>0</v>
      </c>
      <c r="H22" s="83">
        <v>0</v>
      </c>
      <c r="I22" s="83">
        <v>0</v>
      </c>
      <c r="J22" s="83">
        <v>0</v>
      </c>
      <c r="K22" s="83">
        <v>1</v>
      </c>
      <c r="L22" s="83">
        <v>0</v>
      </c>
      <c r="M22" s="83">
        <v>1</v>
      </c>
      <c r="N22" s="83">
        <v>0</v>
      </c>
      <c r="O22" s="83">
        <v>1</v>
      </c>
      <c r="P22" s="71">
        <v>0</v>
      </c>
      <c r="Q22" s="83">
        <v>0</v>
      </c>
      <c r="R22" s="72">
        <v>1</v>
      </c>
      <c r="S22"/>
      <c r="T22"/>
    </row>
    <row r="23" spans="1:20" ht="15" customHeight="1" x14ac:dyDescent="0.15">
      <c r="A23" s="83"/>
      <c r="B23" s="94"/>
      <c r="C23" s="98"/>
      <c r="D23" s="87" t="s">
        <v>160</v>
      </c>
      <c r="F23" s="172" t="s">
        <v>210</v>
      </c>
      <c r="G23" s="83">
        <v>0</v>
      </c>
      <c r="H23" s="83">
        <v>0</v>
      </c>
      <c r="I23" s="83">
        <v>0</v>
      </c>
      <c r="J23" s="83">
        <v>0</v>
      </c>
      <c r="K23" s="83">
        <v>1</v>
      </c>
      <c r="L23" s="83">
        <v>0</v>
      </c>
      <c r="M23" s="83">
        <v>1</v>
      </c>
      <c r="N23" s="83">
        <v>0</v>
      </c>
      <c r="O23" s="83">
        <v>1</v>
      </c>
      <c r="P23" s="71">
        <v>0</v>
      </c>
      <c r="Q23" s="83">
        <v>0</v>
      </c>
      <c r="R23" s="72">
        <v>1</v>
      </c>
      <c r="S23"/>
      <c r="T23"/>
    </row>
    <row r="24" spans="1:20" ht="15" customHeight="1" x14ac:dyDescent="0.15">
      <c r="A24" s="83"/>
      <c r="B24" s="94"/>
      <c r="C24" s="98"/>
      <c r="D24" s="87" t="s">
        <v>160</v>
      </c>
      <c r="F24" s="172" t="s">
        <v>211</v>
      </c>
      <c r="G24" s="83">
        <v>0</v>
      </c>
      <c r="H24" s="83">
        <v>0</v>
      </c>
      <c r="I24" s="83">
        <v>0</v>
      </c>
      <c r="J24" s="83">
        <v>0</v>
      </c>
      <c r="K24" s="83">
        <v>1</v>
      </c>
      <c r="L24" s="83">
        <v>0</v>
      </c>
      <c r="M24" s="83">
        <v>1</v>
      </c>
      <c r="N24" s="83">
        <v>0</v>
      </c>
      <c r="O24" s="83">
        <v>1</v>
      </c>
      <c r="P24" s="71">
        <v>0</v>
      </c>
      <c r="Q24" s="83">
        <v>0</v>
      </c>
      <c r="R24" s="72">
        <v>1</v>
      </c>
      <c r="S24"/>
      <c r="T24"/>
    </row>
    <row r="25" spans="1:20" ht="15" customHeight="1" x14ac:dyDescent="0.15">
      <c r="A25" s="83"/>
      <c r="B25" s="94"/>
      <c r="C25" s="82"/>
      <c r="D25" s="87" t="s">
        <v>160</v>
      </c>
      <c r="F25" s="172" t="s">
        <v>212</v>
      </c>
      <c r="G25" s="83">
        <v>0</v>
      </c>
      <c r="H25" s="83">
        <v>0</v>
      </c>
      <c r="I25" s="83">
        <v>0</v>
      </c>
      <c r="J25" s="83">
        <v>0</v>
      </c>
      <c r="K25" s="83">
        <v>1</v>
      </c>
      <c r="L25" s="83">
        <v>0</v>
      </c>
      <c r="M25" s="83">
        <v>1</v>
      </c>
      <c r="N25" s="83">
        <v>0</v>
      </c>
      <c r="O25" s="83">
        <v>1</v>
      </c>
      <c r="P25" s="71">
        <v>0</v>
      </c>
      <c r="Q25" s="83">
        <v>0</v>
      </c>
      <c r="R25" s="72">
        <v>1</v>
      </c>
      <c r="S25"/>
      <c r="T25"/>
    </row>
    <row r="26" spans="1:20" ht="15" customHeight="1" x14ac:dyDescent="0.15">
      <c r="B26" s="94"/>
      <c r="C26" s="82"/>
      <c r="D26" s="87" t="s">
        <v>160</v>
      </c>
      <c r="F26" s="172" t="s">
        <v>213</v>
      </c>
      <c r="G26" s="83">
        <v>0</v>
      </c>
      <c r="H26" s="83">
        <v>0</v>
      </c>
      <c r="I26" s="83">
        <v>0</v>
      </c>
      <c r="J26" s="83">
        <v>0</v>
      </c>
      <c r="K26" s="83">
        <v>1</v>
      </c>
      <c r="L26" s="83">
        <v>0</v>
      </c>
      <c r="M26" s="83">
        <v>1</v>
      </c>
      <c r="N26" s="83">
        <v>0</v>
      </c>
      <c r="O26" s="83">
        <v>1</v>
      </c>
      <c r="P26" s="71">
        <v>0</v>
      </c>
      <c r="Q26" s="83">
        <v>0</v>
      </c>
      <c r="R26" s="72">
        <v>1</v>
      </c>
      <c r="S26"/>
      <c r="T26"/>
    </row>
    <row r="27" spans="1:20" ht="15" customHeight="1" x14ac:dyDescent="0.15">
      <c r="B27" s="94"/>
      <c r="C27" s="82"/>
      <c r="D27" s="87" t="s">
        <v>160</v>
      </c>
      <c r="F27" s="172" t="s">
        <v>214</v>
      </c>
      <c r="G27" s="83">
        <v>0</v>
      </c>
      <c r="H27" s="83">
        <v>0</v>
      </c>
      <c r="I27" s="83">
        <v>0</v>
      </c>
      <c r="J27" s="83">
        <v>0</v>
      </c>
      <c r="K27" s="83">
        <v>1</v>
      </c>
      <c r="L27" s="83">
        <v>0</v>
      </c>
      <c r="M27" s="83">
        <v>1</v>
      </c>
      <c r="N27" s="83">
        <v>0</v>
      </c>
      <c r="O27" s="83">
        <v>1</v>
      </c>
      <c r="P27" s="71">
        <v>0</v>
      </c>
      <c r="Q27" s="83">
        <v>0</v>
      </c>
      <c r="R27" s="72">
        <v>1</v>
      </c>
      <c r="S27"/>
      <c r="T27"/>
    </row>
    <row r="28" spans="1:20" ht="15" customHeight="1" thickBot="1" x14ac:dyDescent="0.2">
      <c r="B28" s="93"/>
      <c r="C28" s="82"/>
      <c r="D28" s="87" t="s">
        <v>160</v>
      </c>
      <c r="F28" s="172" t="s">
        <v>215</v>
      </c>
      <c r="G28" s="83">
        <v>0</v>
      </c>
      <c r="H28" s="83">
        <v>0</v>
      </c>
      <c r="I28" s="83">
        <v>0</v>
      </c>
      <c r="J28" s="83">
        <v>0</v>
      </c>
      <c r="K28" s="83">
        <v>1</v>
      </c>
      <c r="L28" s="83">
        <v>0</v>
      </c>
      <c r="M28" s="83">
        <v>1</v>
      </c>
      <c r="N28" s="83">
        <v>0</v>
      </c>
      <c r="O28" s="83">
        <v>1</v>
      </c>
      <c r="P28" s="71">
        <v>0</v>
      </c>
      <c r="Q28" s="83">
        <v>0</v>
      </c>
      <c r="R28" s="72">
        <v>1</v>
      </c>
      <c r="S28"/>
      <c r="T28"/>
    </row>
    <row r="29" spans="1:20" ht="15" customHeight="1" x14ac:dyDescent="0.15">
      <c r="F29" s="172" t="s">
        <v>216</v>
      </c>
      <c r="G29" s="83">
        <v>0</v>
      </c>
      <c r="H29" s="83">
        <v>0</v>
      </c>
      <c r="I29" s="83">
        <v>0</v>
      </c>
      <c r="J29" s="83">
        <v>0</v>
      </c>
      <c r="K29" s="83">
        <v>1</v>
      </c>
      <c r="L29" s="83">
        <v>0</v>
      </c>
      <c r="M29" s="83">
        <v>1</v>
      </c>
      <c r="N29" s="83">
        <v>0</v>
      </c>
      <c r="O29" s="83">
        <v>1</v>
      </c>
      <c r="P29" s="71">
        <v>0</v>
      </c>
      <c r="Q29" s="83">
        <v>0</v>
      </c>
      <c r="R29" s="72">
        <v>1</v>
      </c>
      <c r="S29"/>
      <c r="T29"/>
    </row>
    <row r="30" spans="1:20" ht="15" customHeight="1" x14ac:dyDescent="0.15">
      <c r="F30" s="172" t="s">
        <v>217</v>
      </c>
      <c r="G30" s="83">
        <v>0</v>
      </c>
      <c r="H30" s="83">
        <v>0</v>
      </c>
      <c r="I30" s="83">
        <v>0</v>
      </c>
      <c r="J30" s="83">
        <v>0</v>
      </c>
      <c r="K30" s="83">
        <v>1</v>
      </c>
      <c r="L30" s="83">
        <v>0</v>
      </c>
      <c r="M30" s="83">
        <v>1</v>
      </c>
      <c r="N30" s="83">
        <v>0</v>
      </c>
      <c r="O30" s="83">
        <v>1</v>
      </c>
      <c r="P30" s="71">
        <v>0</v>
      </c>
      <c r="Q30" s="83">
        <v>0</v>
      </c>
      <c r="R30" s="72">
        <v>1</v>
      </c>
      <c r="S30"/>
      <c r="T30"/>
    </row>
    <row r="31" spans="1:20" ht="15" customHeight="1" x14ac:dyDescent="0.15">
      <c r="A31" s="129"/>
      <c r="B31" s="140" t="s">
        <v>17</v>
      </c>
      <c r="C31" s="140" t="s">
        <v>1</v>
      </c>
      <c r="D31" s="140" t="s">
        <v>161</v>
      </c>
      <c r="E31" s="141" t="s">
        <v>163</v>
      </c>
      <c r="F31" s="172" t="s">
        <v>218</v>
      </c>
      <c r="G31" s="83">
        <v>0</v>
      </c>
      <c r="H31" s="83">
        <v>0</v>
      </c>
      <c r="I31" s="83">
        <v>0</v>
      </c>
      <c r="J31" s="83">
        <v>0</v>
      </c>
      <c r="K31" s="83">
        <v>1</v>
      </c>
      <c r="L31" s="83">
        <v>0</v>
      </c>
      <c r="M31" s="83">
        <v>1</v>
      </c>
      <c r="N31" s="83">
        <v>0</v>
      </c>
      <c r="O31" s="83">
        <v>1</v>
      </c>
      <c r="P31" s="71">
        <v>0</v>
      </c>
      <c r="Q31" s="83">
        <v>0</v>
      </c>
      <c r="R31" s="72">
        <v>1</v>
      </c>
      <c r="S31"/>
      <c r="T31"/>
    </row>
    <row r="32" spans="1:20" ht="15" customHeight="1" x14ac:dyDescent="0.15">
      <c r="A32" s="175" t="s">
        <v>193</v>
      </c>
      <c r="B32" s="95">
        <v>6.0709999999999997</v>
      </c>
      <c r="C32" s="95">
        <v>117.3</v>
      </c>
      <c r="D32" s="95">
        <v>712.12829999999997</v>
      </c>
      <c r="E32" s="131">
        <v>1</v>
      </c>
      <c r="F32" s="172" t="s">
        <v>219</v>
      </c>
      <c r="G32" s="83">
        <v>0</v>
      </c>
      <c r="H32" s="83">
        <v>0</v>
      </c>
      <c r="I32" s="83">
        <v>0</v>
      </c>
      <c r="J32" s="83">
        <v>0</v>
      </c>
      <c r="K32" s="83">
        <v>1</v>
      </c>
      <c r="L32" s="83">
        <v>0</v>
      </c>
      <c r="M32" s="83">
        <v>1</v>
      </c>
      <c r="N32" s="83">
        <v>0</v>
      </c>
      <c r="O32" s="83">
        <v>1</v>
      </c>
      <c r="P32" s="71">
        <v>0</v>
      </c>
      <c r="Q32" s="83">
        <v>0</v>
      </c>
      <c r="R32" s="72">
        <v>1</v>
      </c>
      <c r="S32"/>
      <c r="T32"/>
    </row>
    <row r="33" spans="1:20" ht="15" customHeight="1" x14ac:dyDescent="0.15">
      <c r="A33" s="130"/>
      <c r="B33" s="95"/>
      <c r="C33" s="95"/>
      <c r="D33" s="95"/>
      <c r="E33" s="131"/>
      <c r="F33" s="172" t="s">
        <v>220</v>
      </c>
      <c r="G33" s="83">
        <v>0</v>
      </c>
      <c r="H33" s="83">
        <v>0</v>
      </c>
      <c r="I33" s="83">
        <v>0</v>
      </c>
      <c r="J33" s="83">
        <v>0</v>
      </c>
      <c r="K33" s="83">
        <v>1</v>
      </c>
      <c r="L33" s="83">
        <v>0</v>
      </c>
      <c r="M33" s="83">
        <v>1</v>
      </c>
      <c r="N33" s="83">
        <v>0</v>
      </c>
      <c r="O33" s="83">
        <v>1</v>
      </c>
      <c r="P33" s="71">
        <v>0</v>
      </c>
      <c r="Q33" s="83">
        <v>0</v>
      </c>
      <c r="R33" s="72">
        <v>1</v>
      </c>
      <c r="S33"/>
      <c r="T33"/>
    </row>
    <row r="34" spans="1:20" ht="15" customHeight="1" x14ac:dyDescent="0.15">
      <c r="A34" s="132"/>
      <c r="B34" s="95"/>
      <c r="C34" s="95"/>
      <c r="D34" s="95"/>
      <c r="E34" s="131"/>
      <c r="F34" s="172" t="s">
        <v>221</v>
      </c>
      <c r="G34" s="83">
        <v>0</v>
      </c>
      <c r="H34" s="83">
        <v>0</v>
      </c>
      <c r="I34" s="83">
        <v>0</v>
      </c>
      <c r="J34" s="83">
        <v>0</v>
      </c>
      <c r="K34" s="83">
        <v>1</v>
      </c>
      <c r="L34" s="83">
        <v>0</v>
      </c>
      <c r="M34" s="83">
        <v>1</v>
      </c>
      <c r="N34" s="83">
        <v>0</v>
      </c>
      <c r="O34" s="83">
        <v>1</v>
      </c>
      <c r="P34" s="71">
        <v>0</v>
      </c>
      <c r="Q34" s="83">
        <v>0</v>
      </c>
      <c r="R34" s="72">
        <v>1</v>
      </c>
      <c r="S34"/>
      <c r="T34"/>
    </row>
    <row r="35" spans="1:20" ht="15" customHeight="1" x14ac:dyDescent="0.15">
      <c r="A35" s="133"/>
      <c r="B35" s="95"/>
      <c r="C35" s="95"/>
      <c r="D35" s="95"/>
      <c r="E35" s="131"/>
      <c r="F35" s="172" t="s">
        <v>222</v>
      </c>
      <c r="G35" s="83">
        <v>0</v>
      </c>
      <c r="H35" s="83">
        <v>0</v>
      </c>
      <c r="I35" s="83">
        <v>0</v>
      </c>
      <c r="J35" s="83">
        <v>0</v>
      </c>
      <c r="K35" s="83">
        <v>1</v>
      </c>
      <c r="L35" s="83">
        <v>0</v>
      </c>
      <c r="M35" s="83">
        <v>1</v>
      </c>
      <c r="N35" s="83">
        <v>0</v>
      </c>
      <c r="O35" s="83">
        <v>1</v>
      </c>
      <c r="P35" s="71">
        <v>0</v>
      </c>
      <c r="Q35" s="83">
        <v>0</v>
      </c>
      <c r="R35" s="72">
        <v>1</v>
      </c>
      <c r="S35"/>
      <c r="T35"/>
    </row>
    <row r="36" spans="1:20" ht="15" customHeight="1" x14ac:dyDescent="0.15">
      <c r="A36" s="134"/>
      <c r="B36" s="95"/>
      <c r="C36" s="95"/>
      <c r="D36" s="95"/>
      <c r="E36" s="131"/>
      <c r="F36" s="172" t="s">
        <v>223</v>
      </c>
      <c r="G36" s="83">
        <v>0</v>
      </c>
      <c r="H36" s="83">
        <v>0</v>
      </c>
      <c r="I36" s="83">
        <v>0</v>
      </c>
      <c r="J36" s="83">
        <v>0</v>
      </c>
      <c r="K36" s="83">
        <v>0</v>
      </c>
      <c r="L36" s="83">
        <v>1</v>
      </c>
      <c r="M36" s="83">
        <v>0</v>
      </c>
      <c r="N36" s="83">
        <v>1</v>
      </c>
      <c r="O36" s="83">
        <v>0</v>
      </c>
      <c r="P36" s="71">
        <v>1</v>
      </c>
      <c r="Q36" s="83">
        <v>0</v>
      </c>
      <c r="R36" s="72">
        <v>1</v>
      </c>
      <c r="S36"/>
      <c r="T36"/>
    </row>
    <row r="37" spans="1:20" ht="15" customHeight="1" x14ac:dyDescent="0.15">
      <c r="A37" s="134"/>
      <c r="B37" s="95"/>
      <c r="C37" s="95"/>
      <c r="D37" s="95"/>
      <c r="E37" s="131"/>
      <c r="F37" s="172" t="s">
        <v>224</v>
      </c>
      <c r="G37" s="83">
        <v>0</v>
      </c>
      <c r="H37" s="83">
        <v>0</v>
      </c>
      <c r="I37" s="83">
        <v>0</v>
      </c>
      <c r="J37" s="83">
        <v>0</v>
      </c>
      <c r="K37" s="83">
        <v>0</v>
      </c>
      <c r="L37" s="83">
        <v>1</v>
      </c>
      <c r="M37" s="83">
        <v>0</v>
      </c>
      <c r="N37" s="83">
        <v>1</v>
      </c>
      <c r="O37" s="83">
        <v>0</v>
      </c>
      <c r="P37" s="71">
        <v>1</v>
      </c>
      <c r="Q37" s="83">
        <v>0</v>
      </c>
      <c r="R37" s="72">
        <v>1</v>
      </c>
      <c r="S37"/>
      <c r="T37"/>
    </row>
    <row r="38" spans="1:20" ht="15" customHeight="1" x14ac:dyDescent="0.15">
      <c r="A38" s="135"/>
      <c r="B38" s="95"/>
      <c r="C38" s="95"/>
      <c r="D38" s="95"/>
      <c r="E38" s="131"/>
      <c r="F38" s="172" t="s">
        <v>225</v>
      </c>
      <c r="G38" s="83">
        <v>0</v>
      </c>
      <c r="H38" s="83">
        <v>0</v>
      </c>
      <c r="I38" s="83">
        <v>0</v>
      </c>
      <c r="J38" s="83">
        <v>0</v>
      </c>
      <c r="K38" s="83">
        <v>0</v>
      </c>
      <c r="L38" s="83">
        <v>1</v>
      </c>
      <c r="M38" s="83">
        <v>0</v>
      </c>
      <c r="N38" s="83">
        <v>0</v>
      </c>
      <c r="O38" s="83">
        <v>0</v>
      </c>
      <c r="P38" s="71">
        <v>0</v>
      </c>
      <c r="Q38" s="83">
        <v>0</v>
      </c>
      <c r="R38" s="72">
        <v>1</v>
      </c>
      <c r="S38"/>
      <c r="T38"/>
    </row>
    <row r="39" spans="1:20" ht="15" customHeight="1" x14ac:dyDescent="0.15">
      <c r="A39" s="135"/>
      <c r="B39" s="95"/>
      <c r="C39" s="95"/>
      <c r="D39" s="95"/>
      <c r="E39" s="131"/>
      <c r="F39" s="172" t="s">
        <v>226</v>
      </c>
      <c r="G39" s="83">
        <v>0</v>
      </c>
      <c r="H39" s="83">
        <v>0</v>
      </c>
      <c r="I39" s="83">
        <v>0</v>
      </c>
      <c r="J39" s="83">
        <v>0</v>
      </c>
      <c r="K39" s="83">
        <v>0</v>
      </c>
      <c r="L39" s="83">
        <v>1</v>
      </c>
      <c r="M39" s="83">
        <v>0</v>
      </c>
      <c r="N39" s="83">
        <v>0</v>
      </c>
      <c r="O39" s="83">
        <v>0</v>
      </c>
      <c r="P39" s="71">
        <v>0</v>
      </c>
      <c r="Q39" s="83">
        <v>0</v>
      </c>
      <c r="R39" s="72">
        <v>1</v>
      </c>
      <c r="S39"/>
      <c r="T39"/>
    </row>
    <row r="40" spans="1:20" ht="15" customHeight="1" x14ac:dyDescent="0.15">
      <c r="A40" s="135"/>
      <c r="B40" s="95"/>
      <c r="C40" s="95"/>
      <c r="D40" s="95"/>
      <c r="E40" s="131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35"/>
      <c r="B41" s="95"/>
      <c r="C41" s="95"/>
      <c r="D41" s="96"/>
      <c r="E41" s="136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37"/>
      <c r="B42" s="138"/>
      <c r="C42" s="138" t="s">
        <v>162</v>
      </c>
      <c r="D42" s="138">
        <f>SUM(D32:D41)</f>
        <v>712.12829999999997</v>
      </c>
      <c r="E42" s="139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8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83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83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83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83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83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83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83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83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83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83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83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83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83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83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83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83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83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83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83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83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83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83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83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83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83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83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83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83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83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83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83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83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83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83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83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83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83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83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83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83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83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83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83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83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83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83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83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83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83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83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83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83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83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83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83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83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83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83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83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83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83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83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83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83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83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83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83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83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83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83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83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83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83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83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83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83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83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83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83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83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83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83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83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83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83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83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83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83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83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83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83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83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83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83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83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83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83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83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83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83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83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83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83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83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83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83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83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83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83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83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83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83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83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83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83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83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83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83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83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83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83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83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83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83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83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83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83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P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3.33203125" bestFit="1" customWidth="1"/>
    <col min="2" max="2" width="2.33203125" style="114" customWidth="1"/>
    <col min="3" max="5" width="7.83203125" style="114" customWidth="1"/>
    <col min="6" max="8" width="8.83203125" style="6"/>
    <col min="9" max="9" width="13.1640625" style="6" customWidth="1"/>
    <col min="10" max="10" width="11.33203125" style="6" customWidth="1"/>
    <col min="11" max="11" width="23.33203125" style="6" customWidth="1"/>
    <col min="12" max="12" width="11.5" style="6" customWidth="1"/>
    <col min="13" max="13" width="8.1640625" style="6" customWidth="1"/>
    <col min="14" max="14" width="6.1640625" style="6" customWidth="1"/>
    <col min="15" max="15" width="13.5" style="6" customWidth="1"/>
    <col min="16" max="16" width="18.5" style="6" customWidth="1"/>
    <col min="17" max="17" width="21.83203125" style="6" customWidth="1"/>
    <col min="18" max="18" width="7" style="6" customWidth="1"/>
    <col min="19" max="19" width="11.1640625" style="6" customWidth="1"/>
    <col min="20" max="20" width="9.5" style="6" customWidth="1"/>
    <col min="21" max="21" width="9.33203125" style="6" customWidth="1"/>
    <col min="22" max="22" width="14.5" style="6" customWidth="1"/>
    <col min="23" max="23" width="5.5" style="6" customWidth="1"/>
    <col min="24" max="26" width="16.1640625" style="6" customWidth="1"/>
    <col min="27" max="27" width="17.1640625" style="6" customWidth="1"/>
    <col min="28" max="28" width="14.83203125" style="6" customWidth="1"/>
    <col min="29" max="29" width="8.33203125" style="6" customWidth="1"/>
    <col min="30" max="30" width="7.5" style="6" customWidth="1"/>
    <col min="31" max="31" width="15.33203125" style="6" customWidth="1"/>
    <col min="32" max="32" width="9.83203125" style="6" customWidth="1"/>
    <col min="33" max="33" width="18.33203125" style="6" customWidth="1"/>
    <col min="34" max="34" width="18.5" style="6" customWidth="1"/>
    <col min="35" max="35" width="15.5" style="6" customWidth="1"/>
    <col min="36" max="38" width="8.5" style="6" customWidth="1"/>
    <col min="39" max="39" width="7.6640625" customWidth="1"/>
    <col min="40" max="40" width="21.6640625" customWidth="1"/>
    <col min="41" max="41" width="12.6640625" customWidth="1"/>
    <col min="42" max="42" width="11" customWidth="1"/>
    <col min="81" max="81" width="22.1640625" bestFit="1" customWidth="1"/>
  </cols>
  <sheetData>
    <row r="1" spans="1:42" x14ac:dyDescent="0.15">
      <c r="A1" s="4" t="s">
        <v>156</v>
      </c>
      <c r="B1" s="37" t="s">
        <v>157</v>
      </c>
      <c r="C1" s="37" t="s">
        <v>17</v>
      </c>
      <c r="D1" s="37" t="s">
        <v>158</v>
      </c>
      <c r="E1" s="37" t="s">
        <v>159</v>
      </c>
      <c r="F1" t="s">
        <v>38</v>
      </c>
      <c r="G1" t="s">
        <v>40</v>
      </c>
      <c r="H1" t="s">
        <v>41</v>
      </c>
      <c r="I1" s="177" t="s">
        <v>193</v>
      </c>
      <c r="J1" s="177" t="s">
        <v>194</v>
      </c>
      <c r="K1" s="177" t="s">
        <v>195</v>
      </c>
      <c r="L1" s="177" t="s">
        <v>196</v>
      </c>
      <c r="M1" s="177" t="s">
        <v>197</v>
      </c>
      <c r="N1" s="177" t="s">
        <v>198</v>
      </c>
      <c r="O1" s="177" t="s">
        <v>199</v>
      </c>
      <c r="P1" s="177" t="s">
        <v>200</v>
      </c>
      <c r="Q1" s="177" t="s">
        <v>201</v>
      </c>
      <c r="R1" s="177" t="s">
        <v>202</v>
      </c>
      <c r="S1" s="177" t="s">
        <v>203</v>
      </c>
      <c r="T1" s="177" t="s">
        <v>204</v>
      </c>
      <c r="U1" s="177" t="s">
        <v>205</v>
      </c>
      <c r="V1" s="177" t="s">
        <v>206</v>
      </c>
      <c r="W1" s="177" t="s">
        <v>207</v>
      </c>
      <c r="X1" s="177" t="s">
        <v>208</v>
      </c>
      <c r="Y1" s="177" t="s">
        <v>209</v>
      </c>
      <c r="Z1" s="177" t="s">
        <v>210</v>
      </c>
      <c r="AA1" s="177" t="s">
        <v>211</v>
      </c>
      <c r="AB1" s="177" t="s">
        <v>212</v>
      </c>
      <c r="AC1" s="177" t="s">
        <v>213</v>
      </c>
      <c r="AD1" s="177" t="s">
        <v>214</v>
      </c>
      <c r="AE1" s="177" t="s">
        <v>215</v>
      </c>
      <c r="AF1" s="177" t="s">
        <v>216</v>
      </c>
      <c r="AG1" s="177" t="s">
        <v>217</v>
      </c>
      <c r="AH1" s="177" t="s">
        <v>218</v>
      </c>
      <c r="AI1" s="177" t="s">
        <v>219</v>
      </c>
      <c r="AJ1" s="177" t="s">
        <v>220</v>
      </c>
      <c r="AK1" s="177" t="s">
        <v>221</v>
      </c>
      <c r="AL1" s="177" t="s">
        <v>222</v>
      </c>
      <c r="AM1" s="177" t="s">
        <v>223</v>
      </c>
      <c r="AN1" s="177" t="s">
        <v>224</v>
      </c>
      <c r="AO1" s="177" t="s">
        <v>225</v>
      </c>
      <c r="AP1" s="177" t="s">
        <v>226</v>
      </c>
    </row>
    <row r="2" spans="1:42" x14ac:dyDescent="0.15">
      <c r="A2" t="s">
        <v>38</v>
      </c>
      <c r="B2" s="114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42" x14ac:dyDescent="0.15">
      <c r="A3" t="s">
        <v>40</v>
      </c>
      <c r="B3" s="114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42" x14ac:dyDescent="0.15">
      <c r="A4" t="s">
        <v>41</v>
      </c>
      <c r="B4" s="114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42" x14ac:dyDescent="0.15">
      <c r="A5" s="176" t="s">
        <v>193</v>
      </c>
      <c r="B5" s="114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42" x14ac:dyDescent="0.15">
      <c r="A6" s="176" t="s">
        <v>194</v>
      </c>
      <c r="B6" s="114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42" x14ac:dyDescent="0.15">
      <c r="A7" s="176" t="s">
        <v>195</v>
      </c>
      <c r="B7" s="114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42" x14ac:dyDescent="0.15">
      <c r="A8" s="176" t="s">
        <v>196</v>
      </c>
      <c r="B8" s="114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42" x14ac:dyDescent="0.15">
      <c r="A9" s="176" t="s">
        <v>197</v>
      </c>
      <c r="B9" s="114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42" x14ac:dyDescent="0.15">
      <c r="A10" s="176" t="s">
        <v>198</v>
      </c>
      <c r="B10" s="114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42" x14ac:dyDescent="0.15">
      <c r="A11" s="176" t="s">
        <v>199</v>
      </c>
      <c r="B11" s="114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42" x14ac:dyDescent="0.15">
      <c r="A12" s="176" t="s">
        <v>200</v>
      </c>
      <c r="B12" s="114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42" x14ac:dyDescent="0.15">
      <c r="A13" s="176" t="s">
        <v>201</v>
      </c>
      <c r="B13" s="114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42" x14ac:dyDescent="0.15">
      <c r="A14" s="176" t="s">
        <v>202</v>
      </c>
      <c r="B14" s="114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42" x14ac:dyDescent="0.15">
      <c r="A15" s="176" t="s">
        <v>203</v>
      </c>
      <c r="B15" s="114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42" x14ac:dyDescent="0.15">
      <c r="A16" s="176" t="s">
        <v>204</v>
      </c>
      <c r="B16" s="114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76" t="s">
        <v>205</v>
      </c>
      <c r="B17" s="114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76" t="s">
        <v>206</v>
      </c>
      <c r="B18" s="114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76" t="s">
        <v>207</v>
      </c>
      <c r="B19" s="114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76" t="s">
        <v>208</v>
      </c>
      <c r="B20" s="114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76" t="s">
        <v>209</v>
      </c>
      <c r="B21" s="114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76" t="s">
        <v>210</v>
      </c>
      <c r="B22" s="114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76" t="s">
        <v>211</v>
      </c>
      <c r="B23" s="114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76" t="s">
        <v>212</v>
      </c>
      <c r="B24" s="114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76" t="s">
        <v>213</v>
      </c>
      <c r="B25" s="114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76" t="s">
        <v>214</v>
      </c>
      <c r="B26" s="114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A27" s="176" t="s">
        <v>215</v>
      </c>
      <c r="B27" s="114">
        <v>0</v>
      </c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A28" s="176" t="s">
        <v>216</v>
      </c>
      <c r="B28" s="114">
        <v>0</v>
      </c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A29" s="176" t="s">
        <v>217</v>
      </c>
      <c r="B29" s="114">
        <v>0</v>
      </c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A30" s="176" t="s">
        <v>218</v>
      </c>
      <c r="B30" s="114">
        <v>0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A31" s="176" t="s">
        <v>219</v>
      </c>
      <c r="B31" s="114">
        <v>0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A32" s="176" t="s">
        <v>220</v>
      </c>
      <c r="B32" s="114">
        <v>0</v>
      </c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 ht="15" customHeight="1" x14ac:dyDescent="0.15">
      <c r="A33" s="176" t="s">
        <v>221</v>
      </c>
      <c r="B33" s="114">
        <v>0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 ht="15" customHeight="1" x14ac:dyDescent="0.15">
      <c r="A34" s="176" t="s">
        <v>222</v>
      </c>
      <c r="B34" s="114">
        <v>0</v>
      </c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 ht="15" customHeight="1" x14ac:dyDescent="0.15">
      <c r="A35" s="176" t="s">
        <v>223</v>
      </c>
      <c r="B35" s="114">
        <v>0</v>
      </c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 ht="15" customHeight="1" x14ac:dyDescent="0.15">
      <c r="A36" s="176" t="s">
        <v>224</v>
      </c>
      <c r="B36" s="114">
        <v>0</v>
      </c>
      <c r="C36"/>
      <c r="D36"/>
    </row>
    <row r="37" spans="1:38" ht="15" customHeight="1" x14ac:dyDescent="0.15">
      <c r="A37" s="176" t="s">
        <v>225</v>
      </c>
      <c r="B37" s="114">
        <v>0</v>
      </c>
      <c r="C37"/>
      <c r="D37"/>
    </row>
    <row r="38" spans="1:38" ht="15" customHeight="1" x14ac:dyDescent="0.15">
      <c r="A38" s="176" t="s">
        <v>226</v>
      </c>
      <c r="B38" s="114">
        <v>0</v>
      </c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 ht="15" customHeight="1" x14ac:dyDescent="0.15">
      <c r="B39"/>
      <c r="C39"/>
      <c r="D39"/>
    </row>
    <row r="40" spans="1:38" ht="15" customHeight="1" x14ac:dyDescent="0.15">
      <c r="B40"/>
      <c r="C40"/>
      <c r="D40"/>
    </row>
    <row r="41" spans="1:38" ht="15" customHeight="1" x14ac:dyDescent="0.15">
      <c r="B41"/>
      <c r="C41"/>
      <c r="D41"/>
    </row>
    <row r="42" spans="1:38" ht="15" customHeight="1" x14ac:dyDescent="0.15"/>
    <row r="43" spans="1:38" ht="15" customHeight="1" x14ac:dyDescent="0.15"/>
    <row r="44" spans="1:38" ht="15" customHeight="1" x14ac:dyDescent="0.15"/>
    <row r="45" spans="1:38" ht="15" customHeight="1" x14ac:dyDescent="0.15"/>
    <row r="46" spans="1:38" ht="15" customHeight="1" x14ac:dyDescent="0.15"/>
    <row r="47" spans="1:38" ht="15" customHeight="1" x14ac:dyDescent="0.15"/>
    <row r="48" spans="1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2023-08-14T23:35:58Z</dcterms:modified>
</cp:coreProperties>
</file>