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ECOTRAN_versions/ECOTRAN_OtherRegions/"/>
    </mc:Choice>
  </mc:AlternateContent>
  <xr:revisionPtr revIDLastSave="0" documentId="13_ncr:1_{1D362278-09A9-8149-B262-325E2E93BC64}" xr6:coauthVersionLast="45" xr6:coauthVersionMax="45" xr10:uidLastSave="{00000000-0000-0000-0000-000000000000}"/>
  <bookViews>
    <workbookView xWindow="0" yWindow="460" windowWidth="25600" windowHeight="14240" tabRatio="728" firstSheet="1" activeTab="3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Main!$C$2:$N$24</definedName>
    <definedName name="matDetritus">Detritus!$C$2:$E$24</definedName>
    <definedName name="matDiet">Diets!$B$2:$U$24</definedName>
    <definedName name="matDiscards">Discards!$C$2:$C$23</definedName>
    <definedName name="matFishery">Fishing!$C$2:$C$23</definedName>
    <definedName name="matFishing">Fishing!#REF!</definedName>
    <definedName name="matMort">Mortalities!$A$1:$Z$23</definedName>
    <definedName name="matOut">MainOutputs!$A$2:$I$24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2" i="86" l="1"/>
  <c r="D42" i="86"/>
  <c r="B10" i="87"/>
  <c r="B8" i="75"/>
  <c r="B7" i="75"/>
  <c r="X6" i="75"/>
</calcChain>
</file>

<file path=xl/sharedStrings.xml><?xml version="1.0" encoding="utf-8"?>
<sst xmlns="http://schemas.openxmlformats.org/spreadsheetml/2006/main" count="764" uniqueCount="220">
  <si>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</si>
  <si>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</si>
  <si>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</si>
  <si>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</si>
  <si>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</si>
  <si>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</si>
  <si>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</si>
  <si>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</si>
  <si>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</si>
  <si>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</si>
  <si>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</si>
  <si>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</si>
  <si>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</si>
  <si>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</si>
  <si>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</si>
  <si>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</si>
  <si>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</si>
  <si>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</si>
  <si>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</si>
  <si>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</si>
  <si>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</si>
  <si>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</si>
  <si>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</si>
  <si>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</si>
  <si>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</si>
  <si>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</si>
  <si>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</si>
  <si>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</si>
  <si>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</si>
  <si>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</si>
  <si>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</si>
  <si>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</si>
  <si>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</si>
  <si>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</si>
  <si>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</si>
  <si>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</si>
  <si>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</si>
  <si>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</si>
  <si>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</si>
  <si>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</si>
  <si>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</si>
  <si>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</si>
  <si>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</si>
  <si>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</si>
  <si>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</si>
  <si>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</si>
  <si>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</si>
  <si>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</si>
  <si>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</si>
  <si>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</si>
  <si>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</si>
  <si>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</si>
  <si>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</si>
  <si>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</si>
  <si>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</si>
  <si>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</si>
  <si>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</si>
  <si>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</si>
  <si>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</si>
  <si>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</si>
  <si>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</si>
  <si>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</si>
  <si>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</si>
  <si>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</si>
  <si>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</si>
  <si>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</si>
  <si>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</si>
  <si>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</si>
  <si>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</si>
  <si>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</si>
  <si>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</si>
  <si>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</si>
  <si>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</si>
  <si>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</si>
  <si>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</si>
  <si>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</si>
  <si>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</si>
  <si>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</si>
  <si>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</si>
  <si>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</si>
  <si>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</si>
  <si>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</si>
  <si>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</si>
  <si>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</si>
  <si>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</si>
  <si>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</si>
  <si>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</si>
  <si>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</si>
  <si>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</si>
  <si>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</si>
  <si>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</si>
  <si>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</si>
  <si>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</si>
  <si>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</si>
  <si>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</si>
  <si>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</si>
  <si>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</si>
  <si>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</si>
  <si>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</si>
  <si>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</si>
  <si>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</si>
  <si>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</si>
  <si>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</si>
  <si>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</si>
  <si>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</si>
  <si>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</si>
  <si>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</si>
  <si>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</si>
  <si>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</si>
  <si>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</si>
  <si>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</si>
  <si>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</si>
  <si>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</si>
  <si>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</si>
  <si>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</si>
  <si>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</si>
  <si>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</si>
  <si>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</si>
  <si>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</si>
  <si>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</si>
  <si>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</si>
  <si>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</si>
  <si>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</si>
  <si>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</si>
  <si>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</si>
  <si>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</si>
  <si>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</si>
  <si>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</si>
  <si>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</si>
  <si>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</si>
  <si>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</si>
  <si>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</si>
  <si>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</si>
  <si>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</si>
  <si>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</si>
  <si>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</si>
  <si>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</si>
  <si>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</si>
  <si>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</si>
  <si>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</si>
  <si>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</si>
  <si>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</si>
  <si>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</si>
  <si>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</si>
  <si>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</si>
  <si>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</si>
  <si>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</si>
  <si>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</si>
  <si>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</si>
  <si>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</si>
  <si>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</si>
  <si>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</si>
  <si>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</si>
  <si>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</si>
  <si>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RetentionScaler</t>
  </si>
  <si>
    <t>( 0 = more advection &lt;--&gt; less advection =1)</t>
  </si>
  <si>
    <t>Functional Response</t>
  </si>
  <si>
    <t>A</t>
  </si>
  <si>
    <t>C</t>
  </si>
  <si>
    <t>D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</si>
  <si>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</si>
  <si>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</si>
  <si>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</si>
  <si>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</si>
  <si>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</si>
  <si>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</si>
  <si>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</si>
  <si>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</si>
  <si>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</si>
  <si>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</si>
  <si>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</si>
  <si>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model number</t>
  </si>
  <si>
    <t>model name</t>
  </si>
  <si>
    <t>country</t>
  </si>
  <si>
    <t>area</t>
  </si>
  <si>
    <t>geographic extent</t>
  </si>
  <si>
    <t>ecosystem type</t>
  </si>
  <si>
    <t>currency units</t>
  </si>
  <si>
    <t>description</t>
  </si>
  <si>
    <t>number of groups</t>
  </si>
  <si>
    <t>number of fleets</t>
  </si>
  <si>
    <t>model year</t>
  </si>
  <si>
    <t>model period</t>
  </si>
  <si>
    <t>reference</t>
  </si>
  <si>
    <t>doi</t>
  </si>
  <si>
    <t>Golfo Dulce</t>
  </si>
  <si>
    <t>Costa Rica</t>
  </si>
  <si>
    <t>BOX(-83.5003555632758 8.35186869249885,-83.0715048319887 8.75391625308053)</t>
  </si>
  <si>
    <t>bay/fjord</t>
  </si>
  <si>
    <t>WetWeight</t>
  </si>
  <si>
    <t>Created: 22/04/2006 01:32:32 a.m.; 22/04/2006 01:32:55 a.m.; 22/04/2006 01:36:17 a.m.; 19/07/2006 01:19:01 a.m.</t>
  </si>
  <si>
    <t>Wolff M.,Hartmann H.J.,Koch V.(1996). A pilot trophic model for Golfo Dulce, a fjord-like tropical embayment, Costa Rica Revista de Biologia Tropical. pp 215-231</t>
  </si>
  <si>
    <t>Dolphins</t>
  </si>
  <si>
    <t>Birds</t>
  </si>
  <si>
    <t>Carangids</t>
  </si>
  <si>
    <t>Rays/sharks</t>
  </si>
  <si>
    <t>Snappers/grunts</t>
  </si>
  <si>
    <t>Morays/eels</t>
  </si>
  <si>
    <t>Pufferfish</t>
  </si>
  <si>
    <t>Catfish</t>
  </si>
  <si>
    <t>Flatfish</t>
  </si>
  <si>
    <t>Lizardfish</t>
  </si>
  <si>
    <t>Serranids/scorpaenids</t>
  </si>
  <si>
    <t>Demersal &amp;lt;29cm</t>
  </si>
  <si>
    <t>Small pelagics</t>
  </si>
  <si>
    <t>Portunid crabs</t>
  </si>
  <si>
    <t>Shrimps</t>
  </si>
  <si>
    <t>Epibenthos &amp;gt; 1cm</t>
  </si>
  <si>
    <t>Benthos &amp;lt; 1 cm</t>
  </si>
  <si>
    <t>Zooplankton</t>
  </si>
  <si>
    <t>Phytoplankton</t>
  </si>
  <si>
    <t>Bacteria</t>
  </si>
  <si>
    <t>Detritus</t>
  </si>
  <si>
    <t>detritus_TerminalBenthic</t>
  </si>
  <si>
    <t>Fleet1</t>
  </si>
  <si>
    <t>Import</t>
  </si>
  <si>
    <t>export</t>
  </si>
  <si>
    <t>sum</t>
  </si>
  <si>
    <t>TOTAL</t>
  </si>
  <si>
    <t>F Fleet1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</si>
</sst>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</fonts>
  <fills count="116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13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8FF00"/>
        <bgColor indexed="64"/>
      </patternFill>
    </fill>
    <fill>
      <patternFill patternType="solid">
        <fgColor rgb="FF07FF00"/>
        <bgColor indexed="64"/>
      </patternFill>
    </fill>
    <fill>
      <patternFill patternType="solid">
        <fgColor rgb="FF06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16FF00"/>
        <bgColor indexed="64"/>
      </patternFill>
    </fill>
    <fill>
      <patternFill patternType="solid">
        <fgColor rgb="FF0A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0EFF00"/>
        <bgColor indexed="64"/>
      </patternFill>
    </fill>
    <fill>
      <patternFill patternType="solid">
        <fgColor rgb="FF10FF00"/>
        <bgColor indexed="64"/>
      </patternFill>
    </fill>
    <fill>
      <patternFill patternType="solid">
        <fgColor rgb="FF0DFF00"/>
        <bgColor indexed="64"/>
      </patternFill>
    </fill>
    <fill>
      <patternFill patternType="solid">
        <fgColor rgb="FF12FF00"/>
        <bgColor indexed="64"/>
      </patternFill>
    </fill>
    <fill>
      <patternFill patternType="solid">
        <fgColor rgb="FF18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1CFF00"/>
        <bgColor indexed="64"/>
      </patternFill>
    </fill>
    <fill>
      <patternFill patternType="solid">
        <fgColor rgb="FF0BFF00"/>
        <bgColor indexed="64"/>
      </patternFill>
    </fill>
    <fill>
      <patternFill patternType="solid">
        <fgColor rgb="FF20FF00"/>
        <bgColor indexed="64"/>
      </patternFill>
    </fill>
    <fill>
      <patternFill patternType="solid">
        <fgColor rgb="FF1AFF00"/>
        <bgColor indexed="64"/>
      </patternFill>
    </fill>
    <fill>
      <patternFill patternType="solid">
        <fgColor rgb="FF24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30FF00"/>
        <bgColor indexed="64"/>
      </patternFill>
    </fill>
    <fill>
      <patternFill patternType="solid">
        <fgColor rgb="FF28FF00"/>
        <bgColor indexed="64"/>
      </patternFill>
    </fill>
    <fill>
      <patternFill patternType="solid">
        <fgColor rgb="FF48FF00"/>
        <bgColor indexed="64"/>
      </patternFill>
    </fill>
    <fill>
      <patternFill patternType="solid">
        <fgColor rgb="FF50FF00"/>
        <bgColor indexed="64"/>
      </patternFill>
    </fill>
    <fill>
      <patternFill patternType="solid">
        <fgColor rgb="FF22FF00"/>
        <bgColor indexed="64"/>
      </patternFill>
    </fill>
    <fill>
      <patternFill patternType="solid">
        <fgColor rgb="FF3DFF00"/>
        <bgColor indexed="64"/>
      </patternFill>
    </fill>
    <fill>
      <patternFill patternType="solid">
        <fgColor rgb="FF6EFF00"/>
        <bgColor indexed="64"/>
      </patternFill>
    </fill>
    <fill>
      <patternFill patternType="solid">
        <fgColor rgb="FF0FFF00"/>
        <bgColor indexed="64"/>
      </patternFill>
    </fill>
    <fill>
      <patternFill patternType="solid">
        <fgColor rgb="FF1FFF00"/>
        <bgColor indexed="64"/>
      </patternFill>
    </fill>
    <fill>
      <patternFill patternType="solid">
        <fgColor rgb="FFB6FF00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A54347"/>
        <bgColor indexed="64"/>
      </patternFill>
    </fill>
    <fill>
      <patternFill patternType="solid">
        <fgColor rgb="FFD4D296"/>
        <bgColor indexed="64"/>
      </patternFill>
    </fill>
    <fill>
      <patternFill patternType="solid">
        <fgColor rgb="FFFBE83A"/>
        <bgColor indexed="64"/>
      </patternFill>
    </fill>
    <fill>
      <patternFill patternType="solid">
        <fgColor rgb="FFB1FA3E"/>
        <bgColor indexed="64"/>
      </patternFill>
    </fill>
    <fill>
      <patternFill patternType="solid">
        <fgColor rgb="FF881BFF"/>
        <bgColor indexed="64"/>
      </patternFill>
    </fill>
    <fill>
      <patternFill patternType="solid">
        <fgColor rgb="FFAC0493"/>
        <bgColor indexed="64"/>
      </patternFill>
    </fill>
    <fill>
      <patternFill patternType="solid">
        <fgColor rgb="FF1A1ACC"/>
        <bgColor indexed="64"/>
      </patternFill>
    </fill>
    <fill>
      <patternFill patternType="solid">
        <fgColor rgb="FF490C4B"/>
        <bgColor indexed="64"/>
      </patternFill>
    </fill>
    <fill>
      <patternFill patternType="solid">
        <fgColor rgb="FF614DF2"/>
        <bgColor indexed="64"/>
      </patternFill>
    </fill>
    <fill>
      <patternFill patternType="solid">
        <fgColor rgb="FFFA6647"/>
        <bgColor indexed="64"/>
      </patternFill>
    </fill>
    <fill>
      <patternFill patternType="solid">
        <fgColor rgb="FF292AA5"/>
        <bgColor indexed="64"/>
      </patternFill>
    </fill>
    <fill>
      <patternFill patternType="solid">
        <fgColor rgb="FF6969B6"/>
        <bgColor indexed="64"/>
      </patternFill>
    </fill>
    <fill>
      <patternFill patternType="solid">
        <fgColor rgb="FF53A135"/>
        <bgColor indexed="64"/>
      </patternFill>
    </fill>
    <fill>
      <patternFill patternType="solid">
        <fgColor rgb="FF2F9515"/>
        <bgColor indexed="64"/>
      </patternFill>
    </fill>
    <fill>
      <patternFill patternType="solid">
        <fgColor rgb="FF44FF00"/>
        <bgColor indexed="64"/>
      </patternFill>
    </fill>
    <fill>
      <patternFill patternType="solid">
        <fgColor rgb="FFFF5500"/>
        <bgColor indexed="64"/>
      </patternFill>
    </fill>
    <fill>
      <patternFill patternType="solid">
        <fgColor rgb="FFFFAA00"/>
        <bgColor indexed="64"/>
      </patternFill>
    </fill>
    <fill>
      <patternFill patternType="solid">
        <fgColor rgb="FFBDFF00"/>
        <bgColor indexed="64"/>
      </patternFill>
    </fill>
    <fill>
      <patternFill patternType="solid">
        <fgColor rgb="FF3EFF00"/>
        <bgColor indexed="64"/>
      </patternFill>
    </fill>
    <fill>
      <patternFill patternType="solid">
        <fgColor rgb="FF8EFF00"/>
        <bgColor indexed="64"/>
      </patternFill>
    </fill>
    <fill>
      <patternFill patternType="solid">
        <fgColor rgb="FF67FF00"/>
        <bgColor indexed="64"/>
      </patternFill>
    </fill>
    <fill>
      <patternFill patternType="solid">
        <fgColor rgb="FF35FF00"/>
        <bgColor indexed="64"/>
      </patternFill>
    </fill>
    <fill>
      <patternFill patternType="solid">
        <fgColor rgb="FF62FF00"/>
        <bgColor indexed="64"/>
      </patternFill>
    </fill>
    <fill>
      <patternFill patternType="solid">
        <fgColor rgb="FF31FF00"/>
        <bgColor indexed="64"/>
      </patternFill>
    </fill>
    <fill>
      <patternFill patternType="solid">
        <fgColor rgb="FF2CFF00"/>
        <bgColor indexed="64"/>
      </patternFill>
    </fill>
    <fill>
      <patternFill patternType="solid">
        <fgColor rgb="FF4FFF00"/>
        <bgColor indexed="64"/>
      </patternFill>
    </fill>
    <fill>
      <patternFill patternType="solid">
        <fgColor rgb="FF9FFF00"/>
        <bgColor indexed="64"/>
      </patternFill>
    </fill>
    <fill>
      <patternFill patternType="solid">
        <fgColor rgb="FFFFAF00"/>
        <bgColor indexed="64"/>
      </patternFill>
    </fill>
    <fill>
      <patternFill patternType="solid">
        <fgColor rgb="FF59FF00"/>
        <bgColor indexed="64"/>
      </patternFill>
    </fill>
    <fill>
      <patternFill patternType="solid">
        <fgColor rgb="FF86FF00"/>
        <bgColor indexed="64"/>
      </patternFill>
    </fill>
    <fill>
      <patternFill patternType="solid">
        <fgColor rgb="FF4CFF00"/>
        <bgColor indexed="64"/>
      </patternFill>
    </fill>
    <fill>
      <patternFill patternType="solid">
        <fgColor rgb="FF78FF00"/>
        <bgColor indexed="64"/>
      </patternFill>
    </fill>
    <fill>
      <patternFill patternType="solid">
        <fgColor rgb="FF2EFF00"/>
        <bgColor indexed="64"/>
      </patternFill>
    </fill>
    <fill>
      <patternFill patternType="solid">
        <fgColor rgb="FFEEFF00"/>
        <bgColor indexed="64"/>
      </patternFill>
    </fill>
    <fill>
      <patternFill patternType="solid">
        <fgColor rgb="FF4AFF00"/>
        <bgColor indexed="64"/>
      </patternFill>
    </fill>
    <fill>
      <patternFill patternType="solid">
        <fgColor rgb="FF1DFF00"/>
        <bgColor indexed="64"/>
      </patternFill>
    </fill>
    <fill>
      <patternFill patternType="solid">
        <fgColor rgb="FF11FF00"/>
        <bgColor indexed="64"/>
      </patternFill>
    </fill>
    <fill>
      <patternFill patternType="solid">
        <fgColor rgb="FFFFE500"/>
        <bgColor indexed="64"/>
      </patternFill>
    </fill>
    <fill>
      <patternFill patternType="solid">
        <fgColor rgb="FF14FF00"/>
        <bgColor indexed="64"/>
      </patternFill>
    </fill>
    <fill>
      <patternFill patternType="solid">
        <fgColor rgb="FFB1FF00"/>
        <bgColor indexed="64"/>
      </patternFill>
    </fill>
    <fill>
      <patternFill patternType="solid">
        <fgColor rgb="FF2BFF00"/>
        <bgColor indexed="64"/>
      </patternFill>
    </fill>
    <fill>
      <patternFill patternType="solid">
        <fgColor rgb="FF0CFF00"/>
        <bgColor indexed="64"/>
      </patternFill>
    </fill>
    <fill>
      <patternFill patternType="solid">
        <fgColor rgb="FF8AFF00"/>
        <bgColor indexed="64"/>
      </patternFill>
    </fill>
    <fill>
      <patternFill patternType="solid">
        <fgColor rgb="FFE6FF00"/>
        <bgColor indexed="64"/>
      </patternFill>
    </fill>
    <fill>
      <patternFill patternType="solid">
        <fgColor rgb="FF43FF00"/>
        <bgColor indexed="64"/>
      </patternFill>
    </fill>
    <fill>
      <patternFill patternType="solid">
        <fgColor rgb="FF47FF00"/>
        <bgColor indexed="64"/>
      </patternFill>
    </fill>
    <fill>
      <patternFill patternType="solid">
        <fgColor rgb="FF5CFF00"/>
        <bgColor indexed="64"/>
      </patternFill>
    </fill>
    <fill>
      <patternFill patternType="solid">
        <fgColor rgb="FF7AFF00"/>
        <bgColor indexed="64"/>
      </patternFill>
    </fill>
    <fill>
      <patternFill patternType="solid">
        <fgColor rgb="FF49FF00"/>
        <bgColor indexed="64"/>
      </patternFill>
    </fill>
    <fill>
      <patternFill patternType="solid">
        <fgColor rgb="FF60FF00"/>
        <bgColor indexed="64"/>
      </patternFill>
    </fill>
    <fill>
      <patternFill patternType="solid">
        <fgColor rgb="FF2AFF00"/>
        <bgColor indexed="64"/>
      </patternFill>
    </fill>
    <fill>
      <patternFill patternType="solid">
        <fgColor rgb="FF3BFF00"/>
        <bgColor indexed="64"/>
      </patternFill>
    </fill>
    <fill>
      <patternFill patternType="solid">
        <fgColor rgb="FF8BFF00"/>
        <bgColor indexed="64"/>
      </patternFill>
    </fill>
    <fill>
      <patternFill patternType="solid">
        <fgColor rgb="FF41FF00"/>
        <bgColor indexed="64"/>
      </patternFill>
    </fill>
    <fill>
      <patternFill patternType="solid">
        <fgColor rgb="FF45FF00"/>
        <bgColor indexed="64"/>
      </patternFill>
    </fill>
    <fill>
      <patternFill patternType="solid">
        <fgColor rgb="FF65FF00"/>
        <bgColor indexed="64"/>
      </patternFill>
    </fill>
    <fill>
      <patternFill patternType="solid">
        <fgColor rgb="FFB3FF00"/>
        <bgColor indexed="64"/>
      </patternFill>
    </fill>
    <fill>
      <patternFill patternType="solid">
        <fgColor rgb="FFBEFF00"/>
        <bgColor indexed="64"/>
      </patternFill>
    </fill>
    <fill>
      <patternFill patternType="solid">
        <fgColor rgb="FFC2FF00"/>
        <bgColor indexed="64"/>
      </patternFill>
    </fill>
    <fill>
      <patternFill patternType="solid">
        <fgColor rgb="FF37FF00"/>
        <bgColor indexed="64"/>
      </patternFill>
    </fill>
    <fill>
      <patternFill patternType="solid">
        <fgColor rgb="FFFFED00"/>
        <bgColor indexed="64"/>
      </patternFill>
    </fill>
    <fill>
      <patternFill patternType="solid">
        <fgColor rgb="FFFF9B00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0C0C0"/>
      </left>
      <right/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rgb="FFC0C0C0"/>
      </top>
      <bottom style="thin">
        <color rgb="FFC0C0C0"/>
      </bottom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3654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239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23" borderId="2" xfId="0" applyFont="1" applyFill="1" applyBorder="1" applyAlignment="1">
      <alignment horizontal="center"/>
    </xf>
    <xf numFmtId="0" fontId="1" fillId="23" borderId="4" xfId="0" applyFont="1" applyFill="1" applyBorder="1" applyAlignment="1">
      <alignment horizontal="center"/>
    </xf>
    <xf numFmtId="0" fontId="1" fillId="23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2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23" borderId="5" xfId="0" applyFill="1" applyBorder="1"/>
    <xf numFmtId="0" fontId="0" fillId="23" borderId="6" xfId="0" applyFill="1" applyBorder="1"/>
    <xf numFmtId="0" fontId="0" fillId="23" borderId="7" xfId="0" applyFill="1" applyBorder="1"/>
    <xf numFmtId="0" fontId="0" fillId="23" borderId="8" xfId="0" applyFill="1" applyBorder="1"/>
    <xf numFmtId="0" fontId="0" fillId="23" borderId="9" xfId="0" applyFill="1" applyBorder="1"/>
    <xf numFmtId="0" fontId="0" fillId="23" borderId="11" xfId="0" applyFill="1" applyBorder="1"/>
    <xf numFmtId="0" fontId="8" fillId="0" borderId="0" xfId="0" applyFont="1"/>
    <xf numFmtId="0" fontId="9" fillId="0" borderId="0" xfId="0" applyFont="1"/>
    <xf numFmtId="0" fontId="1" fillId="2" borderId="0" xfId="0" applyFont="1" applyFill="1" applyBorder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1" fillId="0" borderId="0" xfId="0" applyFont="1" applyAlignment="1">
      <alignment horizontal="center"/>
    </xf>
    <xf numFmtId="0" fontId="0" fillId="33" borderId="0" xfId="0" applyFill="1"/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35" borderId="0" xfId="0" applyFill="1"/>
    <xf numFmtId="0" fontId="0" fillId="36" borderId="0" xfId="0" applyFill="1"/>
    <xf numFmtId="0" fontId="0" fillId="0" borderId="0" xfId="0" applyFont="1" applyFill="1" applyAlignment="1">
      <alignment horizontal="center"/>
    </xf>
    <xf numFmtId="0" fontId="0" fillId="37" borderId="0" xfId="0" applyFill="1"/>
    <xf numFmtId="0" fontId="1" fillId="0" borderId="0" xfId="0" applyFont="1" applyAlignment="1"/>
    <xf numFmtId="0" fontId="1" fillId="2" borderId="0" xfId="0" applyFont="1" applyFill="1" applyAlignment="1"/>
    <xf numFmtId="0" fontId="1" fillId="0" borderId="0" xfId="0" applyFont="1" applyFill="1" applyAlignment="1"/>
    <xf numFmtId="0" fontId="0" fillId="0" borderId="0" xfId="0" applyFont="1" applyFill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34" borderId="2" xfId="0" applyNumberFormat="1" applyFont="1" applyFill="1" applyBorder="1"/>
    <xf numFmtId="0" fontId="11" fillId="0" borderId="0" xfId="0" applyFont="1"/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34" borderId="3" xfId="0" applyNumberFormat="1" applyFont="1" applyFill="1" applyBorder="1"/>
    <xf numFmtId="0" fontId="0" fillId="34" borderId="2" xfId="0" applyFont="1" applyFill="1" applyBorder="1"/>
    <xf numFmtId="0" fontId="0" fillId="34" borderId="3" xfId="0" applyFont="1" applyFill="1" applyBorder="1"/>
    <xf numFmtId="0" fontId="0" fillId="34" borderId="4" xfId="0" applyFont="1" applyFill="1" applyBorder="1"/>
    <xf numFmtId="0" fontId="0" fillId="0" borderId="0" xfId="0" applyFont="1" applyBorder="1"/>
    <xf numFmtId="0" fontId="0" fillId="0" borderId="10" xfId="0" applyFont="1" applyBorder="1"/>
    <xf numFmtId="0" fontId="10" fillId="0" borderId="15" xfId="0" applyFont="1" applyFill="1" applyBorder="1" applyAlignment="1">
      <alignment horizontal="left" wrapText="1"/>
    </xf>
    <xf numFmtId="0" fontId="10" fillId="0" borderId="16" xfId="0" applyFont="1" applyFill="1" applyBorder="1" applyAlignment="1">
      <alignment horizontal="left" wrapText="1"/>
    </xf>
    <xf numFmtId="2" fontId="0" fillId="0" borderId="0" xfId="0" applyNumberFormat="1" applyFont="1"/>
    <xf numFmtId="0" fontId="0" fillId="0" borderId="0" xfId="0" applyFont="1" applyAlignment="1"/>
    <xf numFmtId="0" fontId="0" fillId="0" borderId="14" xfId="0" applyFont="1" applyBorder="1"/>
    <xf numFmtId="0" fontId="0" fillId="0" borderId="7" xfId="0" applyFont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 applyAlignment="1">
      <alignment horizontal="right"/>
    </xf>
    <xf numFmtId="0" fontId="0" fillId="0" borderId="11" xfId="0" applyFont="1" applyBorder="1"/>
    <xf numFmtId="0" fontId="0" fillId="0" borderId="7" xfId="0" applyFont="1" applyFill="1" applyBorder="1" applyAlignment="1">
      <alignment horizontal="left"/>
    </xf>
    <xf numFmtId="0" fontId="0" fillId="38" borderId="0" xfId="0" applyFill="1"/>
    <xf numFmtId="0" fontId="0" fillId="39" borderId="0" xfId="0" applyFill="1"/>
    <xf numFmtId="0" fontId="0" fillId="0" borderId="0" xfId="0" applyBorder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12" fillId="28" borderId="0" xfId="0" applyFont="1" applyFill="1" applyAlignment="1">
      <alignment horizontal="center"/>
    </xf>
    <xf numFmtId="0" fontId="12" fillId="26" borderId="0" xfId="0" applyFont="1" applyFill="1" applyAlignment="1">
      <alignment horizontal="center"/>
    </xf>
    <xf numFmtId="0" fontId="12" fillId="27" borderId="0" xfId="0" applyFont="1" applyFill="1" applyAlignment="1">
      <alignment horizontal="center"/>
    </xf>
    <xf numFmtId="0" fontId="12" fillId="24" borderId="0" xfId="0" applyFont="1" applyFill="1" applyAlignment="1">
      <alignment horizontal="center"/>
    </xf>
    <xf numFmtId="0" fontId="12" fillId="25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0" fontId="0" fillId="23" borderId="2" xfId="0" applyFill="1" applyBorder="1" applyAlignment="1">
      <alignment horizontal="center"/>
    </xf>
    <xf numFmtId="0" fontId="0" fillId="23" borderId="4" xfId="0" applyFill="1" applyBorder="1" applyAlignment="1">
      <alignment horizontal="center"/>
    </xf>
    <xf numFmtId="0" fontId="0" fillId="23" borderId="3" xfId="0" applyFill="1" applyBorder="1"/>
    <xf numFmtId="0" fontId="9" fillId="0" borderId="0" xfId="0" applyFont="1" applyAlignment="1">
      <alignment horizontal="left"/>
    </xf>
    <xf numFmtId="0" fontId="0" fillId="0" borderId="17" xfId="0" applyFont="1" applyBorder="1"/>
    <xf numFmtId="0" fontId="0" fillId="0" borderId="18" xfId="0" applyBorder="1" applyAlignment="1">
      <alignment horizontal="right"/>
    </xf>
    <xf numFmtId="0" fontId="0" fillId="0" borderId="19" xfId="0" applyFont="1" applyBorder="1"/>
    <xf numFmtId="0" fontId="0" fillId="0" borderId="18" xfId="0" applyBorder="1"/>
    <xf numFmtId="0" fontId="10" fillId="0" borderId="20" xfId="0" applyFont="1" applyFill="1" applyBorder="1" applyAlignment="1">
      <alignment horizontal="right" wrapText="1"/>
    </xf>
    <xf numFmtId="0" fontId="10" fillId="0" borderId="21" xfId="0" applyFont="1" applyFill="1" applyBorder="1" applyAlignment="1">
      <alignment horizontal="right" wrapText="1"/>
    </xf>
    <xf numFmtId="0" fontId="0" fillId="0" borderId="18" xfId="0" applyFont="1" applyFill="1" applyBorder="1" applyAlignment="1">
      <alignment horizontal="right"/>
    </xf>
    <xf numFmtId="0" fontId="0" fillId="0" borderId="22" xfId="0" applyFont="1" applyBorder="1"/>
    <xf numFmtId="0" fontId="0" fillId="0" borderId="23" xfId="0" applyFont="1" applyBorder="1"/>
    <xf numFmtId="0" fontId="0" fillId="0" borderId="1" xfId="0" applyFont="1" applyBorder="1"/>
    <xf numFmtId="0" fontId="0" fillId="0" borderId="24" xfId="0" applyFont="1" applyBorder="1"/>
    <xf numFmtId="0" fontId="1" fillId="0" borderId="26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0" fillId="0" borderId="0" xfId="0" applyBorder="1" applyAlignment="1"/>
    <xf numFmtId="0" fontId="0" fillId="40" borderId="0" xfId="0" applyFill="1"/>
    <xf numFmtId="0" fontId="0" fillId="41" borderId="0" xfId="0" applyFill="1"/>
    <xf numFmtId="0" fontId="1" fillId="2" borderId="0" xfId="0" applyNumberFormat="1" applyFont="1" applyFill="1"/>
    <xf numFmtId="0" fontId="0" fillId="0" borderId="0" xfId="0" applyNumberFormat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49" fontId="0" fillId="0" borderId="27" xfId="0" applyNumberFormat="1" applyBorder="1"/>
    <xf numFmtId="49" fontId="0" fillId="0" borderId="28" xfId="0" applyNumberFormat="1" applyBorder="1"/>
    <xf numFmtId="49" fontId="0" fillId="0" borderId="29" xfId="0" applyNumberFormat="1" applyBorder="1"/>
    <xf numFmtId="49" fontId="0" fillId="0" borderId="30" xfId="0" applyNumberFormat="1" applyBorder="1"/>
    <xf numFmtId="49" fontId="0" fillId="0" borderId="31" xfId="0" applyNumberFormat="1" applyBorder="1"/>
    <xf numFmtId="49" fontId="0" fillId="0" borderId="32" xfId="0" applyNumberFormat="1" applyBorder="1"/>
    <xf numFmtId="49" fontId="0" fillId="0" borderId="33" xfId="0" applyNumberFormat="1" applyBorder="1"/>
    <xf numFmtId="49" fontId="0" fillId="0" borderId="34" xfId="0" applyNumberFormat="1" applyBorder="1"/>
    <xf numFmtId="49" fontId="0" fillId="0" borderId="35" xfId="0" applyNumberFormat="1" applyBorder="1"/>
    <xf numFmtId="49" fontId="0" fillId="0" borderId="36" xfId="0" applyNumberFormat="1" applyBorder="1"/>
    <xf numFmtId="49" fontId="0" fillId="0" borderId="37" xfId="0" applyNumberFormat="1" applyBorder="1"/>
    <xf numFmtId="49" fontId="0" fillId="0" borderId="38" xfId="0" applyNumberFormat="1" applyBorder="1"/>
    <xf numFmtId="49" fontId="0" fillId="0" borderId="39" xfId="0" applyNumberFormat="1" applyBorder="1"/>
    <xf numFmtId="49" fontId="0" fillId="0" borderId="40" xfId="0" applyNumberFormat="1" applyBorder="1"/>
    <xf numFmtId="49" fontId="0" fillId="0" borderId="41" xfId="0" applyNumberFormat="1" applyBorder="1"/>
    <xf numFmtId="49" fontId="0" fillId="0" borderId="42" xfId="0" applyNumberFormat="1" applyBorder="1"/>
    <xf numFmtId="49" fontId="0" fillId="0" borderId="43" xfId="0" applyNumberFormat="1" applyBorder="1"/>
    <xf numFmtId="49" fontId="0" fillId="0" borderId="44" xfId="0" applyNumberFormat="1" applyBorder="1"/>
    <xf numFmtId="49" fontId="0" fillId="0" borderId="45" xfId="0" applyNumberFormat="1" applyBorder="1"/>
    <xf numFmtId="49" fontId="0" fillId="0" borderId="46" xfId="0" applyNumberFormat="1" applyBorder="1"/>
    <xf numFmtId="49" fontId="0" fillId="0" borderId="47" xfId="0" applyNumberFormat="1" applyBorder="1"/>
    <xf numFmtId="49" fontId="0" fillId="0" borderId="48" xfId="0" applyNumberFormat="1" applyBorder="1"/>
    <xf numFmtId="49" fontId="0" fillId="0" borderId="49" xfId="0" applyNumberFormat="1" applyBorder="1"/>
    <xf numFmtId="49" fontId="0" fillId="0" borderId="50" xfId="0" applyNumberFormat="1" applyBorder="1"/>
    <xf numFmtId="49" fontId="0" fillId="0" borderId="51" xfId="0" applyNumberFormat="1" applyBorder="1"/>
    <xf numFmtId="49" fontId="0" fillId="0" borderId="52" xfId="0" applyNumberFormat="1" applyBorder="1"/>
    <xf numFmtId="49" fontId="0" fillId="0" borderId="53" xfId="0" applyNumberFormat="1" applyBorder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68"/>
  <sheetViews>
    <sheetView topLeftCell="A44" zoomScale="125" zoomScaleNormal="125" zoomScalePageLayoutView="125" workbookViewId="0">
      <selection activeCell="B54" sqref="B54"/>
    </sheetView>
  </sheetViews>
  <sheetFormatPr baseColWidth="10" defaultColWidth="8.83203125" defaultRowHeight="13" x14ac:dyDescent="0.15"/>
  <cols>
    <col min="2" max="2" width="16" customWidth="1"/>
    <col min="3" max="3" width="134.1640625" customWidth="1"/>
  </cols>
  <sheetData>
    <row r="2" spans="2:4" x14ac:dyDescent="0.15">
      <c r="B2" t="s">
        <v>145</v>
      </c>
    </row>
    <row r="3" spans="2:4" x14ac:dyDescent="0.15">
      <c r="B3" t="s">
        <v>146</v>
      </c>
    </row>
    <row r="4" spans="2:4" x14ac:dyDescent="0.15">
      <c r="B4" s="60" t="s">
        <v>164</v>
      </c>
    </row>
    <row r="6" spans="2:4" ht="14" thickBot="1" x14ac:dyDescent="0.2">
      <c r="B6" s="44" t="s">
        <v>141</v>
      </c>
    </row>
    <row r="7" spans="2:4" x14ac:dyDescent="0.15">
      <c r="B7" s="60" t="s">
        <v>143</v>
      </c>
    </row>
    <row r="8" spans="2:4" x14ac:dyDescent="0.15">
      <c r="B8" s="60" t="s">
        <v>142</v>
      </c>
    </row>
    <row r="9" spans="2:4" x14ac:dyDescent="0.15">
      <c r="B9" s="60" t="s">
        <v>144</v>
      </c>
    </row>
    <row r="10" spans="2:4" x14ac:dyDescent="0.15">
      <c r="B10" s="60" t="s">
        <v>147</v>
      </c>
    </row>
    <row r="11" spans="2:4" x14ac:dyDescent="0.15">
      <c r="B11" s="60" t="s">
        <v>151</v>
      </c>
    </row>
    <row r="12" spans="2:4" x14ac:dyDescent="0.15">
      <c r="B12" s="60" t="s">
        <v>153</v>
      </c>
    </row>
    <row r="13" spans="2:4" x14ac:dyDescent="0.15">
      <c r="B13" s="60" t="s">
        <v>165</v>
      </c>
    </row>
    <row r="15" spans="2:4" ht="14" thickBot="1" x14ac:dyDescent="0.2"/>
    <row r="16" spans="2:4" ht="14" thickBot="1" x14ac:dyDescent="0.2">
      <c r="B16" s="45" t="s">
        <v>137</v>
      </c>
      <c r="C16" s="46"/>
      <c r="D16" s="28">
        <v>41373</v>
      </c>
    </row>
    <row r="17" spans="2:4" x14ac:dyDescent="0.15">
      <c r="B17" s="47" t="s">
        <v>58</v>
      </c>
      <c r="C17" s="31">
        <v>0</v>
      </c>
    </row>
    <row r="18" spans="2:4" x14ac:dyDescent="0.15">
      <c r="B18" s="47" t="s">
        <v>59</v>
      </c>
      <c r="C18" s="31">
        <v>1</v>
      </c>
    </row>
    <row r="19" spans="2:4" x14ac:dyDescent="0.15">
      <c r="B19" s="47" t="s">
        <v>60</v>
      </c>
      <c r="C19" s="31">
        <v>2</v>
      </c>
    </row>
    <row r="20" spans="2:4" ht="14" thickBot="1" x14ac:dyDescent="0.2">
      <c r="B20" s="48" t="s">
        <v>44</v>
      </c>
      <c r="C20" s="32">
        <v>3</v>
      </c>
    </row>
    <row r="21" spans="2:4" x14ac:dyDescent="0.15">
      <c r="B21" s="49" t="s">
        <v>140</v>
      </c>
    </row>
    <row r="22" spans="2:4" ht="14" thickBot="1" x14ac:dyDescent="0.2"/>
    <row r="23" spans="2:4" ht="14" thickBot="1" x14ac:dyDescent="0.2">
      <c r="B23" s="45" t="s">
        <v>65</v>
      </c>
      <c r="C23" s="46"/>
      <c r="D23" s="28" t="s">
        <v>148</v>
      </c>
    </row>
    <row r="24" spans="2:4" x14ac:dyDescent="0.15">
      <c r="B24" s="51" t="s">
        <v>38</v>
      </c>
      <c r="C24" s="29">
        <v>1</v>
      </c>
    </row>
    <row r="25" spans="2:4" x14ac:dyDescent="0.15">
      <c r="B25" s="47" t="s">
        <v>40</v>
      </c>
      <c r="C25" s="31">
        <v>1.1000000000000001</v>
      </c>
    </row>
    <row r="26" spans="2:4" x14ac:dyDescent="0.15">
      <c r="B26" s="47" t="s">
        <v>41</v>
      </c>
      <c r="C26" s="31">
        <v>1.2</v>
      </c>
    </row>
    <row r="27" spans="2:4" x14ac:dyDescent="0.15">
      <c r="B27" s="47"/>
      <c r="C27" s="31"/>
    </row>
    <row r="28" spans="2:4" x14ac:dyDescent="0.15">
      <c r="B28" s="47" t="s">
        <v>42</v>
      </c>
      <c r="C28" s="31">
        <v>2.1</v>
      </c>
    </row>
    <row r="29" spans="2:4" x14ac:dyDescent="0.15">
      <c r="B29" s="47" t="s">
        <v>43</v>
      </c>
      <c r="C29" s="31">
        <v>2.2000000000000002</v>
      </c>
    </row>
    <row r="30" spans="2:4" x14ac:dyDescent="0.15">
      <c r="B30" s="47" t="s">
        <v>67</v>
      </c>
      <c r="C30" s="31">
        <v>2.2999999999999998</v>
      </c>
    </row>
    <row r="31" spans="2:4" x14ac:dyDescent="0.15">
      <c r="B31" s="47"/>
      <c r="C31" s="31"/>
    </row>
    <row r="32" spans="2:4" x14ac:dyDescent="0.15">
      <c r="B32" s="47" t="s">
        <v>62</v>
      </c>
      <c r="C32" s="31">
        <v>3.11</v>
      </c>
    </row>
    <row r="33" spans="2:3" x14ac:dyDescent="0.15">
      <c r="B33" s="47" t="s">
        <v>61</v>
      </c>
      <c r="C33" s="31">
        <v>3.12</v>
      </c>
    </row>
    <row r="34" spans="2:3" x14ac:dyDescent="0.15">
      <c r="B34" s="47" t="s">
        <v>68</v>
      </c>
      <c r="C34" s="31">
        <v>3.13</v>
      </c>
    </row>
    <row r="35" spans="2:3" x14ac:dyDescent="0.15">
      <c r="B35" s="47"/>
      <c r="C35" s="31"/>
    </row>
    <row r="36" spans="2:3" x14ac:dyDescent="0.15">
      <c r="B36" s="47" t="s">
        <v>66</v>
      </c>
      <c r="C36" s="31">
        <v>3.21</v>
      </c>
    </row>
    <row r="37" spans="2:3" x14ac:dyDescent="0.15">
      <c r="B37" s="47" t="s">
        <v>63</v>
      </c>
      <c r="C37" s="31">
        <v>3.22</v>
      </c>
    </row>
    <row r="38" spans="2:3" x14ac:dyDescent="0.15">
      <c r="B38" s="47" t="s">
        <v>69</v>
      </c>
      <c r="C38" s="31">
        <v>3.23</v>
      </c>
    </row>
    <row r="39" spans="2:3" x14ac:dyDescent="0.15">
      <c r="B39" s="47"/>
      <c r="C39" s="31"/>
    </row>
    <row r="40" spans="2:3" x14ac:dyDescent="0.15">
      <c r="B40" s="47" t="s">
        <v>64</v>
      </c>
      <c r="C40" s="31">
        <v>8</v>
      </c>
    </row>
    <row r="41" spans="2:3" x14ac:dyDescent="0.15">
      <c r="B41" s="47"/>
      <c r="C41" s="31"/>
    </row>
    <row r="42" spans="2:3" x14ac:dyDescent="0.15">
      <c r="B42" s="47" t="s">
        <v>71</v>
      </c>
      <c r="C42" s="31">
        <v>4.0999999999999996</v>
      </c>
    </row>
    <row r="43" spans="2:3" x14ac:dyDescent="0.15">
      <c r="B43" s="47" t="s">
        <v>70</v>
      </c>
      <c r="C43" s="31">
        <v>4.2</v>
      </c>
    </row>
    <row r="44" spans="2:3" x14ac:dyDescent="0.15">
      <c r="B44" s="47" t="s">
        <v>72</v>
      </c>
      <c r="C44" s="31">
        <v>4.3</v>
      </c>
    </row>
    <row r="45" spans="2:3" x14ac:dyDescent="0.15">
      <c r="B45" s="30"/>
      <c r="C45" s="31"/>
    </row>
    <row r="46" spans="2:3" x14ac:dyDescent="0.15">
      <c r="B46" s="47" t="s">
        <v>138</v>
      </c>
      <c r="C46" s="31">
        <v>6.1</v>
      </c>
    </row>
    <row r="47" spans="2:3" x14ac:dyDescent="0.15">
      <c r="B47" s="47" t="s">
        <v>45</v>
      </c>
      <c r="C47" s="31">
        <v>6.2</v>
      </c>
    </row>
    <row r="48" spans="2:3" x14ac:dyDescent="0.15">
      <c r="B48" s="47"/>
      <c r="C48" s="31"/>
    </row>
    <row r="49" spans="2:4" x14ac:dyDescent="0.15">
      <c r="B49" s="47" t="s">
        <v>44</v>
      </c>
      <c r="C49" s="31">
        <v>5</v>
      </c>
    </row>
    <row r="50" spans="2:4" x14ac:dyDescent="0.15">
      <c r="B50" s="47"/>
      <c r="C50" s="31"/>
    </row>
    <row r="51" spans="2:4" ht="14" thickBot="1" x14ac:dyDescent="0.2">
      <c r="B51" s="48" t="s">
        <v>73</v>
      </c>
      <c r="C51" s="32">
        <v>7</v>
      </c>
    </row>
    <row r="53" spans="2:4" x14ac:dyDescent="0.15">
      <c r="B53" s="164" t="s">
        <v>171</v>
      </c>
      <c r="C53" s="104">
        <v>53</v>
      </c>
      <c r="D53" s="104"/>
    </row>
    <row r="54" spans="2:4" x14ac:dyDescent="0.15">
      <c r="B54" s="164" t="s">
        <v>172</v>
      </c>
      <c r="C54" s="164" t="s">
        <v>185</v>
      </c>
      <c r="D54" s="104"/>
    </row>
    <row r="55" spans="2:4" x14ac:dyDescent="0.15">
      <c r="B55" s="164" t="s">
        <v>173</v>
      </c>
      <c r="C55" s="164" t="s">
        <v>186</v>
      </c>
      <c r="D55" s="104"/>
    </row>
    <row r="56" spans="2:4" x14ac:dyDescent="0.15">
      <c r="B56" s="164" t="s">
        <v>174</v>
      </c>
      <c r="C56" s="104">
        <v>750</v>
      </c>
      <c r="D56" s="104"/>
    </row>
    <row r="57" spans="2:4" x14ac:dyDescent="0.15">
      <c r="B57" s="164" t="s">
        <v>175</v>
      </c>
      <c r="C57" s="164" t="s">
        <v>187</v>
      </c>
      <c r="D57" s="104"/>
    </row>
    <row r="58" spans="2:4" x14ac:dyDescent="0.15">
      <c r="B58" s="164" t="s">
        <v>176</v>
      </c>
      <c r="C58" s="164" t="s">
        <v>188</v>
      </c>
      <c r="D58" s="104"/>
    </row>
    <row r="59" spans="2:4" x14ac:dyDescent="0.15">
      <c r="B59" s="164" t="s">
        <v>177</v>
      </c>
      <c r="C59" s="164" t="s">
        <v>189</v>
      </c>
      <c r="D59" s="104"/>
    </row>
    <row r="60" spans="2:4" x14ac:dyDescent="0.15">
      <c r="B60" s="164" t="s">
        <v>178</v>
      </c>
      <c r="C60" s="164" t="s">
        <v>190</v>
      </c>
      <c r="D60" s="104"/>
    </row>
    <row r="61" spans="2:4" x14ac:dyDescent="0.15">
      <c r="B61" s="164" t="s">
        <v>179</v>
      </c>
      <c r="C61" s="104">
        <v>21</v>
      </c>
      <c r="D61" s="104"/>
    </row>
    <row r="62" spans="2:4" x14ac:dyDescent="0.15">
      <c r="B62" s="164" t="s">
        <v>180</v>
      </c>
      <c r="C62" s="104">
        <v>1</v>
      </c>
      <c r="D62" s="104"/>
    </row>
    <row r="63" spans="2:4" x14ac:dyDescent="0.15">
      <c r="B63" s="164" t="s">
        <v>181</v>
      </c>
      <c r="C63" s="104">
        <v>1993</v>
      </c>
      <c r="D63" s="104"/>
    </row>
    <row r="64" spans="2:4" x14ac:dyDescent="0.15">
      <c r="B64" s="164" t="s">
        <v>182</v>
      </c>
      <c r="C64" s="104">
        <v>2</v>
      </c>
      <c r="D64" s="104"/>
    </row>
    <row r="65" spans="2:4" x14ac:dyDescent="0.15">
      <c r="B65" s="164" t="s">
        <v>183</v>
      </c>
      <c r="C65" s="164" t="s">
        <v>191</v>
      </c>
      <c r="D65" s="104"/>
    </row>
    <row r="66" spans="2:4" x14ac:dyDescent="0.15">
      <c r="B66" s="164" t="s">
        <v>184</v>
      </c>
      <c r="D66" s="104"/>
    </row>
    <row r="67" spans="2:4" x14ac:dyDescent="0.15">
      <c r="B67" s="104"/>
      <c r="C67" s="104"/>
      <c r="D67" s="104"/>
    </row>
    <row r="68" spans="2:4" x14ac:dyDescent="0.15">
      <c r="B68" s="104"/>
      <c r="C68" s="104"/>
      <c r="D68" s="104"/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T193"/>
  <sheetViews>
    <sheetView workbookViewId="0">
      <pane ySplit="1" topLeftCell="A2" activePane="bottomLeft" state="frozenSplit"/>
      <selection activeCell="E1" sqref="E1"/>
      <selection pane="bottomLeft" activeCell="Q7" sqref="Q7"/>
    </sheetView>
  </sheetViews>
  <sheetFormatPr baseColWidth="10" defaultColWidth="8.83203125" defaultRowHeight="15" customHeight="1" x14ac:dyDescent="0.15"/>
  <cols>
    <col min="1" max="1" width="22.5" style="78" customWidth="1"/>
    <col min="2" max="3" width="3.33203125" style="78" customWidth="1"/>
    <col min="4" max="4" width="14.33203125" style="78" customWidth="1"/>
    <col min="5" max="5" width="21.6640625" style="78" bestFit="1" customWidth="1"/>
    <col min="6" max="6" width="2.33203125" style="78" bestFit="1" customWidth="1"/>
    <col min="7" max="7" width="5.83203125" style="78" bestFit="1" customWidth="1"/>
    <col min="8" max="8" width="4.83203125" style="78" customWidth="1"/>
    <col min="9" max="9" width="4.33203125" style="78" customWidth="1"/>
    <col min="10" max="10" width="11.83203125" style="78" customWidth="1"/>
    <col min="11" max="11" width="12.83203125" style="78" customWidth="1"/>
    <col min="12" max="12" width="2.33203125" style="78" customWidth="1"/>
    <col min="13" max="13" width="3.83203125" style="78" customWidth="1"/>
    <col min="14" max="14" width="2.33203125" style="78" customWidth="1"/>
    <col min="16" max="25" width="8.83203125" style="78"/>
    <col min="26" max="26" width="16.1640625" bestFit="1" customWidth="1"/>
    <col min="27" max="27" width="23.6640625" customWidth="1"/>
    <col min="28" max="28" width="18.83203125" bestFit="1" customWidth="1"/>
    <col min="29" max="29" width="18.83203125" customWidth="1"/>
    <col min="30" max="30" width="16.33203125" customWidth="1"/>
    <col min="32" max="32" width="41.83203125" bestFit="1" customWidth="1"/>
    <col min="39" max="39" width="33.33203125" bestFit="1" customWidth="1"/>
    <col min="47" max="16384" width="8.83203125" style="78"/>
  </cols>
  <sheetData>
    <row r="1" spans="1:46" s="95" customFormat="1" ht="15" customHeight="1" x14ac:dyDescent="0.15">
      <c r="A1" s="74" t="s">
        <v>18</v>
      </c>
      <c r="C1" s="75" t="s">
        <v>8</v>
      </c>
      <c r="D1" s="74" t="s">
        <v>23</v>
      </c>
      <c r="E1" s="74" t="s">
        <v>0</v>
      </c>
      <c r="F1" s="74" t="s">
        <v>7</v>
      </c>
      <c r="G1" s="76" t="s">
        <v>13</v>
      </c>
      <c r="H1" s="74" t="s">
        <v>1</v>
      </c>
      <c r="I1" s="74" t="s">
        <v>2</v>
      </c>
      <c r="J1" s="74" t="s">
        <v>14</v>
      </c>
      <c r="K1" s="74" t="s">
        <v>3</v>
      </c>
      <c r="L1" s="74" t="s">
        <v>4</v>
      </c>
      <c r="M1" s="74" t="s">
        <v>5</v>
      </c>
      <c r="N1" s="74" t="s">
        <v>6</v>
      </c>
      <c r="O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ht="15" customHeight="1" x14ac:dyDescent="0.15">
      <c r="C2" s="95">
        <v>1</v>
      </c>
      <c r="D2"/>
      <c r="E2" s="165" t="s">
        <v>192</v>
      </c>
      <c r="F2" s="78">
        <v>0</v>
      </c>
      <c r="G2" s="78">
        <v>0.01</v>
      </c>
      <c r="H2" s="78">
        <v>0.05</v>
      </c>
      <c r="I2" s="6">
        <v>28</v>
      </c>
      <c r="J2" s="6">
        <v>0</v>
      </c>
      <c r="K2" s="6">
        <v>1.7857143E-3</v>
      </c>
      <c r="L2" s="6">
        <v>0</v>
      </c>
      <c r="M2" s="78">
        <v>0.2</v>
      </c>
      <c r="N2" s="78">
        <v>0</v>
      </c>
    </row>
    <row r="3" spans="1:46" ht="15" customHeight="1" x14ac:dyDescent="0.15">
      <c r="A3" s="1" t="s">
        <v>9</v>
      </c>
      <c r="B3" s="4">
        <v>20</v>
      </c>
      <c r="C3" s="78">
        <v>2</v>
      </c>
      <c r="D3"/>
      <c r="E3" s="165" t="s">
        <v>193</v>
      </c>
      <c r="F3" s="78">
        <v>0</v>
      </c>
      <c r="G3" s="78">
        <v>1.0999999999999999E-2</v>
      </c>
      <c r="H3" s="78">
        <v>7.0000000000000007E-2</v>
      </c>
      <c r="I3" s="78">
        <v>70</v>
      </c>
      <c r="J3" s="78">
        <v>0</v>
      </c>
      <c r="K3" s="78">
        <v>1E-3</v>
      </c>
      <c r="L3" s="78">
        <v>0</v>
      </c>
      <c r="M3" s="78">
        <v>0.2</v>
      </c>
      <c r="N3" s="78">
        <v>0</v>
      </c>
    </row>
    <row r="4" spans="1:46" ht="15" customHeight="1" x14ac:dyDescent="0.15">
      <c r="A4" s="1" t="s">
        <v>10</v>
      </c>
      <c r="B4" s="4">
        <v>2</v>
      </c>
      <c r="C4" s="78">
        <v>3</v>
      </c>
      <c r="D4"/>
      <c r="E4" s="165" t="s">
        <v>194</v>
      </c>
      <c r="F4" s="78">
        <v>0</v>
      </c>
      <c r="G4" s="78">
        <v>0.15</v>
      </c>
      <c r="H4" s="78">
        <v>0.7</v>
      </c>
      <c r="I4" s="78">
        <v>7.9</v>
      </c>
      <c r="J4" s="78">
        <v>0.93002620000000003</v>
      </c>
      <c r="K4" s="78">
        <v>8.8607594400000003E-2</v>
      </c>
      <c r="L4" s="78">
        <v>0</v>
      </c>
      <c r="M4" s="78">
        <v>0.2</v>
      </c>
      <c r="N4" s="78">
        <v>0</v>
      </c>
      <c r="V4" s="1" t="s">
        <v>29</v>
      </c>
    </row>
    <row r="5" spans="1:46" ht="15" customHeight="1" thickBot="1" x14ac:dyDescent="0.2">
      <c r="A5" s="1" t="s">
        <v>11</v>
      </c>
      <c r="B5" s="4">
        <v>1</v>
      </c>
      <c r="C5" s="78">
        <v>4</v>
      </c>
      <c r="D5"/>
      <c r="E5" s="165" t="s">
        <v>195</v>
      </c>
      <c r="F5" s="78">
        <v>0</v>
      </c>
      <c r="G5" s="78">
        <v>0.1</v>
      </c>
      <c r="H5" s="78">
        <v>0.6</v>
      </c>
      <c r="I5" s="78">
        <v>2.8</v>
      </c>
      <c r="J5" s="78">
        <v>0.92666660000000001</v>
      </c>
      <c r="K5" s="78">
        <v>0.21428573100000001</v>
      </c>
      <c r="L5" s="78">
        <v>0</v>
      </c>
      <c r="M5" s="78">
        <v>0.2</v>
      </c>
      <c r="N5" s="78">
        <v>0</v>
      </c>
      <c r="P5" s="68"/>
      <c r="Q5" s="68"/>
      <c r="R5" s="68"/>
    </row>
    <row r="6" spans="1:46" ht="15" customHeight="1" thickBot="1" x14ac:dyDescent="0.2">
      <c r="B6" s="1"/>
      <c r="C6" s="78">
        <v>5</v>
      </c>
      <c r="D6"/>
      <c r="E6" s="165" t="s">
        <v>196</v>
      </c>
      <c r="F6" s="78">
        <v>0</v>
      </c>
      <c r="G6" s="78">
        <v>0.1</v>
      </c>
      <c r="H6" s="78">
        <v>0.75</v>
      </c>
      <c r="I6" s="78">
        <v>4.3</v>
      </c>
      <c r="J6" s="78">
        <v>0.93973329999999999</v>
      </c>
      <c r="K6" s="78">
        <v>0.17441860000000001</v>
      </c>
      <c r="L6" s="78">
        <v>0</v>
      </c>
      <c r="M6" s="78">
        <v>0.2</v>
      </c>
      <c r="N6" s="78">
        <v>0</v>
      </c>
      <c r="P6" s="68"/>
      <c r="Q6" s="68"/>
      <c r="R6" s="68"/>
      <c r="W6" s="34" t="s">
        <v>31</v>
      </c>
      <c r="X6" s="50">
        <f>MAX(MainOutputs!G:G)</f>
        <v>0.98073345422744751</v>
      </c>
    </row>
    <row r="7" spans="1:46" ht="15" customHeight="1" x14ac:dyDescent="0.15">
      <c r="A7" s="2" t="s">
        <v>27</v>
      </c>
      <c r="B7" s="78">
        <f ca="1">COUNTIF(OFFSET(cornerDiets,1,1,NumLiving+NumDead+1,NumLiving+NumDead),"&gt;0")+NumLiving+NumDead+1</f>
        <v>142</v>
      </c>
      <c r="C7" s="78">
        <v>6</v>
      </c>
      <c r="D7"/>
      <c r="E7" s="165" t="s">
        <v>197</v>
      </c>
      <c r="F7" s="78">
        <v>0</v>
      </c>
      <c r="G7" s="78">
        <v>3.5999999999999997E-2</v>
      </c>
      <c r="H7" s="78">
        <v>0.75</v>
      </c>
      <c r="I7" s="78">
        <v>3.6</v>
      </c>
      <c r="J7" s="78">
        <v>0.97718512999999996</v>
      </c>
      <c r="K7" s="78">
        <v>0.208333343</v>
      </c>
      <c r="L7" s="78">
        <v>0</v>
      </c>
      <c r="M7" s="78">
        <v>0.2</v>
      </c>
      <c r="N7" s="78">
        <v>0</v>
      </c>
      <c r="P7" s="68"/>
      <c r="Q7" s="68"/>
      <c r="R7" s="68"/>
    </row>
    <row r="8" spans="1:46" ht="15" customHeight="1" x14ac:dyDescent="0.15">
      <c r="A8" s="2" t="s">
        <v>28</v>
      </c>
      <c r="B8" s="78">
        <f ca="1">COUNTIF(OFFSET(cornerFishing,1,2,NumLiving+NumDead,NumGears),"&gt;0")+NumDead*COUNTIF(OFFSET(cornerDiscards,1,2,NumLiving+NumDead,NumGears),"&gt;0")+NumLiving+NumDead+1</f>
        <v>34</v>
      </c>
      <c r="C8" s="78">
        <v>7</v>
      </c>
      <c r="D8"/>
      <c r="E8" s="165" t="s">
        <v>198</v>
      </c>
      <c r="F8" s="78">
        <v>0</v>
      </c>
      <c r="G8" s="78">
        <v>3.5999999999999997E-2</v>
      </c>
      <c r="H8" s="78">
        <v>1</v>
      </c>
      <c r="I8" s="78">
        <v>4</v>
      </c>
      <c r="J8" s="78">
        <v>0.94518196600000004</v>
      </c>
      <c r="K8" s="78">
        <v>0.25</v>
      </c>
      <c r="L8" s="78">
        <v>0</v>
      </c>
      <c r="M8" s="78">
        <v>0.2</v>
      </c>
      <c r="N8" s="78">
        <v>0</v>
      </c>
      <c r="P8" s="68"/>
      <c r="Q8" s="68"/>
      <c r="R8" s="68"/>
    </row>
    <row r="9" spans="1:46" ht="15" customHeight="1" x14ac:dyDescent="0.15">
      <c r="B9" s="1"/>
      <c r="C9" s="78">
        <v>8</v>
      </c>
      <c r="D9"/>
      <c r="E9" s="165" t="s">
        <v>199</v>
      </c>
      <c r="F9" s="78">
        <v>0</v>
      </c>
      <c r="G9" s="78">
        <v>1.6E-2</v>
      </c>
      <c r="H9" s="78">
        <v>0.8</v>
      </c>
      <c r="I9" s="78">
        <v>4</v>
      </c>
      <c r="J9" s="78">
        <v>0.93687480000000001</v>
      </c>
      <c r="K9" s="78">
        <v>0.2</v>
      </c>
      <c r="L9" s="78">
        <v>0</v>
      </c>
      <c r="M9" s="78">
        <v>0.2</v>
      </c>
      <c r="N9" s="78">
        <v>0</v>
      </c>
      <c r="P9" s="68"/>
      <c r="Q9" s="68"/>
      <c r="R9" s="68"/>
    </row>
    <row r="10" spans="1:46" ht="15" customHeight="1" x14ac:dyDescent="0.15">
      <c r="B10" s="1"/>
      <c r="C10" s="78">
        <v>9</v>
      </c>
      <c r="D10"/>
      <c r="E10" s="165" t="s">
        <v>200</v>
      </c>
      <c r="F10" s="78">
        <v>0</v>
      </c>
      <c r="G10" s="78">
        <v>8.5999999999999993E-2</v>
      </c>
      <c r="H10" s="78">
        <v>1.9</v>
      </c>
      <c r="I10" s="78">
        <v>6.5</v>
      </c>
      <c r="J10" s="78">
        <v>0.95659953399999997</v>
      </c>
      <c r="K10" s="78">
        <v>0.29230767499999999</v>
      </c>
      <c r="L10" s="78">
        <v>0</v>
      </c>
      <c r="M10" s="78">
        <v>0.2</v>
      </c>
      <c r="N10" s="78">
        <v>0</v>
      </c>
    </row>
    <row r="11" spans="1:46" ht="15" customHeight="1" x14ac:dyDescent="0.15">
      <c r="C11" s="78">
        <v>10</v>
      </c>
      <c r="D11"/>
      <c r="E11" s="165" t="s">
        <v>201</v>
      </c>
      <c r="F11" s="78">
        <v>0</v>
      </c>
      <c r="G11" s="78">
        <v>5.3999999999999999E-2</v>
      </c>
      <c r="H11" s="78">
        <v>1</v>
      </c>
      <c r="I11" s="78">
        <v>5.5</v>
      </c>
      <c r="J11" s="78">
        <v>0.9758249</v>
      </c>
      <c r="K11" s="78">
        <v>0.18181818699999999</v>
      </c>
      <c r="L11" s="78">
        <v>0</v>
      </c>
      <c r="M11" s="78">
        <v>0.2</v>
      </c>
      <c r="N11" s="78">
        <v>0</v>
      </c>
    </row>
    <row r="12" spans="1:46" ht="15" customHeight="1" x14ac:dyDescent="0.15">
      <c r="C12" s="78">
        <v>11</v>
      </c>
      <c r="D12"/>
      <c r="E12" s="165" t="s">
        <v>202</v>
      </c>
      <c r="F12" s="78">
        <v>0</v>
      </c>
      <c r="G12" s="78">
        <v>4.9000000000000002E-2</v>
      </c>
      <c r="H12" s="78">
        <v>1.1000000000000001</v>
      </c>
      <c r="I12" s="78">
        <v>5.2</v>
      </c>
      <c r="J12" s="78">
        <v>0.95769939999999998</v>
      </c>
      <c r="K12" s="78">
        <v>0.211538479</v>
      </c>
      <c r="L12" s="78">
        <v>0</v>
      </c>
      <c r="M12" s="78">
        <v>0.2</v>
      </c>
      <c r="N12" s="78">
        <v>0</v>
      </c>
    </row>
    <row r="13" spans="1:46" ht="15" customHeight="1" x14ac:dyDescent="0.15">
      <c r="C13" s="78">
        <v>12</v>
      </c>
      <c r="D13"/>
      <c r="E13" s="165" t="s">
        <v>203</v>
      </c>
      <c r="F13" s="78">
        <v>0</v>
      </c>
      <c r="G13" s="78">
        <v>0.184</v>
      </c>
      <c r="H13" s="78">
        <v>2.2999999999999998</v>
      </c>
      <c r="I13" s="78">
        <v>8</v>
      </c>
      <c r="J13" s="78">
        <v>0.85980460000000003</v>
      </c>
      <c r="K13" s="78">
        <v>0.28749999999999998</v>
      </c>
      <c r="L13" s="78">
        <v>0</v>
      </c>
      <c r="M13" s="78">
        <v>0.2</v>
      </c>
      <c r="N13" s="78">
        <v>0</v>
      </c>
    </row>
    <row r="14" spans="1:46" ht="15" customHeight="1" x14ac:dyDescent="0.15">
      <c r="C14" s="78">
        <v>13</v>
      </c>
      <c r="D14"/>
      <c r="E14" s="165" t="s">
        <v>204</v>
      </c>
      <c r="F14" s="78">
        <v>0</v>
      </c>
      <c r="G14" s="78">
        <v>0.38</v>
      </c>
      <c r="H14" s="78">
        <v>4.8</v>
      </c>
      <c r="I14" s="78">
        <v>20</v>
      </c>
      <c r="J14" s="78">
        <v>0.97407734400000001</v>
      </c>
      <c r="K14" s="78">
        <v>0.24000001000000001</v>
      </c>
      <c r="L14" s="78">
        <v>0</v>
      </c>
      <c r="M14" s="78">
        <v>0.2</v>
      </c>
      <c r="N14" s="78">
        <v>0</v>
      </c>
    </row>
    <row r="15" spans="1:46" ht="15" customHeight="1" x14ac:dyDescent="0.15">
      <c r="C15" s="78">
        <v>14</v>
      </c>
      <c r="D15"/>
      <c r="E15" s="165" t="s">
        <v>205</v>
      </c>
      <c r="F15" s="78">
        <v>0</v>
      </c>
      <c r="G15" s="78">
        <v>0.19500000000000001</v>
      </c>
      <c r="H15" s="78">
        <v>2.2999999999999998</v>
      </c>
      <c r="I15" s="78">
        <v>11</v>
      </c>
      <c r="J15" s="78">
        <v>0.96537846299999996</v>
      </c>
      <c r="K15" s="78">
        <v>0.2090909</v>
      </c>
      <c r="L15" s="78">
        <v>0</v>
      </c>
      <c r="M15" s="78">
        <v>0.2</v>
      </c>
      <c r="N15" s="78">
        <v>0</v>
      </c>
    </row>
    <row r="16" spans="1:46" ht="15" customHeight="1" x14ac:dyDescent="0.15">
      <c r="C16" s="78">
        <v>15</v>
      </c>
      <c r="D16"/>
      <c r="E16" s="165" t="s">
        <v>206</v>
      </c>
      <c r="F16" s="78">
        <v>0</v>
      </c>
      <c r="G16" s="78">
        <v>0.13100000000000001</v>
      </c>
      <c r="H16" s="78">
        <v>6</v>
      </c>
      <c r="I16" s="78">
        <v>21</v>
      </c>
      <c r="J16" s="78">
        <v>0.95582526899999998</v>
      </c>
      <c r="K16" s="78">
        <v>0.28571429999999998</v>
      </c>
      <c r="L16" s="78">
        <v>0</v>
      </c>
      <c r="M16" s="78">
        <v>0.2</v>
      </c>
      <c r="N16" s="78">
        <v>0</v>
      </c>
    </row>
    <row r="17" spans="1:22" ht="15" customHeight="1" x14ac:dyDescent="0.15">
      <c r="C17" s="78">
        <v>16</v>
      </c>
      <c r="D17"/>
      <c r="E17" s="165" t="s">
        <v>207</v>
      </c>
      <c r="F17" s="78">
        <v>0</v>
      </c>
      <c r="G17" s="78">
        <v>0.55500000000000005</v>
      </c>
      <c r="H17" s="78">
        <v>3.9</v>
      </c>
      <c r="I17" s="78">
        <v>15</v>
      </c>
      <c r="J17" s="78">
        <v>0.95342004300000005</v>
      </c>
      <c r="K17" s="78">
        <v>0.26000002</v>
      </c>
      <c r="L17" s="78">
        <v>0</v>
      </c>
      <c r="M17" s="78">
        <v>0.2</v>
      </c>
      <c r="N17" s="78">
        <v>0</v>
      </c>
      <c r="V17" s="1" t="s">
        <v>30</v>
      </c>
    </row>
    <row r="18" spans="1:22" ht="15" customHeight="1" x14ac:dyDescent="0.15">
      <c r="C18" s="78">
        <v>17</v>
      </c>
      <c r="D18"/>
      <c r="E18" s="165" t="s">
        <v>208</v>
      </c>
      <c r="F18" s="78">
        <v>0</v>
      </c>
      <c r="G18" s="78">
        <v>1.6279999999999999</v>
      </c>
      <c r="H18" s="78">
        <v>5.5</v>
      </c>
      <c r="I18" s="78">
        <v>19</v>
      </c>
      <c r="J18" s="78">
        <v>0.980733454</v>
      </c>
      <c r="K18" s="78">
        <v>0.28947368299999998</v>
      </c>
      <c r="L18" s="78">
        <v>0</v>
      </c>
      <c r="M18" s="78">
        <v>0.2</v>
      </c>
      <c r="N18" s="78">
        <v>0</v>
      </c>
      <c r="V18" s="1"/>
    </row>
    <row r="19" spans="1:22" ht="15" customHeight="1" x14ac:dyDescent="0.15">
      <c r="C19" s="78">
        <v>18</v>
      </c>
      <c r="D19"/>
      <c r="E19" s="165" t="s">
        <v>209</v>
      </c>
      <c r="F19" s="78">
        <v>0</v>
      </c>
      <c r="G19" s="78">
        <v>2.2599999999999998</v>
      </c>
      <c r="H19" s="78">
        <v>28</v>
      </c>
      <c r="I19" s="78">
        <v>150</v>
      </c>
      <c r="J19" s="78">
        <v>0.74601309999999998</v>
      </c>
      <c r="K19" s="78">
        <v>0.18666666700000001</v>
      </c>
      <c r="L19" s="78">
        <v>0</v>
      </c>
      <c r="M19" s="78">
        <v>0.2</v>
      </c>
      <c r="N19" s="78">
        <v>0</v>
      </c>
    </row>
    <row r="20" spans="1:22" ht="15" customHeight="1" thickBot="1" x14ac:dyDescent="0.2">
      <c r="C20" s="78">
        <v>19</v>
      </c>
      <c r="D20"/>
      <c r="E20" s="165" t="s">
        <v>210</v>
      </c>
      <c r="F20" s="78">
        <v>1</v>
      </c>
      <c r="G20" s="78">
        <v>3.75</v>
      </c>
      <c r="H20" s="78">
        <v>100</v>
      </c>
      <c r="I20" s="78">
        <v>0</v>
      </c>
      <c r="J20" s="78">
        <v>0.7272788</v>
      </c>
      <c r="K20" s="78">
        <v>0</v>
      </c>
      <c r="L20" s="78">
        <v>0</v>
      </c>
      <c r="M20" s="78">
        <v>0</v>
      </c>
      <c r="N20" s="78">
        <v>0</v>
      </c>
    </row>
    <row r="21" spans="1:22" ht="15" customHeight="1" thickBot="1" x14ac:dyDescent="0.2">
      <c r="A21" s="45" t="s">
        <v>137</v>
      </c>
      <c r="B21" s="96"/>
      <c r="C21" s="78">
        <v>20</v>
      </c>
      <c r="D21"/>
      <c r="E21" s="165" t="s">
        <v>211</v>
      </c>
      <c r="F21" s="78">
        <v>0</v>
      </c>
      <c r="G21" s="78">
        <v>0.7</v>
      </c>
      <c r="H21" s="78">
        <v>170</v>
      </c>
      <c r="I21" s="78">
        <v>400</v>
      </c>
      <c r="J21" s="78">
        <v>0.52232414500000002</v>
      </c>
      <c r="K21" s="78">
        <v>0.42499999999999999</v>
      </c>
      <c r="L21" s="78">
        <v>0</v>
      </c>
      <c r="M21" s="78">
        <v>0.2</v>
      </c>
      <c r="N21" s="78">
        <v>0</v>
      </c>
    </row>
    <row r="22" spans="1:22" ht="15" customHeight="1" x14ac:dyDescent="0.15">
      <c r="A22" s="97" t="s">
        <v>58</v>
      </c>
      <c r="B22" s="98">
        <v>0</v>
      </c>
      <c r="C22" s="78">
        <v>21</v>
      </c>
      <c r="D22"/>
      <c r="E22" s="165" t="s">
        <v>212</v>
      </c>
      <c r="F22" s="78">
        <v>2</v>
      </c>
      <c r="G22" s="78">
        <v>1</v>
      </c>
      <c r="H22" s="78">
        <v>0</v>
      </c>
      <c r="I22" s="78">
        <v>0</v>
      </c>
      <c r="J22" s="78">
        <v>0</v>
      </c>
      <c r="K22" s="78">
        <v>0</v>
      </c>
      <c r="L22" s="78">
        <v>0</v>
      </c>
      <c r="M22" s="78">
        <v>0</v>
      </c>
      <c r="N22" s="78">
        <v>0</v>
      </c>
    </row>
    <row r="23" spans="1:22" ht="15" customHeight="1" x14ac:dyDescent="0.15">
      <c r="A23" s="97" t="s">
        <v>59</v>
      </c>
      <c r="B23" s="98">
        <v>1</v>
      </c>
      <c r="C23" s="78">
        <v>22</v>
      </c>
      <c r="D23"/>
      <c r="E23" s="165" t="s">
        <v>213</v>
      </c>
      <c r="F23" s="78">
        <v>2</v>
      </c>
      <c r="G23" s="78">
        <v>5</v>
      </c>
      <c r="H23" s="78">
        <v>0</v>
      </c>
      <c r="I23" s="78">
        <v>0</v>
      </c>
      <c r="J23" s="78">
        <v>0</v>
      </c>
      <c r="K23" s="78">
        <v>0</v>
      </c>
      <c r="L23" s="78">
        <v>0</v>
      </c>
      <c r="M23" s="78">
        <v>0</v>
      </c>
      <c r="N23" s="78">
        <v>0</v>
      </c>
    </row>
    <row r="24" spans="1:22" ht="15" customHeight="1" x14ac:dyDescent="0.15">
      <c r="A24" s="97" t="s">
        <v>60</v>
      </c>
      <c r="B24" s="98">
        <v>2</v>
      </c>
      <c r="C24" s="78">
        <v>23</v>
      </c>
      <c r="D24"/>
      <c r="E24" s="165" t="s">
        <v>214</v>
      </c>
      <c r="F24" s="78">
        <v>3</v>
      </c>
      <c r="G24" s="78">
        <v>0</v>
      </c>
      <c r="H24" s="78">
        <v>0</v>
      </c>
      <c r="I24" s="78">
        <v>0</v>
      </c>
      <c r="J24" s="78">
        <v>0</v>
      </c>
      <c r="K24" s="78">
        <v>0</v>
      </c>
      <c r="L24" s="78">
        <v>0</v>
      </c>
      <c r="M24" s="78">
        <v>0</v>
      </c>
      <c r="N24" s="78">
        <v>0</v>
      </c>
    </row>
    <row r="25" spans="1:22" ht="15" customHeight="1" thickBot="1" x14ac:dyDescent="0.2">
      <c r="A25" s="99" t="s">
        <v>44</v>
      </c>
      <c r="B25" s="100">
        <v>3</v>
      </c>
      <c r="C25"/>
      <c r="D25"/>
      <c r="E25"/>
      <c r="F25"/>
      <c r="G25"/>
      <c r="H25"/>
      <c r="I25"/>
      <c r="J25"/>
      <c r="K25"/>
      <c r="L25"/>
      <c r="M25"/>
      <c r="N25"/>
    </row>
    <row r="26" spans="1:22" ht="15" customHeight="1" x14ac:dyDescent="0.15">
      <c r="A26" s="101" t="s">
        <v>140</v>
      </c>
      <c r="C26"/>
      <c r="D26"/>
      <c r="E26"/>
      <c r="F26"/>
      <c r="G26"/>
      <c r="H26"/>
      <c r="I26"/>
      <c r="J26"/>
      <c r="K26"/>
      <c r="L26"/>
      <c r="M26"/>
      <c r="N26"/>
    </row>
    <row r="27" spans="1:22" ht="15" customHeight="1" x14ac:dyDescent="0.15">
      <c r="C27"/>
      <c r="D27"/>
      <c r="E27"/>
      <c r="F27"/>
      <c r="G27"/>
      <c r="H27"/>
      <c r="I27"/>
      <c r="J27"/>
      <c r="K27"/>
      <c r="L27"/>
      <c r="M27"/>
      <c r="N27"/>
    </row>
    <row r="28" spans="1:22" ht="15" customHeight="1" x14ac:dyDescent="0.15">
      <c r="C28"/>
      <c r="D28"/>
      <c r="E28"/>
      <c r="F28"/>
      <c r="G28"/>
      <c r="H28"/>
      <c r="I28"/>
      <c r="J28"/>
      <c r="K28"/>
      <c r="L28"/>
      <c r="M28"/>
      <c r="N28"/>
    </row>
    <row r="29" spans="1:22" customFormat="1" ht="15" customHeight="1" x14ac:dyDescent="0.15"/>
    <row r="30" spans="1:22" customFormat="1" ht="15" customHeight="1" x14ac:dyDescent="0.15"/>
    <row r="31" spans="1:22" customFormat="1" ht="15" customHeight="1" x14ac:dyDescent="0.15"/>
    <row r="32" spans="1:22" customFormat="1" ht="15" customHeight="1" x14ac:dyDescent="0.15"/>
    <row r="33" customFormat="1" ht="15" customHeight="1" x14ac:dyDescent="0.15"/>
    <row r="34" customFormat="1" ht="15" customHeight="1" x14ac:dyDescent="0.15"/>
    <row r="35" customFormat="1" ht="15" customHeight="1" x14ac:dyDescent="0.15"/>
    <row r="36" customFormat="1" ht="15" customHeight="1" x14ac:dyDescent="0.15"/>
    <row r="37" customFormat="1" ht="15" customHeight="1" x14ac:dyDescent="0.15"/>
    <row r="38" customFormat="1" ht="15" customHeight="1" x14ac:dyDescent="0.15"/>
    <row r="39" customFormat="1" ht="15" customHeight="1" x14ac:dyDescent="0.15"/>
    <row r="40" customFormat="1" ht="15" customHeight="1" x14ac:dyDescent="0.15"/>
    <row r="41" customFormat="1" ht="15" customHeight="1" x14ac:dyDescent="0.15"/>
    <row r="42" customFormat="1" ht="15" customHeight="1" x14ac:dyDescent="0.15"/>
    <row r="43" customFormat="1" ht="15" customHeight="1" x14ac:dyDescent="0.15"/>
    <row r="44" customFormat="1" ht="15" customHeight="1" x14ac:dyDescent="0.15"/>
    <row r="45" customFormat="1" ht="15" customHeight="1" x14ac:dyDescent="0.15"/>
    <row r="46" customFormat="1" ht="15" customHeight="1" x14ac:dyDescent="0.15"/>
    <row r="47" customFormat="1" ht="15" customHeight="1" x14ac:dyDescent="0.15"/>
    <row r="48" customFormat="1" ht="15" customHeight="1" x14ac:dyDescent="0.15"/>
    <row r="49" customFormat="1" ht="15" customHeight="1" x14ac:dyDescent="0.15"/>
    <row r="50" customFormat="1" ht="15" customHeight="1" x14ac:dyDescent="0.15"/>
    <row r="51" customFormat="1" ht="15" customHeight="1" x14ac:dyDescent="0.15"/>
    <row r="52" customFormat="1" ht="15" customHeight="1" x14ac:dyDescent="0.15"/>
    <row r="53" customFormat="1" ht="15" customHeight="1" x14ac:dyDescent="0.15"/>
    <row r="54" customFormat="1" ht="15" customHeight="1" x14ac:dyDescent="0.15"/>
    <row r="55" customFormat="1" ht="15" customHeight="1" x14ac:dyDescent="0.15"/>
    <row r="56" customFormat="1" ht="15" customHeight="1" x14ac:dyDescent="0.15"/>
    <row r="57" customFormat="1" ht="15" customHeight="1" x14ac:dyDescent="0.15"/>
    <row r="58" customFormat="1" ht="15" customHeight="1" x14ac:dyDescent="0.15"/>
    <row r="59" customFormat="1" ht="15" customHeight="1" x14ac:dyDescent="0.15"/>
    <row r="60" customFormat="1" ht="15" customHeight="1" x14ac:dyDescent="0.15"/>
    <row r="61" customFormat="1" ht="15" customHeight="1" x14ac:dyDescent="0.15"/>
    <row r="62" customFormat="1" ht="15" customHeight="1" x14ac:dyDescent="0.15"/>
    <row r="63" customFormat="1" ht="15" customHeight="1" x14ac:dyDescent="0.15"/>
    <row r="64" customFormat="1" ht="15" customHeight="1" x14ac:dyDescent="0.15"/>
    <row r="65" customFormat="1" ht="15" customHeight="1" x14ac:dyDescent="0.15"/>
    <row r="66" customFormat="1" ht="15" customHeight="1" x14ac:dyDescent="0.15"/>
    <row r="67" customFormat="1" ht="15" customHeight="1" x14ac:dyDescent="0.15"/>
    <row r="68" customFormat="1" ht="15" customHeight="1" x14ac:dyDescent="0.15"/>
    <row r="69" customFormat="1" ht="15" customHeight="1" x14ac:dyDescent="0.15"/>
    <row r="70" customFormat="1" ht="15" customHeight="1" x14ac:dyDescent="0.15"/>
    <row r="71" customFormat="1" ht="15" customHeight="1" x14ac:dyDescent="0.15"/>
    <row r="72" customFormat="1" ht="15" customHeight="1" x14ac:dyDescent="0.15"/>
    <row r="73" customFormat="1" ht="15" customHeight="1" x14ac:dyDescent="0.15"/>
    <row r="74" customFormat="1" ht="15" customHeight="1" x14ac:dyDescent="0.15"/>
    <row r="75" customFormat="1" ht="15" customHeight="1" x14ac:dyDescent="0.15"/>
    <row r="76" customFormat="1" ht="15" customHeight="1" x14ac:dyDescent="0.15"/>
    <row r="77" customFormat="1" ht="15" customHeight="1" x14ac:dyDescent="0.15"/>
    <row r="78" customFormat="1" ht="15" customHeight="1" x14ac:dyDescent="0.15"/>
    <row r="79" customFormat="1" ht="15" customHeight="1" x14ac:dyDescent="0.15"/>
    <row r="80" customFormat="1" ht="15" customHeight="1" x14ac:dyDescent="0.15"/>
    <row r="81" customFormat="1" ht="15" customHeight="1" x14ac:dyDescent="0.15"/>
    <row r="82" customFormat="1" ht="15" customHeight="1" x14ac:dyDescent="0.15"/>
    <row r="83" customFormat="1" ht="15" customHeight="1" x14ac:dyDescent="0.15"/>
    <row r="84" customFormat="1" ht="15" customHeight="1" x14ac:dyDescent="0.15"/>
    <row r="85" customFormat="1" ht="15" customHeight="1" x14ac:dyDescent="0.15"/>
    <row r="86" customFormat="1" ht="15" customHeight="1" x14ac:dyDescent="0.15"/>
    <row r="87" customFormat="1" ht="15" customHeight="1" x14ac:dyDescent="0.15"/>
    <row r="88" customFormat="1" ht="15" customHeight="1" x14ac:dyDescent="0.15"/>
    <row r="89" customFormat="1" ht="15" customHeight="1" x14ac:dyDescent="0.15"/>
    <row r="90" customFormat="1" ht="15" customHeight="1" x14ac:dyDescent="0.15"/>
    <row r="91" customFormat="1" ht="15" customHeight="1" x14ac:dyDescent="0.15"/>
    <row r="92" customFormat="1" ht="15" customHeight="1" x14ac:dyDescent="0.15"/>
    <row r="93" customFormat="1" ht="15" customHeight="1" x14ac:dyDescent="0.15"/>
    <row r="94" customFormat="1" ht="15" customHeight="1" x14ac:dyDescent="0.15"/>
    <row r="95" customFormat="1" ht="15" customHeight="1" x14ac:dyDescent="0.15"/>
    <row r="96" customFormat="1" ht="15" customHeight="1" x14ac:dyDescent="0.15"/>
    <row r="97" customFormat="1" ht="15" customHeight="1" x14ac:dyDescent="0.15"/>
    <row r="98" customFormat="1" ht="15" customHeight="1" x14ac:dyDescent="0.15"/>
    <row r="99" customFormat="1" ht="15" customHeight="1" x14ac:dyDescent="0.15"/>
    <row r="100" customFormat="1" ht="15" customHeight="1" x14ac:dyDescent="0.15"/>
    <row r="101" customFormat="1" ht="15" customHeight="1" x14ac:dyDescent="0.15"/>
    <row r="102" customFormat="1" ht="15" customHeight="1" x14ac:dyDescent="0.15"/>
    <row r="103" customFormat="1" ht="15" customHeight="1" x14ac:dyDescent="0.15"/>
    <row r="104" customFormat="1" ht="15" customHeight="1" x14ac:dyDescent="0.15"/>
    <row r="105" customFormat="1" ht="15" customHeight="1" x14ac:dyDescent="0.15"/>
    <row r="106" customFormat="1" ht="15" customHeight="1" x14ac:dyDescent="0.15"/>
    <row r="107" customFormat="1" ht="15" customHeight="1" x14ac:dyDescent="0.15"/>
    <row r="108" customFormat="1" ht="15" customHeight="1" x14ac:dyDescent="0.15"/>
    <row r="109" customFormat="1" ht="15" customHeight="1" x14ac:dyDescent="0.15"/>
    <row r="110" customFormat="1" ht="15" customHeight="1" x14ac:dyDescent="0.15"/>
    <row r="111" customFormat="1" ht="15" customHeight="1" x14ac:dyDescent="0.15"/>
    <row r="112" customFormat="1" ht="15" customHeight="1" x14ac:dyDescent="0.15"/>
    <row r="113" customFormat="1" ht="15" customHeight="1" x14ac:dyDescent="0.15"/>
    <row r="114" customFormat="1" ht="15" customHeight="1" x14ac:dyDescent="0.15"/>
    <row r="115" customFormat="1" ht="15" customHeight="1" x14ac:dyDescent="0.15"/>
    <row r="116" customFormat="1" ht="15" customHeight="1" x14ac:dyDescent="0.15"/>
    <row r="117" customFormat="1" ht="15" customHeight="1" x14ac:dyDescent="0.15"/>
    <row r="118" customFormat="1" ht="15" customHeight="1" x14ac:dyDescent="0.15"/>
    <row r="119" customFormat="1" ht="15" customHeight="1" x14ac:dyDescent="0.15"/>
    <row r="120" customFormat="1" ht="15" customHeight="1" x14ac:dyDescent="0.15"/>
    <row r="121" customFormat="1" ht="15" customHeight="1" x14ac:dyDescent="0.15"/>
    <row r="122" customFormat="1" ht="15" customHeight="1" x14ac:dyDescent="0.15"/>
    <row r="123" customFormat="1" ht="15" customHeight="1" x14ac:dyDescent="0.15"/>
    <row r="124" customFormat="1" ht="15" customHeight="1" x14ac:dyDescent="0.15"/>
    <row r="125" customFormat="1" ht="15" customHeight="1" x14ac:dyDescent="0.15"/>
    <row r="126" customFormat="1" ht="15" customHeight="1" x14ac:dyDescent="0.15"/>
    <row r="127" customFormat="1" ht="15" customHeight="1" x14ac:dyDescent="0.15"/>
    <row r="128" customFormat="1" ht="15" customHeight="1" x14ac:dyDescent="0.15"/>
    <row r="129" customFormat="1" ht="15" customHeight="1" x14ac:dyDescent="0.15"/>
    <row r="130" customFormat="1" ht="15" customHeight="1" x14ac:dyDescent="0.15"/>
    <row r="131" customFormat="1" ht="15" customHeight="1" x14ac:dyDescent="0.15"/>
    <row r="132" customFormat="1" ht="15" customHeight="1" x14ac:dyDescent="0.15"/>
    <row r="133" customFormat="1" ht="15" customHeight="1" x14ac:dyDescent="0.15"/>
    <row r="134" customFormat="1" ht="15" customHeight="1" x14ac:dyDescent="0.15"/>
    <row r="135" customFormat="1" ht="15" customHeight="1" x14ac:dyDescent="0.15"/>
    <row r="136" customFormat="1" ht="15" customHeight="1" x14ac:dyDescent="0.15"/>
    <row r="137" customFormat="1" ht="15" customHeight="1" x14ac:dyDescent="0.15"/>
    <row r="138" customFormat="1" ht="15" customHeight="1" x14ac:dyDescent="0.15"/>
    <row r="139" customFormat="1" ht="15" customHeight="1" x14ac:dyDescent="0.15"/>
    <row r="140" customFormat="1" ht="15" customHeight="1" x14ac:dyDescent="0.15"/>
    <row r="141" customFormat="1" ht="15" customHeight="1" x14ac:dyDescent="0.15"/>
    <row r="142" customFormat="1" ht="15" customHeight="1" x14ac:dyDescent="0.15"/>
    <row r="143" customFormat="1" ht="15" customHeight="1" x14ac:dyDescent="0.15"/>
    <row r="144" customFormat="1" ht="15" customHeight="1" x14ac:dyDescent="0.15"/>
    <row r="145" customFormat="1" ht="15" customHeight="1" x14ac:dyDescent="0.15"/>
    <row r="146" customFormat="1" ht="15" customHeight="1" x14ac:dyDescent="0.15"/>
    <row r="147" customFormat="1" ht="15" customHeight="1" x14ac:dyDescent="0.15"/>
    <row r="148" customFormat="1" ht="15" customHeight="1" x14ac:dyDescent="0.15"/>
    <row r="149" customFormat="1" ht="15" customHeight="1" x14ac:dyDescent="0.15"/>
    <row r="150" customFormat="1" ht="15" customHeight="1" x14ac:dyDescent="0.15"/>
    <row r="151" customFormat="1" ht="15" customHeight="1" x14ac:dyDescent="0.15"/>
    <row r="152" customFormat="1" ht="15" customHeight="1" x14ac:dyDescent="0.15"/>
    <row r="153" customFormat="1" ht="15" customHeight="1" x14ac:dyDescent="0.15"/>
    <row r="154" customFormat="1" ht="15" customHeight="1" x14ac:dyDescent="0.15"/>
    <row r="155" customFormat="1" ht="15" customHeight="1" x14ac:dyDescent="0.15"/>
    <row r="156" customFormat="1" ht="15" customHeight="1" x14ac:dyDescent="0.15"/>
    <row r="157" customFormat="1" ht="15" customHeight="1" x14ac:dyDescent="0.15"/>
    <row r="158" customFormat="1" ht="15" customHeight="1" x14ac:dyDescent="0.15"/>
    <row r="159" customFormat="1" ht="15" customHeight="1" x14ac:dyDescent="0.15"/>
    <row r="160" customFormat="1" ht="15" customHeight="1" x14ac:dyDescent="0.15"/>
    <row r="161" customFormat="1" ht="15" customHeight="1" x14ac:dyDescent="0.15"/>
    <row r="162" customFormat="1" ht="15" customHeight="1" x14ac:dyDescent="0.15"/>
    <row r="163" customFormat="1" ht="15" customHeight="1" x14ac:dyDescent="0.15"/>
    <row r="164" customFormat="1" ht="15" customHeight="1" x14ac:dyDescent="0.15"/>
    <row r="165" customFormat="1" ht="15" customHeight="1" x14ac:dyDescent="0.15"/>
    <row r="166" customFormat="1" ht="15" customHeight="1" x14ac:dyDescent="0.15"/>
    <row r="167" customFormat="1" ht="15" customHeight="1" x14ac:dyDescent="0.15"/>
    <row r="168" customFormat="1" ht="15" customHeight="1" x14ac:dyDescent="0.15"/>
    <row r="169" customFormat="1" ht="15" customHeight="1" x14ac:dyDescent="0.15"/>
    <row r="170" customFormat="1" ht="15" customHeight="1" x14ac:dyDescent="0.15"/>
    <row r="171" customFormat="1" ht="15" customHeight="1" x14ac:dyDescent="0.15"/>
    <row r="172" customFormat="1" ht="15" customHeight="1" x14ac:dyDescent="0.15"/>
    <row r="173" customFormat="1" ht="15" customHeight="1" x14ac:dyDescent="0.15"/>
    <row r="174" customFormat="1" ht="15" customHeight="1" x14ac:dyDescent="0.15"/>
    <row r="175" customFormat="1" ht="15" customHeight="1" x14ac:dyDescent="0.15"/>
    <row r="176" customFormat="1" ht="15" customHeight="1" x14ac:dyDescent="0.15"/>
    <row r="177" customFormat="1" ht="15" customHeight="1" x14ac:dyDescent="0.15"/>
    <row r="178" customFormat="1" ht="15" customHeight="1" x14ac:dyDescent="0.15"/>
    <row r="179" customFormat="1" ht="15" customHeight="1" x14ac:dyDescent="0.15"/>
    <row r="180" customFormat="1" ht="15" customHeight="1" x14ac:dyDescent="0.15"/>
    <row r="181" customFormat="1" ht="15" customHeight="1" x14ac:dyDescent="0.15"/>
    <row r="182" customFormat="1" ht="15" customHeight="1" x14ac:dyDescent="0.15"/>
    <row r="183" customFormat="1" ht="15" customHeight="1" x14ac:dyDescent="0.15"/>
    <row r="184" customFormat="1" ht="15" customHeight="1" x14ac:dyDescent="0.15"/>
    <row r="185" customFormat="1" ht="15" customHeight="1" x14ac:dyDescent="0.15"/>
    <row r="186" customFormat="1" ht="15" customHeight="1" x14ac:dyDescent="0.15"/>
    <row r="187" customFormat="1" ht="15" customHeight="1" x14ac:dyDescent="0.15"/>
    <row r="188" customFormat="1" ht="15" customHeight="1" x14ac:dyDescent="0.15"/>
    <row r="189" customFormat="1" ht="15" customHeight="1" x14ac:dyDescent="0.15"/>
    <row r="190" customFormat="1" ht="15" customHeight="1" x14ac:dyDescent="0.15"/>
    <row r="191" customFormat="1" ht="15" customHeight="1" x14ac:dyDescent="0.15"/>
    <row r="192" customFormat="1" ht="15" customHeight="1" x14ac:dyDescent="0.15"/>
    <row r="193" customFormat="1" ht="15" customHeight="1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AH37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21.6640625" style="137" bestFit="1" customWidth="1"/>
    <col min="2" max="3" width="4.83203125" style="137" bestFit="1" customWidth="1"/>
    <col min="4" max="7" width="13.83203125" style="137" bestFit="1" customWidth="1"/>
    <col min="8" max="13" width="4.83203125" style="137" bestFit="1" customWidth="1"/>
    <col min="14" max="14" width="3.83203125" style="137" bestFit="1" customWidth="1"/>
    <col min="15" max="19" width="4.83203125" style="137" bestFit="1" customWidth="1"/>
    <col min="20" max="23" width="2.33203125" style="137" bestFit="1" customWidth="1"/>
    <col min="24" max="29" width="9" style="137" bestFit="1" customWidth="1"/>
    <col min="30" max="16384" width="8.83203125" style="137"/>
  </cols>
  <sheetData>
    <row r="1" spans="1:34" x14ac:dyDescent="0.15">
      <c r="A1" s="136" t="s">
        <v>19</v>
      </c>
      <c r="B1" s="167" t="s">
        <v>192</v>
      </c>
      <c r="C1" s="167" t="s">
        <v>193</v>
      </c>
      <c r="D1" s="167" t="s">
        <v>194</v>
      </c>
      <c r="E1" s="167" t="s">
        <v>195</v>
      </c>
      <c r="F1" s="167" t="s">
        <v>196</v>
      </c>
      <c r="G1" s="167" t="s">
        <v>197</v>
      </c>
      <c r="H1" s="167" t="s">
        <v>198</v>
      </c>
      <c r="I1" s="167" t="s">
        <v>199</v>
      </c>
      <c r="J1" s="167" t="s">
        <v>200</v>
      </c>
      <c r="K1" s="167" t="s">
        <v>201</v>
      </c>
      <c r="L1" s="167" t="s">
        <v>202</v>
      </c>
      <c r="M1" s="167" t="s">
        <v>203</v>
      </c>
      <c r="N1" s="167" t="s">
        <v>204</v>
      </c>
      <c r="O1" s="167" t="s">
        <v>205</v>
      </c>
      <c r="P1" s="167" t="s">
        <v>206</v>
      </c>
      <c r="Q1" s="167" t="s">
        <v>207</v>
      </c>
      <c r="R1" s="167" t="s">
        <v>208</v>
      </c>
      <c r="S1" s="167" t="s">
        <v>209</v>
      </c>
      <c r="T1" s="167" t="s">
        <v>210</v>
      </c>
      <c r="U1" s="167" t="s">
        <v>211</v>
      </c>
      <c r="V1" s="167" t="s">
        <v>212</v>
      </c>
      <c r="W1" s="167" t="s">
        <v>213</v>
      </c>
      <c r="X1"/>
      <c r="Y1"/>
      <c r="Z1"/>
      <c r="AA1"/>
      <c r="AB1"/>
      <c r="AC1"/>
      <c r="AD1"/>
      <c r="AE1"/>
      <c r="AF1"/>
      <c r="AG1"/>
      <c r="AH1"/>
    </row>
    <row r="2" spans="1:34" customFormat="1" x14ac:dyDescent="0.15">
      <c r="A2" s="166" t="s">
        <v>192</v>
      </c>
      <c r="B2" s="137">
        <v>0</v>
      </c>
      <c r="C2" s="137">
        <v>0</v>
      </c>
      <c r="D2" s="137">
        <v>0</v>
      </c>
      <c r="E2" s="137">
        <v>0</v>
      </c>
      <c r="F2" s="137">
        <v>0</v>
      </c>
      <c r="G2" s="137">
        <v>0</v>
      </c>
      <c r="H2" s="137">
        <v>0</v>
      </c>
      <c r="I2" s="137">
        <v>0</v>
      </c>
      <c r="J2" s="137">
        <v>0</v>
      </c>
      <c r="K2" s="137">
        <v>0</v>
      </c>
      <c r="L2" s="137">
        <v>0</v>
      </c>
      <c r="M2" s="137">
        <v>0</v>
      </c>
      <c r="N2" s="137">
        <v>0</v>
      </c>
      <c r="O2" s="137">
        <v>0</v>
      </c>
      <c r="P2" s="137">
        <v>0</v>
      </c>
      <c r="Q2" s="137">
        <v>0</v>
      </c>
      <c r="R2" s="137">
        <v>0</v>
      </c>
      <c r="S2" s="137">
        <v>0</v>
      </c>
      <c r="T2" s="137">
        <v>0</v>
      </c>
      <c r="U2" s="137">
        <v>0</v>
      </c>
      <c r="V2" s="137">
        <v>0</v>
      </c>
      <c r="W2" s="137">
        <v>0</v>
      </c>
    </row>
    <row r="3" spans="1:34" customFormat="1" x14ac:dyDescent="0.15">
      <c r="A3" s="166" t="s">
        <v>193</v>
      </c>
      <c r="B3" s="137">
        <v>0</v>
      </c>
      <c r="C3" s="137">
        <v>0</v>
      </c>
      <c r="D3" s="137">
        <v>0</v>
      </c>
      <c r="E3" s="137">
        <v>0</v>
      </c>
      <c r="F3" s="137">
        <v>0</v>
      </c>
      <c r="G3" s="137">
        <v>0</v>
      </c>
      <c r="H3" s="137">
        <v>0</v>
      </c>
      <c r="I3" s="137">
        <v>0</v>
      </c>
      <c r="J3" s="137">
        <v>0</v>
      </c>
      <c r="K3" s="137">
        <v>0</v>
      </c>
      <c r="L3" s="137">
        <v>0</v>
      </c>
      <c r="M3" s="137">
        <v>0</v>
      </c>
      <c r="N3" s="137">
        <v>0</v>
      </c>
      <c r="O3" s="137">
        <v>0</v>
      </c>
      <c r="P3" s="137">
        <v>0</v>
      </c>
      <c r="Q3" s="137">
        <v>0</v>
      </c>
      <c r="R3" s="137">
        <v>0</v>
      </c>
      <c r="S3" s="137">
        <v>0</v>
      </c>
      <c r="T3" s="137">
        <v>0</v>
      </c>
      <c r="U3" s="137">
        <v>0</v>
      </c>
      <c r="V3" s="137">
        <v>0</v>
      </c>
      <c r="W3" s="137">
        <v>0</v>
      </c>
    </row>
    <row r="4" spans="1:34" customFormat="1" x14ac:dyDescent="0.15">
      <c r="A4" s="166" t="s">
        <v>194</v>
      </c>
      <c r="B4" s="137">
        <v>0.13</v>
      </c>
      <c r="C4" s="137">
        <v>0</v>
      </c>
      <c r="D4" s="137">
        <v>0</v>
      </c>
      <c r="E4" s="137">
        <v>0</v>
      </c>
      <c r="F4" s="137">
        <v>0.10989011082417575</v>
      </c>
      <c r="G4" s="137">
        <v>0</v>
      </c>
      <c r="H4" s="137">
        <v>0</v>
      </c>
      <c r="I4" s="137">
        <v>0</v>
      </c>
      <c r="J4" s="137">
        <v>0</v>
      </c>
      <c r="K4" s="137">
        <v>0</v>
      </c>
      <c r="L4" s="137">
        <v>0</v>
      </c>
      <c r="M4" s="137">
        <v>0</v>
      </c>
      <c r="N4" s="137">
        <v>0</v>
      </c>
      <c r="O4" s="137">
        <v>0</v>
      </c>
      <c r="P4" s="137">
        <v>0</v>
      </c>
      <c r="Q4" s="137">
        <v>0</v>
      </c>
      <c r="R4" s="137">
        <v>0</v>
      </c>
      <c r="S4" s="137">
        <v>0</v>
      </c>
      <c r="T4" s="137">
        <v>0</v>
      </c>
      <c r="U4" s="137">
        <v>0</v>
      </c>
      <c r="V4" s="137">
        <v>0</v>
      </c>
      <c r="W4" s="137">
        <v>0</v>
      </c>
    </row>
    <row r="5" spans="1:34" customFormat="1" x14ac:dyDescent="0.15">
      <c r="A5" s="166" t="s">
        <v>195</v>
      </c>
      <c r="B5" s="137">
        <v>0.02</v>
      </c>
      <c r="C5" s="137">
        <v>0</v>
      </c>
      <c r="D5" s="137">
        <v>0</v>
      </c>
      <c r="E5" s="137">
        <v>0</v>
      </c>
      <c r="F5" s="137">
        <v>0</v>
      </c>
      <c r="G5" s="137">
        <v>0</v>
      </c>
      <c r="H5" s="137">
        <v>0</v>
      </c>
      <c r="I5" s="137">
        <v>0</v>
      </c>
      <c r="J5" s="137">
        <v>0</v>
      </c>
      <c r="K5" s="137">
        <v>0</v>
      </c>
      <c r="L5" s="137">
        <v>0</v>
      </c>
      <c r="M5" s="137">
        <v>0</v>
      </c>
      <c r="N5" s="137">
        <v>0</v>
      </c>
      <c r="O5" s="137">
        <v>0</v>
      </c>
      <c r="P5" s="137">
        <v>0</v>
      </c>
      <c r="Q5" s="137">
        <v>0</v>
      </c>
      <c r="R5" s="137">
        <v>0</v>
      </c>
      <c r="S5" s="137">
        <v>0</v>
      </c>
      <c r="T5" s="137">
        <v>0</v>
      </c>
      <c r="U5" s="137">
        <v>0</v>
      </c>
      <c r="V5" s="137">
        <v>0</v>
      </c>
      <c r="W5" s="137">
        <v>0</v>
      </c>
    </row>
    <row r="6" spans="1:34" customFormat="1" x14ac:dyDescent="0.15">
      <c r="A6" s="166" t="s">
        <v>196</v>
      </c>
      <c r="B6" s="137">
        <v>0.01</v>
      </c>
      <c r="C6" s="137">
        <v>0</v>
      </c>
      <c r="D6" s="137">
        <v>0</v>
      </c>
      <c r="E6" s="137">
        <v>3.9999999619999969E-2</v>
      </c>
      <c r="F6" s="137">
        <v>0</v>
      </c>
      <c r="G6" s="137">
        <v>4.9999999194999895E-2</v>
      </c>
      <c r="H6" s="137">
        <v>0</v>
      </c>
      <c r="I6" s="137">
        <v>0</v>
      </c>
      <c r="J6" s="137">
        <v>0</v>
      </c>
      <c r="K6" s="137">
        <v>0</v>
      </c>
      <c r="L6" s="137">
        <v>0</v>
      </c>
      <c r="M6" s="137">
        <v>0</v>
      </c>
      <c r="N6" s="137">
        <v>0</v>
      </c>
      <c r="O6" s="137">
        <v>0</v>
      </c>
      <c r="P6" s="137">
        <v>0</v>
      </c>
      <c r="Q6" s="137">
        <v>0</v>
      </c>
      <c r="R6" s="137">
        <v>0</v>
      </c>
      <c r="S6" s="137">
        <v>0</v>
      </c>
      <c r="T6" s="137">
        <v>0</v>
      </c>
      <c r="U6" s="137">
        <v>0</v>
      </c>
      <c r="V6" s="137">
        <v>0</v>
      </c>
      <c r="W6" s="137">
        <v>0</v>
      </c>
    </row>
    <row r="7" spans="1:34" customFormat="1" x14ac:dyDescent="0.15">
      <c r="A7" s="166" t="s">
        <v>197</v>
      </c>
      <c r="B7" s="137">
        <v>0.01</v>
      </c>
      <c r="C7" s="137">
        <v>0</v>
      </c>
      <c r="D7" s="137">
        <v>0</v>
      </c>
      <c r="E7" s="137">
        <v>2.9999998764999876E-2</v>
      </c>
      <c r="F7" s="137">
        <v>0</v>
      </c>
      <c r="G7" s="137">
        <v>4.0000000116000009E-2</v>
      </c>
      <c r="H7" s="137">
        <v>0</v>
      </c>
      <c r="I7" s="137">
        <v>0</v>
      </c>
      <c r="J7" s="137">
        <v>0</v>
      </c>
      <c r="K7" s="137">
        <v>0</v>
      </c>
      <c r="L7" s="137">
        <v>0</v>
      </c>
      <c r="M7" s="137">
        <v>0</v>
      </c>
      <c r="N7" s="137">
        <v>0</v>
      </c>
      <c r="O7" s="137">
        <v>0</v>
      </c>
      <c r="P7" s="137">
        <v>0</v>
      </c>
      <c r="Q7" s="137">
        <v>0</v>
      </c>
      <c r="R7" s="137">
        <v>0</v>
      </c>
      <c r="S7" s="137">
        <v>0</v>
      </c>
      <c r="T7" s="137">
        <v>0</v>
      </c>
      <c r="U7" s="137">
        <v>0</v>
      </c>
      <c r="V7" s="137">
        <v>0</v>
      </c>
      <c r="W7" s="137">
        <v>0</v>
      </c>
    </row>
    <row r="8" spans="1:34" customFormat="1" x14ac:dyDescent="0.15">
      <c r="A8" s="166" t="s">
        <v>198</v>
      </c>
      <c r="B8" s="137">
        <v>0</v>
      </c>
      <c r="C8" s="137">
        <v>0</v>
      </c>
      <c r="D8" s="137">
        <v>0</v>
      </c>
      <c r="E8" s="137">
        <v>5.9999996329999625E-2</v>
      </c>
      <c r="F8" s="137">
        <v>2.1978021064835221E-2</v>
      </c>
      <c r="G8" s="137">
        <v>5.9999997073999653E-2</v>
      </c>
      <c r="H8" s="137">
        <v>0</v>
      </c>
      <c r="I8" s="137">
        <v>0</v>
      </c>
      <c r="J8" s="137">
        <v>0</v>
      </c>
      <c r="K8" s="137">
        <v>0</v>
      </c>
      <c r="L8" s="137">
        <v>0</v>
      </c>
      <c r="M8" s="137">
        <v>0</v>
      </c>
      <c r="N8" s="137">
        <v>0</v>
      </c>
      <c r="O8" s="137">
        <v>0</v>
      </c>
      <c r="P8" s="137">
        <v>0</v>
      </c>
      <c r="Q8" s="137">
        <v>0</v>
      </c>
      <c r="R8" s="137">
        <v>0</v>
      </c>
      <c r="S8" s="137">
        <v>0</v>
      </c>
      <c r="T8" s="137">
        <v>0</v>
      </c>
      <c r="U8" s="137">
        <v>0</v>
      </c>
      <c r="V8" s="137">
        <v>0</v>
      </c>
      <c r="W8" s="137">
        <v>0</v>
      </c>
    </row>
    <row r="9" spans="1:34" customFormat="1" x14ac:dyDescent="0.15">
      <c r="A9" s="166" t="s">
        <v>199</v>
      </c>
      <c r="B9" s="137">
        <v>0</v>
      </c>
      <c r="C9" s="137">
        <v>0</v>
      </c>
      <c r="D9" s="137">
        <v>0</v>
      </c>
      <c r="E9" s="137">
        <v>2.9999998764999876E-2</v>
      </c>
      <c r="F9" s="137">
        <v>0</v>
      </c>
      <c r="G9" s="137">
        <v>2.0000000058000005E-2</v>
      </c>
      <c r="H9" s="137">
        <v>0</v>
      </c>
      <c r="I9" s="137">
        <v>0</v>
      </c>
      <c r="J9" s="137">
        <v>0</v>
      </c>
      <c r="K9" s="137">
        <v>0</v>
      </c>
      <c r="L9" s="137">
        <v>0</v>
      </c>
      <c r="M9" s="137">
        <v>0</v>
      </c>
      <c r="N9" s="137">
        <v>0</v>
      </c>
      <c r="O9" s="137">
        <v>0</v>
      </c>
      <c r="P9" s="137">
        <v>0</v>
      </c>
      <c r="Q9" s="137">
        <v>0</v>
      </c>
      <c r="R9" s="137">
        <v>0</v>
      </c>
      <c r="S9" s="137">
        <v>0</v>
      </c>
      <c r="T9" s="137">
        <v>0</v>
      </c>
      <c r="U9" s="137">
        <v>0</v>
      </c>
      <c r="V9" s="137">
        <v>0</v>
      </c>
      <c r="W9" s="137">
        <v>0</v>
      </c>
    </row>
    <row r="10" spans="1:34" customFormat="1" x14ac:dyDescent="0.15">
      <c r="A10" s="166" t="s">
        <v>200</v>
      </c>
      <c r="B10" s="137">
        <v>0</v>
      </c>
      <c r="C10" s="137">
        <v>0</v>
      </c>
      <c r="D10" s="137">
        <v>0</v>
      </c>
      <c r="E10" s="137">
        <v>4.9999998574999857E-2</v>
      </c>
      <c r="F10" s="137">
        <v>5.4945056412087807E-2</v>
      </c>
      <c r="G10" s="137">
        <v>6.9999998252999782E-2</v>
      </c>
      <c r="H10" s="137">
        <v>0</v>
      </c>
      <c r="I10" s="137">
        <v>0.08</v>
      </c>
      <c r="J10" s="137">
        <v>0</v>
      </c>
      <c r="K10" s="137">
        <v>0.05</v>
      </c>
      <c r="L10" s="137">
        <v>0.1</v>
      </c>
      <c r="M10" s="137">
        <v>0.03</v>
      </c>
      <c r="N10" s="137">
        <v>0</v>
      </c>
      <c r="O10" s="137">
        <v>0</v>
      </c>
      <c r="P10" s="137">
        <v>0</v>
      </c>
      <c r="Q10" s="137">
        <v>0</v>
      </c>
      <c r="R10" s="137">
        <v>0</v>
      </c>
      <c r="S10" s="137">
        <v>0</v>
      </c>
      <c r="T10" s="137">
        <v>0</v>
      </c>
      <c r="U10" s="137">
        <v>0</v>
      </c>
      <c r="V10" s="137">
        <v>0</v>
      </c>
      <c r="W10" s="137">
        <v>0</v>
      </c>
    </row>
    <row r="11" spans="1:34" customFormat="1" x14ac:dyDescent="0.15">
      <c r="A11" s="166" t="s">
        <v>201</v>
      </c>
      <c r="B11" s="137">
        <v>0</v>
      </c>
      <c r="C11" s="137">
        <v>0</v>
      </c>
      <c r="D11" s="137">
        <v>0</v>
      </c>
      <c r="E11" s="137">
        <v>2.9999998764999876E-2</v>
      </c>
      <c r="F11" s="137">
        <v>2.1978021064835221E-2</v>
      </c>
      <c r="G11" s="137">
        <v>4.0000000116000009E-2</v>
      </c>
      <c r="H11" s="137">
        <v>0</v>
      </c>
      <c r="I11" s="137">
        <v>0.03</v>
      </c>
      <c r="J11" s="137">
        <v>0</v>
      </c>
      <c r="K11" s="137">
        <v>0</v>
      </c>
      <c r="L11" s="137">
        <v>0.05</v>
      </c>
      <c r="M11" s="137">
        <v>0</v>
      </c>
      <c r="N11" s="137">
        <v>0</v>
      </c>
      <c r="O11" s="137">
        <v>0</v>
      </c>
      <c r="P11" s="137">
        <v>0</v>
      </c>
      <c r="Q11" s="137">
        <v>0</v>
      </c>
      <c r="R11" s="137">
        <v>0</v>
      </c>
      <c r="S11" s="137">
        <v>0</v>
      </c>
      <c r="T11" s="137">
        <v>0</v>
      </c>
      <c r="U11" s="137">
        <v>0</v>
      </c>
      <c r="V11" s="137">
        <v>0</v>
      </c>
      <c r="W11" s="137">
        <v>0</v>
      </c>
    </row>
    <row r="12" spans="1:34" customFormat="1" x14ac:dyDescent="0.15">
      <c r="A12" s="166" t="s">
        <v>202</v>
      </c>
      <c r="B12" s="137">
        <v>0</v>
      </c>
      <c r="C12" s="137">
        <v>0</v>
      </c>
      <c r="D12" s="137">
        <v>0</v>
      </c>
      <c r="E12" s="137">
        <v>0</v>
      </c>
      <c r="F12" s="137">
        <v>0</v>
      </c>
      <c r="G12" s="137">
        <v>0</v>
      </c>
      <c r="H12" s="137">
        <v>0</v>
      </c>
      <c r="I12" s="137">
        <v>0.03</v>
      </c>
      <c r="J12" s="137">
        <v>0</v>
      </c>
      <c r="K12" s="137">
        <v>0.1</v>
      </c>
      <c r="L12" s="137">
        <v>0</v>
      </c>
      <c r="M12" s="137">
        <v>0</v>
      </c>
      <c r="N12" s="137">
        <v>0</v>
      </c>
      <c r="O12" s="137">
        <v>0</v>
      </c>
      <c r="P12" s="137">
        <v>0</v>
      </c>
      <c r="Q12" s="137">
        <v>0</v>
      </c>
      <c r="R12" s="137">
        <v>0</v>
      </c>
      <c r="S12" s="137">
        <v>0</v>
      </c>
      <c r="T12" s="137">
        <v>0</v>
      </c>
      <c r="U12" s="137">
        <v>0</v>
      </c>
      <c r="V12" s="137">
        <v>0</v>
      </c>
      <c r="W12" s="137">
        <v>0</v>
      </c>
    </row>
    <row r="13" spans="1:34" customFormat="1" x14ac:dyDescent="0.15">
      <c r="A13" s="166" t="s">
        <v>203</v>
      </c>
      <c r="B13" s="137">
        <v>0.01</v>
      </c>
      <c r="C13" s="137">
        <v>0</v>
      </c>
      <c r="D13" s="137">
        <v>1.9999998516000213E-2</v>
      </c>
      <c r="E13" s="137">
        <v>6.9999997384999735E-2</v>
      </c>
      <c r="F13" s="137">
        <v>1.0989010582417609E-2</v>
      </c>
      <c r="G13" s="137">
        <v>0.14000000250600028</v>
      </c>
      <c r="H13" s="137">
        <v>0.15</v>
      </c>
      <c r="I13" s="137">
        <v>0.12</v>
      </c>
      <c r="J13" s="137">
        <v>0.1</v>
      </c>
      <c r="K13" s="137">
        <v>0.2</v>
      </c>
      <c r="L13" s="137">
        <v>0.3</v>
      </c>
      <c r="M13" s="137">
        <v>0.04</v>
      </c>
      <c r="N13" s="137">
        <v>0</v>
      </c>
      <c r="O13" s="137">
        <v>0</v>
      </c>
      <c r="P13" s="137">
        <v>0</v>
      </c>
      <c r="Q13" s="137">
        <v>0</v>
      </c>
      <c r="R13" s="137">
        <v>0</v>
      </c>
      <c r="S13" s="137">
        <v>0</v>
      </c>
      <c r="T13" s="137">
        <v>0</v>
      </c>
      <c r="U13" s="137">
        <v>0</v>
      </c>
      <c r="V13" s="137">
        <v>0</v>
      </c>
      <c r="W13" s="137">
        <v>0</v>
      </c>
    </row>
    <row r="14" spans="1:34" customFormat="1" x14ac:dyDescent="0.15">
      <c r="A14" s="166" t="s">
        <v>204</v>
      </c>
      <c r="B14" s="137">
        <v>0.76</v>
      </c>
      <c r="C14" s="137">
        <v>0.83000000000000007</v>
      </c>
      <c r="D14" s="137">
        <v>0.55000002068999709</v>
      </c>
      <c r="E14" s="137">
        <v>0.10999999660499965</v>
      </c>
      <c r="F14" s="137">
        <v>0.19780220308351612</v>
      </c>
      <c r="G14" s="137">
        <v>6.9999998252999782E-2</v>
      </c>
      <c r="H14" s="137">
        <v>0</v>
      </c>
      <c r="I14" s="137">
        <v>0</v>
      </c>
      <c r="J14" s="137">
        <v>0.05</v>
      </c>
      <c r="K14" s="137">
        <v>0.15</v>
      </c>
      <c r="L14" s="137">
        <v>0.05</v>
      </c>
      <c r="M14" s="137">
        <v>0</v>
      </c>
      <c r="N14" s="137">
        <v>0</v>
      </c>
      <c r="O14" s="137">
        <v>0.02</v>
      </c>
      <c r="P14" s="137">
        <v>0</v>
      </c>
      <c r="Q14" s="137">
        <v>0</v>
      </c>
      <c r="R14" s="137">
        <v>0</v>
      </c>
      <c r="S14" s="137">
        <v>0</v>
      </c>
      <c r="T14" s="137">
        <v>0</v>
      </c>
      <c r="U14" s="137">
        <v>0</v>
      </c>
      <c r="V14" s="137">
        <v>0</v>
      </c>
      <c r="W14" s="137">
        <v>0</v>
      </c>
    </row>
    <row r="15" spans="1:34" customFormat="1" x14ac:dyDescent="0.15">
      <c r="A15" s="166" t="s">
        <v>205</v>
      </c>
      <c r="B15" s="137">
        <v>0</v>
      </c>
      <c r="C15" s="137">
        <v>1.0000000000000002E-2</v>
      </c>
      <c r="D15" s="137">
        <v>4.9999997290000396E-2</v>
      </c>
      <c r="E15" s="137">
        <v>0.15000000682500075</v>
      </c>
      <c r="F15" s="137">
        <v>8.7912084259340884E-2</v>
      </c>
      <c r="G15" s="137">
        <v>0.1000000017900002</v>
      </c>
      <c r="H15" s="137">
        <v>0.1</v>
      </c>
      <c r="I15" s="137">
        <v>0.15</v>
      </c>
      <c r="J15" s="137">
        <v>0.05</v>
      </c>
      <c r="K15" s="137">
        <v>0.1</v>
      </c>
      <c r="L15" s="137">
        <v>0.1</v>
      </c>
      <c r="M15" s="137">
        <v>0.04</v>
      </c>
      <c r="N15" s="137">
        <v>0</v>
      </c>
      <c r="O15" s="137">
        <v>0.05</v>
      </c>
      <c r="P15" s="137">
        <v>0</v>
      </c>
      <c r="Q15" s="137">
        <v>0</v>
      </c>
      <c r="R15" s="137">
        <v>0</v>
      </c>
      <c r="S15" s="137">
        <v>0</v>
      </c>
      <c r="T15" s="137">
        <v>0</v>
      </c>
      <c r="U15" s="137">
        <v>0</v>
      </c>
      <c r="V15" s="137">
        <v>0</v>
      </c>
      <c r="W15" s="137">
        <v>0</v>
      </c>
    </row>
    <row r="16" spans="1:34" customFormat="1" x14ac:dyDescent="0.15">
      <c r="A16" s="166" t="s">
        <v>206</v>
      </c>
      <c r="B16" s="137">
        <v>0</v>
      </c>
      <c r="C16" s="137">
        <v>0</v>
      </c>
      <c r="D16" s="137">
        <v>7.9999994164000846E-2</v>
      </c>
      <c r="E16" s="137">
        <v>0.10999999660499965</v>
      </c>
      <c r="F16" s="137">
        <v>0.14285713967142877</v>
      </c>
      <c r="G16" s="137">
        <v>4.9999999194999895E-2</v>
      </c>
      <c r="H16" s="137">
        <v>0</v>
      </c>
      <c r="I16" s="137">
        <v>0.16</v>
      </c>
      <c r="J16" s="137">
        <v>0.2</v>
      </c>
      <c r="K16" s="137">
        <v>0.15</v>
      </c>
      <c r="L16" s="137">
        <v>0.1</v>
      </c>
      <c r="M16" s="137">
        <v>0.1</v>
      </c>
      <c r="N16" s="137">
        <v>0</v>
      </c>
      <c r="O16" s="137">
        <v>0.1</v>
      </c>
      <c r="P16" s="137">
        <v>0</v>
      </c>
      <c r="Q16" s="137">
        <v>0</v>
      </c>
      <c r="R16" s="137">
        <v>0</v>
      </c>
      <c r="S16" s="137">
        <v>0</v>
      </c>
      <c r="T16" s="137">
        <v>0</v>
      </c>
      <c r="U16" s="137">
        <v>0</v>
      </c>
      <c r="V16" s="137">
        <v>0</v>
      </c>
      <c r="W16" s="137">
        <v>0</v>
      </c>
    </row>
    <row r="17" spans="1:23" customFormat="1" x14ac:dyDescent="0.15">
      <c r="A17" s="166" t="s">
        <v>207</v>
      </c>
      <c r="B17" s="137">
        <v>0</v>
      </c>
      <c r="C17" s="137">
        <v>6.0000000000000005E-2</v>
      </c>
      <c r="D17" s="137">
        <v>2.9999996874000453E-2</v>
      </c>
      <c r="E17" s="137">
        <v>0.18000001099000118</v>
      </c>
      <c r="F17" s="137">
        <v>0.18681317880109941</v>
      </c>
      <c r="G17" s="137">
        <v>0.28000000401200043</v>
      </c>
      <c r="H17" s="137">
        <v>0.5</v>
      </c>
      <c r="I17" s="137">
        <v>0.21</v>
      </c>
      <c r="J17" s="137">
        <v>0.32</v>
      </c>
      <c r="K17" s="137">
        <v>0.2</v>
      </c>
      <c r="L17" s="137">
        <v>0.3</v>
      </c>
      <c r="M17" s="137">
        <v>0.2</v>
      </c>
      <c r="N17" s="137">
        <v>0</v>
      </c>
      <c r="O17" s="137">
        <v>0.2</v>
      </c>
      <c r="P17" s="137">
        <v>0.1</v>
      </c>
      <c r="Q17" s="137">
        <v>0.05</v>
      </c>
      <c r="R17" s="137">
        <v>0</v>
      </c>
      <c r="S17" s="137">
        <v>0</v>
      </c>
      <c r="T17" s="137">
        <v>0</v>
      </c>
      <c r="U17" s="137">
        <v>0</v>
      </c>
      <c r="V17" s="137">
        <v>0</v>
      </c>
      <c r="W17" s="137">
        <v>0</v>
      </c>
    </row>
    <row r="18" spans="1:23" customFormat="1" x14ac:dyDescent="0.15">
      <c r="A18" s="166" t="s">
        <v>208</v>
      </c>
      <c r="B18" s="137">
        <v>0</v>
      </c>
      <c r="C18" s="137">
        <v>0.10000000000000002</v>
      </c>
      <c r="D18" s="137">
        <v>1.9999998516000213E-2</v>
      </c>
      <c r="E18" s="137">
        <v>0.1400000007700001</v>
      </c>
      <c r="F18" s="137">
        <v>0.16483517423626309</v>
      </c>
      <c r="G18" s="137">
        <v>7.9999999431999924E-2</v>
      </c>
      <c r="H18" s="137">
        <v>0.25</v>
      </c>
      <c r="I18" s="137">
        <v>0.22</v>
      </c>
      <c r="J18" s="137">
        <v>0.28000000000000003</v>
      </c>
      <c r="K18" s="137">
        <v>0.05</v>
      </c>
      <c r="L18" s="137">
        <v>0</v>
      </c>
      <c r="M18" s="137">
        <v>0.37</v>
      </c>
      <c r="N18" s="137">
        <v>0</v>
      </c>
      <c r="O18" s="137">
        <v>0.2</v>
      </c>
      <c r="P18" s="137">
        <v>0.23</v>
      </c>
      <c r="Q18" s="137">
        <v>0.4</v>
      </c>
      <c r="R18" s="137">
        <v>0.11</v>
      </c>
      <c r="S18" s="137">
        <v>0</v>
      </c>
      <c r="T18" s="137">
        <v>0</v>
      </c>
      <c r="U18" s="137">
        <v>0</v>
      </c>
      <c r="V18" s="137">
        <v>0</v>
      </c>
      <c r="W18" s="137">
        <v>0</v>
      </c>
    </row>
    <row r="19" spans="1:23" customFormat="1" x14ac:dyDescent="0.15">
      <c r="A19" s="166" t="s">
        <v>209</v>
      </c>
      <c r="B19" s="137">
        <v>0</v>
      </c>
      <c r="C19" s="137">
        <v>0</v>
      </c>
      <c r="D19" s="137">
        <v>0.24999999395000086</v>
      </c>
      <c r="E19" s="137">
        <v>0</v>
      </c>
      <c r="F19" s="137">
        <v>0</v>
      </c>
      <c r="G19" s="137">
        <v>0</v>
      </c>
      <c r="H19" s="137">
        <v>0</v>
      </c>
      <c r="I19" s="137">
        <v>0</v>
      </c>
      <c r="J19" s="137">
        <v>0</v>
      </c>
      <c r="K19" s="137">
        <v>0</v>
      </c>
      <c r="L19" s="137">
        <v>0</v>
      </c>
      <c r="M19" s="137">
        <v>0.22</v>
      </c>
      <c r="N19" s="137">
        <v>0.9</v>
      </c>
      <c r="O19" s="137">
        <v>0</v>
      </c>
      <c r="P19" s="137">
        <v>0.21</v>
      </c>
      <c r="Q19" s="137">
        <v>0.15</v>
      </c>
      <c r="R19" s="137">
        <v>0.13</v>
      </c>
      <c r="S19" s="137">
        <v>0.1</v>
      </c>
      <c r="T19" s="137">
        <v>0</v>
      </c>
      <c r="U19" s="137">
        <v>0</v>
      </c>
      <c r="V19" s="137">
        <v>0</v>
      </c>
      <c r="W19" s="137">
        <v>0</v>
      </c>
    </row>
    <row r="20" spans="1:23" customFormat="1" x14ac:dyDescent="0.15">
      <c r="A20" s="166" t="s">
        <v>210</v>
      </c>
      <c r="B20" s="137">
        <v>0</v>
      </c>
      <c r="C20" s="137">
        <v>0</v>
      </c>
      <c r="D20" s="137">
        <v>0</v>
      </c>
      <c r="E20" s="137">
        <v>0</v>
      </c>
      <c r="F20" s="137">
        <v>0</v>
      </c>
      <c r="G20" s="137">
        <v>0</v>
      </c>
      <c r="H20" s="137">
        <v>0</v>
      </c>
      <c r="I20" s="137">
        <v>0</v>
      </c>
      <c r="J20" s="137">
        <v>0</v>
      </c>
      <c r="K20" s="137">
        <v>0</v>
      </c>
      <c r="L20" s="137">
        <v>0</v>
      </c>
      <c r="M20" s="137">
        <v>0</v>
      </c>
      <c r="N20" s="137">
        <v>0.1</v>
      </c>
      <c r="O20" s="137">
        <v>0</v>
      </c>
      <c r="P20" s="137">
        <v>0.21</v>
      </c>
      <c r="Q20" s="137">
        <v>0.13</v>
      </c>
      <c r="R20" s="137">
        <v>0.3</v>
      </c>
      <c r="S20" s="137">
        <v>0.77</v>
      </c>
      <c r="T20" s="137">
        <v>0</v>
      </c>
      <c r="U20" s="137">
        <v>0</v>
      </c>
      <c r="V20" s="137">
        <v>0</v>
      </c>
      <c r="W20" s="137">
        <v>0</v>
      </c>
    </row>
    <row r="21" spans="1:23" customFormat="1" x14ac:dyDescent="0.15">
      <c r="A21" s="166" t="s">
        <v>211</v>
      </c>
      <c r="B21" s="137">
        <v>0</v>
      </c>
      <c r="C21" s="137">
        <v>0</v>
      </c>
      <c r="D21" s="137">
        <v>0</v>
      </c>
      <c r="E21" s="137">
        <v>0</v>
      </c>
      <c r="F21" s="137">
        <v>0</v>
      </c>
      <c r="G21" s="137">
        <v>0</v>
      </c>
      <c r="H21" s="137">
        <v>0</v>
      </c>
      <c r="I21" s="137">
        <v>0</v>
      </c>
      <c r="J21" s="137">
        <v>0</v>
      </c>
      <c r="K21" s="137">
        <v>0</v>
      </c>
      <c r="L21" s="137">
        <v>0</v>
      </c>
      <c r="M21" s="137">
        <v>0</v>
      </c>
      <c r="N21" s="137">
        <v>0</v>
      </c>
      <c r="O21" s="137">
        <v>0.43</v>
      </c>
      <c r="P21" s="137">
        <v>0.25</v>
      </c>
      <c r="Q21" s="137">
        <v>0.27</v>
      </c>
      <c r="R21" s="137">
        <v>0.46</v>
      </c>
      <c r="S21" s="137">
        <v>0.13</v>
      </c>
      <c r="T21" s="137">
        <v>0</v>
      </c>
      <c r="U21" s="137">
        <v>0</v>
      </c>
      <c r="V21" s="137">
        <v>0</v>
      </c>
      <c r="W21" s="137">
        <v>0</v>
      </c>
    </row>
    <row r="22" spans="1:23" customFormat="1" x14ac:dyDescent="0.15">
      <c r="A22" s="166" t="s">
        <v>212</v>
      </c>
      <c r="B22" s="137">
        <v>0</v>
      </c>
      <c r="C22" s="137">
        <v>0</v>
      </c>
      <c r="D22" s="137">
        <v>0</v>
      </c>
      <c r="E22" s="137">
        <v>0</v>
      </c>
      <c r="F22" s="137">
        <v>0</v>
      </c>
      <c r="G22" s="137">
        <v>0</v>
      </c>
      <c r="H22" s="137">
        <v>0</v>
      </c>
      <c r="I22" s="137">
        <v>0</v>
      </c>
      <c r="J22" s="137">
        <v>0</v>
      </c>
      <c r="K22" s="137">
        <v>0</v>
      </c>
      <c r="L22" s="137">
        <v>0</v>
      </c>
      <c r="M22" s="137">
        <v>0</v>
      </c>
      <c r="N22" s="137">
        <v>0</v>
      </c>
      <c r="O22" s="137">
        <v>0</v>
      </c>
      <c r="P22" s="137">
        <v>0</v>
      </c>
      <c r="Q22" s="137">
        <v>0</v>
      </c>
      <c r="R22" s="137">
        <v>0</v>
      </c>
      <c r="S22" s="137">
        <v>0</v>
      </c>
      <c r="T22" s="137">
        <v>0</v>
      </c>
      <c r="U22" s="137">
        <v>1</v>
      </c>
      <c r="V22" s="137">
        <v>0</v>
      </c>
      <c r="W22" s="137">
        <v>0</v>
      </c>
    </row>
    <row r="23" spans="1:23" customFormat="1" x14ac:dyDescent="0.15">
      <c r="A23" s="166" t="s">
        <v>213</v>
      </c>
      <c r="B23" s="137">
        <v>0</v>
      </c>
      <c r="C23" s="137">
        <v>0</v>
      </c>
      <c r="D23" s="137">
        <v>0</v>
      </c>
      <c r="E23" s="137">
        <v>0</v>
      </c>
      <c r="F23" s="137">
        <v>0</v>
      </c>
      <c r="G23" s="137">
        <v>0</v>
      </c>
      <c r="H23" s="137">
        <v>0</v>
      </c>
      <c r="I23" s="137">
        <v>0</v>
      </c>
      <c r="J23" s="137">
        <v>0</v>
      </c>
      <c r="K23" s="137">
        <v>0</v>
      </c>
      <c r="L23" s="137">
        <v>0</v>
      </c>
      <c r="M23" s="137">
        <v>0</v>
      </c>
      <c r="N23" s="137">
        <v>0</v>
      </c>
      <c r="O23" s="137">
        <v>0</v>
      </c>
      <c r="P23" s="137">
        <v>0</v>
      </c>
      <c r="Q23" s="137">
        <v>0</v>
      </c>
      <c r="R23" s="137">
        <v>0</v>
      </c>
      <c r="S23" s="137">
        <v>0</v>
      </c>
      <c r="T23" s="137">
        <v>0</v>
      </c>
      <c r="U23" s="137">
        <v>0</v>
      </c>
      <c r="V23" s="137">
        <v>0</v>
      </c>
      <c r="W23" s="137">
        <v>0</v>
      </c>
    </row>
    <row r="24" spans="1:23" customFormat="1" x14ac:dyDescent="0.15">
      <c r="A24" s="166" t="s">
        <v>215</v>
      </c>
      <c r="B24" s="137">
        <v>0.06</v>
      </c>
      <c r="C24" s="137">
        <v>0</v>
      </c>
      <c r="D24" s="137">
        <v>0</v>
      </c>
      <c r="E24" s="137">
        <v>0</v>
      </c>
      <c r="F24" s="137">
        <v>0</v>
      </c>
      <c r="G24" s="137">
        <v>0</v>
      </c>
      <c r="H24" s="137">
        <v>0</v>
      </c>
      <c r="I24" s="137">
        <v>0</v>
      </c>
      <c r="J24" s="137">
        <v>0</v>
      </c>
      <c r="K24" s="137">
        <v>0</v>
      </c>
      <c r="L24" s="137">
        <v>0</v>
      </c>
      <c r="M24" s="137">
        <v>0</v>
      </c>
      <c r="N24" s="137">
        <v>0</v>
      </c>
      <c r="O24" s="137">
        <v>0</v>
      </c>
      <c r="P24" s="137">
        <v>0</v>
      </c>
      <c r="Q24" s="137">
        <v>0</v>
      </c>
      <c r="R24" s="137">
        <v>0</v>
      </c>
      <c r="S24" s="137">
        <v>0</v>
      </c>
      <c r="T24" s="137">
        <v>1</v>
      </c>
      <c r="U24" s="137">
        <v>0</v>
      </c>
      <c r="V24" s="137">
        <v>0</v>
      </c>
      <c r="W24" s="137">
        <v>0</v>
      </c>
    </row>
    <row r="25" spans="1:23" customFormat="1" x14ac:dyDescent="0.15"/>
    <row r="26" spans="1:23" customFormat="1" x14ac:dyDescent="0.15"/>
    <row r="27" spans="1:23" customFormat="1" x14ac:dyDescent="0.15"/>
    <row r="28" spans="1:23" customFormat="1" x14ac:dyDescent="0.15"/>
    <row r="29" spans="1:23" customFormat="1" x14ac:dyDescent="0.15"/>
    <row r="30" spans="1:23" customFormat="1" x14ac:dyDescent="0.15"/>
    <row r="31" spans="1:23" customFormat="1" x14ac:dyDescent="0.15"/>
    <row r="32" spans="1:23" customFormat="1" x14ac:dyDescent="0.15"/>
    <row r="33" customFormat="1" x14ac:dyDescent="0.15"/>
    <row r="34" customFormat="1" x14ac:dyDescent="0.15"/>
    <row r="35" customFormat="1" x14ac:dyDescent="0.15"/>
    <row r="36" customFormat="1" x14ac:dyDescent="0.15"/>
    <row r="37" customFormat="1" x14ac:dyDescent="0.15"/>
    <row r="38" customForma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5" customHeight="1" x14ac:dyDescent="0.15"/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H185"/>
  <sheetViews>
    <sheetView tabSelected="1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I28" sqref="I28"/>
    </sheetView>
  </sheetViews>
  <sheetFormatPr baseColWidth="10" defaultColWidth="8.83203125" defaultRowHeight="13" x14ac:dyDescent="0.15"/>
  <cols>
    <col min="1" max="1" width="3.33203125" customWidth="1"/>
    <col min="2" max="2" width="21.6640625" customWidth="1"/>
    <col min="3" max="4" width="10.83203125" style="106" customWidth="1"/>
    <col min="5" max="6" width="10.83203125" style="105" customWidth="1"/>
    <col min="7" max="8" width="8.83203125" style="106"/>
  </cols>
  <sheetData>
    <row r="1" spans="1:8" ht="70" x14ac:dyDescent="0.15">
      <c r="A1" s="5" t="s">
        <v>20</v>
      </c>
      <c r="B1" s="1" t="s">
        <v>0</v>
      </c>
      <c r="C1" s="169" t="s">
        <v>212</v>
      </c>
      <c r="D1" s="169" t="s">
        <v>213</v>
      </c>
      <c r="E1" s="169" t="s">
        <v>216</v>
      </c>
      <c r="F1" s="169" t="s">
        <v>217</v>
      </c>
      <c r="G1"/>
      <c r="H1"/>
    </row>
    <row r="2" spans="1:8" x14ac:dyDescent="0.15">
      <c r="A2">
        <v>1</v>
      </c>
      <c r="B2" s="168" t="s">
        <v>192</v>
      </c>
      <c r="C2" s="106">
        <v>1</v>
      </c>
      <c r="D2" s="106">
        <v>0</v>
      </c>
      <c r="E2" s="105">
        <v>0</v>
      </c>
      <c r="F2" s="105">
        <v>1</v>
      </c>
      <c r="G2"/>
      <c r="H2"/>
    </row>
    <row r="3" spans="1:8" x14ac:dyDescent="0.15">
      <c r="A3">
        <v>2</v>
      </c>
      <c r="B3" s="168" t="s">
        <v>193</v>
      </c>
      <c r="C3" s="106">
        <v>1</v>
      </c>
      <c r="D3" s="106">
        <v>0</v>
      </c>
      <c r="E3" s="105">
        <v>0</v>
      </c>
      <c r="F3" s="105">
        <v>1</v>
      </c>
      <c r="G3"/>
      <c r="H3"/>
    </row>
    <row r="4" spans="1:8" x14ac:dyDescent="0.15">
      <c r="A4">
        <v>3</v>
      </c>
      <c r="B4" s="168" t="s">
        <v>194</v>
      </c>
      <c r="C4" s="106">
        <v>1</v>
      </c>
      <c r="D4" s="106">
        <v>0</v>
      </c>
      <c r="E4" s="105">
        <v>0</v>
      </c>
      <c r="F4" s="105">
        <v>1</v>
      </c>
      <c r="G4"/>
      <c r="H4"/>
    </row>
    <row r="5" spans="1:8" x14ac:dyDescent="0.15">
      <c r="A5">
        <v>4</v>
      </c>
      <c r="B5" s="168" t="s">
        <v>195</v>
      </c>
      <c r="C5" s="106">
        <v>1</v>
      </c>
      <c r="D5" s="106">
        <v>0</v>
      </c>
      <c r="E5" s="105">
        <v>0</v>
      </c>
      <c r="F5" s="105">
        <v>1</v>
      </c>
      <c r="G5"/>
      <c r="H5"/>
    </row>
    <row r="6" spans="1:8" x14ac:dyDescent="0.15">
      <c r="A6">
        <v>5</v>
      </c>
      <c r="B6" s="168" t="s">
        <v>196</v>
      </c>
      <c r="C6" s="106">
        <v>1</v>
      </c>
      <c r="D6" s="106">
        <v>0</v>
      </c>
      <c r="E6" s="105">
        <v>0</v>
      </c>
      <c r="F6" s="105">
        <v>1</v>
      </c>
      <c r="G6"/>
      <c r="H6"/>
    </row>
    <row r="7" spans="1:8" x14ac:dyDescent="0.15">
      <c r="A7">
        <v>6</v>
      </c>
      <c r="B7" s="168" t="s">
        <v>197</v>
      </c>
      <c r="C7" s="106">
        <v>1</v>
      </c>
      <c r="D7" s="106">
        <v>0</v>
      </c>
      <c r="E7" s="105">
        <v>0</v>
      </c>
      <c r="F7" s="105">
        <v>1</v>
      </c>
      <c r="G7"/>
      <c r="H7"/>
    </row>
    <row r="8" spans="1:8" x14ac:dyDescent="0.15">
      <c r="A8">
        <v>7</v>
      </c>
      <c r="B8" s="168" t="s">
        <v>198</v>
      </c>
      <c r="C8" s="106">
        <v>1</v>
      </c>
      <c r="D8" s="106">
        <v>0</v>
      </c>
      <c r="E8" s="105">
        <v>0</v>
      </c>
      <c r="F8" s="105">
        <v>1</v>
      </c>
      <c r="G8"/>
      <c r="H8"/>
    </row>
    <row r="9" spans="1:8" x14ac:dyDescent="0.15">
      <c r="A9">
        <v>8</v>
      </c>
      <c r="B9" s="168" t="s">
        <v>199</v>
      </c>
      <c r="C9" s="106">
        <v>1</v>
      </c>
      <c r="D9" s="106">
        <v>0</v>
      </c>
      <c r="E9" s="105">
        <v>0</v>
      </c>
      <c r="F9" s="105">
        <v>1</v>
      </c>
      <c r="G9"/>
      <c r="H9"/>
    </row>
    <row r="10" spans="1:8" x14ac:dyDescent="0.15">
      <c r="A10">
        <v>9</v>
      </c>
      <c r="B10" s="168" t="s">
        <v>200</v>
      </c>
      <c r="C10" s="106">
        <v>1</v>
      </c>
      <c r="D10" s="106">
        <v>0</v>
      </c>
      <c r="E10" s="105">
        <v>0</v>
      </c>
      <c r="F10" s="105">
        <v>1</v>
      </c>
      <c r="G10"/>
      <c r="H10"/>
    </row>
    <row r="11" spans="1:8" x14ac:dyDescent="0.15">
      <c r="A11">
        <v>10</v>
      </c>
      <c r="B11" s="168" t="s">
        <v>201</v>
      </c>
      <c r="C11" s="106">
        <v>1</v>
      </c>
      <c r="D11" s="106">
        <v>0</v>
      </c>
      <c r="E11" s="105">
        <v>0</v>
      </c>
      <c r="F11" s="105">
        <v>1</v>
      </c>
      <c r="G11"/>
      <c r="H11"/>
    </row>
    <row r="12" spans="1:8" x14ac:dyDescent="0.15">
      <c r="A12">
        <v>11</v>
      </c>
      <c r="B12" s="168" t="s">
        <v>202</v>
      </c>
      <c r="C12" s="106">
        <v>1</v>
      </c>
      <c r="D12" s="106">
        <v>0</v>
      </c>
      <c r="E12" s="105">
        <v>0</v>
      </c>
      <c r="F12" s="105">
        <v>1</v>
      </c>
      <c r="G12"/>
      <c r="H12"/>
    </row>
    <row r="13" spans="1:8" x14ac:dyDescent="0.15">
      <c r="A13">
        <v>12</v>
      </c>
      <c r="B13" s="168" t="s">
        <v>203</v>
      </c>
      <c r="C13" s="106">
        <v>1</v>
      </c>
      <c r="D13" s="106">
        <v>0</v>
      </c>
      <c r="E13" s="105">
        <v>0</v>
      </c>
      <c r="F13" s="105">
        <v>1</v>
      </c>
      <c r="G13"/>
      <c r="H13"/>
    </row>
    <row r="14" spans="1:8" x14ac:dyDescent="0.15">
      <c r="A14">
        <v>13</v>
      </c>
      <c r="B14" s="168" t="s">
        <v>204</v>
      </c>
      <c r="C14" s="106">
        <v>1</v>
      </c>
      <c r="D14" s="106">
        <v>0</v>
      </c>
      <c r="E14" s="105">
        <v>0</v>
      </c>
      <c r="F14" s="105">
        <v>1</v>
      </c>
      <c r="G14"/>
      <c r="H14"/>
    </row>
    <row r="15" spans="1:8" x14ac:dyDescent="0.15">
      <c r="A15">
        <v>14</v>
      </c>
      <c r="B15" s="168" t="s">
        <v>205</v>
      </c>
      <c r="C15" s="106">
        <v>1</v>
      </c>
      <c r="D15" s="106">
        <v>0</v>
      </c>
      <c r="E15" s="105">
        <v>0</v>
      </c>
      <c r="F15" s="105">
        <v>1</v>
      </c>
      <c r="G15"/>
      <c r="H15"/>
    </row>
    <row r="16" spans="1:8" x14ac:dyDescent="0.15">
      <c r="A16">
        <v>15</v>
      </c>
      <c r="B16" s="168" t="s">
        <v>206</v>
      </c>
      <c r="C16" s="106">
        <v>1</v>
      </c>
      <c r="D16" s="106">
        <v>0</v>
      </c>
      <c r="E16" s="105">
        <v>0</v>
      </c>
      <c r="F16" s="105">
        <v>1</v>
      </c>
      <c r="G16"/>
      <c r="H16"/>
    </row>
    <row r="17" spans="1:8" ht="15" customHeight="1" x14ac:dyDescent="0.15">
      <c r="A17">
        <v>16</v>
      </c>
      <c r="B17" s="168" t="s">
        <v>207</v>
      </c>
      <c r="C17" s="106">
        <v>1</v>
      </c>
      <c r="D17" s="106">
        <v>0</v>
      </c>
      <c r="E17" s="105">
        <v>0</v>
      </c>
      <c r="F17" s="105">
        <v>1</v>
      </c>
      <c r="G17"/>
      <c r="H17"/>
    </row>
    <row r="18" spans="1:8" ht="15" customHeight="1" x14ac:dyDescent="0.15">
      <c r="A18">
        <v>17</v>
      </c>
      <c r="B18" s="168" t="s">
        <v>208</v>
      </c>
      <c r="C18" s="106">
        <v>1</v>
      </c>
      <c r="D18" s="106">
        <v>0</v>
      </c>
      <c r="E18" s="105">
        <v>0</v>
      </c>
      <c r="F18" s="105">
        <v>1</v>
      </c>
      <c r="G18"/>
      <c r="H18"/>
    </row>
    <row r="19" spans="1:8" ht="15" customHeight="1" x14ac:dyDescent="0.15">
      <c r="A19">
        <v>18</v>
      </c>
      <c r="B19" s="168" t="s">
        <v>209</v>
      </c>
      <c r="C19" s="106">
        <v>1</v>
      </c>
      <c r="D19" s="106">
        <v>0</v>
      </c>
      <c r="E19" s="105">
        <v>0</v>
      </c>
      <c r="F19" s="105">
        <v>1</v>
      </c>
      <c r="G19"/>
      <c r="H19"/>
    </row>
    <row r="20" spans="1:8" ht="15" customHeight="1" x14ac:dyDescent="0.15">
      <c r="A20">
        <v>19</v>
      </c>
      <c r="B20" s="168" t="s">
        <v>210</v>
      </c>
      <c r="C20" s="106">
        <v>1</v>
      </c>
      <c r="D20" s="106">
        <v>0</v>
      </c>
      <c r="E20" s="105">
        <v>0</v>
      </c>
      <c r="F20" s="105">
        <v>1</v>
      </c>
      <c r="G20"/>
      <c r="H20"/>
    </row>
    <row r="21" spans="1:8" ht="15" customHeight="1" x14ac:dyDescent="0.15">
      <c r="A21">
        <v>20</v>
      </c>
      <c r="B21" s="168" t="s">
        <v>211</v>
      </c>
      <c r="C21" s="106">
        <v>1</v>
      </c>
      <c r="D21" s="106">
        <v>0</v>
      </c>
      <c r="E21" s="105">
        <v>0</v>
      </c>
      <c r="F21" s="105">
        <v>1</v>
      </c>
      <c r="G21"/>
      <c r="H21"/>
    </row>
    <row r="22" spans="1:8" ht="15" customHeight="1" x14ac:dyDescent="0.15">
      <c r="A22">
        <v>21</v>
      </c>
      <c r="B22" s="168" t="s">
        <v>212</v>
      </c>
      <c r="C22" s="106">
        <v>0</v>
      </c>
      <c r="D22" s="106">
        <v>1</v>
      </c>
      <c r="E22" s="105">
        <v>0</v>
      </c>
      <c r="F22" s="105">
        <v>1</v>
      </c>
      <c r="G22"/>
      <c r="H22"/>
    </row>
    <row r="23" spans="1:8" ht="15" customHeight="1" x14ac:dyDescent="0.15">
      <c r="A23">
        <v>22</v>
      </c>
      <c r="B23" s="168" t="s">
        <v>213</v>
      </c>
      <c r="C23" s="106">
        <v>0</v>
      </c>
      <c r="D23" s="106">
        <v>0</v>
      </c>
      <c r="E23" s="105">
        <v>1</v>
      </c>
      <c r="F23" s="105">
        <v>1</v>
      </c>
      <c r="G23"/>
      <c r="H23"/>
    </row>
    <row r="24" spans="1:8" ht="15" customHeight="1" x14ac:dyDescent="0.15">
      <c r="A24">
        <v>23</v>
      </c>
      <c r="B24" s="168" t="s">
        <v>214</v>
      </c>
      <c r="C24" s="106">
        <v>0</v>
      </c>
      <c r="D24" s="106">
        <v>1</v>
      </c>
      <c r="E24" s="105">
        <v>0</v>
      </c>
      <c r="F24" s="105">
        <v>1</v>
      </c>
      <c r="G24"/>
      <c r="H24"/>
    </row>
    <row r="25" spans="1:8" ht="15" customHeight="1" x14ac:dyDescent="0.15">
      <c r="C25"/>
      <c r="D25"/>
      <c r="E25"/>
      <c r="F25"/>
      <c r="G25"/>
      <c r="H25"/>
    </row>
    <row r="26" spans="1:8" ht="15" customHeight="1" x14ac:dyDescent="0.15">
      <c r="C26"/>
      <c r="D26"/>
      <c r="E26"/>
      <c r="F26"/>
      <c r="G26"/>
      <c r="H26"/>
    </row>
    <row r="27" spans="1:8" ht="15" customHeight="1" x14ac:dyDescent="0.15">
      <c r="C27"/>
      <c r="D27"/>
      <c r="E27"/>
      <c r="F27"/>
      <c r="G27"/>
      <c r="H27"/>
    </row>
    <row r="28" spans="1:8" ht="15" customHeight="1" x14ac:dyDescent="0.15">
      <c r="C28"/>
      <c r="D28"/>
      <c r="E28"/>
      <c r="F28"/>
      <c r="G28"/>
      <c r="H28"/>
    </row>
    <row r="29" spans="1:8" ht="15" customHeight="1" x14ac:dyDescent="0.15">
      <c r="C29"/>
      <c r="D29"/>
      <c r="E29"/>
      <c r="F29"/>
      <c r="G29"/>
      <c r="H29"/>
    </row>
    <row r="30" spans="1:8" ht="15" customHeight="1" x14ac:dyDescent="0.15">
      <c r="C30"/>
      <c r="D30"/>
      <c r="E30"/>
      <c r="F30"/>
      <c r="G30"/>
      <c r="H30"/>
    </row>
    <row r="31" spans="1:8" ht="15" customHeight="1" x14ac:dyDescent="0.15">
      <c r="C31"/>
      <c r="D31"/>
      <c r="E31"/>
      <c r="F31"/>
      <c r="G31"/>
      <c r="H31"/>
    </row>
    <row r="32" spans="1:8" ht="15" customHeight="1" x14ac:dyDescent="0.15"/>
    <row r="33" spans="3:8" ht="15" customHeight="1" x14ac:dyDescent="0.15"/>
    <row r="34" spans="3:8" ht="15" customHeight="1" x14ac:dyDescent="0.15"/>
    <row r="35" spans="3:8" ht="15" customHeight="1" x14ac:dyDescent="0.15"/>
    <row r="36" spans="3:8" ht="15" customHeight="1" x14ac:dyDescent="0.15">
      <c r="C36"/>
      <c r="D36"/>
      <c r="E36" s="106"/>
      <c r="F36" s="106"/>
      <c r="G36"/>
      <c r="H36"/>
    </row>
    <row r="37" spans="3:8" ht="15" customHeight="1" x14ac:dyDescent="0.15">
      <c r="C37"/>
      <c r="D37"/>
      <c r="E37" s="106"/>
      <c r="F37" s="106"/>
      <c r="G37"/>
      <c r="H37"/>
    </row>
    <row r="38" spans="3:8" ht="15" customHeight="1" x14ac:dyDescent="0.15">
      <c r="C38"/>
      <c r="D38"/>
      <c r="E38" s="106"/>
      <c r="F38" s="106"/>
      <c r="G38"/>
      <c r="H38"/>
    </row>
    <row r="39" spans="3:8" ht="15" customHeight="1" x14ac:dyDescent="0.15">
      <c r="C39"/>
      <c r="D39"/>
      <c r="E39" s="106"/>
      <c r="F39" s="106"/>
      <c r="G39"/>
      <c r="H39"/>
    </row>
    <row r="40" spans="3:8" ht="15" customHeight="1" x14ac:dyDescent="0.15">
      <c r="C40"/>
      <c r="D40"/>
      <c r="E40" s="106"/>
      <c r="F40" s="106"/>
      <c r="G40"/>
      <c r="H40"/>
    </row>
    <row r="41" spans="3:8" ht="15" customHeight="1" x14ac:dyDescent="0.15">
      <c r="C41"/>
      <c r="D41"/>
      <c r="E41" s="106"/>
      <c r="F41" s="106"/>
      <c r="G41"/>
      <c r="H41"/>
    </row>
    <row r="42" spans="3:8" ht="15" customHeight="1" x14ac:dyDescent="0.15">
      <c r="C42"/>
      <c r="D42"/>
      <c r="E42" s="106"/>
      <c r="F42" s="106"/>
      <c r="G42"/>
      <c r="H42"/>
    </row>
    <row r="43" spans="3:8" ht="15" customHeight="1" x14ac:dyDescent="0.15">
      <c r="C43"/>
      <c r="D43"/>
      <c r="E43" s="106"/>
      <c r="F43" s="106"/>
      <c r="G43"/>
      <c r="H43"/>
    </row>
    <row r="44" spans="3:8" ht="15" customHeight="1" x14ac:dyDescent="0.15">
      <c r="C44"/>
      <c r="D44"/>
      <c r="G44"/>
      <c r="H44"/>
    </row>
    <row r="45" spans="3:8" ht="15" customHeight="1" x14ac:dyDescent="0.15">
      <c r="C45"/>
      <c r="D45"/>
      <c r="G45"/>
      <c r="H45"/>
    </row>
    <row r="46" spans="3:8" ht="15" customHeight="1" x14ac:dyDescent="0.15">
      <c r="C46"/>
      <c r="D46"/>
      <c r="E46" s="106"/>
      <c r="F46" s="106"/>
      <c r="G46"/>
      <c r="H46"/>
    </row>
    <row r="47" spans="3:8" ht="15" customHeight="1" x14ac:dyDescent="0.15">
      <c r="C47"/>
      <c r="D47"/>
      <c r="G47"/>
      <c r="H47"/>
    </row>
    <row r="48" spans="3:8" ht="15" customHeight="1" x14ac:dyDescent="0.15">
      <c r="C48"/>
      <c r="D48"/>
      <c r="G48"/>
      <c r="H48"/>
    </row>
    <row r="49" spans="3:8" ht="15" customHeight="1" x14ac:dyDescent="0.15">
      <c r="C49"/>
      <c r="D49"/>
      <c r="G49"/>
      <c r="H49"/>
    </row>
    <row r="50" spans="3:8" ht="15" customHeight="1" x14ac:dyDescent="0.15">
      <c r="C50"/>
      <c r="D50"/>
      <c r="G50"/>
      <c r="H50"/>
    </row>
    <row r="51" spans="3:8" ht="15" customHeight="1" x14ac:dyDescent="0.15">
      <c r="C51"/>
      <c r="D51"/>
      <c r="G51"/>
      <c r="H51"/>
    </row>
    <row r="52" spans="3:8" ht="15" customHeight="1" x14ac:dyDescent="0.15">
      <c r="C52"/>
      <c r="D52"/>
      <c r="E52"/>
      <c r="F52"/>
      <c r="G52"/>
      <c r="H52"/>
    </row>
    <row r="53" spans="3:8" ht="15" customHeight="1" x14ac:dyDescent="0.15">
      <c r="C53"/>
      <c r="D53"/>
      <c r="E53"/>
      <c r="F53"/>
      <c r="G53"/>
      <c r="H53"/>
    </row>
    <row r="54" spans="3:8" ht="15" customHeight="1" x14ac:dyDescent="0.15">
      <c r="C54"/>
      <c r="D54"/>
      <c r="E54"/>
      <c r="F54"/>
      <c r="G54"/>
      <c r="H54"/>
    </row>
    <row r="55" spans="3:8" ht="15" customHeight="1" x14ac:dyDescent="0.15">
      <c r="C55"/>
      <c r="D55"/>
      <c r="E55"/>
      <c r="F55"/>
      <c r="G55"/>
      <c r="H55"/>
    </row>
    <row r="56" spans="3:8" ht="15" customHeight="1" x14ac:dyDescent="0.15">
      <c r="C56"/>
      <c r="D56"/>
      <c r="E56"/>
      <c r="F56"/>
      <c r="G56"/>
      <c r="H56"/>
    </row>
    <row r="57" spans="3:8" ht="15" customHeight="1" x14ac:dyDescent="0.15">
      <c r="C57"/>
      <c r="D57"/>
      <c r="E57"/>
      <c r="F57"/>
      <c r="G57"/>
      <c r="H57"/>
    </row>
    <row r="58" spans="3:8" ht="15" customHeight="1" x14ac:dyDescent="0.15">
      <c r="C58"/>
      <c r="D58"/>
      <c r="E58"/>
      <c r="F58"/>
      <c r="G58"/>
      <c r="H58"/>
    </row>
    <row r="59" spans="3:8" ht="15" customHeight="1" x14ac:dyDescent="0.15">
      <c r="C59"/>
      <c r="D59"/>
      <c r="E59"/>
      <c r="F59"/>
      <c r="G59"/>
      <c r="H59"/>
    </row>
    <row r="60" spans="3:8" ht="15" customHeight="1" x14ac:dyDescent="0.15">
      <c r="C60"/>
      <c r="D60"/>
      <c r="E60"/>
      <c r="F60"/>
      <c r="G60"/>
      <c r="H60"/>
    </row>
    <row r="61" spans="3:8" ht="15" customHeight="1" x14ac:dyDescent="0.15">
      <c r="C61"/>
      <c r="D61"/>
      <c r="E61"/>
      <c r="F61"/>
      <c r="G61"/>
      <c r="H61"/>
    </row>
    <row r="62" spans="3:8" ht="15" customHeight="1" x14ac:dyDescent="0.15">
      <c r="C62"/>
      <c r="D62"/>
      <c r="E62"/>
      <c r="F62"/>
      <c r="G62"/>
      <c r="H62"/>
    </row>
    <row r="63" spans="3:8" ht="15" customHeight="1" x14ac:dyDescent="0.15">
      <c r="C63"/>
      <c r="D63"/>
      <c r="E63"/>
      <c r="F63"/>
      <c r="G63"/>
      <c r="H63"/>
    </row>
    <row r="64" spans="3:8" ht="15" customHeight="1" x14ac:dyDescent="0.15">
      <c r="C64"/>
      <c r="D64"/>
      <c r="E64"/>
      <c r="F64"/>
      <c r="G64"/>
      <c r="H64"/>
    </row>
    <row r="65" spans="3:8" ht="15" customHeight="1" x14ac:dyDescent="0.15">
      <c r="C65"/>
      <c r="D65"/>
      <c r="E65"/>
      <c r="F65"/>
      <c r="G65"/>
      <c r="H65"/>
    </row>
    <row r="66" spans="3:8" ht="15" customHeight="1" x14ac:dyDescent="0.15">
      <c r="C66"/>
      <c r="D66"/>
      <c r="E66"/>
      <c r="F66"/>
      <c r="G66"/>
      <c r="H66"/>
    </row>
    <row r="67" spans="3:8" ht="15" customHeight="1" x14ac:dyDescent="0.15">
      <c r="C67"/>
      <c r="D67"/>
      <c r="E67"/>
      <c r="F67"/>
      <c r="G67"/>
      <c r="H67"/>
    </row>
    <row r="68" spans="3:8" ht="15" customHeight="1" x14ac:dyDescent="0.15">
      <c r="C68"/>
      <c r="D68"/>
      <c r="E68"/>
      <c r="F68"/>
      <c r="G68"/>
      <c r="H68"/>
    </row>
    <row r="69" spans="3:8" ht="15" customHeight="1" x14ac:dyDescent="0.15">
      <c r="C69"/>
      <c r="D69"/>
      <c r="E69"/>
      <c r="F69"/>
      <c r="G69"/>
      <c r="H69"/>
    </row>
    <row r="70" spans="3:8" ht="15" customHeight="1" x14ac:dyDescent="0.15">
      <c r="C70"/>
      <c r="D70"/>
      <c r="E70"/>
      <c r="F70"/>
      <c r="G70"/>
      <c r="H70"/>
    </row>
    <row r="71" spans="3:8" ht="15" customHeight="1" x14ac:dyDescent="0.15">
      <c r="C71"/>
      <c r="D71"/>
      <c r="E71"/>
      <c r="F71"/>
      <c r="G71"/>
      <c r="H71"/>
    </row>
    <row r="72" spans="3:8" ht="15" customHeight="1" x14ac:dyDescent="0.15">
      <c r="C72"/>
      <c r="D72"/>
      <c r="E72"/>
      <c r="F72"/>
      <c r="G72"/>
      <c r="H72"/>
    </row>
    <row r="73" spans="3:8" ht="15" customHeight="1" x14ac:dyDescent="0.15">
      <c r="C73"/>
      <c r="D73"/>
      <c r="E73"/>
      <c r="F73"/>
      <c r="G73"/>
      <c r="H73"/>
    </row>
    <row r="74" spans="3:8" ht="15" customHeight="1" x14ac:dyDescent="0.15">
      <c r="C74"/>
      <c r="D74"/>
      <c r="E74"/>
      <c r="F74"/>
      <c r="G74"/>
      <c r="H74"/>
    </row>
    <row r="75" spans="3:8" ht="15" customHeight="1" x14ac:dyDescent="0.15">
      <c r="C75"/>
      <c r="D75"/>
      <c r="E75"/>
      <c r="F75"/>
      <c r="G75"/>
      <c r="H75"/>
    </row>
    <row r="76" spans="3:8" ht="15" customHeight="1" x14ac:dyDescent="0.15">
      <c r="C76"/>
      <c r="D76"/>
      <c r="E76"/>
      <c r="F76"/>
      <c r="G76"/>
      <c r="H76"/>
    </row>
    <row r="77" spans="3:8" ht="15" customHeight="1" x14ac:dyDescent="0.15">
      <c r="C77"/>
      <c r="D77"/>
      <c r="E77"/>
      <c r="F77"/>
      <c r="G77"/>
      <c r="H77"/>
    </row>
    <row r="78" spans="3:8" ht="15" customHeight="1" x14ac:dyDescent="0.15">
      <c r="C78"/>
      <c r="D78"/>
      <c r="E78"/>
      <c r="F78"/>
      <c r="G78"/>
      <c r="H78"/>
    </row>
    <row r="79" spans="3:8" ht="15" customHeight="1" x14ac:dyDescent="0.15">
      <c r="C79"/>
      <c r="D79"/>
      <c r="E79"/>
      <c r="F79"/>
      <c r="G79"/>
      <c r="H79"/>
    </row>
    <row r="80" spans="3:8" ht="15" customHeight="1" x14ac:dyDescent="0.15">
      <c r="C80"/>
      <c r="D80"/>
      <c r="E80"/>
      <c r="F80"/>
      <c r="G80"/>
      <c r="H80"/>
    </row>
    <row r="81" spans="3:8" ht="15" customHeight="1" x14ac:dyDescent="0.15">
      <c r="C81"/>
      <c r="D81"/>
      <c r="E81"/>
      <c r="F81"/>
      <c r="G81"/>
      <c r="H81"/>
    </row>
    <row r="82" spans="3:8" ht="15" customHeight="1" x14ac:dyDescent="0.15">
      <c r="C82"/>
      <c r="D82"/>
      <c r="E82"/>
      <c r="F82"/>
      <c r="G82"/>
      <c r="H82"/>
    </row>
    <row r="83" spans="3:8" ht="15" customHeight="1" x14ac:dyDescent="0.15">
      <c r="C83"/>
      <c r="D83"/>
      <c r="E83"/>
      <c r="F83"/>
      <c r="G83"/>
      <c r="H83"/>
    </row>
    <row r="84" spans="3:8" ht="15" customHeight="1" x14ac:dyDescent="0.15">
      <c r="C84"/>
      <c r="D84"/>
      <c r="E84"/>
      <c r="F84"/>
      <c r="G84"/>
      <c r="H84"/>
    </row>
    <row r="85" spans="3:8" ht="15" customHeight="1" x14ac:dyDescent="0.15">
      <c r="C85"/>
      <c r="D85"/>
      <c r="E85"/>
      <c r="F85"/>
      <c r="G85"/>
      <c r="H85"/>
    </row>
    <row r="86" spans="3:8" ht="15" customHeight="1" x14ac:dyDescent="0.15">
      <c r="C86"/>
      <c r="D86"/>
      <c r="E86"/>
      <c r="F86"/>
      <c r="G86"/>
      <c r="H86"/>
    </row>
    <row r="87" spans="3:8" ht="15" customHeight="1" x14ac:dyDescent="0.15">
      <c r="C87"/>
      <c r="D87"/>
      <c r="E87"/>
      <c r="F87"/>
      <c r="G87"/>
      <c r="H87"/>
    </row>
    <row r="88" spans="3:8" ht="15" customHeight="1" x14ac:dyDescent="0.15">
      <c r="C88"/>
      <c r="D88"/>
      <c r="E88"/>
      <c r="F88"/>
      <c r="G88"/>
      <c r="H88"/>
    </row>
    <row r="89" spans="3:8" ht="15" customHeight="1" x14ac:dyDescent="0.15">
      <c r="C89"/>
      <c r="D89"/>
      <c r="E89"/>
      <c r="F89"/>
      <c r="G89"/>
      <c r="H89"/>
    </row>
    <row r="90" spans="3:8" ht="15" customHeight="1" x14ac:dyDescent="0.15">
      <c r="C90"/>
      <c r="D90"/>
      <c r="E90"/>
      <c r="F90"/>
      <c r="G90"/>
      <c r="H90"/>
    </row>
    <row r="91" spans="3:8" ht="15" customHeight="1" x14ac:dyDescent="0.15">
      <c r="C91"/>
      <c r="D91"/>
      <c r="E91"/>
      <c r="F91"/>
      <c r="G91"/>
      <c r="H91"/>
    </row>
    <row r="92" spans="3:8" ht="15" customHeight="1" x14ac:dyDescent="0.15">
      <c r="C92"/>
      <c r="D92"/>
      <c r="E92"/>
      <c r="F92"/>
      <c r="G92"/>
      <c r="H92"/>
    </row>
    <row r="93" spans="3:8" ht="15" customHeight="1" x14ac:dyDescent="0.15">
      <c r="C93"/>
      <c r="D93"/>
      <c r="E93"/>
      <c r="F93"/>
      <c r="G93"/>
      <c r="H93"/>
    </row>
    <row r="94" spans="3:8" ht="15" customHeight="1" x14ac:dyDescent="0.15">
      <c r="C94"/>
      <c r="D94"/>
      <c r="E94"/>
      <c r="F94"/>
      <c r="G94"/>
      <c r="H94"/>
    </row>
    <row r="95" spans="3:8" ht="15" customHeight="1" x14ac:dyDescent="0.15">
      <c r="C95"/>
      <c r="D95"/>
      <c r="E95"/>
      <c r="F95"/>
      <c r="G95"/>
      <c r="H95"/>
    </row>
    <row r="96" spans="3:8" ht="15" customHeight="1" x14ac:dyDescent="0.15">
      <c r="C96"/>
      <c r="D96"/>
      <c r="E96"/>
      <c r="F96"/>
      <c r="G96"/>
      <c r="H96"/>
    </row>
    <row r="97" spans="3:8" ht="15" customHeight="1" x14ac:dyDescent="0.15">
      <c r="C97"/>
      <c r="D97"/>
      <c r="E97"/>
      <c r="F97"/>
      <c r="G97"/>
      <c r="H97"/>
    </row>
    <row r="98" spans="3:8" ht="15" customHeight="1" x14ac:dyDescent="0.15">
      <c r="C98"/>
      <c r="D98"/>
      <c r="E98"/>
      <c r="F98"/>
      <c r="G98"/>
      <c r="H98"/>
    </row>
    <row r="99" spans="3:8" ht="15" customHeight="1" x14ac:dyDescent="0.15">
      <c r="C99"/>
      <c r="D99"/>
      <c r="E99"/>
      <c r="F99"/>
      <c r="G99"/>
      <c r="H99"/>
    </row>
    <row r="100" spans="3:8" ht="15" customHeight="1" x14ac:dyDescent="0.15">
      <c r="C100"/>
      <c r="D100"/>
      <c r="E100"/>
      <c r="F100"/>
      <c r="G100"/>
      <c r="H100"/>
    </row>
    <row r="101" spans="3:8" ht="15" customHeight="1" x14ac:dyDescent="0.15">
      <c r="C101"/>
      <c r="D101"/>
      <c r="E101"/>
      <c r="F101"/>
      <c r="G101"/>
      <c r="H101"/>
    </row>
    <row r="102" spans="3:8" ht="15" customHeight="1" x14ac:dyDescent="0.15">
      <c r="C102"/>
      <c r="D102"/>
      <c r="E102"/>
      <c r="F102"/>
      <c r="G102"/>
      <c r="H102"/>
    </row>
    <row r="103" spans="3:8" ht="15" customHeight="1" x14ac:dyDescent="0.15">
      <c r="C103"/>
      <c r="D103"/>
      <c r="E103"/>
      <c r="F103"/>
      <c r="G103"/>
      <c r="H103"/>
    </row>
    <row r="104" spans="3:8" ht="15" customHeight="1" x14ac:dyDescent="0.15">
      <c r="C104"/>
      <c r="D104"/>
      <c r="E104"/>
      <c r="F104"/>
      <c r="G104"/>
      <c r="H104"/>
    </row>
    <row r="105" spans="3:8" ht="15" customHeight="1" x14ac:dyDescent="0.15"/>
    <row r="106" spans="3:8" ht="15" customHeight="1" x14ac:dyDescent="0.15"/>
    <row r="107" spans="3:8" ht="15" customHeight="1" x14ac:dyDescent="0.15"/>
    <row r="108" spans="3:8" ht="15" customHeight="1" x14ac:dyDescent="0.15"/>
    <row r="109" spans="3:8" ht="15" customHeight="1" x14ac:dyDescent="0.15"/>
    <row r="110" spans="3:8" ht="15" customHeight="1" x14ac:dyDescent="0.15"/>
    <row r="111" spans="3:8" ht="15" customHeight="1" x14ac:dyDescent="0.15"/>
    <row r="112" spans="3:8" ht="15" customHeight="1" x14ac:dyDescent="0.15"/>
    <row r="113" spans="3:8" ht="15" customHeight="1" x14ac:dyDescent="0.15"/>
    <row r="114" spans="3:8" ht="15" customHeight="1" x14ac:dyDescent="0.15"/>
    <row r="115" spans="3:8" ht="15" customHeight="1" x14ac:dyDescent="0.15"/>
    <row r="116" spans="3:8" ht="15" customHeight="1" x14ac:dyDescent="0.15">
      <c r="C116"/>
      <c r="D116"/>
      <c r="E116"/>
      <c r="F116"/>
      <c r="G116"/>
      <c r="H116"/>
    </row>
    <row r="117" spans="3:8" ht="15" customHeight="1" x14ac:dyDescent="0.15">
      <c r="C117"/>
      <c r="D117"/>
      <c r="E117"/>
      <c r="F117"/>
      <c r="G117"/>
      <c r="H117"/>
    </row>
    <row r="118" spans="3:8" ht="15" customHeight="1" x14ac:dyDescent="0.15">
      <c r="C118"/>
      <c r="D118"/>
      <c r="E118"/>
      <c r="F118"/>
      <c r="G118"/>
      <c r="H118"/>
    </row>
    <row r="119" spans="3:8" ht="15" customHeight="1" x14ac:dyDescent="0.15">
      <c r="C119"/>
      <c r="D119"/>
      <c r="E119"/>
      <c r="F119"/>
      <c r="G119"/>
      <c r="H119"/>
    </row>
    <row r="120" spans="3:8" ht="15" customHeight="1" x14ac:dyDescent="0.15">
      <c r="C120"/>
      <c r="D120"/>
      <c r="E120"/>
      <c r="F120"/>
      <c r="G120"/>
      <c r="H120"/>
    </row>
    <row r="121" spans="3:8" ht="15" customHeight="1" x14ac:dyDescent="0.15">
      <c r="C121"/>
      <c r="D121"/>
      <c r="E121"/>
      <c r="F121"/>
      <c r="G121"/>
      <c r="H121"/>
    </row>
    <row r="122" spans="3:8" ht="15" customHeight="1" x14ac:dyDescent="0.15">
      <c r="C122"/>
      <c r="D122"/>
      <c r="E122"/>
      <c r="F122"/>
      <c r="G122"/>
      <c r="H122"/>
    </row>
    <row r="123" spans="3:8" ht="15" customHeight="1" x14ac:dyDescent="0.15">
      <c r="C123"/>
      <c r="D123"/>
      <c r="E123"/>
      <c r="F123"/>
      <c r="G123"/>
      <c r="H123"/>
    </row>
    <row r="124" spans="3:8" ht="15" customHeight="1" x14ac:dyDescent="0.15">
      <c r="C124"/>
      <c r="D124"/>
      <c r="E124"/>
      <c r="F124"/>
      <c r="G124"/>
      <c r="H124"/>
    </row>
    <row r="125" spans="3:8" ht="15" customHeight="1" x14ac:dyDescent="0.15">
      <c r="C125"/>
      <c r="D125"/>
      <c r="E125"/>
      <c r="F125"/>
      <c r="G125"/>
      <c r="H125"/>
    </row>
    <row r="126" spans="3:8" ht="15" customHeight="1" x14ac:dyDescent="0.15">
      <c r="C126"/>
      <c r="D126"/>
      <c r="E126"/>
      <c r="F126"/>
      <c r="G126"/>
      <c r="H126"/>
    </row>
    <row r="127" spans="3:8" ht="15" customHeight="1" x14ac:dyDescent="0.15">
      <c r="C127"/>
      <c r="D127"/>
      <c r="E127"/>
      <c r="F127"/>
      <c r="G127"/>
      <c r="H127"/>
    </row>
    <row r="128" spans="3:8" ht="15" customHeight="1" x14ac:dyDescent="0.15">
      <c r="C128"/>
      <c r="D128"/>
      <c r="E128"/>
      <c r="F128"/>
      <c r="G128"/>
      <c r="H128"/>
    </row>
    <row r="129" spans="3:8" ht="15" customHeight="1" x14ac:dyDescent="0.15">
      <c r="C129"/>
      <c r="D129"/>
      <c r="E129"/>
      <c r="F129"/>
      <c r="G129"/>
      <c r="H129"/>
    </row>
    <row r="130" spans="3:8" ht="15" customHeight="1" x14ac:dyDescent="0.15">
      <c r="C130"/>
      <c r="D130"/>
      <c r="E130"/>
      <c r="F130"/>
      <c r="G130"/>
      <c r="H130"/>
    </row>
    <row r="131" spans="3:8" ht="15" customHeight="1" x14ac:dyDescent="0.15">
      <c r="C131"/>
      <c r="D131"/>
      <c r="E131"/>
      <c r="F131"/>
      <c r="G131"/>
      <c r="H131"/>
    </row>
    <row r="132" spans="3:8" ht="15" customHeight="1" x14ac:dyDescent="0.15">
      <c r="C132"/>
      <c r="D132"/>
      <c r="E132"/>
      <c r="F132"/>
      <c r="G132"/>
      <c r="H132"/>
    </row>
    <row r="133" spans="3:8" ht="15" customHeight="1" x14ac:dyDescent="0.15">
      <c r="C133"/>
      <c r="D133"/>
      <c r="E133"/>
      <c r="F133"/>
      <c r="G133"/>
      <c r="H133"/>
    </row>
    <row r="134" spans="3:8" ht="15" customHeight="1" x14ac:dyDescent="0.15">
      <c r="C134"/>
      <c r="D134"/>
      <c r="E134"/>
      <c r="F134"/>
      <c r="G134"/>
      <c r="H134"/>
    </row>
    <row r="135" spans="3:8" ht="15" customHeight="1" x14ac:dyDescent="0.15">
      <c r="C135"/>
      <c r="D135"/>
      <c r="E135"/>
      <c r="F135"/>
      <c r="G135"/>
      <c r="H135"/>
    </row>
    <row r="136" spans="3:8" ht="15" customHeight="1" x14ac:dyDescent="0.15">
      <c r="C136"/>
      <c r="D136"/>
      <c r="E136"/>
      <c r="F136"/>
      <c r="G136"/>
      <c r="H136"/>
    </row>
    <row r="137" spans="3:8" ht="15" customHeight="1" x14ac:dyDescent="0.15">
      <c r="C137"/>
      <c r="D137"/>
      <c r="E137"/>
      <c r="F137"/>
      <c r="G137"/>
      <c r="H137"/>
    </row>
    <row r="138" spans="3:8" ht="15" customHeight="1" x14ac:dyDescent="0.15">
      <c r="C138"/>
      <c r="D138"/>
      <c r="E138"/>
      <c r="F138"/>
      <c r="G138"/>
      <c r="H138"/>
    </row>
    <row r="139" spans="3:8" ht="15" customHeight="1" x14ac:dyDescent="0.15">
      <c r="C139"/>
      <c r="D139"/>
      <c r="E139"/>
      <c r="F139"/>
      <c r="G139"/>
      <c r="H139"/>
    </row>
    <row r="140" spans="3:8" ht="15" customHeight="1" x14ac:dyDescent="0.15">
      <c r="C140"/>
      <c r="D140"/>
      <c r="E140"/>
      <c r="F140"/>
      <c r="G140"/>
      <c r="H140"/>
    </row>
    <row r="141" spans="3:8" ht="15" customHeight="1" x14ac:dyDescent="0.15">
      <c r="C141"/>
      <c r="D141"/>
      <c r="E141"/>
      <c r="F141"/>
      <c r="G141"/>
      <c r="H141"/>
    </row>
    <row r="142" spans="3:8" ht="15" customHeight="1" x14ac:dyDescent="0.15">
      <c r="C142"/>
      <c r="D142"/>
      <c r="E142"/>
      <c r="F142"/>
      <c r="G142"/>
      <c r="H142"/>
    </row>
    <row r="143" spans="3:8" ht="15" customHeight="1" x14ac:dyDescent="0.15">
      <c r="C143"/>
      <c r="D143"/>
      <c r="E143"/>
      <c r="F143"/>
      <c r="G143"/>
      <c r="H143"/>
    </row>
    <row r="144" spans="3:8" ht="15" customHeight="1" x14ac:dyDescent="0.15">
      <c r="C144"/>
      <c r="D144"/>
      <c r="E144"/>
      <c r="F144"/>
      <c r="G144"/>
      <c r="H144"/>
    </row>
    <row r="145" spans="3:8" ht="15" customHeight="1" x14ac:dyDescent="0.15">
      <c r="C145"/>
      <c r="D145"/>
      <c r="E145"/>
      <c r="F145"/>
      <c r="G145"/>
      <c r="H145"/>
    </row>
    <row r="146" spans="3:8" ht="15" customHeight="1" x14ac:dyDescent="0.15">
      <c r="C146"/>
      <c r="D146"/>
      <c r="E146"/>
      <c r="F146"/>
      <c r="G146"/>
      <c r="H146"/>
    </row>
    <row r="147" spans="3:8" ht="15" customHeight="1" x14ac:dyDescent="0.15">
      <c r="C147"/>
      <c r="D147"/>
      <c r="E147"/>
      <c r="F147"/>
      <c r="G147"/>
      <c r="H147"/>
    </row>
    <row r="148" spans="3:8" ht="15" customHeight="1" x14ac:dyDescent="0.15">
      <c r="C148"/>
      <c r="D148"/>
      <c r="E148"/>
      <c r="F148"/>
      <c r="G148"/>
      <c r="H148"/>
    </row>
    <row r="149" spans="3:8" ht="15" customHeight="1" x14ac:dyDescent="0.15">
      <c r="C149"/>
      <c r="D149"/>
      <c r="E149"/>
      <c r="F149"/>
      <c r="G149"/>
      <c r="H149"/>
    </row>
    <row r="150" spans="3:8" ht="15" customHeight="1" x14ac:dyDescent="0.15">
      <c r="C150"/>
      <c r="D150"/>
      <c r="E150"/>
      <c r="F150"/>
      <c r="G150"/>
      <c r="H150"/>
    </row>
    <row r="151" spans="3:8" ht="15" customHeight="1" x14ac:dyDescent="0.15">
      <c r="C151"/>
      <c r="D151"/>
      <c r="E151"/>
      <c r="F151"/>
      <c r="G151"/>
      <c r="H151"/>
    </row>
    <row r="152" spans="3:8" ht="15" customHeight="1" x14ac:dyDescent="0.15">
      <c r="C152"/>
      <c r="D152"/>
      <c r="E152"/>
      <c r="F152"/>
      <c r="G152"/>
      <c r="H152"/>
    </row>
    <row r="153" spans="3:8" ht="15" customHeight="1" x14ac:dyDescent="0.15">
      <c r="C153"/>
      <c r="D153"/>
      <c r="E153"/>
      <c r="F153"/>
      <c r="G153"/>
      <c r="H153"/>
    </row>
    <row r="154" spans="3:8" ht="15" customHeight="1" x14ac:dyDescent="0.15">
      <c r="C154"/>
      <c r="D154"/>
      <c r="E154"/>
      <c r="F154"/>
      <c r="G154"/>
      <c r="H154"/>
    </row>
    <row r="155" spans="3:8" ht="15" customHeight="1" x14ac:dyDescent="0.15">
      <c r="C155"/>
      <c r="D155"/>
      <c r="E155"/>
      <c r="F155"/>
      <c r="G155"/>
      <c r="H155"/>
    </row>
    <row r="156" spans="3:8" ht="15" customHeight="1" x14ac:dyDescent="0.15">
      <c r="C156"/>
      <c r="D156"/>
      <c r="E156"/>
      <c r="F156"/>
      <c r="G156"/>
      <c r="H156"/>
    </row>
    <row r="157" spans="3:8" ht="15" customHeight="1" x14ac:dyDescent="0.15">
      <c r="C157"/>
      <c r="D157"/>
      <c r="E157"/>
      <c r="F157"/>
      <c r="G157"/>
      <c r="H157"/>
    </row>
    <row r="158" spans="3:8" ht="15" customHeight="1" x14ac:dyDescent="0.15">
      <c r="C158"/>
      <c r="D158"/>
      <c r="E158"/>
      <c r="F158"/>
      <c r="G158"/>
      <c r="H158"/>
    </row>
    <row r="159" spans="3:8" ht="15" customHeight="1" x14ac:dyDescent="0.15">
      <c r="C159"/>
      <c r="D159"/>
      <c r="E159"/>
      <c r="F159"/>
      <c r="G159"/>
      <c r="H159"/>
    </row>
    <row r="160" spans="3:8" ht="15" customHeight="1" x14ac:dyDescent="0.15">
      <c r="C160"/>
      <c r="D160"/>
      <c r="E160"/>
      <c r="F160"/>
      <c r="G160"/>
      <c r="H160"/>
    </row>
    <row r="161" spans="3:8" ht="15" customHeight="1" x14ac:dyDescent="0.15">
      <c r="C161"/>
      <c r="D161"/>
      <c r="E161"/>
      <c r="F161"/>
      <c r="G161"/>
      <c r="H161"/>
    </row>
    <row r="162" spans="3:8" ht="15" customHeight="1" x14ac:dyDescent="0.15">
      <c r="C162"/>
      <c r="D162"/>
      <c r="E162"/>
      <c r="F162"/>
      <c r="G162"/>
      <c r="H162"/>
    </row>
    <row r="163" spans="3:8" ht="15" customHeight="1" x14ac:dyDescent="0.15">
      <c r="C163"/>
      <c r="D163"/>
      <c r="E163"/>
      <c r="F163"/>
      <c r="G163"/>
      <c r="H163"/>
    </row>
    <row r="164" spans="3:8" ht="15" customHeight="1" x14ac:dyDescent="0.15">
      <c r="C164"/>
      <c r="D164"/>
      <c r="E164"/>
      <c r="F164"/>
      <c r="G164"/>
      <c r="H164"/>
    </row>
    <row r="165" spans="3:8" ht="15" customHeight="1" x14ac:dyDescent="0.15">
      <c r="C165"/>
      <c r="D165"/>
      <c r="E165"/>
      <c r="F165"/>
      <c r="G165"/>
      <c r="H165"/>
    </row>
    <row r="166" spans="3:8" ht="15" customHeight="1" x14ac:dyDescent="0.15">
      <c r="C166"/>
      <c r="D166"/>
      <c r="E166"/>
      <c r="F166"/>
      <c r="G166"/>
      <c r="H166"/>
    </row>
    <row r="167" spans="3:8" ht="15" customHeight="1" x14ac:dyDescent="0.15">
      <c r="C167"/>
      <c r="D167"/>
      <c r="E167"/>
      <c r="F167"/>
      <c r="G167"/>
      <c r="H167"/>
    </row>
    <row r="168" spans="3:8" ht="15" customHeight="1" x14ac:dyDescent="0.15">
      <c r="C168"/>
      <c r="D168"/>
      <c r="E168"/>
      <c r="F168"/>
      <c r="G168"/>
      <c r="H168"/>
    </row>
    <row r="169" spans="3:8" ht="15" customHeight="1" x14ac:dyDescent="0.15">
      <c r="C169"/>
      <c r="D169"/>
      <c r="E169"/>
      <c r="F169"/>
      <c r="G169"/>
      <c r="H169"/>
    </row>
    <row r="170" spans="3:8" ht="15" customHeight="1" x14ac:dyDescent="0.15">
      <c r="C170"/>
      <c r="D170"/>
      <c r="E170"/>
      <c r="F170"/>
      <c r="G170"/>
      <c r="H170"/>
    </row>
    <row r="171" spans="3:8" ht="15" customHeight="1" x14ac:dyDescent="0.15">
      <c r="C171"/>
      <c r="D171"/>
      <c r="E171"/>
      <c r="F171"/>
      <c r="G171"/>
      <c r="H171"/>
    </row>
    <row r="172" spans="3:8" ht="15" customHeight="1" x14ac:dyDescent="0.15">
      <c r="C172"/>
      <c r="D172"/>
      <c r="E172"/>
      <c r="F172"/>
      <c r="G172"/>
      <c r="H172"/>
    </row>
    <row r="173" spans="3:8" ht="15" customHeight="1" x14ac:dyDescent="0.15">
      <c r="C173"/>
      <c r="D173"/>
      <c r="E173"/>
      <c r="F173"/>
      <c r="G173"/>
      <c r="H173"/>
    </row>
    <row r="174" spans="3:8" ht="15" customHeight="1" x14ac:dyDescent="0.15">
      <c r="C174"/>
      <c r="D174"/>
      <c r="E174"/>
      <c r="F174"/>
      <c r="G174"/>
      <c r="H174"/>
    </row>
    <row r="175" spans="3:8" ht="15" customHeight="1" x14ac:dyDescent="0.15">
      <c r="C175"/>
      <c r="D175"/>
      <c r="E175"/>
      <c r="F175"/>
      <c r="G175"/>
      <c r="H175"/>
    </row>
    <row r="176" spans="3:8" ht="15" customHeight="1" x14ac:dyDescent="0.15">
      <c r="C176"/>
      <c r="D176"/>
      <c r="E176"/>
      <c r="F176"/>
      <c r="G176"/>
      <c r="H176"/>
    </row>
    <row r="177" spans="3:8" ht="15" customHeight="1" x14ac:dyDescent="0.15">
      <c r="C177"/>
      <c r="D177"/>
      <c r="E177"/>
      <c r="F177"/>
      <c r="G177"/>
      <c r="H177"/>
    </row>
    <row r="178" spans="3:8" ht="15" customHeight="1" x14ac:dyDescent="0.15">
      <c r="C178"/>
      <c r="D178"/>
      <c r="E178"/>
      <c r="F178"/>
      <c r="G178"/>
      <c r="H178"/>
    </row>
    <row r="179" spans="3:8" ht="15" customHeight="1" x14ac:dyDescent="0.15">
      <c r="C179"/>
      <c r="D179"/>
      <c r="E179"/>
      <c r="F179"/>
      <c r="G179"/>
      <c r="H179"/>
    </row>
    <row r="180" spans="3:8" ht="15" customHeight="1" x14ac:dyDescent="0.15">
      <c r="C180"/>
      <c r="D180"/>
      <c r="E180"/>
      <c r="F180"/>
      <c r="G180"/>
      <c r="H180"/>
    </row>
    <row r="181" spans="3:8" ht="15" customHeight="1" x14ac:dyDescent="0.15">
      <c r="C181"/>
      <c r="D181"/>
      <c r="E181"/>
      <c r="F181"/>
      <c r="G181"/>
      <c r="H181"/>
    </row>
    <row r="182" spans="3:8" ht="15" customHeight="1" x14ac:dyDescent="0.15">
      <c r="C182"/>
      <c r="D182"/>
      <c r="E182"/>
      <c r="F182"/>
      <c r="G182"/>
      <c r="H182"/>
    </row>
    <row r="183" spans="3:8" ht="15" customHeight="1" x14ac:dyDescent="0.15">
      <c r="C183"/>
      <c r="D183"/>
      <c r="E183"/>
      <c r="F183"/>
      <c r="G183"/>
      <c r="H183"/>
    </row>
    <row r="184" spans="3:8" ht="15" customHeight="1" x14ac:dyDescent="0.15">
      <c r="C184"/>
      <c r="D184"/>
      <c r="E184"/>
      <c r="F184"/>
      <c r="G184"/>
      <c r="H184"/>
    </row>
    <row r="185" spans="3:8" ht="15" customHeight="1" x14ac:dyDescent="0.15">
      <c r="C185"/>
      <c r="D185"/>
      <c r="E185"/>
      <c r="F185"/>
      <c r="G185"/>
      <c r="H185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E17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19.6640625" bestFit="1" customWidth="1"/>
    <col min="3" max="4" width="5.83203125" bestFit="1" customWidth="1"/>
    <col min="5" max="5" width="12.1640625" bestFit="1" customWidth="1"/>
  </cols>
  <sheetData>
    <row r="1" spans="1:5" s="107" customFormat="1" ht="112" x14ac:dyDescent="0.15">
      <c r="A1" s="5" t="s">
        <v>21</v>
      </c>
      <c r="B1" s="3" t="s">
        <v>0</v>
      </c>
      <c r="C1" s="171" t="s">
        <v>214</v>
      </c>
      <c r="D1" s="171" t="s">
        <v>218</v>
      </c>
      <c r="E1"/>
    </row>
    <row r="2" spans="1:5" ht="15" customHeight="1" x14ac:dyDescent="0.15">
      <c r="A2">
        <v>1</v>
      </c>
      <c r="B2" s="170" t="s">
        <v>192</v>
      </c>
      <c r="C2">
        <v>0</v>
      </c>
      <c r="D2">
        <v>0</v>
      </c>
    </row>
    <row r="3" spans="1:5" ht="15" customHeight="1" x14ac:dyDescent="0.15">
      <c r="A3">
        <v>2</v>
      </c>
      <c r="B3" s="170" t="s">
        <v>193</v>
      </c>
      <c r="C3">
        <v>0</v>
      </c>
      <c r="D3">
        <v>0</v>
      </c>
    </row>
    <row r="4" spans="1:5" ht="15" customHeight="1" x14ac:dyDescent="0.15">
      <c r="A4">
        <v>3</v>
      </c>
      <c r="B4" s="170" t="s">
        <v>194</v>
      </c>
      <c r="C4">
        <v>1.4E-2</v>
      </c>
      <c r="D4">
        <v>1.4E-2</v>
      </c>
    </row>
    <row r="5" spans="1:5" ht="15" customHeight="1" x14ac:dyDescent="0.15">
      <c r="A5">
        <v>4</v>
      </c>
      <c r="B5" s="170" t="s">
        <v>195</v>
      </c>
      <c r="C5">
        <v>0.05</v>
      </c>
      <c r="D5">
        <v>0.05</v>
      </c>
    </row>
    <row r="6" spans="1:5" ht="15" customHeight="1" x14ac:dyDescent="0.15">
      <c r="A6">
        <v>5</v>
      </c>
      <c r="B6" s="170" t="s">
        <v>196</v>
      </c>
      <c r="C6">
        <v>0.05</v>
      </c>
      <c r="D6">
        <v>0.05</v>
      </c>
    </row>
    <row r="7" spans="1:5" ht="15" customHeight="1" x14ac:dyDescent="0.15">
      <c r="A7">
        <v>6</v>
      </c>
      <c r="B7" s="170" t="s">
        <v>197</v>
      </c>
      <c r="C7">
        <v>0.01</v>
      </c>
      <c r="D7">
        <v>0.01</v>
      </c>
    </row>
    <row r="8" spans="1:5" ht="15" customHeight="1" x14ac:dyDescent="0.15">
      <c r="A8">
        <v>7</v>
      </c>
      <c r="B8" s="170" t="s">
        <v>198</v>
      </c>
      <c r="C8">
        <v>0</v>
      </c>
      <c r="D8">
        <v>0</v>
      </c>
    </row>
    <row r="9" spans="1:5" ht="15" customHeight="1" x14ac:dyDescent="0.15">
      <c r="A9">
        <v>8</v>
      </c>
      <c r="B9" s="170" t="s">
        <v>199</v>
      </c>
      <c r="C9">
        <v>1E-3</v>
      </c>
      <c r="D9">
        <v>1E-3</v>
      </c>
    </row>
    <row r="10" spans="1:5" ht="15" customHeight="1" x14ac:dyDescent="0.15">
      <c r="A10">
        <v>9</v>
      </c>
      <c r="B10" s="170" t="s">
        <v>200</v>
      </c>
      <c r="C10">
        <v>0.02</v>
      </c>
      <c r="D10">
        <v>0.02</v>
      </c>
    </row>
    <row r="11" spans="1:5" ht="15" customHeight="1" x14ac:dyDescent="0.15">
      <c r="A11">
        <v>10</v>
      </c>
      <c r="B11" s="170" t="s">
        <v>201</v>
      </c>
      <c r="C11">
        <v>1.4999999999999999E-2</v>
      </c>
      <c r="D11">
        <v>1.4999999999999999E-2</v>
      </c>
    </row>
    <row r="12" spans="1:5" ht="15" customHeight="1" x14ac:dyDescent="0.15">
      <c r="A12">
        <v>11</v>
      </c>
      <c r="B12" s="170" t="s">
        <v>202</v>
      </c>
      <c r="C12">
        <v>0.02</v>
      </c>
      <c r="D12">
        <v>0.02</v>
      </c>
    </row>
    <row r="13" spans="1:5" ht="15" customHeight="1" x14ac:dyDescent="0.15">
      <c r="A13">
        <v>12</v>
      </c>
      <c r="B13" s="170" t="s">
        <v>203</v>
      </c>
      <c r="C13">
        <v>1.4999999999999999E-2</v>
      </c>
      <c r="D13">
        <v>1.4999999999999999E-2</v>
      </c>
    </row>
    <row r="14" spans="1:5" ht="15" customHeight="1" x14ac:dyDescent="0.15">
      <c r="A14">
        <v>13</v>
      </c>
      <c r="B14" s="170" t="s">
        <v>204</v>
      </c>
      <c r="C14">
        <v>0.02</v>
      </c>
      <c r="D14">
        <v>0.02</v>
      </c>
    </row>
    <row r="15" spans="1:5" ht="15" customHeight="1" x14ac:dyDescent="0.15">
      <c r="A15">
        <v>14</v>
      </c>
      <c r="B15" s="170" t="s">
        <v>205</v>
      </c>
      <c r="C15">
        <v>0</v>
      </c>
      <c r="D15">
        <v>0</v>
      </c>
    </row>
    <row r="16" spans="1:5" ht="15" customHeight="1" x14ac:dyDescent="0.15">
      <c r="A16">
        <v>15</v>
      </c>
      <c r="B16" s="170" t="s">
        <v>206</v>
      </c>
      <c r="C16">
        <v>4.0000000000000001E-3</v>
      </c>
      <c r="D16">
        <v>4.0000000000000001E-3</v>
      </c>
    </row>
    <row r="17" spans="1:4" ht="15" customHeight="1" x14ac:dyDescent="0.15">
      <c r="A17">
        <v>16</v>
      </c>
      <c r="B17" s="170" t="s">
        <v>207</v>
      </c>
      <c r="C17">
        <v>0</v>
      </c>
      <c r="D17">
        <v>0</v>
      </c>
    </row>
    <row r="18" spans="1:4" ht="15" customHeight="1" x14ac:dyDescent="0.15">
      <c r="A18">
        <v>17</v>
      </c>
      <c r="B18" s="170" t="s">
        <v>208</v>
      </c>
      <c r="C18">
        <v>0</v>
      </c>
      <c r="D18">
        <v>0</v>
      </c>
    </row>
    <row r="19" spans="1:4" ht="15" customHeight="1" x14ac:dyDescent="0.15">
      <c r="A19">
        <v>18</v>
      </c>
      <c r="B19" s="170" t="s">
        <v>209</v>
      </c>
      <c r="C19">
        <v>0</v>
      </c>
      <c r="D19">
        <v>0</v>
      </c>
    </row>
    <row r="20" spans="1:4" ht="15" customHeight="1" x14ac:dyDescent="0.15">
      <c r="A20">
        <v>19</v>
      </c>
      <c r="B20" s="170" t="s">
        <v>210</v>
      </c>
      <c r="C20">
        <v>0</v>
      </c>
      <c r="D20">
        <v>0</v>
      </c>
    </row>
    <row r="21" spans="1:4" ht="15" customHeight="1" x14ac:dyDescent="0.15">
      <c r="A21">
        <v>20</v>
      </c>
      <c r="B21" s="170" t="s">
        <v>211</v>
      </c>
      <c r="C21">
        <v>0</v>
      </c>
      <c r="D21">
        <v>0</v>
      </c>
    </row>
    <row r="22" spans="1:4" ht="15" customHeight="1" x14ac:dyDescent="0.15">
      <c r="A22">
        <v>21</v>
      </c>
      <c r="B22" s="170" t="s">
        <v>212</v>
      </c>
      <c r="C22">
        <v>0</v>
      </c>
      <c r="D22">
        <v>0</v>
      </c>
    </row>
    <row r="23" spans="1:4" ht="15" customHeight="1" x14ac:dyDescent="0.15">
      <c r="A23">
        <v>22</v>
      </c>
      <c r="B23" s="170" t="s">
        <v>213</v>
      </c>
      <c r="C23">
        <v>0</v>
      </c>
      <c r="D23">
        <v>0</v>
      </c>
    </row>
    <row r="24" spans="1:4" ht="15" customHeight="1" x14ac:dyDescent="0.15"/>
    <row r="25" spans="1:4" ht="15" customHeight="1" x14ac:dyDescent="0.15"/>
    <row r="26" spans="1:4" ht="15" customHeight="1" x14ac:dyDescent="0.15"/>
    <row r="27" spans="1:4" ht="15" customHeight="1" x14ac:dyDescent="0.15"/>
    <row r="28" spans="1:4" ht="15" customHeight="1" x14ac:dyDescent="0.15"/>
    <row r="29" spans="1:4" ht="15" customHeight="1" x14ac:dyDescent="0.15"/>
    <row r="30" spans="1:4" ht="15" customHeight="1" x14ac:dyDescent="0.15"/>
    <row r="31" spans="1:4" ht="15" customHeight="1" x14ac:dyDescent="0.15"/>
    <row r="32" spans="1:4" ht="15" customHeight="1" x14ac:dyDescent="0.15"/>
    <row r="33" ht="15" customHeight="1" x14ac:dyDescent="0.15"/>
    <row r="34" ht="15" customHeight="1" x14ac:dyDescent="0.15"/>
    <row r="35" ht="15" customHeight="1" x14ac:dyDescent="0.15"/>
    <row r="36" ht="15" customHeight="1" x14ac:dyDescent="0.15"/>
    <row r="37" ht="15" customHeight="1" x14ac:dyDescent="0.15"/>
    <row r="38" ht="15" customHeight="1" x14ac:dyDescent="0.15"/>
    <row r="39" ht="15" customHeight="1" x14ac:dyDescent="0.15"/>
    <row r="40" ht="15" customHeight="1" x14ac:dyDescent="0.15"/>
    <row r="41" ht="15" customHeight="1" x14ac:dyDescent="0.15"/>
    <row r="42" ht="15" customHeight="1" x14ac:dyDescent="0.15"/>
    <row r="43" ht="15" customHeight="1" x14ac:dyDescent="0.15"/>
    <row r="44" ht="15" customHeight="1" x14ac:dyDescent="0.15"/>
    <row r="45" ht="15" customHeight="1" x14ac:dyDescent="0.15"/>
    <row r="46" ht="15" customHeight="1" x14ac:dyDescent="0.15"/>
    <row r="47" ht="15" customHeight="1" x14ac:dyDescent="0.15"/>
    <row r="48" ht="15" customHeight="1" x14ac:dyDescent="0.15"/>
    <row r="49" ht="15" customHeight="1" x14ac:dyDescent="0.15"/>
    <row r="82" ht="15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3" ht="15" customHeight="1" x14ac:dyDescent="0.15"/>
    <row r="174" ht="15" customHeight="1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D23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19.6640625" bestFit="1" customWidth="1"/>
    <col min="3" max="4" width="2.33203125" bestFit="1" customWidth="1"/>
    <col min="5" max="5" width="12.1640625" bestFit="1" customWidth="1"/>
  </cols>
  <sheetData>
    <row r="1" spans="1:4" s="107" customFormat="1" ht="112" x14ac:dyDescent="0.15">
      <c r="A1" s="5" t="s">
        <v>22</v>
      </c>
      <c r="B1" s="3" t="s">
        <v>0</v>
      </c>
      <c r="C1" s="173" t="s">
        <v>214</v>
      </c>
      <c r="D1" s="173" t="s">
        <v>218</v>
      </c>
    </row>
    <row r="2" spans="1:4" x14ac:dyDescent="0.15">
      <c r="A2">
        <v>1</v>
      </c>
      <c r="B2" s="172" t="s">
        <v>192</v>
      </c>
      <c r="C2">
        <v>0</v>
      </c>
      <c r="D2">
        <v>0</v>
      </c>
    </row>
    <row r="3" spans="1:4" x14ac:dyDescent="0.15">
      <c r="A3">
        <v>2</v>
      </c>
      <c r="B3" s="172" t="s">
        <v>193</v>
      </c>
      <c r="C3">
        <v>0</v>
      </c>
      <c r="D3">
        <v>0</v>
      </c>
    </row>
    <row r="4" spans="1:4" x14ac:dyDescent="0.15">
      <c r="A4">
        <v>3</v>
      </c>
      <c r="B4" s="172" t="s">
        <v>194</v>
      </c>
      <c r="C4">
        <v>0</v>
      </c>
      <c r="D4">
        <v>0</v>
      </c>
    </row>
    <row r="5" spans="1:4" x14ac:dyDescent="0.15">
      <c r="A5">
        <v>4</v>
      </c>
      <c r="B5" s="172" t="s">
        <v>195</v>
      </c>
      <c r="C5">
        <v>0</v>
      </c>
      <c r="D5">
        <v>0</v>
      </c>
    </row>
    <row r="6" spans="1:4" x14ac:dyDescent="0.15">
      <c r="A6">
        <v>5</v>
      </c>
      <c r="B6" s="172" t="s">
        <v>196</v>
      </c>
      <c r="C6">
        <v>0</v>
      </c>
      <c r="D6">
        <v>0</v>
      </c>
    </row>
    <row r="7" spans="1:4" x14ac:dyDescent="0.15">
      <c r="A7">
        <v>6</v>
      </c>
      <c r="B7" s="172" t="s">
        <v>197</v>
      </c>
      <c r="C7">
        <v>0</v>
      </c>
      <c r="D7">
        <v>0</v>
      </c>
    </row>
    <row r="8" spans="1:4" x14ac:dyDescent="0.15">
      <c r="A8">
        <v>7</v>
      </c>
      <c r="B8" s="172" t="s">
        <v>198</v>
      </c>
      <c r="C8">
        <v>0</v>
      </c>
      <c r="D8">
        <v>0</v>
      </c>
    </row>
    <row r="9" spans="1:4" x14ac:dyDescent="0.15">
      <c r="A9">
        <v>8</v>
      </c>
      <c r="B9" s="172" t="s">
        <v>199</v>
      </c>
      <c r="C9">
        <v>0</v>
      </c>
      <c r="D9">
        <v>0</v>
      </c>
    </row>
    <row r="10" spans="1:4" x14ac:dyDescent="0.15">
      <c r="A10">
        <v>9</v>
      </c>
      <c r="B10" s="172" t="s">
        <v>200</v>
      </c>
      <c r="C10">
        <v>0</v>
      </c>
      <c r="D10">
        <v>0</v>
      </c>
    </row>
    <row r="11" spans="1:4" x14ac:dyDescent="0.15">
      <c r="A11">
        <v>10</v>
      </c>
      <c r="B11" s="172" t="s">
        <v>201</v>
      </c>
      <c r="C11">
        <v>0</v>
      </c>
      <c r="D11">
        <v>0</v>
      </c>
    </row>
    <row r="12" spans="1:4" x14ac:dyDescent="0.15">
      <c r="A12">
        <v>11</v>
      </c>
      <c r="B12" s="172" t="s">
        <v>202</v>
      </c>
      <c r="C12">
        <v>0</v>
      </c>
      <c r="D12">
        <v>0</v>
      </c>
    </row>
    <row r="13" spans="1:4" x14ac:dyDescent="0.15">
      <c r="A13">
        <v>12</v>
      </c>
      <c r="B13" s="172" t="s">
        <v>203</v>
      </c>
      <c r="C13">
        <v>0</v>
      </c>
      <c r="D13">
        <v>0</v>
      </c>
    </row>
    <row r="14" spans="1:4" x14ac:dyDescent="0.15">
      <c r="A14">
        <v>13</v>
      </c>
      <c r="B14" s="172" t="s">
        <v>204</v>
      </c>
      <c r="C14">
        <v>0</v>
      </c>
      <c r="D14">
        <v>0</v>
      </c>
    </row>
    <row r="15" spans="1:4" x14ac:dyDescent="0.15">
      <c r="A15">
        <v>14</v>
      </c>
      <c r="B15" s="172" t="s">
        <v>205</v>
      </c>
      <c r="C15">
        <v>0</v>
      </c>
      <c r="D15">
        <v>0</v>
      </c>
    </row>
    <row r="16" spans="1:4" x14ac:dyDescent="0.15">
      <c r="A16">
        <v>15</v>
      </c>
      <c r="B16" s="172" t="s">
        <v>206</v>
      </c>
      <c r="C16">
        <v>0</v>
      </c>
      <c r="D16">
        <v>0</v>
      </c>
    </row>
    <row r="17" spans="1:4" x14ac:dyDescent="0.15">
      <c r="A17">
        <v>16</v>
      </c>
      <c r="B17" s="172" t="s">
        <v>207</v>
      </c>
      <c r="C17">
        <v>0</v>
      </c>
      <c r="D17">
        <v>0</v>
      </c>
    </row>
    <row r="18" spans="1:4" x14ac:dyDescent="0.15">
      <c r="A18">
        <v>17</v>
      </c>
      <c r="B18" s="172" t="s">
        <v>208</v>
      </c>
      <c r="C18">
        <v>0</v>
      </c>
      <c r="D18">
        <v>0</v>
      </c>
    </row>
    <row r="19" spans="1:4" x14ac:dyDescent="0.15">
      <c r="A19">
        <v>18</v>
      </c>
      <c r="B19" s="172" t="s">
        <v>209</v>
      </c>
      <c r="C19">
        <v>0</v>
      </c>
      <c r="D19">
        <v>0</v>
      </c>
    </row>
    <row r="20" spans="1:4" x14ac:dyDescent="0.15">
      <c r="A20">
        <v>19</v>
      </c>
      <c r="B20" s="172" t="s">
        <v>210</v>
      </c>
      <c r="C20">
        <v>0</v>
      </c>
      <c r="D20">
        <v>0</v>
      </c>
    </row>
    <row r="21" spans="1:4" x14ac:dyDescent="0.15">
      <c r="A21">
        <v>20</v>
      </c>
      <c r="B21" s="172" t="s">
        <v>211</v>
      </c>
      <c r="C21">
        <v>0</v>
      </c>
      <c r="D21">
        <v>0</v>
      </c>
    </row>
    <row r="22" spans="1:4" x14ac:dyDescent="0.15">
      <c r="A22">
        <v>21</v>
      </c>
      <c r="B22" s="172" t="s">
        <v>212</v>
      </c>
      <c r="C22">
        <v>0</v>
      </c>
      <c r="D22">
        <v>0</v>
      </c>
    </row>
    <row r="23" spans="1:4" x14ac:dyDescent="0.15">
      <c r="A23">
        <v>22</v>
      </c>
      <c r="B23" s="172" t="s">
        <v>213</v>
      </c>
      <c r="C23">
        <v>0</v>
      </c>
      <c r="D23"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5"/>
  <sheetViews>
    <sheetView workbookViewId="0">
      <selection activeCell="D2" sqref="D2"/>
    </sheetView>
  </sheetViews>
  <sheetFormatPr baseColWidth="10" defaultRowHeight="13" x14ac:dyDescent="0.15"/>
  <cols>
    <col min="1" max="1" width="17.33203125" bestFit="1" customWidth="1"/>
    <col min="4" max="4" width="3.33203125" customWidth="1"/>
    <col min="5" max="5" width="19.6640625" bestFit="1" customWidth="1"/>
    <col min="6" max="6" width="4.83203125" bestFit="1" customWidth="1"/>
    <col min="7" max="9" width="3.83203125" bestFit="1" customWidth="1"/>
    <col min="10" max="11" width="4.83203125" style="106" bestFit="1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style="6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style="6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style="6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108" customFormat="1" ht="14" thickBot="1" x14ac:dyDescent="0.2">
      <c r="D1" s="109" t="s">
        <v>8</v>
      </c>
      <c r="E1" s="109" t="s">
        <v>0</v>
      </c>
      <c r="F1" s="110" t="s">
        <v>99</v>
      </c>
      <c r="G1" s="111" t="s">
        <v>84</v>
      </c>
      <c r="H1" s="111" t="s">
        <v>85</v>
      </c>
      <c r="I1" s="111" t="s">
        <v>86</v>
      </c>
      <c r="J1" s="111" t="s">
        <v>87</v>
      </c>
      <c r="K1" s="111" t="s">
        <v>88</v>
      </c>
      <c r="L1" s="112" t="s">
        <v>89</v>
      </c>
      <c r="M1" s="112" t="s">
        <v>93</v>
      </c>
      <c r="N1" s="112" t="s">
        <v>92</v>
      </c>
      <c r="O1" s="112" t="s">
        <v>90</v>
      </c>
      <c r="P1" s="112" t="s">
        <v>91</v>
      </c>
      <c r="Q1" s="113" t="s">
        <v>94</v>
      </c>
      <c r="R1" s="113" t="s">
        <v>95</v>
      </c>
      <c r="S1" s="113" t="s">
        <v>96</v>
      </c>
      <c r="T1" s="113" t="s">
        <v>97</v>
      </c>
      <c r="U1" s="113" t="s">
        <v>98</v>
      </c>
      <c r="V1" s="111" t="s">
        <v>100</v>
      </c>
      <c r="W1" s="111" t="s">
        <v>101</v>
      </c>
      <c r="X1" s="111" t="s">
        <v>102</v>
      </c>
      <c r="Y1" s="111" t="s">
        <v>134</v>
      </c>
      <c r="Z1" s="112" t="s">
        <v>103</v>
      </c>
      <c r="AA1" s="112" t="s">
        <v>104</v>
      </c>
      <c r="AB1" s="112" t="s">
        <v>105</v>
      </c>
      <c r="AC1" s="114" t="s">
        <v>135</v>
      </c>
      <c r="AD1" s="113" t="s">
        <v>106</v>
      </c>
      <c r="AE1" s="113" t="s">
        <v>107</v>
      </c>
      <c r="AF1" s="113" t="s">
        <v>108</v>
      </c>
      <c r="AG1" s="113" t="s">
        <v>136</v>
      </c>
      <c r="AH1" s="111" t="s">
        <v>109</v>
      </c>
      <c r="AI1" s="111" t="s">
        <v>111</v>
      </c>
      <c r="AJ1" s="111" t="s">
        <v>110</v>
      </c>
      <c r="AK1" s="112" t="s">
        <v>115</v>
      </c>
      <c r="AL1" s="112" t="s">
        <v>116</v>
      </c>
      <c r="AM1" s="112" t="s">
        <v>117</v>
      </c>
      <c r="AN1" s="113" t="s">
        <v>112</v>
      </c>
      <c r="AO1" s="113" t="s">
        <v>113</v>
      </c>
      <c r="AP1" s="113" t="s">
        <v>114</v>
      </c>
    </row>
    <row r="2" spans="1:42" x14ac:dyDescent="0.15">
      <c r="A2" s="115" t="s">
        <v>74</v>
      </c>
      <c r="B2" s="116">
        <v>1</v>
      </c>
      <c r="D2">
        <v>1</v>
      </c>
      <c r="E2" s="174" t="s">
        <v>192</v>
      </c>
      <c r="F2">
        <v>0.98</v>
      </c>
      <c r="G2">
        <v>0.8</v>
      </c>
      <c r="H2">
        <v>0.8</v>
      </c>
      <c r="I2">
        <v>0.8</v>
      </c>
      <c r="J2" s="106">
        <v>0.25</v>
      </c>
      <c r="K2" s="106">
        <v>0.05</v>
      </c>
    </row>
    <row r="3" spans="1:42" x14ac:dyDescent="0.15">
      <c r="A3" s="115" t="s">
        <v>75</v>
      </c>
      <c r="B3" s="117">
        <v>1</v>
      </c>
      <c r="D3">
        <v>2</v>
      </c>
      <c r="E3" s="174" t="s">
        <v>193</v>
      </c>
      <c r="F3">
        <v>0.98</v>
      </c>
      <c r="G3">
        <v>0.8</v>
      </c>
      <c r="H3">
        <v>0.8</v>
      </c>
      <c r="I3">
        <v>0.8</v>
      </c>
      <c r="J3" s="106">
        <v>0.25</v>
      </c>
      <c r="K3" s="106">
        <v>0.05</v>
      </c>
    </row>
    <row r="4" spans="1:42" x14ac:dyDescent="0.15">
      <c r="A4" s="115" t="s">
        <v>76</v>
      </c>
      <c r="B4" s="117">
        <v>1</v>
      </c>
      <c r="D4">
        <v>3</v>
      </c>
      <c r="E4" s="174" t="s">
        <v>194</v>
      </c>
      <c r="F4">
        <v>0.98</v>
      </c>
      <c r="G4">
        <v>0.8</v>
      </c>
      <c r="H4">
        <v>0.8</v>
      </c>
      <c r="I4">
        <v>0.8</v>
      </c>
      <c r="J4" s="106">
        <v>0.25</v>
      </c>
      <c r="K4" s="106">
        <v>0.05</v>
      </c>
    </row>
    <row r="5" spans="1:42" x14ac:dyDescent="0.15">
      <c r="A5" s="115" t="s">
        <v>77</v>
      </c>
      <c r="B5" s="117">
        <v>1</v>
      </c>
      <c r="D5">
        <v>4</v>
      </c>
      <c r="E5" s="174" t="s">
        <v>195</v>
      </c>
      <c r="F5">
        <v>0.98</v>
      </c>
      <c r="G5">
        <v>0.8</v>
      </c>
      <c r="H5">
        <v>0.8</v>
      </c>
      <c r="I5">
        <v>0.8</v>
      </c>
      <c r="J5" s="106">
        <v>0.25</v>
      </c>
      <c r="K5" s="106">
        <v>0.05</v>
      </c>
    </row>
    <row r="6" spans="1:42" x14ac:dyDescent="0.15">
      <c r="A6" s="115" t="s">
        <v>78</v>
      </c>
      <c r="B6" s="117">
        <v>1</v>
      </c>
      <c r="D6">
        <v>5</v>
      </c>
      <c r="E6" s="174" t="s">
        <v>196</v>
      </c>
      <c r="F6">
        <v>0.98</v>
      </c>
      <c r="G6">
        <v>0.8</v>
      </c>
      <c r="H6">
        <v>0.8</v>
      </c>
      <c r="I6">
        <v>0.8</v>
      </c>
      <c r="J6" s="106">
        <v>0.25</v>
      </c>
      <c r="K6" s="106">
        <v>0.05</v>
      </c>
    </row>
    <row r="7" spans="1:42" x14ac:dyDescent="0.15">
      <c r="A7" s="115" t="s">
        <v>79</v>
      </c>
      <c r="B7" s="117">
        <v>1</v>
      </c>
      <c r="D7">
        <v>6</v>
      </c>
      <c r="E7" s="174" t="s">
        <v>197</v>
      </c>
      <c r="F7">
        <v>0.98</v>
      </c>
      <c r="G7">
        <v>0.8</v>
      </c>
      <c r="H7">
        <v>0.8</v>
      </c>
      <c r="I7">
        <v>0.8</v>
      </c>
      <c r="J7" s="106">
        <v>0.25</v>
      </c>
      <c r="K7" s="106">
        <v>0.05</v>
      </c>
    </row>
    <row r="8" spans="1:42" x14ac:dyDescent="0.15">
      <c r="A8" s="115" t="s">
        <v>80</v>
      </c>
      <c r="B8" s="117">
        <v>1</v>
      </c>
      <c r="D8">
        <v>7</v>
      </c>
      <c r="E8" s="174" t="s">
        <v>198</v>
      </c>
      <c r="F8">
        <v>0.98</v>
      </c>
      <c r="G8">
        <v>0.8</v>
      </c>
      <c r="H8">
        <v>0.8</v>
      </c>
      <c r="I8">
        <v>0.8</v>
      </c>
      <c r="J8" s="106">
        <v>0.25</v>
      </c>
      <c r="K8" s="106">
        <v>0.05</v>
      </c>
    </row>
    <row r="9" spans="1:42" x14ac:dyDescent="0.15">
      <c r="A9" s="115" t="s">
        <v>81</v>
      </c>
      <c r="B9" s="117">
        <v>0.1</v>
      </c>
      <c r="C9" s="59" t="s">
        <v>150</v>
      </c>
      <c r="D9">
        <v>8</v>
      </c>
      <c r="E9" s="174" t="s">
        <v>199</v>
      </c>
      <c r="F9">
        <v>0.98</v>
      </c>
      <c r="G9">
        <v>0.8</v>
      </c>
      <c r="H9">
        <v>0.8</v>
      </c>
      <c r="I9">
        <v>0.8</v>
      </c>
      <c r="J9" s="106">
        <v>0.25</v>
      </c>
      <c r="K9" s="106">
        <v>0.05</v>
      </c>
    </row>
    <row r="10" spans="1:42" ht="14" thickBot="1" x14ac:dyDescent="0.2">
      <c r="A10" s="115" t="s">
        <v>149</v>
      </c>
      <c r="B10" s="118">
        <f>1/3</f>
        <v>0.33333333333333331</v>
      </c>
      <c r="C10" s="59" t="s">
        <v>150</v>
      </c>
      <c r="D10">
        <v>9</v>
      </c>
      <c r="E10" s="174" t="s">
        <v>200</v>
      </c>
      <c r="F10">
        <v>0.98</v>
      </c>
      <c r="G10">
        <v>0.8</v>
      </c>
      <c r="H10">
        <v>0.8</v>
      </c>
      <c r="I10">
        <v>0.8</v>
      </c>
      <c r="J10" s="106">
        <v>0.25</v>
      </c>
      <c r="K10" s="106">
        <v>0.05</v>
      </c>
    </row>
    <row r="11" spans="1:42" x14ac:dyDescent="0.15">
      <c r="D11">
        <v>10</v>
      </c>
      <c r="E11" s="174" t="s">
        <v>201</v>
      </c>
      <c r="F11">
        <v>0.98</v>
      </c>
      <c r="G11">
        <v>0.8</v>
      </c>
      <c r="H11">
        <v>0.8</v>
      </c>
      <c r="I11">
        <v>0.8</v>
      </c>
      <c r="J11" s="106">
        <v>0.25</v>
      </c>
      <c r="K11" s="106">
        <v>0.05</v>
      </c>
    </row>
    <row r="12" spans="1:42" x14ac:dyDescent="0.15">
      <c r="D12">
        <v>11</v>
      </c>
      <c r="E12" s="174" t="s">
        <v>202</v>
      </c>
      <c r="F12">
        <v>0.98</v>
      </c>
      <c r="G12">
        <v>0.8</v>
      </c>
      <c r="H12">
        <v>0.8</v>
      </c>
      <c r="I12">
        <v>0.8</v>
      </c>
      <c r="J12" s="106">
        <v>0.25</v>
      </c>
      <c r="K12" s="106">
        <v>0.05</v>
      </c>
    </row>
    <row r="13" spans="1:42" x14ac:dyDescent="0.15">
      <c r="D13">
        <v>12</v>
      </c>
      <c r="E13" s="174" t="s">
        <v>203</v>
      </c>
      <c r="F13">
        <v>0.98</v>
      </c>
      <c r="G13">
        <v>0.8</v>
      </c>
      <c r="H13">
        <v>0.8</v>
      </c>
      <c r="I13">
        <v>0.8</v>
      </c>
      <c r="J13" s="106">
        <v>0.25</v>
      </c>
      <c r="K13" s="106">
        <v>0.05</v>
      </c>
    </row>
    <row r="14" spans="1:42" x14ac:dyDescent="0.15">
      <c r="D14">
        <v>13</v>
      </c>
      <c r="E14" s="174" t="s">
        <v>204</v>
      </c>
      <c r="F14">
        <v>0.98</v>
      </c>
      <c r="G14">
        <v>0.8</v>
      </c>
      <c r="H14">
        <v>0.8</v>
      </c>
      <c r="I14">
        <v>0.8</v>
      </c>
      <c r="J14" s="106">
        <v>0.25</v>
      </c>
      <c r="K14" s="106">
        <v>0.05</v>
      </c>
    </row>
    <row r="15" spans="1:42" x14ac:dyDescent="0.15">
      <c r="D15">
        <v>14</v>
      </c>
      <c r="E15" s="174" t="s">
        <v>205</v>
      </c>
      <c r="F15">
        <v>0.98</v>
      </c>
      <c r="G15">
        <v>0.8</v>
      </c>
      <c r="H15">
        <v>0.8</v>
      </c>
      <c r="I15">
        <v>0.8</v>
      </c>
      <c r="J15" s="106">
        <v>0.25</v>
      </c>
      <c r="K15" s="106">
        <v>0.05</v>
      </c>
    </row>
    <row r="16" spans="1:42" x14ac:dyDescent="0.15">
      <c r="D16">
        <v>15</v>
      </c>
      <c r="E16" s="174" t="s">
        <v>206</v>
      </c>
      <c r="F16">
        <v>0.98</v>
      </c>
      <c r="G16">
        <v>0.8</v>
      </c>
      <c r="H16">
        <v>0.8</v>
      </c>
      <c r="I16">
        <v>0.8</v>
      </c>
      <c r="J16" s="106">
        <v>0.25</v>
      </c>
      <c r="K16" s="106">
        <v>0.05</v>
      </c>
    </row>
    <row r="17" spans="4:33" ht="15" customHeight="1" x14ac:dyDescent="0.15">
      <c r="D17">
        <v>16</v>
      </c>
      <c r="E17" s="174" t="s">
        <v>207</v>
      </c>
      <c r="F17">
        <v>0.98</v>
      </c>
      <c r="G17">
        <v>0.8</v>
      </c>
      <c r="H17">
        <v>0.8</v>
      </c>
      <c r="I17">
        <v>0.8</v>
      </c>
      <c r="J17" s="106">
        <v>0.25</v>
      </c>
      <c r="K17" s="106">
        <v>0.05</v>
      </c>
    </row>
    <row r="18" spans="4:33" ht="15" customHeight="1" x14ac:dyDescent="0.15">
      <c r="D18">
        <v>17</v>
      </c>
      <c r="E18" s="174" t="s">
        <v>208</v>
      </c>
      <c r="F18">
        <v>0.98</v>
      </c>
      <c r="G18">
        <v>0.8</v>
      </c>
      <c r="H18">
        <v>0.8</v>
      </c>
      <c r="I18">
        <v>0.8</v>
      </c>
      <c r="J18" s="106">
        <v>0.25</v>
      </c>
      <c r="K18" s="106">
        <v>0.05</v>
      </c>
    </row>
    <row r="19" spans="4:33" ht="15" customHeight="1" x14ac:dyDescent="0.15">
      <c r="D19">
        <v>18</v>
      </c>
      <c r="E19" s="174" t="s">
        <v>209</v>
      </c>
      <c r="F19">
        <v>0.98</v>
      </c>
      <c r="G19">
        <v>0.8</v>
      </c>
      <c r="H19">
        <v>0.8</v>
      </c>
      <c r="I19">
        <v>0.8</v>
      </c>
      <c r="J19" s="106">
        <v>0.25</v>
      </c>
      <c r="K19" s="106">
        <v>0.05</v>
      </c>
    </row>
    <row r="20" spans="4:33" ht="15" customHeight="1" x14ac:dyDescent="0.15">
      <c r="D20">
        <v>19</v>
      </c>
      <c r="E20" s="174" t="s">
        <v>210</v>
      </c>
      <c r="F20">
        <v>0.98</v>
      </c>
      <c r="G20">
        <v>0.8</v>
      </c>
      <c r="H20">
        <v>0.8</v>
      </c>
      <c r="I20">
        <v>0</v>
      </c>
      <c r="J20" s="106">
        <v>0</v>
      </c>
      <c r="K20" s="106">
        <v>0</v>
      </c>
    </row>
    <row r="21" spans="4:33" ht="15" customHeight="1" x14ac:dyDescent="0.15">
      <c r="D21">
        <v>20</v>
      </c>
      <c r="E21" s="174" t="s">
        <v>211</v>
      </c>
      <c r="F21">
        <v>0.98</v>
      </c>
      <c r="G21">
        <v>0.8</v>
      </c>
      <c r="H21">
        <v>0.8</v>
      </c>
      <c r="I21">
        <v>0.8</v>
      </c>
      <c r="J21" s="106">
        <v>0.25</v>
      </c>
      <c r="K21" s="106">
        <v>0.05</v>
      </c>
    </row>
    <row r="22" spans="4:33" ht="15" customHeight="1" x14ac:dyDescent="0.15">
      <c r="D22">
        <v>21</v>
      </c>
      <c r="E22" s="174" t="s">
        <v>212</v>
      </c>
      <c r="F22">
        <v>0.98</v>
      </c>
      <c r="G22">
        <v>0.8</v>
      </c>
      <c r="H22">
        <v>0</v>
      </c>
      <c r="I22">
        <v>0</v>
      </c>
      <c r="J22" s="106">
        <v>0</v>
      </c>
      <c r="K22" s="106">
        <v>0</v>
      </c>
    </row>
    <row r="23" spans="4:33" ht="15" customHeight="1" x14ac:dyDescent="0.15">
      <c r="D23">
        <v>22</v>
      </c>
      <c r="E23" s="174" t="s">
        <v>213</v>
      </c>
      <c r="F23">
        <v>0.98</v>
      </c>
      <c r="G23">
        <v>0.8</v>
      </c>
      <c r="H23">
        <v>0</v>
      </c>
      <c r="I23">
        <v>0</v>
      </c>
      <c r="J23" s="106">
        <v>0</v>
      </c>
      <c r="K23" s="106">
        <v>0</v>
      </c>
    </row>
    <row r="24" spans="4:33" ht="15" customHeight="1" x14ac:dyDescent="0.15">
      <c r="J24"/>
      <c r="K24"/>
    </row>
    <row r="25" spans="4:33" ht="15" customHeight="1" x14ac:dyDescent="0.15">
      <c r="J25"/>
      <c r="K25"/>
    </row>
    <row r="26" spans="4:33" ht="15" customHeight="1" x14ac:dyDescent="0.15">
      <c r="J26"/>
      <c r="K26"/>
    </row>
    <row r="27" spans="4:33" ht="15" customHeight="1" x14ac:dyDescent="0.15">
      <c r="J27"/>
      <c r="K27"/>
    </row>
    <row r="28" spans="4:33" ht="15" customHeight="1" x14ac:dyDescent="0.15">
      <c r="J28"/>
      <c r="K28"/>
    </row>
    <row r="29" spans="4:33" ht="15" customHeight="1" x14ac:dyDescent="0.15">
      <c r="J29"/>
      <c r="K29"/>
      <c r="Y29"/>
      <c r="AC29"/>
      <c r="AG29"/>
    </row>
    <row r="30" spans="4:33" ht="15" customHeight="1" x14ac:dyDescent="0.15">
      <c r="J30"/>
      <c r="K30"/>
      <c r="Y30"/>
      <c r="AC30"/>
      <c r="AG30"/>
    </row>
    <row r="31" spans="4:33" ht="15" customHeight="1" x14ac:dyDescent="0.15">
      <c r="J31"/>
      <c r="K31"/>
      <c r="Y31"/>
      <c r="AC31"/>
      <c r="AG31"/>
    </row>
    <row r="32" spans="4:33" ht="15" customHeight="1" x14ac:dyDescent="0.15">
      <c r="J32"/>
      <c r="K32"/>
      <c r="Y32"/>
      <c r="AC32"/>
      <c r="AG32"/>
    </row>
    <row r="33" spans="10:33" ht="15" customHeight="1" x14ac:dyDescent="0.15">
      <c r="J33"/>
      <c r="K33"/>
      <c r="Y33"/>
      <c r="AC33"/>
      <c r="AG33"/>
    </row>
    <row r="34" spans="10:33" ht="15" customHeight="1" x14ac:dyDescent="0.15">
      <c r="J34"/>
      <c r="K34"/>
      <c r="Y34"/>
      <c r="AC34"/>
      <c r="AG34"/>
    </row>
    <row r="35" spans="10:33" ht="15" customHeight="1" x14ac:dyDescent="0.15">
      <c r="J35"/>
      <c r="K35"/>
      <c r="Y35"/>
      <c r="AC35"/>
      <c r="AG35"/>
    </row>
    <row r="36" spans="10:33" ht="15" customHeight="1" x14ac:dyDescent="0.15">
      <c r="J36"/>
      <c r="K36"/>
      <c r="Y36"/>
      <c r="AC36"/>
      <c r="AG36"/>
    </row>
    <row r="37" spans="10:33" ht="15" customHeight="1" x14ac:dyDescent="0.15">
      <c r="J37"/>
      <c r="K37"/>
      <c r="Y37"/>
      <c r="AC37"/>
      <c r="AG37"/>
    </row>
    <row r="38" spans="10:33" ht="15" customHeight="1" x14ac:dyDescent="0.15">
      <c r="J38"/>
      <c r="K38"/>
      <c r="Y38"/>
      <c r="AC38"/>
      <c r="AG38"/>
    </row>
    <row r="39" spans="10:33" ht="15" customHeight="1" x14ac:dyDescent="0.15">
      <c r="J39"/>
      <c r="K39"/>
    </row>
    <row r="40" spans="10:33" ht="15" customHeight="1" x14ac:dyDescent="0.15">
      <c r="J40"/>
      <c r="K40"/>
      <c r="Y40"/>
      <c r="AC40"/>
      <c r="AG40"/>
    </row>
    <row r="41" spans="10:33" ht="15" customHeight="1" x14ac:dyDescent="0.15">
      <c r="J41"/>
      <c r="K41"/>
      <c r="Y41"/>
      <c r="AC41"/>
      <c r="AG41"/>
    </row>
    <row r="42" spans="10:33" ht="15" customHeight="1" x14ac:dyDescent="0.15">
      <c r="J42"/>
      <c r="K42"/>
      <c r="Y42"/>
      <c r="AC42"/>
      <c r="AG42"/>
    </row>
    <row r="43" spans="10:33" ht="15" customHeight="1" x14ac:dyDescent="0.15">
      <c r="J43"/>
      <c r="K43"/>
      <c r="Y43"/>
      <c r="AC43"/>
      <c r="AG43"/>
    </row>
    <row r="44" spans="10:33" ht="15" customHeight="1" x14ac:dyDescent="0.15">
      <c r="J44"/>
      <c r="K44"/>
      <c r="Y44"/>
      <c r="AC44"/>
      <c r="AG44"/>
    </row>
    <row r="45" spans="10:33" ht="15" customHeight="1" x14ac:dyDescent="0.15">
      <c r="J45"/>
      <c r="K45"/>
      <c r="Y45"/>
      <c r="AC45"/>
      <c r="AG45"/>
    </row>
    <row r="46" spans="10:33" ht="15" customHeight="1" x14ac:dyDescent="0.15">
      <c r="J46"/>
      <c r="K46"/>
      <c r="Y46"/>
      <c r="AC46"/>
      <c r="AG46"/>
    </row>
    <row r="47" spans="10:33" ht="15" customHeight="1" x14ac:dyDescent="0.15">
      <c r="J47"/>
      <c r="K47"/>
      <c r="Y47"/>
      <c r="AC47"/>
      <c r="AG47"/>
    </row>
    <row r="48" spans="10:33" ht="15" customHeight="1" x14ac:dyDescent="0.15">
      <c r="J48"/>
      <c r="K48"/>
      <c r="Y48"/>
      <c r="AC48"/>
      <c r="AG48"/>
    </row>
    <row r="49" spans="10:33" ht="15" customHeight="1" x14ac:dyDescent="0.15">
      <c r="Y49"/>
      <c r="AC49"/>
      <c r="AG49"/>
    </row>
    <row r="50" spans="10:33" ht="15" customHeight="1" x14ac:dyDescent="0.15">
      <c r="Y50"/>
      <c r="AC50"/>
      <c r="AG50"/>
    </row>
    <row r="51" spans="10:33" ht="15" customHeight="1" x14ac:dyDescent="0.15">
      <c r="J51"/>
      <c r="K51"/>
      <c r="Y51"/>
      <c r="AC51"/>
      <c r="AG51"/>
    </row>
    <row r="52" spans="10:33" ht="15" customHeight="1" x14ac:dyDescent="0.15">
      <c r="J52"/>
      <c r="K52"/>
      <c r="Y52"/>
      <c r="AC52"/>
      <c r="AG52"/>
    </row>
    <row r="53" spans="10:33" ht="15" customHeight="1" x14ac:dyDescent="0.15">
      <c r="J53"/>
      <c r="K53"/>
      <c r="Y53"/>
      <c r="AC53"/>
      <c r="AG53"/>
    </row>
    <row r="54" spans="10:33" ht="15" customHeight="1" x14ac:dyDescent="0.15">
      <c r="J54"/>
      <c r="K54"/>
      <c r="Y54"/>
      <c r="AC54"/>
      <c r="AG54"/>
    </row>
    <row r="55" spans="10:33" ht="15" customHeight="1" x14ac:dyDescent="0.15">
      <c r="J55"/>
      <c r="K55"/>
      <c r="Y55"/>
      <c r="AC55"/>
      <c r="AG55"/>
    </row>
    <row r="56" spans="10:33" ht="15" customHeight="1" x14ac:dyDescent="0.15">
      <c r="J56"/>
      <c r="K56"/>
      <c r="Y56"/>
      <c r="AC56"/>
      <c r="AG56"/>
    </row>
    <row r="57" spans="10:33" ht="15" customHeight="1" x14ac:dyDescent="0.15">
      <c r="J57"/>
      <c r="K57"/>
      <c r="Y57"/>
      <c r="AC57"/>
      <c r="AG57"/>
    </row>
    <row r="58" spans="10:33" ht="15" customHeight="1" x14ac:dyDescent="0.15">
      <c r="J58"/>
      <c r="K58"/>
      <c r="Y58"/>
      <c r="AC58"/>
      <c r="AG58"/>
    </row>
    <row r="59" spans="10:33" ht="15" customHeight="1" x14ac:dyDescent="0.15">
      <c r="J59"/>
      <c r="K59"/>
      <c r="Y59"/>
      <c r="AC59"/>
      <c r="AG59"/>
    </row>
    <row r="60" spans="10:33" ht="15" customHeight="1" x14ac:dyDescent="0.15">
      <c r="J60"/>
      <c r="K60"/>
      <c r="Y60"/>
      <c r="AC60"/>
      <c r="AG60"/>
    </row>
    <row r="61" spans="10:33" ht="15" customHeight="1" x14ac:dyDescent="0.15">
      <c r="J61"/>
      <c r="K61"/>
      <c r="Y61"/>
      <c r="AC61"/>
      <c r="AG61"/>
    </row>
    <row r="62" spans="10:33" ht="15" customHeight="1" x14ac:dyDescent="0.15">
      <c r="J62"/>
      <c r="K62"/>
      <c r="Y62"/>
      <c r="AC62"/>
      <c r="AG62"/>
    </row>
    <row r="63" spans="10:33" ht="15" customHeight="1" x14ac:dyDescent="0.15">
      <c r="J63"/>
      <c r="K63"/>
      <c r="Y63"/>
      <c r="AC63"/>
      <c r="AG63"/>
    </row>
    <row r="64" spans="10:33" ht="15" customHeight="1" x14ac:dyDescent="0.15">
      <c r="J64"/>
      <c r="K64"/>
      <c r="Y64"/>
      <c r="AC64"/>
      <c r="AG64"/>
    </row>
    <row r="65" spans="10:33" ht="15" customHeight="1" x14ac:dyDescent="0.15">
      <c r="J65"/>
      <c r="K65"/>
      <c r="Y65"/>
      <c r="AC65"/>
      <c r="AG65"/>
    </row>
    <row r="66" spans="10:33" ht="15" customHeight="1" x14ac:dyDescent="0.15">
      <c r="J66"/>
      <c r="K66"/>
      <c r="Y66"/>
      <c r="AC66"/>
      <c r="AG66"/>
    </row>
    <row r="67" spans="10:33" ht="15" customHeight="1" x14ac:dyDescent="0.15">
      <c r="J67"/>
      <c r="K67"/>
      <c r="Y67"/>
      <c r="AC67"/>
      <c r="AG67"/>
    </row>
    <row r="68" spans="10:33" ht="15" customHeight="1" x14ac:dyDescent="0.15">
      <c r="J68"/>
      <c r="K68"/>
      <c r="Y68"/>
      <c r="AC68"/>
      <c r="AG68"/>
    </row>
    <row r="69" spans="10:33" ht="15" customHeight="1" x14ac:dyDescent="0.15">
      <c r="J69"/>
      <c r="K69"/>
      <c r="Y69"/>
      <c r="AC69"/>
      <c r="AG69"/>
    </row>
    <row r="70" spans="10:33" ht="15" customHeight="1" x14ac:dyDescent="0.15">
      <c r="J70"/>
      <c r="K70"/>
      <c r="Y70"/>
      <c r="AC70"/>
      <c r="AG70"/>
    </row>
    <row r="71" spans="10:33" ht="15" customHeight="1" x14ac:dyDescent="0.15">
      <c r="J71"/>
      <c r="K71"/>
      <c r="Y71"/>
      <c r="AC71"/>
      <c r="AG71"/>
    </row>
    <row r="72" spans="10:33" ht="15" customHeight="1" x14ac:dyDescent="0.15">
      <c r="J72"/>
      <c r="K72"/>
      <c r="Y72"/>
      <c r="AC72"/>
      <c r="AG72"/>
    </row>
    <row r="73" spans="10:33" ht="15" customHeight="1" x14ac:dyDescent="0.15">
      <c r="J73"/>
      <c r="K73"/>
      <c r="Y73"/>
      <c r="AC73"/>
      <c r="AG73"/>
    </row>
    <row r="74" spans="10:33" ht="15" customHeight="1" x14ac:dyDescent="0.15">
      <c r="J74"/>
      <c r="K74"/>
      <c r="Y74"/>
      <c r="AC74"/>
      <c r="AG74"/>
    </row>
    <row r="75" spans="10:33" ht="15" customHeight="1" x14ac:dyDescent="0.15">
      <c r="J75"/>
      <c r="K75"/>
      <c r="Y75"/>
      <c r="AC75"/>
      <c r="AG75"/>
    </row>
    <row r="76" spans="10:33" ht="15" customHeight="1" x14ac:dyDescent="0.15">
      <c r="J76"/>
      <c r="K76"/>
    </row>
    <row r="77" spans="10:33" ht="15" customHeight="1" x14ac:dyDescent="0.15">
      <c r="J77"/>
      <c r="K77"/>
    </row>
    <row r="78" spans="10:33" ht="15" customHeight="1" x14ac:dyDescent="0.15">
      <c r="J78"/>
      <c r="K78"/>
    </row>
    <row r="79" spans="10:33" ht="15" customHeight="1" x14ac:dyDescent="0.15">
      <c r="J79"/>
      <c r="K79"/>
    </row>
    <row r="80" spans="10:33" ht="15" customHeight="1" x14ac:dyDescent="0.15">
      <c r="J80"/>
      <c r="K80"/>
    </row>
    <row r="81" spans="10:33" ht="15" customHeight="1" x14ac:dyDescent="0.15">
      <c r="J81"/>
      <c r="K81"/>
    </row>
    <row r="82" spans="10:33" ht="15" customHeight="1" x14ac:dyDescent="0.15">
      <c r="J82"/>
      <c r="K82"/>
    </row>
    <row r="83" spans="10:33" ht="15" customHeight="1" x14ac:dyDescent="0.15">
      <c r="J83"/>
      <c r="K83"/>
      <c r="Y83"/>
      <c r="AC83"/>
      <c r="AG83"/>
    </row>
    <row r="84" spans="10:33" ht="15" customHeight="1" x14ac:dyDescent="0.15">
      <c r="J84"/>
      <c r="K84"/>
      <c r="Y84"/>
      <c r="AC84"/>
      <c r="AG84"/>
    </row>
    <row r="85" spans="10:33" ht="15" customHeight="1" x14ac:dyDescent="0.15">
      <c r="J85"/>
      <c r="K85"/>
      <c r="Y85"/>
      <c r="AC85"/>
      <c r="AG85"/>
    </row>
    <row r="86" spans="10:33" ht="15" customHeight="1" x14ac:dyDescent="0.15">
      <c r="J86"/>
      <c r="K86"/>
      <c r="Y86"/>
      <c r="AC86"/>
      <c r="AG86"/>
    </row>
    <row r="87" spans="10:33" ht="15" customHeight="1" x14ac:dyDescent="0.15">
      <c r="J87"/>
      <c r="K87"/>
      <c r="Y87"/>
      <c r="AC87"/>
      <c r="AG87"/>
    </row>
    <row r="88" spans="10:33" ht="15" customHeight="1" x14ac:dyDescent="0.15">
      <c r="J88"/>
      <c r="K88"/>
      <c r="Y88"/>
      <c r="AC88"/>
      <c r="AG88"/>
    </row>
    <row r="89" spans="10:33" ht="15" customHeight="1" x14ac:dyDescent="0.15">
      <c r="J89"/>
      <c r="K89"/>
      <c r="Y89"/>
      <c r="AC89"/>
      <c r="AG89"/>
    </row>
    <row r="90" spans="10:33" ht="15" customHeight="1" x14ac:dyDescent="0.15">
      <c r="J90"/>
      <c r="K90"/>
      <c r="Y90"/>
      <c r="AC90"/>
      <c r="AG90"/>
    </row>
    <row r="91" spans="10:33" ht="15" customHeight="1" x14ac:dyDescent="0.15">
      <c r="J91"/>
      <c r="K91"/>
      <c r="Y91"/>
      <c r="AC91"/>
      <c r="AG91"/>
    </row>
    <row r="92" spans="10:33" ht="15" customHeight="1" x14ac:dyDescent="0.15">
      <c r="J92"/>
      <c r="K92"/>
      <c r="Y92"/>
      <c r="AC92"/>
      <c r="AG92"/>
    </row>
    <row r="93" spans="10:33" ht="15" customHeight="1" x14ac:dyDescent="0.15">
      <c r="J93"/>
      <c r="K93"/>
      <c r="Y93"/>
      <c r="AC93"/>
      <c r="AG93"/>
    </row>
    <row r="94" spans="10:33" ht="15" customHeight="1" x14ac:dyDescent="0.15">
      <c r="J94"/>
      <c r="K94"/>
      <c r="Y94"/>
      <c r="AC94"/>
      <c r="AG94"/>
    </row>
    <row r="95" spans="10:33" ht="15" customHeight="1" x14ac:dyDescent="0.15">
      <c r="J95"/>
      <c r="K95"/>
      <c r="Y95"/>
      <c r="AC95"/>
      <c r="AG95"/>
    </row>
    <row r="96" spans="10:33" ht="15" customHeight="1" x14ac:dyDescent="0.15">
      <c r="J96"/>
      <c r="K96"/>
      <c r="Y96"/>
      <c r="AC96"/>
      <c r="AG96"/>
    </row>
    <row r="97" spans="10:33" ht="15" customHeight="1" x14ac:dyDescent="0.15">
      <c r="J97"/>
      <c r="K97"/>
      <c r="Y97"/>
      <c r="AC97"/>
      <c r="AG97"/>
    </row>
    <row r="98" spans="10:33" ht="15" customHeight="1" x14ac:dyDescent="0.15">
      <c r="J98"/>
      <c r="K98"/>
      <c r="Y98"/>
      <c r="AC98"/>
      <c r="AG98"/>
    </row>
    <row r="99" spans="10:33" ht="15" customHeight="1" x14ac:dyDescent="0.15">
      <c r="J99"/>
      <c r="K99"/>
      <c r="Y99"/>
      <c r="AC99"/>
      <c r="AG99"/>
    </row>
    <row r="100" spans="10:33" ht="15" customHeight="1" x14ac:dyDescent="0.15">
      <c r="J100"/>
      <c r="K100"/>
      <c r="Y100"/>
      <c r="AC100"/>
      <c r="AG100"/>
    </row>
    <row r="101" spans="10:33" ht="15" customHeight="1" x14ac:dyDescent="0.15">
      <c r="J101"/>
      <c r="K101"/>
      <c r="Y101"/>
      <c r="AC101"/>
      <c r="AG101"/>
    </row>
    <row r="102" spans="10:33" ht="15" customHeight="1" x14ac:dyDescent="0.15">
      <c r="J102"/>
      <c r="K102"/>
      <c r="Y102"/>
      <c r="AC102"/>
      <c r="AG102"/>
    </row>
    <row r="103" spans="10:33" ht="15" customHeight="1" x14ac:dyDescent="0.15">
      <c r="J103"/>
      <c r="K103"/>
      <c r="Y103"/>
      <c r="AC103"/>
      <c r="AG103"/>
    </row>
    <row r="104" spans="10:33" ht="15" customHeight="1" x14ac:dyDescent="0.15">
      <c r="J104"/>
      <c r="K104"/>
      <c r="Y104"/>
      <c r="AC104"/>
      <c r="AG104"/>
    </row>
    <row r="105" spans="10:33" ht="15" customHeight="1" x14ac:dyDescent="0.15">
      <c r="J105"/>
      <c r="K105"/>
      <c r="Y105"/>
      <c r="AC105"/>
      <c r="AG105"/>
    </row>
    <row r="106" spans="10:33" ht="15" customHeight="1" x14ac:dyDescent="0.15">
      <c r="J106"/>
      <c r="K106"/>
      <c r="Y106"/>
      <c r="AC106"/>
      <c r="AG106"/>
    </row>
    <row r="107" spans="10:33" ht="15" customHeight="1" x14ac:dyDescent="0.15">
      <c r="J107"/>
      <c r="K107"/>
      <c r="Y107"/>
      <c r="AC107"/>
      <c r="AG107"/>
    </row>
    <row r="108" spans="10:33" ht="15" customHeight="1" x14ac:dyDescent="0.15">
      <c r="J108"/>
      <c r="K108"/>
      <c r="Y108"/>
      <c r="AC108"/>
      <c r="AG108"/>
    </row>
    <row r="109" spans="10:33" ht="15" customHeight="1" x14ac:dyDescent="0.15">
      <c r="J109"/>
      <c r="K109"/>
      <c r="Y109"/>
      <c r="AC109"/>
      <c r="AG109"/>
    </row>
    <row r="110" spans="10:33" ht="15" customHeight="1" x14ac:dyDescent="0.15">
      <c r="J110"/>
      <c r="K110"/>
      <c r="Y110"/>
      <c r="AC110"/>
      <c r="AG110"/>
    </row>
    <row r="111" spans="10:33" ht="15" customHeight="1" x14ac:dyDescent="0.15">
      <c r="J111"/>
      <c r="K111"/>
      <c r="Y111"/>
      <c r="AC111"/>
      <c r="AG111"/>
    </row>
    <row r="112" spans="10:33" ht="15" customHeight="1" x14ac:dyDescent="0.15">
      <c r="J112"/>
      <c r="K112"/>
      <c r="Y112"/>
      <c r="AC112"/>
      <c r="AG112"/>
    </row>
    <row r="113" spans="10:33" ht="15" customHeight="1" x14ac:dyDescent="0.15">
      <c r="J113"/>
      <c r="K113"/>
      <c r="Y113"/>
      <c r="AC113"/>
      <c r="AG113"/>
    </row>
    <row r="114" spans="10:33" ht="15" customHeight="1" x14ac:dyDescent="0.15">
      <c r="J114"/>
      <c r="K114"/>
      <c r="Y114"/>
      <c r="AC114"/>
      <c r="AG114"/>
    </row>
    <row r="115" spans="10:33" ht="15" customHeight="1" x14ac:dyDescent="0.15">
      <c r="J115"/>
      <c r="K115"/>
      <c r="Y115"/>
      <c r="AC115"/>
      <c r="AG115"/>
    </row>
    <row r="116" spans="10:33" ht="15" customHeight="1" x14ac:dyDescent="0.15">
      <c r="J116"/>
      <c r="K116"/>
      <c r="Y116"/>
      <c r="AC116"/>
      <c r="AG116"/>
    </row>
    <row r="117" spans="10:33" ht="15" customHeight="1" x14ac:dyDescent="0.15">
      <c r="J117"/>
      <c r="K117"/>
      <c r="Y117"/>
      <c r="AC117"/>
      <c r="AG117"/>
    </row>
    <row r="118" spans="10:33" ht="15" customHeight="1" x14ac:dyDescent="0.15">
      <c r="J118"/>
      <c r="K118"/>
      <c r="Y118"/>
      <c r="AC118"/>
      <c r="AG118"/>
    </row>
    <row r="119" spans="10:33" ht="15" customHeight="1" x14ac:dyDescent="0.15">
      <c r="J119"/>
      <c r="K119"/>
      <c r="Y119"/>
      <c r="AC119"/>
      <c r="AG119"/>
    </row>
    <row r="120" spans="10:33" ht="15" customHeight="1" x14ac:dyDescent="0.15">
      <c r="J120"/>
      <c r="K120"/>
      <c r="Y120"/>
      <c r="AC120"/>
      <c r="AG120"/>
    </row>
    <row r="121" spans="10:33" ht="15" customHeight="1" x14ac:dyDescent="0.15">
      <c r="J121"/>
      <c r="K121"/>
      <c r="Y121"/>
      <c r="AC121"/>
      <c r="AG121"/>
    </row>
    <row r="122" spans="10:33" ht="15" customHeight="1" x14ac:dyDescent="0.15">
      <c r="J122"/>
      <c r="K122"/>
      <c r="Y122"/>
      <c r="AC122"/>
      <c r="AG122"/>
    </row>
    <row r="123" spans="10:33" ht="15" customHeight="1" x14ac:dyDescent="0.15">
      <c r="J123"/>
      <c r="K123"/>
      <c r="Y123"/>
      <c r="AC123"/>
      <c r="AG123"/>
    </row>
    <row r="124" spans="10:33" ht="15" customHeight="1" x14ac:dyDescent="0.15">
      <c r="J124"/>
      <c r="K124"/>
      <c r="Y124"/>
      <c r="AC124"/>
      <c r="AG124"/>
    </row>
    <row r="125" spans="10:33" ht="15" customHeight="1" x14ac:dyDescent="0.15">
      <c r="J125"/>
      <c r="K125"/>
      <c r="Y125"/>
      <c r="AC125"/>
      <c r="AG125"/>
    </row>
    <row r="126" spans="10:33" ht="15" customHeight="1" x14ac:dyDescent="0.15">
      <c r="J126"/>
      <c r="K126"/>
      <c r="Y126"/>
      <c r="AC126"/>
      <c r="AG126"/>
    </row>
    <row r="127" spans="10:33" ht="15" customHeight="1" x14ac:dyDescent="0.15">
      <c r="J127"/>
      <c r="K127"/>
      <c r="Y127"/>
      <c r="AC127"/>
      <c r="AG127"/>
    </row>
    <row r="128" spans="10:33" ht="15" customHeight="1" x14ac:dyDescent="0.15">
      <c r="J128"/>
      <c r="K128"/>
      <c r="Y128"/>
      <c r="AC128"/>
      <c r="AG128"/>
    </row>
    <row r="129" spans="10:33" ht="15" customHeight="1" x14ac:dyDescent="0.15">
      <c r="J129"/>
      <c r="K129"/>
      <c r="Y129"/>
      <c r="AC129"/>
      <c r="AG129"/>
    </row>
    <row r="130" spans="10:33" ht="15" customHeight="1" x14ac:dyDescent="0.15">
      <c r="J130"/>
      <c r="K130"/>
      <c r="Y130"/>
      <c r="AC130"/>
      <c r="AG130"/>
    </row>
    <row r="131" spans="10:33" ht="15" customHeight="1" x14ac:dyDescent="0.15">
      <c r="J131"/>
      <c r="K131"/>
      <c r="Y131"/>
      <c r="AC131"/>
      <c r="AG131"/>
    </row>
    <row r="132" spans="10:33" ht="15" customHeight="1" x14ac:dyDescent="0.15">
      <c r="J132"/>
      <c r="K132"/>
      <c r="Y132"/>
      <c r="AC132"/>
      <c r="AG132"/>
    </row>
    <row r="133" spans="10:33" ht="15" customHeight="1" x14ac:dyDescent="0.15">
      <c r="J133"/>
      <c r="K133"/>
      <c r="Y133"/>
      <c r="AC133"/>
      <c r="AG133"/>
    </row>
    <row r="134" spans="10:33" ht="15" customHeight="1" x14ac:dyDescent="0.15">
      <c r="J134"/>
      <c r="K134"/>
      <c r="Y134"/>
      <c r="AC134"/>
      <c r="AG134"/>
    </row>
    <row r="135" spans="10:33" ht="15" customHeight="1" x14ac:dyDescent="0.15">
      <c r="J135"/>
      <c r="K135"/>
      <c r="Y135"/>
      <c r="AC135"/>
      <c r="AG135"/>
    </row>
    <row r="136" spans="10:33" ht="15" customHeight="1" x14ac:dyDescent="0.15">
      <c r="J136"/>
      <c r="K136"/>
      <c r="Y136"/>
      <c r="AC136"/>
      <c r="AG136"/>
    </row>
    <row r="137" spans="10:33" ht="15" customHeight="1" x14ac:dyDescent="0.15">
      <c r="J137"/>
      <c r="K137"/>
      <c r="Y137"/>
      <c r="AC137"/>
      <c r="AG137"/>
    </row>
    <row r="138" spans="10:33" ht="15" customHeight="1" x14ac:dyDescent="0.15">
      <c r="J138"/>
      <c r="K138"/>
      <c r="Y138"/>
      <c r="AC138"/>
      <c r="AG138"/>
    </row>
    <row r="139" spans="10:33" ht="15" customHeight="1" x14ac:dyDescent="0.15">
      <c r="J139"/>
      <c r="K139"/>
      <c r="Y139"/>
      <c r="AC139"/>
      <c r="AG139"/>
    </row>
    <row r="140" spans="10:33" ht="15" customHeight="1" x14ac:dyDescent="0.15">
      <c r="J140"/>
      <c r="K140"/>
      <c r="Y140"/>
      <c r="AC140"/>
      <c r="AG140"/>
    </row>
    <row r="141" spans="10:33" ht="15" customHeight="1" x14ac:dyDescent="0.15">
      <c r="J141"/>
      <c r="K141"/>
      <c r="Y141"/>
      <c r="AC141"/>
      <c r="AG141"/>
    </row>
    <row r="142" spans="10:33" ht="15" customHeight="1" x14ac:dyDescent="0.15">
      <c r="J142"/>
      <c r="K142"/>
      <c r="Y142"/>
      <c r="AC142"/>
      <c r="AG142"/>
    </row>
    <row r="143" spans="10:33" ht="15" customHeight="1" x14ac:dyDescent="0.15">
      <c r="J143"/>
      <c r="K143"/>
      <c r="Y143"/>
      <c r="AC143"/>
      <c r="AG143"/>
    </row>
    <row r="144" spans="10:33" ht="15" customHeight="1" x14ac:dyDescent="0.15">
      <c r="J144"/>
      <c r="K144"/>
      <c r="Y144"/>
      <c r="AC144"/>
      <c r="AG144"/>
    </row>
    <row r="145" spans="10:33" ht="15" customHeight="1" x14ac:dyDescent="0.15">
      <c r="J145"/>
      <c r="K145"/>
      <c r="Y145"/>
      <c r="AC145"/>
      <c r="AG145"/>
    </row>
    <row r="146" spans="10:33" ht="15" customHeight="1" x14ac:dyDescent="0.15">
      <c r="J146"/>
      <c r="K146"/>
      <c r="Y146"/>
      <c r="AC146"/>
      <c r="AG146"/>
    </row>
    <row r="147" spans="10:33" ht="15" customHeight="1" x14ac:dyDescent="0.15">
      <c r="J147"/>
      <c r="K147"/>
      <c r="Y147"/>
      <c r="AC147"/>
      <c r="AG147"/>
    </row>
    <row r="148" spans="10:33" ht="15" customHeight="1" x14ac:dyDescent="0.15">
      <c r="J148"/>
      <c r="K148"/>
      <c r="Y148"/>
      <c r="AC148"/>
      <c r="AG148"/>
    </row>
    <row r="149" spans="10:33" ht="15" customHeight="1" x14ac:dyDescent="0.15">
      <c r="J149"/>
      <c r="K149"/>
      <c r="Y149"/>
      <c r="AC149"/>
      <c r="AG149"/>
    </row>
    <row r="150" spans="10:33" ht="15" customHeight="1" x14ac:dyDescent="0.15">
      <c r="J150"/>
      <c r="K150"/>
      <c r="Y150"/>
      <c r="AC150"/>
      <c r="AG150"/>
    </row>
    <row r="151" spans="10:33" ht="15" customHeight="1" x14ac:dyDescent="0.15">
      <c r="J151"/>
      <c r="K151"/>
      <c r="Y151"/>
      <c r="AC151"/>
      <c r="AG151"/>
    </row>
    <row r="152" spans="10:33" ht="15" customHeight="1" x14ac:dyDescent="0.15">
      <c r="J152"/>
      <c r="K152"/>
      <c r="Y152"/>
      <c r="AC152"/>
      <c r="AG152"/>
    </row>
    <row r="153" spans="10:33" ht="15" customHeight="1" x14ac:dyDescent="0.15">
      <c r="J153"/>
      <c r="K153"/>
      <c r="Y153"/>
      <c r="AC153"/>
      <c r="AG153"/>
    </row>
    <row r="154" spans="10:33" ht="15" customHeight="1" x14ac:dyDescent="0.15">
      <c r="J154"/>
      <c r="K154"/>
      <c r="Y154"/>
      <c r="AC154"/>
      <c r="AG154"/>
    </row>
    <row r="155" spans="10:33" ht="15" customHeight="1" x14ac:dyDescent="0.15">
      <c r="J155"/>
      <c r="K155"/>
      <c r="Y155"/>
      <c r="AC155"/>
      <c r="AG155"/>
    </row>
    <row r="156" spans="10:33" ht="15" customHeight="1" x14ac:dyDescent="0.15">
      <c r="J156"/>
      <c r="K156"/>
      <c r="Y156"/>
      <c r="AC156"/>
      <c r="AG156"/>
    </row>
    <row r="157" spans="10:33" ht="15" customHeight="1" x14ac:dyDescent="0.15">
      <c r="J157"/>
      <c r="K157"/>
      <c r="Y157"/>
      <c r="AC157"/>
      <c r="AG157"/>
    </row>
    <row r="158" spans="10:33" ht="15" customHeight="1" x14ac:dyDescent="0.15">
      <c r="J158"/>
      <c r="K158"/>
      <c r="Y158"/>
      <c r="AC158"/>
      <c r="AG158"/>
    </row>
    <row r="159" spans="10:33" ht="15" customHeight="1" x14ac:dyDescent="0.15">
      <c r="J159"/>
      <c r="K159"/>
      <c r="Y159"/>
      <c r="AC159"/>
      <c r="AG159"/>
    </row>
    <row r="160" spans="10:33" ht="15" customHeight="1" x14ac:dyDescent="0.15">
      <c r="J160"/>
      <c r="K160"/>
      <c r="Y160"/>
      <c r="AC160"/>
      <c r="AG160"/>
    </row>
    <row r="161" spans="10:33" ht="15" customHeight="1" x14ac:dyDescent="0.15">
      <c r="J161"/>
      <c r="K161"/>
      <c r="Y161"/>
      <c r="AC161"/>
      <c r="AG161"/>
    </row>
    <row r="162" spans="10:33" ht="15" customHeight="1" x14ac:dyDescent="0.15">
      <c r="J162"/>
      <c r="K162"/>
      <c r="Y162"/>
      <c r="AC162"/>
      <c r="AG162"/>
    </row>
    <row r="163" spans="10:33" ht="15" customHeight="1" x14ac:dyDescent="0.15">
      <c r="J163"/>
      <c r="K163"/>
      <c r="Y163"/>
      <c r="AC163"/>
      <c r="AG163"/>
    </row>
    <row r="164" spans="10:33" ht="15" customHeight="1" x14ac:dyDescent="0.15">
      <c r="J164"/>
      <c r="K164"/>
      <c r="Y164"/>
      <c r="AC164"/>
      <c r="AG164"/>
    </row>
    <row r="165" spans="10:33" ht="15" customHeight="1" x14ac:dyDescent="0.15">
      <c r="J165"/>
      <c r="K165"/>
      <c r="Y165"/>
      <c r="AC165"/>
      <c r="AG165"/>
    </row>
    <row r="166" spans="10:33" ht="15" customHeight="1" x14ac:dyDescent="0.15">
      <c r="J166"/>
      <c r="K166"/>
      <c r="Y166"/>
      <c r="AC166"/>
      <c r="AG166"/>
    </row>
    <row r="167" spans="10:33" ht="15" customHeight="1" x14ac:dyDescent="0.15">
      <c r="J167"/>
      <c r="K167"/>
      <c r="Y167"/>
      <c r="AC167"/>
      <c r="AG167"/>
    </row>
    <row r="168" spans="10:33" ht="15" customHeight="1" x14ac:dyDescent="0.15">
      <c r="J168"/>
      <c r="K168"/>
      <c r="Y168"/>
      <c r="AC168"/>
      <c r="AG168"/>
    </row>
    <row r="169" spans="10:33" ht="15" customHeight="1" x14ac:dyDescent="0.15">
      <c r="J169"/>
      <c r="K169"/>
      <c r="Y169"/>
      <c r="AC169"/>
      <c r="AG169"/>
    </row>
    <row r="170" spans="10:33" ht="15" customHeight="1" x14ac:dyDescent="0.15">
      <c r="J170"/>
      <c r="K170"/>
      <c r="Y170"/>
      <c r="AC170"/>
      <c r="AG170"/>
    </row>
    <row r="171" spans="10:33" ht="15" customHeight="1" x14ac:dyDescent="0.15">
      <c r="J171"/>
      <c r="K171"/>
      <c r="Y171"/>
      <c r="AC171"/>
      <c r="AG171"/>
    </row>
    <row r="172" spans="10:33" ht="15" customHeight="1" x14ac:dyDescent="0.15">
      <c r="J172"/>
      <c r="K172"/>
      <c r="Y172"/>
      <c r="AC172"/>
      <c r="AG172"/>
    </row>
    <row r="173" spans="10:33" ht="15" customHeight="1" x14ac:dyDescent="0.15">
      <c r="J173"/>
      <c r="K173"/>
      <c r="Y173"/>
      <c r="AC173"/>
      <c r="AG173"/>
    </row>
    <row r="174" spans="10:33" ht="15" customHeight="1" x14ac:dyDescent="0.15">
      <c r="J174"/>
      <c r="K174"/>
      <c r="Y174"/>
      <c r="AC174"/>
      <c r="AG174"/>
    </row>
    <row r="175" spans="10:33" ht="15" customHeight="1" x14ac:dyDescent="0.15">
      <c r="J175"/>
      <c r="K175"/>
      <c r="Y175"/>
      <c r="AC175"/>
      <c r="AG175"/>
    </row>
    <row r="176" spans="10:33" ht="15" customHeight="1" x14ac:dyDescent="0.15">
      <c r="J176"/>
      <c r="K176"/>
      <c r="Y176"/>
      <c r="AC176"/>
      <c r="AG176"/>
    </row>
    <row r="177" spans="10:33" ht="15" customHeight="1" x14ac:dyDescent="0.15">
      <c r="J177"/>
      <c r="K177"/>
      <c r="Y177"/>
      <c r="AC177"/>
      <c r="AG177"/>
    </row>
    <row r="178" spans="10:33" ht="15" customHeight="1" x14ac:dyDescent="0.15">
      <c r="J178"/>
      <c r="K178"/>
      <c r="Y178"/>
      <c r="AC178"/>
      <c r="AG178"/>
    </row>
    <row r="179" spans="10:33" ht="15" customHeight="1" x14ac:dyDescent="0.15">
      <c r="J179"/>
      <c r="K179"/>
      <c r="Y179"/>
      <c r="AC179"/>
      <c r="AG179"/>
    </row>
    <row r="180" spans="10:33" ht="15" customHeight="1" x14ac:dyDescent="0.15">
      <c r="J180"/>
      <c r="K180"/>
      <c r="Y180"/>
      <c r="AC180"/>
      <c r="AG180"/>
    </row>
    <row r="181" spans="10:33" ht="15" customHeight="1" x14ac:dyDescent="0.15">
      <c r="J181"/>
      <c r="K181"/>
      <c r="Y181"/>
      <c r="AC181"/>
      <c r="AG181"/>
    </row>
    <row r="182" spans="10:33" ht="15" customHeight="1" x14ac:dyDescent="0.15">
      <c r="J182"/>
      <c r="K182"/>
      <c r="Y182"/>
      <c r="AC182"/>
      <c r="AG182"/>
    </row>
    <row r="183" spans="10:33" ht="15" customHeight="1" x14ac:dyDescent="0.15">
      <c r="J183"/>
      <c r="K183"/>
      <c r="Y183"/>
      <c r="AC183"/>
      <c r="AG183"/>
    </row>
    <row r="184" spans="10:33" ht="15" customHeight="1" x14ac:dyDescent="0.15">
      <c r="J184"/>
      <c r="K184"/>
      <c r="Y184"/>
      <c r="AC184"/>
      <c r="AG184"/>
    </row>
    <row r="185" spans="10:33" ht="15" customHeight="1" x14ac:dyDescent="0.15">
      <c r="J185"/>
      <c r="K185"/>
      <c r="Y185"/>
      <c r="AC185"/>
      <c r="AG18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AD32"/>
  <sheetViews>
    <sheetView workbookViewId="0">
      <selection activeCell="A3" sqref="A3"/>
    </sheetView>
  </sheetViews>
  <sheetFormatPr baseColWidth="10" defaultRowHeight="13" x14ac:dyDescent="0.15"/>
  <cols>
    <col min="1" max="1" width="21.6640625" style="104" bestFit="1" customWidth="1"/>
    <col min="2" max="19" width="3.83203125" style="104" customWidth="1"/>
    <col min="20" max="20" width="2.33203125" style="104" customWidth="1"/>
    <col min="21" max="21" width="3.83203125" style="104" customWidth="1"/>
    <col min="22" max="23" width="2.33203125" style="104" customWidth="1"/>
    <col min="24" max="16384" width="10.83203125" style="104"/>
  </cols>
  <sheetData>
    <row r="1" spans="1:30" x14ac:dyDescent="0.15">
      <c r="A1" s="61" t="s">
        <v>118</v>
      </c>
      <c r="B1" s="176" t="s">
        <v>192</v>
      </c>
      <c r="C1" s="176" t="s">
        <v>193</v>
      </c>
      <c r="D1" s="176" t="s">
        <v>194</v>
      </c>
      <c r="E1" s="176" t="s">
        <v>195</v>
      </c>
      <c r="F1" s="176" t="s">
        <v>196</v>
      </c>
      <c r="G1" s="176" t="s">
        <v>197</v>
      </c>
      <c r="H1" s="176" t="s">
        <v>198</v>
      </c>
      <c r="I1" s="176" t="s">
        <v>199</v>
      </c>
      <c r="J1" s="176" t="s">
        <v>200</v>
      </c>
      <c r="K1" s="176" t="s">
        <v>201</v>
      </c>
      <c r="L1" s="176" t="s">
        <v>202</v>
      </c>
      <c r="M1" s="176" t="s">
        <v>203</v>
      </c>
      <c r="N1" s="176" t="s">
        <v>204</v>
      </c>
      <c r="O1" s="176" t="s">
        <v>205</v>
      </c>
      <c r="P1" s="176" t="s">
        <v>206</v>
      </c>
      <c r="Q1" s="176" t="s">
        <v>207</v>
      </c>
      <c r="R1" s="176" t="s">
        <v>208</v>
      </c>
      <c r="S1" s="176" t="s">
        <v>209</v>
      </c>
      <c r="T1" s="176" t="s">
        <v>210</v>
      </c>
      <c r="U1" s="176" t="s">
        <v>211</v>
      </c>
      <c r="V1" s="176" t="s">
        <v>212</v>
      </c>
      <c r="W1" s="176" t="s">
        <v>213</v>
      </c>
      <c r="X1"/>
      <c r="Y1"/>
      <c r="Z1"/>
      <c r="AA1"/>
      <c r="AB1"/>
      <c r="AC1"/>
      <c r="AD1"/>
    </row>
    <row r="2" spans="1:30" customFormat="1" x14ac:dyDescent="0.15">
      <c r="A2" s="175" t="s">
        <v>192</v>
      </c>
      <c r="B2" s="104">
        <v>0</v>
      </c>
      <c r="C2" s="104">
        <v>0</v>
      </c>
      <c r="D2" s="104">
        <v>0</v>
      </c>
      <c r="E2" s="104">
        <v>0</v>
      </c>
      <c r="F2" s="104">
        <v>0</v>
      </c>
      <c r="G2" s="104">
        <v>0</v>
      </c>
      <c r="H2" s="104">
        <v>0</v>
      </c>
      <c r="I2" s="104">
        <v>0</v>
      </c>
      <c r="J2" s="104">
        <v>0</v>
      </c>
      <c r="K2" s="104">
        <v>0</v>
      </c>
      <c r="L2" s="104">
        <v>0</v>
      </c>
      <c r="M2" s="104">
        <v>0</v>
      </c>
      <c r="N2" s="104">
        <v>0</v>
      </c>
      <c r="O2" s="104">
        <v>0</v>
      </c>
      <c r="P2" s="104">
        <v>0</v>
      </c>
      <c r="Q2" s="104">
        <v>0</v>
      </c>
      <c r="R2" s="104">
        <v>0</v>
      </c>
      <c r="S2" s="104">
        <v>0</v>
      </c>
      <c r="T2" s="104">
        <v>0</v>
      </c>
      <c r="U2" s="104">
        <v>0</v>
      </c>
      <c r="V2" s="104">
        <v>0</v>
      </c>
      <c r="W2" s="104">
        <v>0</v>
      </c>
    </row>
    <row r="3" spans="1:30" customFormat="1" x14ac:dyDescent="0.15">
      <c r="A3" s="175" t="s">
        <v>193</v>
      </c>
      <c r="B3" s="104">
        <v>0</v>
      </c>
      <c r="C3" s="104">
        <v>0</v>
      </c>
      <c r="D3" s="104">
        <v>0</v>
      </c>
      <c r="E3" s="104">
        <v>0</v>
      </c>
      <c r="F3" s="104">
        <v>0</v>
      </c>
      <c r="G3" s="104">
        <v>0</v>
      </c>
      <c r="H3" s="104">
        <v>0</v>
      </c>
      <c r="I3" s="104">
        <v>0</v>
      </c>
      <c r="J3" s="104">
        <v>0</v>
      </c>
      <c r="K3" s="104">
        <v>0</v>
      </c>
      <c r="L3" s="104">
        <v>0</v>
      </c>
      <c r="M3" s="104">
        <v>0</v>
      </c>
      <c r="N3" s="104">
        <v>0</v>
      </c>
      <c r="O3" s="104">
        <v>0</v>
      </c>
      <c r="P3" s="104">
        <v>0</v>
      </c>
      <c r="Q3" s="104">
        <v>0</v>
      </c>
      <c r="R3" s="104">
        <v>0</v>
      </c>
      <c r="S3" s="104">
        <v>0</v>
      </c>
      <c r="T3" s="104">
        <v>0</v>
      </c>
      <c r="U3" s="104">
        <v>0</v>
      </c>
      <c r="V3" s="104">
        <v>0</v>
      </c>
      <c r="W3" s="104">
        <v>0</v>
      </c>
    </row>
    <row r="4" spans="1:30" customFormat="1" x14ac:dyDescent="0.15">
      <c r="A4" s="175" t="s">
        <v>194</v>
      </c>
      <c r="B4" s="104">
        <v>0.8</v>
      </c>
      <c r="C4" s="104">
        <v>0</v>
      </c>
      <c r="D4" s="104">
        <v>0</v>
      </c>
      <c r="E4" s="104">
        <v>0</v>
      </c>
      <c r="F4" s="104">
        <v>0.8</v>
      </c>
      <c r="G4" s="104">
        <v>0</v>
      </c>
      <c r="H4" s="104">
        <v>0</v>
      </c>
      <c r="I4" s="104">
        <v>0</v>
      </c>
      <c r="J4" s="104">
        <v>0</v>
      </c>
      <c r="K4" s="104">
        <v>0</v>
      </c>
      <c r="L4" s="104">
        <v>0</v>
      </c>
      <c r="M4" s="104">
        <v>0</v>
      </c>
      <c r="N4" s="104">
        <v>0</v>
      </c>
      <c r="O4" s="104">
        <v>0</v>
      </c>
      <c r="P4" s="104">
        <v>0</v>
      </c>
      <c r="Q4" s="104">
        <v>0</v>
      </c>
      <c r="R4" s="104">
        <v>0</v>
      </c>
      <c r="S4" s="104">
        <v>0</v>
      </c>
      <c r="T4" s="104">
        <v>0</v>
      </c>
      <c r="U4" s="104">
        <v>0</v>
      </c>
      <c r="V4" s="104">
        <v>0</v>
      </c>
      <c r="W4" s="104">
        <v>0</v>
      </c>
    </row>
    <row r="5" spans="1:30" customFormat="1" x14ac:dyDescent="0.15">
      <c r="A5" s="175" t="s">
        <v>195</v>
      </c>
      <c r="B5" s="104">
        <v>0.8</v>
      </c>
      <c r="C5" s="104">
        <v>0</v>
      </c>
      <c r="D5" s="104">
        <v>0</v>
      </c>
      <c r="E5" s="104">
        <v>0</v>
      </c>
      <c r="F5" s="104">
        <v>0</v>
      </c>
      <c r="G5" s="104">
        <v>0</v>
      </c>
      <c r="H5" s="104">
        <v>0</v>
      </c>
      <c r="I5" s="104">
        <v>0</v>
      </c>
      <c r="J5" s="104">
        <v>0</v>
      </c>
      <c r="K5" s="104">
        <v>0</v>
      </c>
      <c r="L5" s="104">
        <v>0</v>
      </c>
      <c r="M5" s="104">
        <v>0</v>
      </c>
      <c r="N5" s="104">
        <v>0</v>
      </c>
      <c r="O5" s="104">
        <v>0</v>
      </c>
      <c r="P5" s="104">
        <v>0</v>
      </c>
      <c r="Q5" s="104">
        <v>0</v>
      </c>
      <c r="R5" s="104">
        <v>0</v>
      </c>
      <c r="S5" s="104">
        <v>0</v>
      </c>
      <c r="T5" s="104">
        <v>0</v>
      </c>
      <c r="U5" s="104">
        <v>0</v>
      </c>
      <c r="V5" s="104">
        <v>0</v>
      </c>
      <c r="W5" s="104">
        <v>0</v>
      </c>
    </row>
    <row r="6" spans="1:30" customFormat="1" x14ac:dyDescent="0.15">
      <c r="A6" s="175" t="s">
        <v>196</v>
      </c>
      <c r="B6" s="104">
        <v>0.8</v>
      </c>
      <c r="C6" s="104">
        <v>0</v>
      </c>
      <c r="D6" s="104">
        <v>0</v>
      </c>
      <c r="E6" s="104">
        <v>0.8</v>
      </c>
      <c r="F6" s="104">
        <v>0</v>
      </c>
      <c r="G6" s="104">
        <v>0.8</v>
      </c>
      <c r="H6" s="104">
        <v>0</v>
      </c>
      <c r="I6" s="104">
        <v>0</v>
      </c>
      <c r="J6" s="104">
        <v>0</v>
      </c>
      <c r="K6" s="104">
        <v>0</v>
      </c>
      <c r="L6" s="104">
        <v>0</v>
      </c>
      <c r="M6" s="104">
        <v>0</v>
      </c>
      <c r="N6" s="104">
        <v>0</v>
      </c>
      <c r="O6" s="104">
        <v>0</v>
      </c>
      <c r="P6" s="104">
        <v>0</v>
      </c>
      <c r="Q6" s="104">
        <v>0</v>
      </c>
      <c r="R6" s="104">
        <v>0</v>
      </c>
      <c r="S6" s="104">
        <v>0</v>
      </c>
      <c r="T6" s="104">
        <v>0</v>
      </c>
      <c r="U6" s="104">
        <v>0</v>
      </c>
      <c r="V6" s="104">
        <v>0</v>
      </c>
      <c r="W6" s="104">
        <v>0</v>
      </c>
    </row>
    <row r="7" spans="1:30" customFormat="1" x14ac:dyDescent="0.15">
      <c r="A7" s="175" t="s">
        <v>197</v>
      </c>
      <c r="B7" s="104">
        <v>0.8</v>
      </c>
      <c r="C7" s="104">
        <v>0</v>
      </c>
      <c r="D7" s="104">
        <v>0</v>
      </c>
      <c r="E7" s="104">
        <v>0.8</v>
      </c>
      <c r="F7" s="104">
        <v>0</v>
      </c>
      <c r="G7" s="104">
        <v>0.8</v>
      </c>
      <c r="H7" s="104">
        <v>0</v>
      </c>
      <c r="I7" s="104">
        <v>0</v>
      </c>
      <c r="J7" s="104">
        <v>0</v>
      </c>
      <c r="K7" s="104">
        <v>0</v>
      </c>
      <c r="L7" s="104">
        <v>0</v>
      </c>
      <c r="M7" s="104">
        <v>0</v>
      </c>
      <c r="N7" s="104">
        <v>0</v>
      </c>
      <c r="O7" s="104">
        <v>0</v>
      </c>
      <c r="P7" s="104">
        <v>0</v>
      </c>
      <c r="Q7" s="104">
        <v>0</v>
      </c>
      <c r="R7" s="104">
        <v>0</v>
      </c>
      <c r="S7" s="104">
        <v>0</v>
      </c>
      <c r="T7" s="104">
        <v>0</v>
      </c>
      <c r="U7" s="104">
        <v>0</v>
      </c>
      <c r="V7" s="104">
        <v>0</v>
      </c>
      <c r="W7" s="104">
        <v>0</v>
      </c>
    </row>
    <row r="8" spans="1:30" customFormat="1" x14ac:dyDescent="0.15">
      <c r="A8" s="175" t="s">
        <v>198</v>
      </c>
      <c r="B8" s="104">
        <v>0</v>
      </c>
      <c r="C8" s="104">
        <v>0</v>
      </c>
      <c r="D8" s="104">
        <v>0</v>
      </c>
      <c r="E8" s="104">
        <v>0.8</v>
      </c>
      <c r="F8" s="104">
        <v>0.8</v>
      </c>
      <c r="G8" s="104">
        <v>0.8</v>
      </c>
      <c r="H8" s="104">
        <v>0</v>
      </c>
      <c r="I8" s="104">
        <v>0</v>
      </c>
      <c r="J8" s="104">
        <v>0</v>
      </c>
      <c r="K8" s="104">
        <v>0</v>
      </c>
      <c r="L8" s="104">
        <v>0</v>
      </c>
      <c r="M8" s="104">
        <v>0</v>
      </c>
      <c r="N8" s="104">
        <v>0</v>
      </c>
      <c r="O8" s="104">
        <v>0</v>
      </c>
      <c r="P8" s="104">
        <v>0</v>
      </c>
      <c r="Q8" s="104">
        <v>0</v>
      </c>
      <c r="R8" s="104">
        <v>0</v>
      </c>
      <c r="S8" s="104">
        <v>0</v>
      </c>
      <c r="T8" s="104">
        <v>0</v>
      </c>
      <c r="U8" s="104">
        <v>0</v>
      </c>
      <c r="V8" s="104">
        <v>0</v>
      </c>
      <c r="W8" s="104">
        <v>0</v>
      </c>
    </row>
    <row r="9" spans="1:30" customFormat="1" x14ac:dyDescent="0.15">
      <c r="A9" s="175" t="s">
        <v>199</v>
      </c>
      <c r="B9" s="104">
        <v>0</v>
      </c>
      <c r="C9" s="104">
        <v>0</v>
      </c>
      <c r="D9" s="104">
        <v>0</v>
      </c>
      <c r="E9" s="104">
        <v>0.8</v>
      </c>
      <c r="F9" s="104">
        <v>0</v>
      </c>
      <c r="G9" s="104">
        <v>0.8</v>
      </c>
      <c r="H9" s="104">
        <v>0</v>
      </c>
      <c r="I9" s="104">
        <v>0</v>
      </c>
      <c r="J9" s="104">
        <v>0</v>
      </c>
      <c r="K9" s="104">
        <v>0</v>
      </c>
      <c r="L9" s="104">
        <v>0</v>
      </c>
      <c r="M9" s="104">
        <v>0</v>
      </c>
      <c r="N9" s="104">
        <v>0</v>
      </c>
      <c r="O9" s="104">
        <v>0</v>
      </c>
      <c r="P9" s="104">
        <v>0</v>
      </c>
      <c r="Q9" s="104">
        <v>0</v>
      </c>
      <c r="R9" s="104">
        <v>0</v>
      </c>
      <c r="S9" s="104">
        <v>0</v>
      </c>
      <c r="T9" s="104">
        <v>0</v>
      </c>
      <c r="U9" s="104">
        <v>0</v>
      </c>
      <c r="V9" s="104">
        <v>0</v>
      </c>
      <c r="W9" s="104">
        <v>0</v>
      </c>
    </row>
    <row r="10" spans="1:30" customFormat="1" x14ac:dyDescent="0.15">
      <c r="A10" s="175" t="s">
        <v>200</v>
      </c>
      <c r="B10" s="104">
        <v>0</v>
      </c>
      <c r="C10" s="104">
        <v>0</v>
      </c>
      <c r="D10" s="104">
        <v>0</v>
      </c>
      <c r="E10" s="104">
        <v>0.8</v>
      </c>
      <c r="F10" s="104">
        <v>0.8</v>
      </c>
      <c r="G10" s="104">
        <v>0.8</v>
      </c>
      <c r="H10" s="104">
        <v>0</v>
      </c>
      <c r="I10" s="104">
        <v>0.8</v>
      </c>
      <c r="J10" s="104">
        <v>0</v>
      </c>
      <c r="K10" s="104">
        <v>0.8</v>
      </c>
      <c r="L10" s="104">
        <v>0.8</v>
      </c>
      <c r="M10" s="104">
        <v>0.8</v>
      </c>
      <c r="N10" s="104">
        <v>0</v>
      </c>
      <c r="O10" s="104">
        <v>0</v>
      </c>
      <c r="P10" s="104">
        <v>0</v>
      </c>
      <c r="Q10" s="104">
        <v>0</v>
      </c>
      <c r="R10" s="104">
        <v>0</v>
      </c>
      <c r="S10" s="104">
        <v>0</v>
      </c>
      <c r="T10" s="104">
        <v>0</v>
      </c>
      <c r="U10" s="104">
        <v>0</v>
      </c>
      <c r="V10" s="104">
        <v>0</v>
      </c>
      <c r="W10" s="104">
        <v>0</v>
      </c>
    </row>
    <row r="11" spans="1:30" customFormat="1" x14ac:dyDescent="0.15">
      <c r="A11" s="175" t="s">
        <v>201</v>
      </c>
      <c r="B11" s="104">
        <v>0</v>
      </c>
      <c r="C11" s="104">
        <v>0</v>
      </c>
      <c r="D11" s="104">
        <v>0</v>
      </c>
      <c r="E11" s="104">
        <v>0.8</v>
      </c>
      <c r="F11" s="104">
        <v>0.8</v>
      </c>
      <c r="G11" s="104">
        <v>0.8</v>
      </c>
      <c r="H11" s="104">
        <v>0</v>
      </c>
      <c r="I11" s="104">
        <v>0.8</v>
      </c>
      <c r="J11" s="104">
        <v>0</v>
      </c>
      <c r="K11" s="104">
        <v>0</v>
      </c>
      <c r="L11" s="104">
        <v>0.8</v>
      </c>
      <c r="M11" s="104">
        <v>0</v>
      </c>
      <c r="N11" s="104">
        <v>0</v>
      </c>
      <c r="O11" s="104">
        <v>0</v>
      </c>
      <c r="P11" s="104">
        <v>0</v>
      </c>
      <c r="Q11" s="104">
        <v>0</v>
      </c>
      <c r="R11" s="104">
        <v>0</v>
      </c>
      <c r="S11" s="104">
        <v>0</v>
      </c>
      <c r="T11" s="104">
        <v>0</v>
      </c>
      <c r="U11" s="104">
        <v>0</v>
      </c>
      <c r="V11" s="104">
        <v>0</v>
      </c>
      <c r="W11" s="104">
        <v>0</v>
      </c>
    </row>
    <row r="12" spans="1:30" customFormat="1" x14ac:dyDescent="0.15">
      <c r="A12" s="175" t="s">
        <v>202</v>
      </c>
      <c r="B12" s="104">
        <v>0</v>
      </c>
      <c r="C12" s="104">
        <v>0</v>
      </c>
      <c r="D12" s="104">
        <v>0</v>
      </c>
      <c r="E12" s="104">
        <v>0</v>
      </c>
      <c r="F12" s="104">
        <v>0</v>
      </c>
      <c r="G12" s="104">
        <v>0</v>
      </c>
      <c r="H12" s="104">
        <v>0</v>
      </c>
      <c r="I12" s="104">
        <v>0.8</v>
      </c>
      <c r="J12" s="104">
        <v>0</v>
      </c>
      <c r="K12" s="104">
        <v>0.8</v>
      </c>
      <c r="L12" s="104">
        <v>0</v>
      </c>
      <c r="M12" s="104">
        <v>0</v>
      </c>
      <c r="N12" s="104">
        <v>0</v>
      </c>
      <c r="O12" s="104">
        <v>0</v>
      </c>
      <c r="P12" s="104">
        <v>0</v>
      </c>
      <c r="Q12" s="104">
        <v>0</v>
      </c>
      <c r="R12" s="104">
        <v>0</v>
      </c>
      <c r="S12" s="104">
        <v>0</v>
      </c>
      <c r="T12" s="104">
        <v>0</v>
      </c>
      <c r="U12" s="104">
        <v>0</v>
      </c>
      <c r="V12" s="104">
        <v>0</v>
      </c>
      <c r="W12" s="104">
        <v>0</v>
      </c>
    </row>
    <row r="13" spans="1:30" customFormat="1" x14ac:dyDescent="0.15">
      <c r="A13" s="175" t="s">
        <v>203</v>
      </c>
      <c r="B13" s="104">
        <v>0.8</v>
      </c>
      <c r="C13" s="104">
        <v>0</v>
      </c>
      <c r="D13" s="104">
        <v>0.8</v>
      </c>
      <c r="E13" s="104">
        <v>0.8</v>
      </c>
      <c r="F13" s="104">
        <v>0.8</v>
      </c>
      <c r="G13" s="104">
        <v>0.8</v>
      </c>
      <c r="H13" s="104">
        <v>0.8</v>
      </c>
      <c r="I13" s="104">
        <v>0.8</v>
      </c>
      <c r="J13" s="104">
        <v>0.8</v>
      </c>
      <c r="K13" s="104">
        <v>0.8</v>
      </c>
      <c r="L13" s="104">
        <v>0.8</v>
      </c>
      <c r="M13" s="104">
        <v>0.8</v>
      </c>
      <c r="N13" s="104">
        <v>0</v>
      </c>
      <c r="O13" s="104">
        <v>0</v>
      </c>
      <c r="P13" s="104">
        <v>0</v>
      </c>
      <c r="Q13" s="104">
        <v>0</v>
      </c>
      <c r="R13" s="104">
        <v>0</v>
      </c>
      <c r="S13" s="104">
        <v>0</v>
      </c>
      <c r="T13" s="104">
        <v>0</v>
      </c>
      <c r="U13" s="104">
        <v>0</v>
      </c>
      <c r="V13" s="104">
        <v>0</v>
      </c>
      <c r="W13" s="104">
        <v>0</v>
      </c>
    </row>
    <row r="14" spans="1:30" customFormat="1" x14ac:dyDescent="0.15">
      <c r="A14" s="175" t="s">
        <v>204</v>
      </c>
      <c r="B14" s="104">
        <v>0.8</v>
      </c>
      <c r="C14" s="104">
        <v>0.8</v>
      </c>
      <c r="D14" s="104">
        <v>0.8</v>
      </c>
      <c r="E14" s="104">
        <v>0.8</v>
      </c>
      <c r="F14" s="104">
        <v>0.8</v>
      </c>
      <c r="G14" s="104">
        <v>0.8</v>
      </c>
      <c r="H14" s="104">
        <v>0</v>
      </c>
      <c r="I14" s="104">
        <v>0</v>
      </c>
      <c r="J14" s="104">
        <v>0.8</v>
      </c>
      <c r="K14" s="104">
        <v>0.8</v>
      </c>
      <c r="L14" s="104">
        <v>0.8</v>
      </c>
      <c r="M14" s="104">
        <v>0</v>
      </c>
      <c r="N14" s="104">
        <v>0</v>
      </c>
      <c r="O14" s="104">
        <v>0.8</v>
      </c>
      <c r="P14" s="104">
        <v>0</v>
      </c>
      <c r="Q14" s="104">
        <v>0</v>
      </c>
      <c r="R14" s="104">
        <v>0</v>
      </c>
      <c r="S14" s="104">
        <v>0</v>
      </c>
      <c r="T14" s="104">
        <v>0</v>
      </c>
      <c r="U14" s="104">
        <v>0</v>
      </c>
      <c r="V14" s="104">
        <v>0</v>
      </c>
      <c r="W14" s="104">
        <v>0</v>
      </c>
    </row>
    <row r="15" spans="1:30" customFormat="1" x14ac:dyDescent="0.15">
      <c r="A15" s="175" t="s">
        <v>205</v>
      </c>
      <c r="B15" s="104">
        <v>0</v>
      </c>
      <c r="C15" s="104">
        <v>0.8</v>
      </c>
      <c r="D15" s="104">
        <v>0.8</v>
      </c>
      <c r="E15" s="104">
        <v>0.8</v>
      </c>
      <c r="F15" s="104">
        <v>0.8</v>
      </c>
      <c r="G15" s="104">
        <v>0.8</v>
      </c>
      <c r="H15" s="104">
        <v>0.8</v>
      </c>
      <c r="I15" s="104">
        <v>0.8</v>
      </c>
      <c r="J15" s="104">
        <v>0.8</v>
      </c>
      <c r="K15" s="104">
        <v>0.8</v>
      </c>
      <c r="L15" s="104">
        <v>0.8</v>
      </c>
      <c r="M15" s="104">
        <v>0.8</v>
      </c>
      <c r="N15" s="104">
        <v>0</v>
      </c>
      <c r="O15" s="104">
        <v>0.8</v>
      </c>
      <c r="P15" s="104">
        <v>0</v>
      </c>
      <c r="Q15" s="104">
        <v>0</v>
      </c>
      <c r="R15" s="104">
        <v>0</v>
      </c>
      <c r="S15" s="104">
        <v>0</v>
      </c>
      <c r="T15" s="104">
        <v>0</v>
      </c>
      <c r="U15" s="104">
        <v>0</v>
      </c>
      <c r="V15" s="104">
        <v>0</v>
      </c>
      <c r="W15" s="104">
        <v>0</v>
      </c>
    </row>
    <row r="16" spans="1:30" customFormat="1" x14ac:dyDescent="0.15">
      <c r="A16" s="175" t="s">
        <v>206</v>
      </c>
      <c r="B16" s="104">
        <v>0</v>
      </c>
      <c r="C16" s="104">
        <v>0</v>
      </c>
      <c r="D16" s="104">
        <v>0.8</v>
      </c>
      <c r="E16" s="104">
        <v>0.8</v>
      </c>
      <c r="F16" s="104">
        <v>0.8</v>
      </c>
      <c r="G16" s="104">
        <v>0.8</v>
      </c>
      <c r="H16" s="104">
        <v>0</v>
      </c>
      <c r="I16" s="104">
        <v>0.8</v>
      </c>
      <c r="J16" s="104">
        <v>0.8</v>
      </c>
      <c r="K16" s="104">
        <v>0.8</v>
      </c>
      <c r="L16" s="104">
        <v>0.8</v>
      </c>
      <c r="M16" s="104">
        <v>0.8</v>
      </c>
      <c r="N16" s="104">
        <v>0</v>
      </c>
      <c r="O16" s="104">
        <v>0.8</v>
      </c>
      <c r="P16" s="104">
        <v>0</v>
      </c>
      <c r="Q16" s="104">
        <v>0</v>
      </c>
      <c r="R16" s="104">
        <v>0</v>
      </c>
      <c r="S16" s="104">
        <v>0</v>
      </c>
      <c r="T16" s="104">
        <v>0</v>
      </c>
      <c r="U16" s="104">
        <v>0</v>
      </c>
      <c r="V16" s="104">
        <v>0</v>
      </c>
      <c r="W16" s="104">
        <v>0</v>
      </c>
    </row>
    <row r="17" spans="1:23" customFormat="1" x14ac:dyDescent="0.15">
      <c r="A17" s="175" t="s">
        <v>207</v>
      </c>
      <c r="B17" s="104">
        <v>0</v>
      </c>
      <c r="C17" s="104">
        <v>0.8</v>
      </c>
      <c r="D17" s="104">
        <v>0.8</v>
      </c>
      <c r="E17" s="104">
        <v>0.8</v>
      </c>
      <c r="F17" s="104">
        <v>0.8</v>
      </c>
      <c r="G17" s="104">
        <v>0.8</v>
      </c>
      <c r="H17" s="104">
        <v>0.8</v>
      </c>
      <c r="I17" s="104">
        <v>0.8</v>
      </c>
      <c r="J17" s="104">
        <v>0.8</v>
      </c>
      <c r="K17" s="104">
        <v>0.8</v>
      </c>
      <c r="L17" s="104">
        <v>0.8</v>
      </c>
      <c r="M17" s="104">
        <v>0.8</v>
      </c>
      <c r="N17" s="104">
        <v>0</v>
      </c>
      <c r="O17" s="104">
        <v>0.8</v>
      </c>
      <c r="P17" s="104">
        <v>0.8</v>
      </c>
      <c r="Q17" s="104">
        <v>0.8</v>
      </c>
      <c r="R17" s="104">
        <v>0</v>
      </c>
      <c r="S17" s="104">
        <v>0</v>
      </c>
      <c r="T17" s="104">
        <v>0</v>
      </c>
      <c r="U17" s="104">
        <v>0</v>
      </c>
      <c r="V17" s="104">
        <v>0</v>
      </c>
      <c r="W17" s="104">
        <v>0</v>
      </c>
    </row>
    <row r="18" spans="1:23" customFormat="1" x14ac:dyDescent="0.15">
      <c r="A18" s="175" t="s">
        <v>208</v>
      </c>
      <c r="B18" s="104">
        <v>0</v>
      </c>
      <c r="C18" s="104">
        <v>0.8</v>
      </c>
      <c r="D18" s="104">
        <v>0.8</v>
      </c>
      <c r="E18" s="104">
        <v>0.8</v>
      </c>
      <c r="F18" s="104">
        <v>0.8</v>
      </c>
      <c r="G18" s="104">
        <v>0.8</v>
      </c>
      <c r="H18" s="104">
        <v>0.8</v>
      </c>
      <c r="I18" s="104">
        <v>0.8</v>
      </c>
      <c r="J18" s="104">
        <v>0.8</v>
      </c>
      <c r="K18" s="104">
        <v>0.8</v>
      </c>
      <c r="L18" s="104">
        <v>0</v>
      </c>
      <c r="M18" s="104">
        <v>0.8</v>
      </c>
      <c r="N18" s="104">
        <v>0</v>
      </c>
      <c r="O18" s="104">
        <v>0.8</v>
      </c>
      <c r="P18" s="104">
        <v>0.8</v>
      </c>
      <c r="Q18" s="104">
        <v>0.8</v>
      </c>
      <c r="R18" s="104">
        <v>0.8</v>
      </c>
      <c r="S18" s="104">
        <v>0</v>
      </c>
      <c r="T18" s="104">
        <v>0</v>
      </c>
      <c r="U18" s="104">
        <v>0</v>
      </c>
      <c r="V18" s="104">
        <v>0</v>
      </c>
      <c r="W18" s="104">
        <v>0</v>
      </c>
    </row>
    <row r="19" spans="1:23" customFormat="1" x14ac:dyDescent="0.15">
      <c r="A19" s="175" t="s">
        <v>209</v>
      </c>
      <c r="B19" s="104">
        <v>0</v>
      </c>
      <c r="C19" s="104">
        <v>0</v>
      </c>
      <c r="D19" s="104">
        <v>0.8</v>
      </c>
      <c r="E19" s="104">
        <v>0</v>
      </c>
      <c r="F19" s="104">
        <v>0</v>
      </c>
      <c r="G19" s="104">
        <v>0</v>
      </c>
      <c r="H19" s="104">
        <v>0</v>
      </c>
      <c r="I19" s="104">
        <v>0</v>
      </c>
      <c r="J19" s="104">
        <v>0</v>
      </c>
      <c r="K19" s="104">
        <v>0</v>
      </c>
      <c r="L19" s="104">
        <v>0</v>
      </c>
      <c r="M19" s="104">
        <v>0.8</v>
      </c>
      <c r="N19" s="104">
        <v>0.8</v>
      </c>
      <c r="O19" s="104">
        <v>0</v>
      </c>
      <c r="P19" s="104">
        <v>0.8</v>
      </c>
      <c r="Q19" s="104">
        <v>0.8</v>
      </c>
      <c r="R19" s="104">
        <v>0.8</v>
      </c>
      <c r="S19" s="104">
        <v>0.8</v>
      </c>
      <c r="T19" s="104">
        <v>0</v>
      </c>
      <c r="U19" s="104">
        <v>0</v>
      </c>
      <c r="V19" s="104">
        <v>0</v>
      </c>
      <c r="W19" s="104">
        <v>0</v>
      </c>
    </row>
    <row r="20" spans="1:23" customFormat="1" x14ac:dyDescent="0.15">
      <c r="A20" s="175" t="s">
        <v>210</v>
      </c>
      <c r="B20" s="104">
        <v>0</v>
      </c>
      <c r="C20" s="104">
        <v>0</v>
      </c>
      <c r="D20" s="104">
        <v>0</v>
      </c>
      <c r="E20" s="104">
        <v>0</v>
      </c>
      <c r="F20" s="104">
        <v>0</v>
      </c>
      <c r="G20" s="104">
        <v>0</v>
      </c>
      <c r="H20" s="104">
        <v>0</v>
      </c>
      <c r="I20" s="104">
        <v>0</v>
      </c>
      <c r="J20" s="104">
        <v>0</v>
      </c>
      <c r="K20" s="104">
        <v>0</v>
      </c>
      <c r="L20" s="104">
        <v>0</v>
      </c>
      <c r="M20" s="104">
        <v>0</v>
      </c>
      <c r="N20" s="104">
        <v>0.8</v>
      </c>
      <c r="O20" s="104">
        <v>0</v>
      </c>
      <c r="P20" s="104">
        <v>0.8</v>
      </c>
      <c r="Q20" s="104">
        <v>0.8</v>
      </c>
      <c r="R20" s="104">
        <v>0.8</v>
      </c>
      <c r="S20" s="104">
        <v>0.8</v>
      </c>
      <c r="T20" s="104">
        <v>0</v>
      </c>
      <c r="U20" s="104">
        <v>0</v>
      </c>
      <c r="V20" s="104">
        <v>0</v>
      </c>
      <c r="W20" s="104">
        <v>0</v>
      </c>
    </row>
    <row r="21" spans="1:23" customFormat="1" x14ac:dyDescent="0.15">
      <c r="A21" s="175" t="s">
        <v>211</v>
      </c>
      <c r="B21" s="104">
        <v>0</v>
      </c>
      <c r="C21" s="104">
        <v>0</v>
      </c>
      <c r="D21" s="104">
        <v>0</v>
      </c>
      <c r="E21" s="104">
        <v>0</v>
      </c>
      <c r="F21" s="104">
        <v>0</v>
      </c>
      <c r="G21" s="104">
        <v>0</v>
      </c>
      <c r="H21" s="104">
        <v>0</v>
      </c>
      <c r="I21" s="104">
        <v>0</v>
      </c>
      <c r="J21" s="104">
        <v>0</v>
      </c>
      <c r="K21" s="104">
        <v>0</v>
      </c>
      <c r="L21" s="104">
        <v>0</v>
      </c>
      <c r="M21" s="104">
        <v>0</v>
      </c>
      <c r="N21" s="104">
        <v>0</v>
      </c>
      <c r="O21" s="104">
        <v>0.8</v>
      </c>
      <c r="P21" s="104">
        <v>0.8</v>
      </c>
      <c r="Q21" s="104">
        <v>0.8</v>
      </c>
      <c r="R21" s="104">
        <v>0.8</v>
      </c>
      <c r="S21" s="104">
        <v>0.8</v>
      </c>
      <c r="T21" s="104">
        <v>0</v>
      </c>
      <c r="U21" s="104">
        <v>0</v>
      </c>
      <c r="V21" s="104">
        <v>0</v>
      </c>
      <c r="W21" s="104">
        <v>0</v>
      </c>
    </row>
    <row r="22" spans="1:23" customFormat="1" x14ac:dyDescent="0.15">
      <c r="A22" s="175" t="s">
        <v>212</v>
      </c>
      <c r="B22" s="104">
        <v>0</v>
      </c>
      <c r="C22" s="104">
        <v>0</v>
      </c>
      <c r="D22" s="104">
        <v>0</v>
      </c>
      <c r="E22" s="104">
        <v>0</v>
      </c>
      <c r="F22" s="104">
        <v>0</v>
      </c>
      <c r="G22" s="104">
        <v>0</v>
      </c>
      <c r="H22" s="104">
        <v>0</v>
      </c>
      <c r="I22" s="104">
        <v>0</v>
      </c>
      <c r="J22" s="104">
        <v>0</v>
      </c>
      <c r="K22" s="104">
        <v>0</v>
      </c>
      <c r="L22" s="104">
        <v>0</v>
      </c>
      <c r="M22" s="104">
        <v>0</v>
      </c>
      <c r="N22" s="104">
        <v>0</v>
      </c>
      <c r="O22" s="104">
        <v>0</v>
      </c>
      <c r="P22" s="104">
        <v>0</v>
      </c>
      <c r="Q22" s="104">
        <v>0</v>
      </c>
      <c r="R22" s="104">
        <v>0</v>
      </c>
      <c r="S22" s="104">
        <v>0</v>
      </c>
      <c r="T22" s="104">
        <v>0</v>
      </c>
      <c r="U22" s="104">
        <v>0.8</v>
      </c>
      <c r="V22" s="104">
        <v>0</v>
      </c>
      <c r="W22" s="104">
        <v>0</v>
      </c>
    </row>
    <row r="23" spans="1:23" customFormat="1" x14ac:dyDescent="0.15">
      <c r="A23" s="175" t="s">
        <v>213</v>
      </c>
      <c r="B23" s="104">
        <v>0</v>
      </c>
      <c r="C23" s="104">
        <v>0</v>
      </c>
      <c r="D23" s="104">
        <v>0</v>
      </c>
      <c r="E23" s="104">
        <v>0</v>
      </c>
      <c r="F23" s="104">
        <v>0</v>
      </c>
      <c r="G23" s="104">
        <v>0</v>
      </c>
      <c r="H23" s="104">
        <v>0</v>
      </c>
      <c r="I23" s="104">
        <v>0</v>
      </c>
      <c r="J23" s="104">
        <v>0</v>
      </c>
      <c r="K23" s="104">
        <v>0</v>
      </c>
      <c r="L23" s="104">
        <v>0</v>
      </c>
      <c r="M23" s="104">
        <v>0</v>
      </c>
      <c r="N23" s="104">
        <v>0</v>
      </c>
      <c r="O23" s="104">
        <v>0</v>
      </c>
      <c r="P23" s="104">
        <v>0</v>
      </c>
      <c r="Q23" s="104">
        <v>0</v>
      </c>
      <c r="R23" s="104">
        <v>0</v>
      </c>
      <c r="S23" s="104">
        <v>0</v>
      </c>
      <c r="T23" s="104">
        <v>0</v>
      </c>
      <c r="U23" s="104">
        <v>0</v>
      </c>
      <c r="V23" s="104">
        <v>0</v>
      </c>
      <c r="W23" s="104">
        <v>0</v>
      </c>
    </row>
    <row r="24" spans="1:23" customFormat="1" x14ac:dyDescent="0.15">
      <c r="A24" s="175" t="s">
        <v>215</v>
      </c>
      <c r="B24" s="104">
        <v>0.8</v>
      </c>
      <c r="C24" s="104">
        <v>0</v>
      </c>
      <c r="D24" s="104">
        <v>0</v>
      </c>
      <c r="E24" s="104">
        <v>0</v>
      </c>
      <c r="F24" s="104">
        <v>0</v>
      </c>
      <c r="G24" s="104">
        <v>0</v>
      </c>
      <c r="H24" s="104">
        <v>0</v>
      </c>
      <c r="I24" s="104">
        <v>0</v>
      </c>
      <c r="J24" s="104">
        <v>0</v>
      </c>
      <c r="K24" s="104">
        <v>0</v>
      </c>
      <c r="L24" s="104">
        <v>0</v>
      </c>
      <c r="M24" s="104">
        <v>0</v>
      </c>
      <c r="N24" s="104">
        <v>0</v>
      </c>
      <c r="O24" s="104">
        <v>0</v>
      </c>
      <c r="P24" s="104">
        <v>0</v>
      </c>
      <c r="Q24" s="104">
        <v>0</v>
      </c>
      <c r="R24" s="104">
        <v>0</v>
      </c>
      <c r="S24" s="104">
        <v>0</v>
      </c>
      <c r="T24" s="104">
        <v>0.8</v>
      </c>
      <c r="U24" s="104">
        <v>0</v>
      </c>
      <c r="V24" s="104">
        <v>0</v>
      </c>
      <c r="W24" s="104">
        <v>0</v>
      </c>
    </row>
    <row r="25" spans="1:23" customFormat="1" x14ac:dyDescent="0.15"/>
    <row r="26" spans="1:23" customFormat="1" x14ac:dyDescent="0.15"/>
    <row r="27" spans="1:23" customFormat="1" x14ac:dyDescent="0.15"/>
    <row r="28" spans="1:23" customFormat="1" x14ac:dyDescent="0.15"/>
    <row r="29" spans="1:23" customFormat="1" x14ac:dyDescent="0.15"/>
    <row r="30" spans="1:23" customFormat="1" x14ac:dyDescent="0.15"/>
    <row r="31" spans="1:23" customFormat="1" x14ac:dyDescent="0.15"/>
    <row r="32" spans="1:23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AE31"/>
  <sheetViews>
    <sheetView workbookViewId="0">
      <selection activeCell="A3" sqref="A3"/>
    </sheetView>
  </sheetViews>
  <sheetFormatPr baseColWidth="10" defaultRowHeight="13" x14ac:dyDescent="0.15"/>
  <cols>
    <col min="1" max="1" width="21.6640625" style="104" bestFit="1" customWidth="1"/>
    <col min="2" max="23" width="2.33203125" style="104" customWidth="1"/>
    <col min="24" max="16384" width="10.83203125" style="104"/>
  </cols>
  <sheetData>
    <row r="1" spans="1:31" x14ac:dyDescent="0.15">
      <c r="A1" s="61" t="s">
        <v>139</v>
      </c>
      <c r="B1" s="178" t="s">
        <v>192</v>
      </c>
      <c r="C1" s="178" t="s">
        <v>193</v>
      </c>
      <c r="D1" s="178" t="s">
        <v>194</v>
      </c>
      <c r="E1" s="178" t="s">
        <v>195</v>
      </c>
      <c r="F1" s="178" t="s">
        <v>196</v>
      </c>
      <c r="G1" s="178" t="s">
        <v>197</v>
      </c>
      <c r="H1" s="178" t="s">
        <v>198</v>
      </c>
      <c r="I1" s="178" t="s">
        <v>199</v>
      </c>
      <c r="J1" s="178" t="s">
        <v>200</v>
      </c>
      <c r="K1" s="178" t="s">
        <v>201</v>
      </c>
      <c r="L1" s="178" t="s">
        <v>202</v>
      </c>
      <c r="M1" s="178" t="s">
        <v>203</v>
      </c>
      <c r="N1" s="178" t="s">
        <v>204</v>
      </c>
      <c r="O1" s="178" t="s">
        <v>205</v>
      </c>
      <c r="P1" s="178" t="s">
        <v>206</v>
      </c>
      <c r="Q1" s="178" t="s">
        <v>207</v>
      </c>
      <c r="R1" s="178" t="s">
        <v>208</v>
      </c>
      <c r="S1" s="178" t="s">
        <v>209</v>
      </c>
      <c r="T1" s="178" t="s">
        <v>210</v>
      </c>
      <c r="U1" s="178" t="s">
        <v>211</v>
      </c>
      <c r="V1" s="178" t="s">
        <v>212</v>
      </c>
      <c r="W1" s="178" t="s">
        <v>213</v>
      </c>
      <c r="X1"/>
      <c r="Y1"/>
      <c r="Z1"/>
      <c r="AA1"/>
      <c r="AB1"/>
      <c r="AC1"/>
      <c r="AD1"/>
      <c r="AE1"/>
    </row>
    <row r="2" spans="1:31" customFormat="1" x14ac:dyDescent="0.15">
      <c r="A2" s="177" t="s">
        <v>192</v>
      </c>
      <c r="B2" s="104">
        <v>0</v>
      </c>
      <c r="C2" s="104">
        <v>0</v>
      </c>
      <c r="D2" s="104">
        <v>0</v>
      </c>
      <c r="E2" s="104">
        <v>0</v>
      </c>
      <c r="F2" s="104">
        <v>0</v>
      </c>
      <c r="G2" s="104">
        <v>0</v>
      </c>
      <c r="H2" s="104">
        <v>0</v>
      </c>
      <c r="I2" s="104">
        <v>0</v>
      </c>
      <c r="J2" s="104">
        <v>0</v>
      </c>
      <c r="K2" s="104">
        <v>0</v>
      </c>
      <c r="L2" s="104">
        <v>0</v>
      </c>
      <c r="M2" s="104">
        <v>0</v>
      </c>
      <c r="N2" s="104">
        <v>0</v>
      </c>
      <c r="O2" s="104">
        <v>0</v>
      </c>
      <c r="P2" s="104">
        <v>0</v>
      </c>
      <c r="Q2" s="104">
        <v>0</v>
      </c>
      <c r="R2" s="104">
        <v>0</v>
      </c>
      <c r="S2" s="104">
        <v>0</v>
      </c>
      <c r="T2" s="104">
        <v>0</v>
      </c>
      <c r="U2" s="104">
        <v>0</v>
      </c>
      <c r="V2" s="104">
        <v>0</v>
      </c>
      <c r="W2" s="104">
        <v>0</v>
      </c>
    </row>
    <row r="3" spans="1:31" customFormat="1" x14ac:dyDescent="0.15">
      <c r="A3" s="177" t="s">
        <v>193</v>
      </c>
      <c r="B3" s="104">
        <v>0</v>
      </c>
      <c r="C3" s="104">
        <v>0</v>
      </c>
      <c r="D3" s="104">
        <v>0</v>
      </c>
      <c r="E3" s="104">
        <v>0</v>
      </c>
      <c r="F3" s="104">
        <v>0</v>
      </c>
      <c r="G3" s="104">
        <v>0</v>
      </c>
      <c r="H3" s="104">
        <v>0</v>
      </c>
      <c r="I3" s="104">
        <v>0</v>
      </c>
      <c r="J3" s="104">
        <v>0</v>
      </c>
      <c r="K3" s="104">
        <v>0</v>
      </c>
      <c r="L3" s="104">
        <v>0</v>
      </c>
      <c r="M3" s="104">
        <v>0</v>
      </c>
      <c r="N3" s="104">
        <v>0</v>
      </c>
      <c r="O3" s="104">
        <v>0</v>
      </c>
      <c r="P3" s="104">
        <v>0</v>
      </c>
      <c r="Q3" s="104">
        <v>0</v>
      </c>
      <c r="R3" s="104">
        <v>0</v>
      </c>
      <c r="S3" s="104">
        <v>0</v>
      </c>
      <c r="T3" s="104">
        <v>0</v>
      </c>
      <c r="U3" s="104">
        <v>0</v>
      </c>
      <c r="V3" s="104">
        <v>0</v>
      </c>
      <c r="W3" s="104">
        <v>0</v>
      </c>
    </row>
    <row r="4" spans="1:31" customFormat="1" x14ac:dyDescent="0.15">
      <c r="A4" s="177" t="s">
        <v>194</v>
      </c>
      <c r="B4" s="104">
        <v>1</v>
      </c>
      <c r="C4" s="104">
        <v>0</v>
      </c>
      <c r="D4" s="104">
        <v>0</v>
      </c>
      <c r="E4" s="104">
        <v>0</v>
      </c>
      <c r="F4" s="104">
        <v>1</v>
      </c>
      <c r="G4" s="104">
        <v>0</v>
      </c>
      <c r="H4" s="104">
        <v>0</v>
      </c>
      <c r="I4" s="104">
        <v>0</v>
      </c>
      <c r="J4" s="104">
        <v>0</v>
      </c>
      <c r="K4" s="104">
        <v>0</v>
      </c>
      <c r="L4" s="104">
        <v>0</v>
      </c>
      <c r="M4" s="104">
        <v>0</v>
      </c>
      <c r="N4" s="104">
        <v>0</v>
      </c>
      <c r="O4" s="104">
        <v>0</v>
      </c>
      <c r="P4" s="104">
        <v>0</v>
      </c>
      <c r="Q4" s="104">
        <v>0</v>
      </c>
      <c r="R4" s="104">
        <v>0</v>
      </c>
      <c r="S4" s="104">
        <v>0</v>
      </c>
      <c r="T4" s="104">
        <v>0</v>
      </c>
      <c r="U4" s="104">
        <v>0</v>
      </c>
      <c r="V4" s="104">
        <v>0</v>
      </c>
      <c r="W4" s="104">
        <v>0</v>
      </c>
    </row>
    <row r="5" spans="1:31" customFormat="1" x14ac:dyDescent="0.15">
      <c r="A5" s="177" t="s">
        <v>195</v>
      </c>
      <c r="B5" s="104">
        <v>1</v>
      </c>
      <c r="C5" s="104">
        <v>0</v>
      </c>
      <c r="D5" s="104">
        <v>0</v>
      </c>
      <c r="E5" s="104">
        <v>0</v>
      </c>
      <c r="F5" s="104">
        <v>0</v>
      </c>
      <c r="G5" s="104">
        <v>0</v>
      </c>
      <c r="H5" s="104">
        <v>0</v>
      </c>
      <c r="I5" s="104">
        <v>0</v>
      </c>
      <c r="J5" s="104">
        <v>0</v>
      </c>
      <c r="K5" s="104">
        <v>0</v>
      </c>
      <c r="L5" s="104">
        <v>0</v>
      </c>
      <c r="M5" s="104">
        <v>0</v>
      </c>
      <c r="N5" s="104">
        <v>0</v>
      </c>
      <c r="O5" s="104">
        <v>0</v>
      </c>
      <c r="P5" s="104">
        <v>0</v>
      </c>
      <c r="Q5" s="104">
        <v>0</v>
      </c>
      <c r="R5" s="104">
        <v>0</v>
      </c>
      <c r="S5" s="104">
        <v>0</v>
      </c>
      <c r="T5" s="104">
        <v>0</v>
      </c>
      <c r="U5" s="104">
        <v>0</v>
      </c>
      <c r="V5" s="104">
        <v>0</v>
      </c>
      <c r="W5" s="104">
        <v>0</v>
      </c>
    </row>
    <row r="6" spans="1:31" customFormat="1" x14ac:dyDescent="0.15">
      <c r="A6" s="177" t="s">
        <v>196</v>
      </c>
      <c r="B6" s="104">
        <v>1</v>
      </c>
      <c r="C6" s="104">
        <v>0</v>
      </c>
      <c r="D6" s="104">
        <v>0</v>
      </c>
      <c r="E6" s="104">
        <v>1</v>
      </c>
      <c r="F6" s="104">
        <v>0</v>
      </c>
      <c r="G6" s="104">
        <v>1</v>
      </c>
      <c r="H6" s="104">
        <v>0</v>
      </c>
      <c r="I6" s="104">
        <v>0</v>
      </c>
      <c r="J6" s="104">
        <v>0</v>
      </c>
      <c r="K6" s="104">
        <v>0</v>
      </c>
      <c r="L6" s="104">
        <v>0</v>
      </c>
      <c r="M6" s="104">
        <v>0</v>
      </c>
      <c r="N6" s="104">
        <v>0</v>
      </c>
      <c r="O6" s="104">
        <v>0</v>
      </c>
      <c r="P6" s="104">
        <v>0</v>
      </c>
      <c r="Q6" s="104">
        <v>0</v>
      </c>
      <c r="R6" s="104">
        <v>0</v>
      </c>
      <c r="S6" s="104">
        <v>0</v>
      </c>
      <c r="T6" s="104">
        <v>0</v>
      </c>
      <c r="U6" s="104">
        <v>0</v>
      </c>
      <c r="V6" s="104">
        <v>0</v>
      </c>
      <c r="W6" s="104">
        <v>0</v>
      </c>
    </row>
    <row r="7" spans="1:31" customFormat="1" x14ac:dyDescent="0.15">
      <c r="A7" s="177" t="s">
        <v>197</v>
      </c>
      <c r="B7" s="104">
        <v>1</v>
      </c>
      <c r="C7" s="104">
        <v>0</v>
      </c>
      <c r="D7" s="104">
        <v>0</v>
      </c>
      <c r="E7" s="104">
        <v>1</v>
      </c>
      <c r="F7" s="104">
        <v>0</v>
      </c>
      <c r="G7" s="104">
        <v>1</v>
      </c>
      <c r="H7" s="104">
        <v>0</v>
      </c>
      <c r="I7" s="104">
        <v>0</v>
      </c>
      <c r="J7" s="104">
        <v>0</v>
      </c>
      <c r="K7" s="104">
        <v>0</v>
      </c>
      <c r="L7" s="104">
        <v>0</v>
      </c>
      <c r="M7" s="104">
        <v>0</v>
      </c>
      <c r="N7" s="104">
        <v>0</v>
      </c>
      <c r="O7" s="104">
        <v>0</v>
      </c>
      <c r="P7" s="104">
        <v>0</v>
      </c>
      <c r="Q7" s="104">
        <v>0</v>
      </c>
      <c r="R7" s="104">
        <v>0</v>
      </c>
      <c r="S7" s="104">
        <v>0</v>
      </c>
      <c r="T7" s="104">
        <v>0</v>
      </c>
      <c r="U7" s="104">
        <v>0</v>
      </c>
      <c r="V7" s="104">
        <v>0</v>
      </c>
      <c r="W7" s="104">
        <v>0</v>
      </c>
    </row>
    <row r="8" spans="1:31" customFormat="1" x14ac:dyDescent="0.15">
      <c r="A8" s="177" t="s">
        <v>198</v>
      </c>
      <c r="B8" s="104">
        <v>0</v>
      </c>
      <c r="C8" s="104">
        <v>0</v>
      </c>
      <c r="D8" s="104">
        <v>0</v>
      </c>
      <c r="E8" s="104">
        <v>1</v>
      </c>
      <c r="F8" s="104">
        <v>1</v>
      </c>
      <c r="G8" s="104">
        <v>1</v>
      </c>
      <c r="H8" s="104">
        <v>0</v>
      </c>
      <c r="I8" s="104">
        <v>0</v>
      </c>
      <c r="J8" s="104">
        <v>0</v>
      </c>
      <c r="K8" s="104">
        <v>0</v>
      </c>
      <c r="L8" s="104">
        <v>0</v>
      </c>
      <c r="M8" s="104">
        <v>0</v>
      </c>
      <c r="N8" s="104">
        <v>0</v>
      </c>
      <c r="O8" s="104">
        <v>0</v>
      </c>
      <c r="P8" s="104">
        <v>0</v>
      </c>
      <c r="Q8" s="104">
        <v>0</v>
      </c>
      <c r="R8" s="104">
        <v>0</v>
      </c>
      <c r="S8" s="104">
        <v>0</v>
      </c>
      <c r="T8" s="104">
        <v>0</v>
      </c>
      <c r="U8" s="104">
        <v>0</v>
      </c>
      <c r="V8" s="104">
        <v>0</v>
      </c>
      <c r="W8" s="104">
        <v>0</v>
      </c>
    </row>
    <row r="9" spans="1:31" customFormat="1" x14ac:dyDescent="0.15">
      <c r="A9" s="177" t="s">
        <v>199</v>
      </c>
      <c r="B9" s="104">
        <v>0</v>
      </c>
      <c r="C9" s="104">
        <v>0</v>
      </c>
      <c r="D9" s="104">
        <v>0</v>
      </c>
      <c r="E9" s="104">
        <v>1</v>
      </c>
      <c r="F9" s="104">
        <v>0</v>
      </c>
      <c r="G9" s="104">
        <v>1</v>
      </c>
      <c r="H9" s="104">
        <v>0</v>
      </c>
      <c r="I9" s="104">
        <v>0</v>
      </c>
      <c r="J9" s="104">
        <v>0</v>
      </c>
      <c r="K9" s="104">
        <v>0</v>
      </c>
      <c r="L9" s="104">
        <v>0</v>
      </c>
      <c r="M9" s="104">
        <v>0</v>
      </c>
      <c r="N9" s="104">
        <v>0</v>
      </c>
      <c r="O9" s="104">
        <v>0</v>
      </c>
      <c r="P9" s="104">
        <v>0</v>
      </c>
      <c r="Q9" s="104">
        <v>0</v>
      </c>
      <c r="R9" s="104">
        <v>0</v>
      </c>
      <c r="S9" s="104">
        <v>0</v>
      </c>
      <c r="T9" s="104">
        <v>0</v>
      </c>
      <c r="U9" s="104">
        <v>0</v>
      </c>
      <c r="V9" s="104">
        <v>0</v>
      </c>
      <c r="W9" s="104">
        <v>0</v>
      </c>
    </row>
    <row r="10" spans="1:31" customFormat="1" x14ac:dyDescent="0.15">
      <c r="A10" s="177" t="s">
        <v>200</v>
      </c>
      <c r="B10" s="104">
        <v>0</v>
      </c>
      <c r="C10" s="104">
        <v>0</v>
      </c>
      <c r="D10" s="104">
        <v>0</v>
      </c>
      <c r="E10" s="104">
        <v>1</v>
      </c>
      <c r="F10" s="104">
        <v>1</v>
      </c>
      <c r="G10" s="104">
        <v>1</v>
      </c>
      <c r="H10" s="104">
        <v>0</v>
      </c>
      <c r="I10" s="104">
        <v>1</v>
      </c>
      <c r="J10" s="104">
        <v>0</v>
      </c>
      <c r="K10" s="104">
        <v>1</v>
      </c>
      <c r="L10" s="104">
        <v>1</v>
      </c>
      <c r="M10" s="104">
        <v>1</v>
      </c>
      <c r="N10" s="104">
        <v>0</v>
      </c>
      <c r="O10" s="104">
        <v>0</v>
      </c>
      <c r="P10" s="104">
        <v>0</v>
      </c>
      <c r="Q10" s="104">
        <v>0</v>
      </c>
      <c r="R10" s="104">
        <v>0</v>
      </c>
      <c r="S10" s="104">
        <v>0</v>
      </c>
      <c r="T10" s="104">
        <v>0</v>
      </c>
      <c r="U10" s="104">
        <v>0</v>
      </c>
      <c r="V10" s="104">
        <v>0</v>
      </c>
      <c r="W10" s="104">
        <v>0</v>
      </c>
    </row>
    <row r="11" spans="1:31" customFormat="1" x14ac:dyDescent="0.15">
      <c r="A11" s="177" t="s">
        <v>201</v>
      </c>
      <c r="B11" s="104">
        <v>0</v>
      </c>
      <c r="C11" s="104">
        <v>0</v>
      </c>
      <c r="D11" s="104">
        <v>0</v>
      </c>
      <c r="E11" s="104">
        <v>1</v>
      </c>
      <c r="F11" s="104">
        <v>1</v>
      </c>
      <c r="G11" s="104">
        <v>1</v>
      </c>
      <c r="H11" s="104">
        <v>0</v>
      </c>
      <c r="I11" s="104">
        <v>1</v>
      </c>
      <c r="J11" s="104">
        <v>0</v>
      </c>
      <c r="K11" s="104">
        <v>0</v>
      </c>
      <c r="L11" s="104">
        <v>1</v>
      </c>
      <c r="M11" s="104">
        <v>0</v>
      </c>
      <c r="N11" s="104">
        <v>0</v>
      </c>
      <c r="O11" s="104">
        <v>0</v>
      </c>
      <c r="P11" s="104">
        <v>0</v>
      </c>
      <c r="Q11" s="104">
        <v>0</v>
      </c>
      <c r="R11" s="104">
        <v>0</v>
      </c>
      <c r="S11" s="104">
        <v>0</v>
      </c>
      <c r="T11" s="104">
        <v>0</v>
      </c>
      <c r="U11" s="104">
        <v>0</v>
      </c>
      <c r="V11" s="104">
        <v>0</v>
      </c>
      <c r="W11" s="104">
        <v>0</v>
      </c>
    </row>
    <row r="12" spans="1:31" customFormat="1" x14ac:dyDescent="0.15">
      <c r="A12" s="177" t="s">
        <v>202</v>
      </c>
      <c r="B12" s="104">
        <v>0</v>
      </c>
      <c r="C12" s="104">
        <v>0</v>
      </c>
      <c r="D12" s="104">
        <v>0</v>
      </c>
      <c r="E12" s="104">
        <v>0</v>
      </c>
      <c r="F12" s="104">
        <v>0</v>
      </c>
      <c r="G12" s="104">
        <v>0</v>
      </c>
      <c r="H12" s="104">
        <v>0</v>
      </c>
      <c r="I12" s="104">
        <v>1</v>
      </c>
      <c r="J12" s="104">
        <v>0</v>
      </c>
      <c r="K12" s="104">
        <v>1</v>
      </c>
      <c r="L12" s="104">
        <v>0</v>
      </c>
      <c r="M12" s="104">
        <v>0</v>
      </c>
      <c r="N12" s="104">
        <v>0</v>
      </c>
      <c r="O12" s="104">
        <v>0</v>
      </c>
      <c r="P12" s="104">
        <v>0</v>
      </c>
      <c r="Q12" s="104">
        <v>0</v>
      </c>
      <c r="R12" s="104">
        <v>0</v>
      </c>
      <c r="S12" s="104">
        <v>0</v>
      </c>
      <c r="T12" s="104">
        <v>0</v>
      </c>
      <c r="U12" s="104">
        <v>0</v>
      </c>
      <c r="V12" s="104">
        <v>0</v>
      </c>
      <c r="W12" s="104">
        <v>0</v>
      </c>
    </row>
    <row r="13" spans="1:31" customFormat="1" x14ac:dyDescent="0.15">
      <c r="A13" s="177" t="s">
        <v>203</v>
      </c>
      <c r="B13" s="104">
        <v>1</v>
      </c>
      <c r="C13" s="104">
        <v>0</v>
      </c>
      <c r="D13" s="104">
        <v>1</v>
      </c>
      <c r="E13" s="104">
        <v>1</v>
      </c>
      <c r="F13" s="104">
        <v>1</v>
      </c>
      <c r="G13" s="104">
        <v>1</v>
      </c>
      <c r="H13" s="104">
        <v>1</v>
      </c>
      <c r="I13" s="104">
        <v>1</v>
      </c>
      <c r="J13" s="104">
        <v>1</v>
      </c>
      <c r="K13" s="104">
        <v>1</v>
      </c>
      <c r="L13" s="104">
        <v>1</v>
      </c>
      <c r="M13" s="104">
        <v>1</v>
      </c>
      <c r="N13" s="104">
        <v>0</v>
      </c>
      <c r="O13" s="104">
        <v>0</v>
      </c>
      <c r="P13" s="104">
        <v>0</v>
      </c>
      <c r="Q13" s="104">
        <v>0</v>
      </c>
      <c r="R13" s="104">
        <v>0</v>
      </c>
      <c r="S13" s="104">
        <v>0</v>
      </c>
      <c r="T13" s="104">
        <v>0</v>
      </c>
      <c r="U13" s="104">
        <v>0</v>
      </c>
      <c r="V13" s="104">
        <v>0</v>
      </c>
      <c r="W13" s="104">
        <v>0</v>
      </c>
    </row>
    <row r="14" spans="1:31" customFormat="1" x14ac:dyDescent="0.15">
      <c r="A14" s="177" t="s">
        <v>204</v>
      </c>
      <c r="B14" s="104">
        <v>1</v>
      </c>
      <c r="C14" s="104">
        <v>1</v>
      </c>
      <c r="D14" s="104">
        <v>1</v>
      </c>
      <c r="E14" s="104">
        <v>1</v>
      </c>
      <c r="F14" s="104">
        <v>1</v>
      </c>
      <c r="G14" s="104">
        <v>1</v>
      </c>
      <c r="H14" s="104">
        <v>0</v>
      </c>
      <c r="I14" s="104">
        <v>0</v>
      </c>
      <c r="J14" s="104">
        <v>1</v>
      </c>
      <c r="K14" s="104">
        <v>1</v>
      </c>
      <c r="L14" s="104">
        <v>1</v>
      </c>
      <c r="M14" s="104">
        <v>0</v>
      </c>
      <c r="N14" s="104">
        <v>0</v>
      </c>
      <c r="O14" s="104">
        <v>1</v>
      </c>
      <c r="P14" s="104">
        <v>0</v>
      </c>
      <c r="Q14" s="104">
        <v>0</v>
      </c>
      <c r="R14" s="104">
        <v>0</v>
      </c>
      <c r="S14" s="104">
        <v>0</v>
      </c>
      <c r="T14" s="104">
        <v>0</v>
      </c>
      <c r="U14" s="104">
        <v>0</v>
      </c>
      <c r="V14" s="104">
        <v>0</v>
      </c>
      <c r="W14" s="104">
        <v>0</v>
      </c>
    </row>
    <row r="15" spans="1:31" customFormat="1" x14ac:dyDescent="0.15">
      <c r="A15" s="177" t="s">
        <v>205</v>
      </c>
      <c r="B15" s="104">
        <v>0</v>
      </c>
      <c r="C15" s="104">
        <v>1</v>
      </c>
      <c r="D15" s="104">
        <v>1</v>
      </c>
      <c r="E15" s="104">
        <v>1</v>
      </c>
      <c r="F15" s="104">
        <v>1</v>
      </c>
      <c r="G15" s="104">
        <v>1</v>
      </c>
      <c r="H15" s="104">
        <v>1</v>
      </c>
      <c r="I15" s="104">
        <v>1</v>
      </c>
      <c r="J15" s="104">
        <v>1</v>
      </c>
      <c r="K15" s="104">
        <v>1</v>
      </c>
      <c r="L15" s="104">
        <v>1</v>
      </c>
      <c r="M15" s="104">
        <v>1</v>
      </c>
      <c r="N15" s="104">
        <v>0</v>
      </c>
      <c r="O15" s="104">
        <v>1</v>
      </c>
      <c r="P15" s="104">
        <v>0</v>
      </c>
      <c r="Q15" s="104">
        <v>0</v>
      </c>
      <c r="R15" s="104">
        <v>0</v>
      </c>
      <c r="S15" s="104">
        <v>0</v>
      </c>
      <c r="T15" s="104">
        <v>0</v>
      </c>
      <c r="U15" s="104">
        <v>0</v>
      </c>
      <c r="V15" s="104">
        <v>0</v>
      </c>
      <c r="W15" s="104">
        <v>0</v>
      </c>
    </row>
    <row r="16" spans="1:31" customFormat="1" x14ac:dyDescent="0.15">
      <c r="A16" s="177" t="s">
        <v>206</v>
      </c>
      <c r="B16" s="104">
        <v>0</v>
      </c>
      <c r="C16" s="104">
        <v>0</v>
      </c>
      <c r="D16" s="104">
        <v>1</v>
      </c>
      <c r="E16" s="104">
        <v>1</v>
      </c>
      <c r="F16" s="104">
        <v>1</v>
      </c>
      <c r="G16" s="104">
        <v>1</v>
      </c>
      <c r="H16" s="104">
        <v>0</v>
      </c>
      <c r="I16" s="104">
        <v>1</v>
      </c>
      <c r="J16" s="104">
        <v>1</v>
      </c>
      <c r="K16" s="104">
        <v>1</v>
      </c>
      <c r="L16" s="104">
        <v>1</v>
      </c>
      <c r="M16" s="104">
        <v>1</v>
      </c>
      <c r="N16" s="104">
        <v>0</v>
      </c>
      <c r="O16" s="104">
        <v>1</v>
      </c>
      <c r="P16" s="104">
        <v>0</v>
      </c>
      <c r="Q16" s="104">
        <v>0</v>
      </c>
      <c r="R16" s="104">
        <v>0</v>
      </c>
      <c r="S16" s="104">
        <v>0</v>
      </c>
      <c r="T16" s="104">
        <v>0</v>
      </c>
      <c r="U16" s="104">
        <v>0</v>
      </c>
      <c r="V16" s="104">
        <v>0</v>
      </c>
      <c r="W16" s="104">
        <v>0</v>
      </c>
    </row>
    <row r="17" spans="1:23" customFormat="1" x14ac:dyDescent="0.15">
      <c r="A17" s="177" t="s">
        <v>207</v>
      </c>
      <c r="B17" s="104">
        <v>0</v>
      </c>
      <c r="C17" s="104">
        <v>1</v>
      </c>
      <c r="D17" s="104">
        <v>1</v>
      </c>
      <c r="E17" s="104">
        <v>1</v>
      </c>
      <c r="F17" s="104">
        <v>1</v>
      </c>
      <c r="G17" s="104">
        <v>1</v>
      </c>
      <c r="H17" s="104">
        <v>1</v>
      </c>
      <c r="I17" s="104">
        <v>1</v>
      </c>
      <c r="J17" s="104">
        <v>1</v>
      </c>
      <c r="K17" s="104">
        <v>1</v>
      </c>
      <c r="L17" s="104">
        <v>1</v>
      </c>
      <c r="M17" s="104">
        <v>1</v>
      </c>
      <c r="N17" s="104">
        <v>0</v>
      </c>
      <c r="O17" s="104">
        <v>1</v>
      </c>
      <c r="P17" s="104">
        <v>1</v>
      </c>
      <c r="Q17" s="104">
        <v>1</v>
      </c>
      <c r="R17" s="104">
        <v>0</v>
      </c>
      <c r="S17" s="104">
        <v>0</v>
      </c>
      <c r="T17" s="104">
        <v>0</v>
      </c>
      <c r="U17" s="104">
        <v>0</v>
      </c>
      <c r="V17" s="104">
        <v>0</v>
      </c>
      <c r="W17" s="104">
        <v>0</v>
      </c>
    </row>
    <row r="18" spans="1:23" customFormat="1" x14ac:dyDescent="0.15">
      <c r="A18" s="177" t="s">
        <v>208</v>
      </c>
      <c r="B18" s="104">
        <v>0</v>
      </c>
      <c r="C18" s="104">
        <v>1</v>
      </c>
      <c r="D18" s="104">
        <v>1</v>
      </c>
      <c r="E18" s="104">
        <v>1</v>
      </c>
      <c r="F18" s="104">
        <v>1</v>
      </c>
      <c r="G18" s="104">
        <v>1</v>
      </c>
      <c r="H18" s="104">
        <v>1</v>
      </c>
      <c r="I18" s="104">
        <v>1</v>
      </c>
      <c r="J18" s="104">
        <v>1</v>
      </c>
      <c r="K18" s="104">
        <v>1</v>
      </c>
      <c r="L18" s="104">
        <v>0</v>
      </c>
      <c r="M18" s="104">
        <v>1</v>
      </c>
      <c r="N18" s="104">
        <v>0</v>
      </c>
      <c r="O18" s="104">
        <v>1</v>
      </c>
      <c r="P18" s="104">
        <v>1</v>
      </c>
      <c r="Q18" s="104">
        <v>1</v>
      </c>
      <c r="R18" s="104">
        <v>1</v>
      </c>
      <c r="S18" s="104">
        <v>0</v>
      </c>
      <c r="T18" s="104">
        <v>0</v>
      </c>
      <c r="U18" s="104">
        <v>0</v>
      </c>
      <c r="V18" s="104">
        <v>0</v>
      </c>
      <c r="W18" s="104">
        <v>0</v>
      </c>
    </row>
    <row r="19" spans="1:23" customFormat="1" x14ac:dyDescent="0.15">
      <c r="A19" s="177" t="s">
        <v>209</v>
      </c>
      <c r="B19" s="104">
        <v>0</v>
      </c>
      <c r="C19" s="104">
        <v>0</v>
      </c>
      <c r="D19" s="104">
        <v>1</v>
      </c>
      <c r="E19" s="104">
        <v>0</v>
      </c>
      <c r="F19" s="104">
        <v>0</v>
      </c>
      <c r="G19" s="104">
        <v>0</v>
      </c>
      <c r="H19" s="104">
        <v>0</v>
      </c>
      <c r="I19" s="104">
        <v>0</v>
      </c>
      <c r="J19" s="104">
        <v>0</v>
      </c>
      <c r="K19" s="104">
        <v>0</v>
      </c>
      <c r="L19" s="104">
        <v>0</v>
      </c>
      <c r="M19" s="104">
        <v>1</v>
      </c>
      <c r="N19" s="104">
        <v>1</v>
      </c>
      <c r="O19" s="104">
        <v>0</v>
      </c>
      <c r="P19" s="104">
        <v>1</v>
      </c>
      <c r="Q19" s="104">
        <v>1</v>
      </c>
      <c r="R19" s="104">
        <v>1</v>
      </c>
      <c r="S19" s="104">
        <v>1</v>
      </c>
      <c r="T19" s="104">
        <v>0</v>
      </c>
      <c r="U19" s="104">
        <v>0</v>
      </c>
      <c r="V19" s="104">
        <v>0</v>
      </c>
      <c r="W19" s="104">
        <v>0</v>
      </c>
    </row>
    <row r="20" spans="1:23" customFormat="1" x14ac:dyDescent="0.15">
      <c r="A20" s="177" t="s">
        <v>210</v>
      </c>
      <c r="B20" s="104">
        <v>0</v>
      </c>
      <c r="C20" s="104">
        <v>0</v>
      </c>
      <c r="D20" s="104">
        <v>0</v>
      </c>
      <c r="E20" s="104">
        <v>0</v>
      </c>
      <c r="F20" s="104">
        <v>0</v>
      </c>
      <c r="G20" s="104">
        <v>0</v>
      </c>
      <c r="H20" s="104">
        <v>0</v>
      </c>
      <c r="I20" s="104">
        <v>0</v>
      </c>
      <c r="J20" s="104">
        <v>0</v>
      </c>
      <c r="K20" s="104">
        <v>0</v>
      </c>
      <c r="L20" s="104">
        <v>0</v>
      </c>
      <c r="M20" s="104">
        <v>0</v>
      </c>
      <c r="N20" s="104">
        <v>1</v>
      </c>
      <c r="O20" s="104">
        <v>0</v>
      </c>
      <c r="P20" s="104">
        <v>1</v>
      </c>
      <c r="Q20" s="104">
        <v>1</v>
      </c>
      <c r="R20" s="104">
        <v>1</v>
      </c>
      <c r="S20" s="104">
        <v>1</v>
      </c>
      <c r="T20" s="104">
        <v>0</v>
      </c>
      <c r="U20" s="104">
        <v>0</v>
      </c>
      <c r="V20" s="104">
        <v>0</v>
      </c>
      <c r="W20" s="104">
        <v>0</v>
      </c>
    </row>
    <row r="21" spans="1:23" customFormat="1" x14ac:dyDescent="0.15">
      <c r="A21" s="177" t="s">
        <v>211</v>
      </c>
      <c r="B21" s="104">
        <v>0</v>
      </c>
      <c r="C21" s="104">
        <v>0</v>
      </c>
      <c r="D21" s="104">
        <v>0</v>
      </c>
      <c r="E21" s="104">
        <v>0</v>
      </c>
      <c r="F21" s="104">
        <v>0</v>
      </c>
      <c r="G21" s="104">
        <v>0</v>
      </c>
      <c r="H21" s="104">
        <v>0</v>
      </c>
      <c r="I21" s="104">
        <v>0</v>
      </c>
      <c r="J21" s="104">
        <v>0</v>
      </c>
      <c r="K21" s="104">
        <v>0</v>
      </c>
      <c r="L21" s="104">
        <v>0</v>
      </c>
      <c r="M21" s="104">
        <v>0</v>
      </c>
      <c r="N21" s="104">
        <v>0</v>
      </c>
      <c r="O21" s="104">
        <v>1</v>
      </c>
      <c r="P21" s="104">
        <v>1</v>
      </c>
      <c r="Q21" s="104">
        <v>1</v>
      </c>
      <c r="R21" s="104">
        <v>1</v>
      </c>
      <c r="S21" s="104">
        <v>1</v>
      </c>
      <c r="T21" s="104">
        <v>0</v>
      </c>
      <c r="U21" s="104">
        <v>0</v>
      </c>
      <c r="V21" s="104">
        <v>0</v>
      </c>
      <c r="W21" s="104">
        <v>0</v>
      </c>
    </row>
    <row r="22" spans="1:23" customFormat="1" x14ac:dyDescent="0.15">
      <c r="A22" s="177" t="s">
        <v>212</v>
      </c>
      <c r="B22" s="104">
        <v>0</v>
      </c>
      <c r="C22" s="104">
        <v>0</v>
      </c>
      <c r="D22" s="104">
        <v>0</v>
      </c>
      <c r="E22" s="104">
        <v>0</v>
      </c>
      <c r="F22" s="104">
        <v>0</v>
      </c>
      <c r="G22" s="104">
        <v>0</v>
      </c>
      <c r="H22" s="104">
        <v>0</v>
      </c>
      <c r="I22" s="104">
        <v>0</v>
      </c>
      <c r="J22" s="104">
        <v>0</v>
      </c>
      <c r="K22" s="104">
        <v>0</v>
      </c>
      <c r="L22" s="104">
        <v>0</v>
      </c>
      <c r="M22" s="104">
        <v>0</v>
      </c>
      <c r="N22" s="104">
        <v>0</v>
      </c>
      <c r="O22" s="104">
        <v>0</v>
      </c>
      <c r="P22" s="104">
        <v>0</v>
      </c>
      <c r="Q22" s="104">
        <v>0</v>
      </c>
      <c r="R22" s="104">
        <v>0</v>
      </c>
      <c r="S22" s="104">
        <v>0</v>
      </c>
      <c r="T22" s="104">
        <v>0</v>
      </c>
      <c r="U22" s="104">
        <v>1</v>
      </c>
      <c r="V22" s="104">
        <v>0</v>
      </c>
      <c r="W22" s="104">
        <v>0</v>
      </c>
    </row>
    <row r="23" spans="1:23" customFormat="1" x14ac:dyDescent="0.15">
      <c r="A23" s="177" t="s">
        <v>213</v>
      </c>
      <c r="B23" s="104">
        <v>0</v>
      </c>
      <c r="C23" s="104">
        <v>0</v>
      </c>
      <c r="D23" s="104">
        <v>0</v>
      </c>
      <c r="E23" s="104">
        <v>0</v>
      </c>
      <c r="F23" s="104">
        <v>0</v>
      </c>
      <c r="G23" s="104">
        <v>0</v>
      </c>
      <c r="H23" s="104">
        <v>0</v>
      </c>
      <c r="I23" s="104">
        <v>0</v>
      </c>
      <c r="J23" s="104">
        <v>0</v>
      </c>
      <c r="K23" s="104">
        <v>0</v>
      </c>
      <c r="L23" s="104">
        <v>0</v>
      </c>
      <c r="M23" s="104">
        <v>0</v>
      </c>
      <c r="N23" s="104">
        <v>0</v>
      </c>
      <c r="O23" s="104">
        <v>0</v>
      </c>
      <c r="P23" s="104">
        <v>0</v>
      </c>
      <c r="Q23" s="104">
        <v>0</v>
      </c>
      <c r="R23" s="104">
        <v>0</v>
      </c>
      <c r="S23" s="104">
        <v>0</v>
      </c>
      <c r="T23" s="104">
        <v>0</v>
      </c>
      <c r="U23" s="104">
        <v>0</v>
      </c>
      <c r="V23" s="104">
        <v>0</v>
      </c>
      <c r="W23" s="104">
        <v>0</v>
      </c>
    </row>
    <row r="24" spans="1:23" customFormat="1" x14ac:dyDescent="0.15">
      <c r="A24" s="177" t="s">
        <v>215</v>
      </c>
      <c r="B24" s="104">
        <v>1</v>
      </c>
      <c r="C24" s="104">
        <v>0</v>
      </c>
      <c r="D24" s="104">
        <v>0</v>
      </c>
      <c r="E24" s="104">
        <v>0</v>
      </c>
      <c r="F24" s="104">
        <v>0</v>
      </c>
      <c r="G24" s="104">
        <v>0</v>
      </c>
      <c r="H24" s="104">
        <v>0</v>
      </c>
      <c r="I24" s="104">
        <v>0</v>
      </c>
      <c r="J24" s="104">
        <v>0</v>
      </c>
      <c r="K24" s="104">
        <v>0</v>
      </c>
      <c r="L24" s="104">
        <v>0</v>
      </c>
      <c r="M24" s="104">
        <v>0</v>
      </c>
      <c r="N24" s="104">
        <v>0</v>
      </c>
      <c r="O24" s="104">
        <v>0</v>
      </c>
      <c r="P24" s="104">
        <v>0</v>
      </c>
      <c r="Q24" s="104">
        <v>0</v>
      </c>
      <c r="R24" s="104">
        <v>0</v>
      </c>
      <c r="S24" s="104">
        <v>0</v>
      </c>
      <c r="T24" s="104">
        <v>1</v>
      </c>
      <c r="U24" s="104">
        <v>0</v>
      </c>
      <c r="V24" s="104">
        <v>0</v>
      </c>
      <c r="W24" s="104">
        <v>0</v>
      </c>
    </row>
    <row r="25" spans="1:23" customFormat="1" x14ac:dyDescent="0.15"/>
    <row r="26" spans="1:23" customFormat="1" x14ac:dyDescent="0.15"/>
    <row r="27" spans="1:23" customFormat="1" x14ac:dyDescent="0.15"/>
    <row r="28" spans="1:23" customFormat="1" x14ac:dyDescent="0.15"/>
    <row r="29" spans="1:23" customFormat="1" x14ac:dyDescent="0.15"/>
    <row r="30" spans="1:23" customFormat="1" x14ac:dyDescent="0.15"/>
    <row r="31" spans="1:23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C185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19.6640625" bestFit="1" customWidth="1"/>
    <col min="3" max="3" width="3.83203125" bestFit="1" customWidth="1"/>
    <col min="4" max="4" width="16.33203125" bestFit="1" customWidth="1"/>
  </cols>
  <sheetData>
    <row r="1" spans="1:3" ht="112" x14ac:dyDescent="0.15">
      <c r="A1" s="5" t="s">
        <v>83</v>
      </c>
      <c r="B1" s="3" t="s">
        <v>0</v>
      </c>
      <c r="C1" s="180" t="s">
        <v>214</v>
      </c>
    </row>
    <row r="2" spans="1:3" x14ac:dyDescent="0.15">
      <c r="A2">
        <v>1</v>
      </c>
      <c r="B2" s="179" t="s">
        <v>192</v>
      </c>
      <c r="C2">
        <v>0</v>
      </c>
    </row>
    <row r="3" spans="1:3" x14ac:dyDescent="0.15">
      <c r="A3">
        <v>2</v>
      </c>
      <c r="B3" s="179" t="s">
        <v>193</v>
      </c>
      <c r="C3">
        <v>0</v>
      </c>
    </row>
    <row r="4" spans="1:3" x14ac:dyDescent="0.15">
      <c r="A4">
        <v>3</v>
      </c>
      <c r="B4" s="179" t="s">
        <v>194</v>
      </c>
      <c r="C4">
        <v>0.8</v>
      </c>
    </row>
    <row r="5" spans="1:3" x14ac:dyDescent="0.15">
      <c r="A5">
        <v>4</v>
      </c>
      <c r="B5" s="179" t="s">
        <v>195</v>
      </c>
      <c r="C5">
        <v>0.8</v>
      </c>
    </row>
    <row r="6" spans="1:3" x14ac:dyDescent="0.15">
      <c r="A6">
        <v>5</v>
      </c>
      <c r="B6" s="179" t="s">
        <v>196</v>
      </c>
      <c r="C6">
        <v>0.8</v>
      </c>
    </row>
    <row r="7" spans="1:3" x14ac:dyDescent="0.15">
      <c r="A7">
        <v>6</v>
      </c>
      <c r="B7" s="179" t="s">
        <v>197</v>
      </c>
      <c r="C7">
        <v>0.8</v>
      </c>
    </row>
    <row r="8" spans="1:3" x14ac:dyDescent="0.15">
      <c r="A8">
        <v>7</v>
      </c>
      <c r="B8" s="179" t="s">
        <v>198</v>
      </c>
      <c r="C8">
        <v>0</v>
      </c>
    </row>
    <row r="9" spans="1:3" x14ac:dyDescent="0.15">
      <c r="A9">
        <v>8</v>
      </c>
      <c r="B9" s="179" t="s">
        <v>199</v>
      </c>
      <c r="C9">
        <v>0.8</v>
      </c>
    </row>
    <row r="10" spans="1:3" x14ac:dyDescent="0.15">
      <c r="A10">
        <v>9</v>
      </c>
      <c r="B10" s="179" t="s">
        <v>200</v>
      </c>
      <c r="C10">
        <v>0.8</v>
      </c>
    </row>
    <row r="11" spans="1:3" x14ac:dyDescent="0.15">
      <c r="A11">
        <v>10</v>
      </c>
      <c r="B11" s="179" t="s">
        <v>201</v>
      </c>
      <c r="C11">
        <v>0.8</v>
      </c>
    </row>
    <row r="12" spans="1:3" x14ac:dyDescent="0.15">
      <c r="A12">
        <v>11</v>
      </c>
      <c r="B12" s="179" t="s">
        <v>202</v>
      </c>
      <c r="C12">
        <v>0.8</v>
      </c>
    </row>
    <row r="13" spans="1:3" x14ac:dyDescent="0.15">
      <c r="A13">
        <v>12</v>
      </c>
      <c r="B13" s="179" t="s">
        <v>203</v>
      </c>
      <c r="C13">
        <v>0.8</v>
      </c>
    </row>
    <row r="14" spans="1:3" x14ac:dyDescent="0.15">
      <c r="A14">
        <v>13</v>
      </c>
      <c r="B14" s="179" t="s">
        <v>204</v>
      </c>
      <c r="C14">
        <v>0.8</v>
      </c>
    </row>
    <row r="15" spans="1:3" x14ac:dyDescent="0.15">
      <c r="A15">
        <v>14</v>
      </c>
      <c r="B15" s="179" t="s">
        <v>205</v>
      </c>
      <c r="C15">
        <v>0</v>
      </c>
    </row>
    <row r="16" spans="1:3" x14ac:dyDescent="0.15">
      <c r="A16">
        <v>15</v>
      </c>
      <c r="B16" s="179" t="s">
        <v>206</v>
      </c>
      <c r="C16">
        <v>0.8</v>
      </c>
    </row>
    <row r="17" spans="1:3" x14ac:dyDescent="0.15">
      <c r="A17">
        <v>16</v>
      </c>
      <c r="B17" s="179" t="s">
        <v>207</v>
      </c>
      <c r="C17">
        <v>0</v>
      </c>
    </row>
    <row r="18" spans="1:3" x14ac:dyDescent="0.15">
      <c r="A18">
        <v>17</v>
      </c>
      <c r="B18" s="179" t="s">
        <v>208</v>
      </c>
      <c r="C18">
        <v>0</v>
      </c>
    </row>
    <row r="19" spans="1:3" x14ac:dyDescent="0.15">
      <c r="A19">
        <v>18</v>
      </c>
      <c r="B19" s="179" t="s">
        <v>209</v>
      </c>
      <c r="C19">
        <v>0</v>
      </c>
    </row>
    <row r="20" spans="1:3" x14ac:dyDescent="0.15">
      <c r="A20">
        <v>19</v>
      </c>
      <c r="B20" s="179" t="s">
        <v>210</v>
      </c>
      <c r="C20">
        <v>0</v>
      </c>
    </row>
    <row r="21" spans="1:3" x14ac:dyDescent="0.15">
      <c r="A21">
        <v>20</v>
      </c>
      <c r="B21" s="179" t="s">
        <v>211</v>
      </c>
      <c r="C21">
        <v>0</v>
      </c>
    </row>
    <row r="22" spans="1:3" x14ac:dyDescent="0.15">
      <c r="A22">
        <v>21</v>
      </c>
      <c r="B22" s="179" t="s">
        <v>212</v>
      </c>
      <c r="C22">
        <v>0</v>
      </c>
    </row>
    <row r="23" spans="1:3" x14ac:dyDescent="0.15">
      <c r="A23">
        <v>22</v>
      </c>
      <c r="B23" s="179" t="s">
        <v>213</v>
      </c>
      <c r="C23">
        <v>0</v>
      </c>
    </row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C23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19.6640625" bestFit="1" customWidth="1"/>
    <col min="3" max="3" width="3.83203125" bestFit="1" customWidth="1"/>
    <col min="4" max="4" width="16.33203125" bestFit="1" customWidth="1"/>
  </cols>
  <sheetData>
    <row r="1" spans="1:3" ht="112" x14ac:dyDescent="0.15">
      <c r="A1" s="5" t="s">
        <v>82</v>
      </c>
      <c r="B1" s="3" t="s">
        <v>0</v>
      </c>
      <c r="C1" s="182" t="s">
        <v>214</v>
      </c>
    </row>
    <row r="2" spans="1:3" x14ac:dyDescent="0.15">
      <c r="A2">
        <v>1</v>
      </c>
      <c r="B2" s="181" t="s">
        <v>192</v>
      </c>
      <c r="C2">
        <v>0</v>
      </c>
    </row>
    <row r="3" spans="1:3" x14ac:dyDescent="0.15">
      <c r="A3">
        <v>2</v>
      </c>
      <c r="B3" s="181" t="s">
        <v>193</v>
      </c>
      <c r="C3">
        <v>0</v>
      </c>
    </row>
    <row r="4" spans="1:3" x14ac:dyDescent="0.15">
      <c r="A4">
        <v>3</v>
      </c>
      <c r="B4" s="181" t="s">
        <v>194</v>
      </c>
      <c r="C4">
        <v>0.8</v>
      </c>
    </row>
    <row r="5" spans="1:3" x14ac:dyDescent="0.15">
      <c r="A5">
        <v>4</v>
      </c>
      <c r="B5" s="181" t="s">
        <v>195</v>
      </c>
      <c r="C5">
        <v>0.8</v>
      </c>
    </row>
    <row r="6" spans="1:3" x14ac:dyDescent="0.15">
      <c r="A6">
        <v>5</v>
      </c>
      <c r="B6" s="181" t="s">
        <v>196</v>
      </c>
      <c r="C6">
        <v>0.8</v>
      </c>
    </row>
    <row r="7" spans="1:3" x14ac:dyDescent="0.15">
      <c r="A7">
        <v>6</v>
      </c>
      <c r="B7" s="181" t="s">
        <v>197</v>
      </c>
      <c r="C7">
        <v>0.8</v>
      </c>
    </row>
    <row r="8" spans="1:3" x14ac:dyDescent="0.15">
      <c r="A8">
        <v>7</v>
      </c>
      <c r="B8" s="181" t="s">
        <v>198</v>
      </c>
      <c r="C8">
        <v>0</v>
      </c>
    </row>
    <row r="9" spans="1:3" x14ac:dyDescent="0.15">
      <c r="A9">
        <v>8</v>
      </c>
      <c r="B9" s="181" t="s">
        <v>199</v>
      </c>
      <c r="C9">
        <v>0.8</v>
      </c>
    </row>
    <row r="10" spans="1:3" x14ac:dyDescent="0.15">
      <c r="A10">
        <v>9</v>
      </c>
      <c r="B10" s="181" t="s">
        <v>200</v>
      </c>
      <c r="C10">
        <v>0.8</v>
      </c>
    </row>
    <row r="11" spans="1:3" x14ac:dyDescent="0.15">
      <c r="A11">
        <v>10</v>
      </c>
      <c r="B11" s="181" t="s">
        <v>201</v>
      </c>
      <c r="C11">
        <v>0.8</v>
      </c>
    </row>
    <row r="12" spans="1:3" x14ac:dyDescent="0.15">
      <c r="A12">
        <v>11</v>
      </c>
      <c r="B12" s="181" t="s">
        <v>202</v>
      </c>
      <c r="C12">
        <v>0.8</v>
      </c>
    </row>
    <row r="13" spans="1:3" x14ac:dyDescent="0.15">
      <c r="A13">
        <v>12</v>
      </c>
      <c r="B13" s="181" t="s">
        <v>203</v>
      </c>
      <c r="C13">
        <v>0.8</v>
      </c>
    </row>
    <row r="14" spans="1:3" x14ac:dyDescent="0.15">
      <c r="A14">
        <v>13</v>
      </c>
      <c r="B14" s="181" t="s">
        <v>204</v>
      </c>
      <c r="C14">
        <v>0.8</v>
      </c>
    </row>
    <row r="15" spans="1:3" x14ac:dyDescent="0.15">
      <c r="A15">
        <v>14</v>
      </c>
      <c r="B15" s="181" t="s">
        <v>205</v>
      </c>
      <c r="C15">
        <v>0</v>
      </c>
    </row>
    <row r="16" spans="1:3" x14ac:dyDescent="0.15">
      <c r="A16">
        <v>15</v>
      </c>
      <c r="B16" s="181" t="s">
        <v>206</v>
      </c>
      <c r="C16">
        <v>0.8</v>
      </c>
    </row>
    <row r="17" spans="1:3" x14ac:dyDescent="0.15">
      <c r="A17">
        <v>16</v>
      </c>
      <c r="B17" s="181" t="s">
        <v>207</v>
      </c>
      <c r="C17">
        <v>0</v>
      </c>
    </row>
    <row r="18" spans="1:3" x14ac:dyDescent="0.15">
      <c r="A18">
        <v>17</v>
      </c>
      <c r="B18" s="181" t="s">
        <v>208</v>
      </c>
      <c r="C18">
        <v>0</v>
      </c>
    </row>
    <row r="19" spans="1:3" x14ac:dyDescent="0.15">
      <c r="A19">
        <v>18</v>
      </c>
      <c r="B19" s="181" t="s">
        <v>209</v>
      </c>
      <c r="C19">
        <v>0</v>
      </c>
    </row>
    <row r="20" spans="1:3" x14ac:dyDescent="0.15">
      <c r="A20">
        <v>19</v>
      </c>
      <c r="B20" s="181" t="s">
        <v>210</v>
      </c>
      <c r="C20">
        <v>0</v>
      </c>
    </row>
    <row r="21" spans="1:3" x14ac:dyDescent="0.15">
      <c r="A21">
        <v>20</v>
      </c>
      <c r="B21" s="181" t="s">
        <v>211</v>
      </c>
      <c r="C21">
        <v>0</v>
      </c>
    </row>
    <row r="22" spans="1:3" x14ac:dyDescent="0.15">
      <c r="A22">
        <v>21</v>
      </c>
      <c r="B22" s="181" t="s">
        <v>212</v>
      </c>
      <c r="C22">
        <v>0</v>
      </c>
    </row>
    <row r="23" spans="1:3" x14ac:dyDescent="0.15">
      <c r="A23">
        <v>22</v>
      </c>
      <c r="B23" s="181" t="s">
        <v>213</v>
      </c>
      <c r="C23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G17" sqref="G17"/>
    </sheetView>
  </sheetViews>
  <sheetFormatPr baseColWidth="10" defaultColWidth="8.83203125" defaultRowHeight="15" customHeight="1" x14ac:dyDescent="0.15"/>
  <cols>
    <col min="1" max="1" width="8.83203125" style="78"/>
    <col min="2" max="2" width="41.83203125" style="78" bestFit="1" customWidth="1"/>
    <col min="3" max="3" width="9.33203125" style="78" bestFit="1" customWidth="1"/>
    <col min="4" max="4" width="13" style="78" bestFit="1" customWidth="1"/>
    <col min="5" max="6" width="9.33203125" style="78" bestFit="1" customWidth="1"/>
    <col min="7" max="7" width="9.33203125" style="94" bestFit="1" customWidth="1"/>
    <col min="8" max="8" width="9.33203125" style="78" bestFit="1" customWidth="1"/>
    <col min="9" max="9" width="11" style="78" customWidth="1"/>
    <col min="10" max="10" width="8.83203125" style="78"/>
    <col min="15" max="16384" width="8.83203125" style="78"/>
  </cols>
  <sheetData>
    <row r="1" spans="1:10" ht="15" customHeight="1" x14ac:dyDescent="0.15">
      <c r="A1" s="4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33" t="s">
        <v>14</v>
      </c>
      <c r="H1" s="1" t="s">
        <v>26</v>
      </c>
      <c r="I1" s="1" t="s">
        <v>24</v>
      </c>
    </row>
    <row r="2" spans="1:10" ht="15" customHeight="1" x14ac:dyDescent="0.15">
      <c r="A2" s="141">
        <v>1</v>
      </c>
      <c r="B2" s="141" t="s">
        <v>192</v>
      </c>
      <c r="C2" s="8">
        <v>4.313056468963623</v>
      </c>
      <c r="D2" s="9">
        <v>9.9999997764825821E-3</v>
      </c>
      <c r="E2" s="9">
        <v>5.000000074505806E-2</v>
      </c>
      <c r="F2" s="9">
        <v>28</v>
      </c>
      <c r="G2" s="7">
        <v>0</v>
      </c>
      <c r="H2" s="9">
        <v>1.7857142956927419E-3</v>
      </c>
      <c r="I2">
        <v>0</v>
      </c>
      <c r="J2"/>
    </row>
    <row r="3" spans="1:10" ht="15" customHeight="1" x14ac:dyDescent="0.15">
      <c r="A3" s="142">
        <v>2</v>
      </c>
      <c r="B3" s="142" t="s">
        <v>193</v>
      </c>
      <c r="C3" s="8">
        <v>4.1149325370788574</v>
      </c>
      <c r="D3" s="9">
        <v>1.0999999940395355E-2</v>
      </c>
      <c r="E3" s="9">
        <v>7.0000000298023224E-2</v>
      </c>
      <c r="F3" s="9">
        <v>70</v>
      </c>
      <c r="G3" s="7">
        <v>0</v>
      </c>
      <c r="H3" s="9">
        <v>1.0000000474974513E-3</v>
      </c>
      <c r="I3">
        <v>0</v>
      </c>
      <c r="J3"/>
    </row>
    <row r="4" spans="1:10" ht="15" customHeight="1" x14ac:dyDescent="0.15">
      <c r="A4" s="143">
        <v>3</v>
      </c>
      <c r="B4" s="143" t="s">
        <v>194</v>
      </c>
      <c r="C4" s="8">
        <v>3.955329418182373</v>
      </c>
      <c r="D4" s="9">
        <v>0.15000000596046448</v>
      </c>
      <c r="E4" s="9">
        <v>0.69999998807907104</v>
      </c>
      <c r="F4" s="9">
        <v>7.9000000953674316</v>
      </c>
      <c r="G4" s="9">
        <v>0.93002617359161377</v>
      </c>
      <c r="H4" s="9">
        <v>8.860759437084198E-2</v>
      </c>
      <c r="I4">
        <v>1.4000000432133675E-2</v>
      </c>
      <c r="J4"/>
    </row>
    <row r="5" spans="1:10" ht="15" customHeight="1" x14ac:dyDescent="0.15">
      <c r="A5" s="144">
        <v>4</v>
      </c>
      <c r="B5" s="144" t="s">
        <v>195</v>
      </c>
      <c r="C5" s="8">
        <v>4.5615863800048828</v>
      </c>
      <c r="D5" s="9">
        <v>0.10000000149011612</v>
      </c>
      <c r="E5" s="9">
        <v>0.60000002384185791</v>
      </c>
      <c r="F5" s="9">
        <v>2.7999999523162842</v>
      </c>
      <c r="G5" s="9">
        <v>0.92666661739349365</v>
      </c>
      <c r="H5" s="9">
        <v>0.21428573131561279</v>
      </c>
      <c r="I5">
        <v>5.000000074505806E-2</v>
      </c>
      <c r="J5"/>
    </row>
    <row r="6" spans="1:10" ht="15" customHeight="1" x14ac:dyDescent="0.15">
      <c r="A6" s="145">
        <v>5</v>
      </c>
      <c r="B6" s="145" t="s">
        <v>196</v>
      </c>
      <c r="C6" s="8">
        <v>4.3791384696960449</v>
      </c>
      <c r="D6" s="9">
        <v>0.10000000149011612</v>
      </c>
      <c r="E6" s="9">
        <v>0.75</v>
      </c>
      <c r="F6" s="9">
        <v>4.3000001907348633</v>
      </c>
      <c r="G6" s="9">
        <v>0.93973332643508911</v>
      </c>
      <c r="H6" s="9">
        <v>0.17441859841346741</v>
      </c>
      <c r="I6">
        <v>5.000000074505806E-2</v>
      </c>
      <c r="J6"/>
    </row>
    <row r="7" spans="1:10" ht="15" customHeight="1" x14ac:dyDescent="0.15">
      <c r="A7" s="146">
        <v>6</v>
      </c>
      <c r="B7" s="146" t="s">
        <v>197</v>
      </c>
      <c r="C7" s="8">
        <v>4.677548885345459</v>
      </c>
      <c r="D7" s="9">
        <v>3.5999998450279236E-2</v>
      </c>
      <c r="E7" s="9">
        <v>0.75</v>
      </c>
      <c r="F7" s="9">
        <v>3.5999999046325684</v>
      </c>
      <c r="G7" s="9">
        <v>0.97718518972396851</v>
      </c>
      <c r="H7" s="9">
        <v>0.2083333432674408</v>
      </c>
      <c r="I7">
        <v>9.9999997764825821E-3</v>
      </c>
      <c r="J7"/>
    </row>
    <row r="8" spans="1:10" ht="15" customHeight="1" x14ac:dyDescent="0.15">
      <c r="A8" s="147">
        <v>7</v>
      </c>
      <c r="B8" s="147" t="s">
        <v>198</v>
      </c>
      <c r="C8" s="8">
        <v>4.314368724822998</v>
      </c>
      <c r="D8" s="9">
        <v>3.5999998450279236E-2</v>
      </c>
      <c r="E8" s="9">
        <v>1</v>
      </c>
      <c r="F8" s="9">
        <v>4</v>
      </c>
      <c r="G8" s="9">
        <v>0.94518196582794189</v>
      </c>
      <c r="H8" s="9">
        <v>0.25</v>
      </c>
      <c r="I8">
        <v>0</v>
      </c>
      <c r="J8"/>
    </row>
    <row r="9" spans="1:10" ht="15" customHeight="1" x14ac:dyDescent="0.15">
      <c r="A9" s="148">
        <v>8</v>
      </c>
      <c r="B9" s="148" t="s">
        <v>199</v>
      </c>
      <c r="C9" s="8">
        <v>4.4561429023742676</v>
      </c>
      <c r="D9" s="9">
        <v>1.6000000759959221E-2</v>
      </c>
      <c r="E9" s="9">
        <v>0.80000001192092896</v>
      </c>
      <c r="F9" s="9">
        <v>4</v>
      </c>
      <c r="G9" s="9">
        <v>0.93687492609024048</v>
      </c>
      <c r="H9" s="9">
        <v>0.20000000298023224</v>
      </c>
      <c r="I9">
        <v>1.0000000474974513E-3</v>
      </c>
      <c r="J9"/>
    </row>
    <row r="10" spans="1:10" ht="15" customHeight="1" x14ac:dyDescent="0.15">
      <c r="A10" s="149">
        <v>9</v>
      </c>
      <c r="B10" s="149" t="s">
        <v>200</v>
      </c>
      <c r="C10" s="8">
        <v>4.2139878273010254</v>
      </c>
      <c r="D10" s="9">
        <v>8.6000002920627594E-2</v>
      </c>
      <c r="E10" s="9">
        <v>1.8999999761581421</v>
      </c>
      <c r="F10" s="9">
        <v>6.5</v>
      </c>
      <c r="G10" s="9">
        <v>0.95659953355789185</v>
      </c>
      <c r="H10" s="9">
        <v>0.29230767488479614</v>
      </c>
      <c r="I10">
        <v>1.9999999552965164E-2</v>
      </c>
      <c r="J10"/>
    </row>
    <row r="11" spans="1:10" ht="15" customHeight="1" x14ac:dyDescent="0.15">
      <c r="A11" s="150">
        <v>10</v>
      </c>
      <c r="B11" s="150" t="s">
        <v>201</v>
      </c>
      <c r="C11" s="8">
        <v>4.5771341323852539</v>
      </c>
      <c r="D11" s="9">
        <v>5.4000001400709152E-2</v>
      </c>
      <c r="E11" s="9">
        <v>1</v>
      </c>
      <c r="F11" s="9">
        <v>5.5</v>
      </c>
      <c r="G11" s="9">
        <v>0.97582501173019409</v>
      </c>
      <c r="H11" s="9">
        <v>0.18181818723678589</v>
      </c>
      <c r="I11">
        <v>1.4999999664723873E-2</v>
      </c>
      <c r="J11"/>
    </row>
    <row r="12" spans="1:10" ht="15" customHeight="1" x14ac:dyDescent="0.15">
      <c r="A12" s="151">
        <v>11</v>
      </c>
      <c r="B12" s="151" t="s">
        <v>202</v>
      </c>
      <c r="C12" s="8">
        <v>4.6631355285644531</v>
      </c>
      <c r="D12" s="9">
        <v>4.8999998718500137E-2</v>
      </c>
      <c r="E12" s="9">
        <v>1.1000000238418579</v>
      </c>
      <c r="F12" s="9">
        <v>5.1999998092651367</v>
      </c>
      <c r="G12" s="9">
        <v>0.95769941806793213</v>
      </c>
      <c r="H12" s="9">
        <v>0.21153847873210907</v>
      </c>
      <c r="I12">
        <v>1.9999999552965164E-2</v>
      </c>
      <c r="J12"/>
    </row>
    <row r="13" spans="1:10" ht="15" customHeight="1" x14ac:dyDescent="0.15">
      <c r="A13" s="152">
        <v>12</v>
      </c>
      <c r="B13" s="152" t="s">
        <v>203</v>
      </c>
      <c r="C13" s="8">
        <v>3.9482090473175049</v>
      </c>
      <c r="D13" s="9">
        <v>0.18400000035762787</v>
      </c>
      <c r="E13" s="9">
        <v>2.2999999523162842</v>
      </c>
      <c r="F13" s="9">
        <v>8</v>
      </c>
      <c r="G13" s="9">
        <v>0.85980457067489624</v>
      </c>
      <c r="H13" s="9">
        <v>0.28749999403953552</v>
      </c>
      <c r="I13">
        <v>1.4999999664723873E-2</v>
      </c>
      <c r="J13"/>
    </row>
    <row r="14" spans="1:10" ht="15" customHeight="1" x14ac:dyDescent="0.15">
      <c r="A14" s="153">
        <v>13</v>
      </c>
      <c r="B14" s="153" t="s">
        <v>204</v>
      </c>
      <c r="C14" s="8">
        <v>3.130000114440918</v>
      </c>
      <c r="D14" s="9">
        <v>0.37999999523162842</v>
      </c>
      <c r="E14" s="9">
        <v>4.8000001907348633</v>
      </c>
      <c r="F14" s="9">
        <v>20</v>
      </c>
      <c r="G14" s="9">
        <v>0.97407734394073486</v>
      </c>
      <c r="H14" s="9">
        <v>0.24000000953674316</v>
      </c>
      <c r="I14">
        <v>1.9999999552965164E-2</v>
      </c>
      <c r="J14"/>
    </row>
    <row r="15" spans="1:10" ht="15" customHeight="1" x14ac:dyDescent="0.15">
      <c r="A15" s="154">
        <v>14</v>
      </c>
      <c r="B15" s="154" t="s">
        <v>205</v>
      </c>
      <c r="C15" s="8">
        <v>3.6466512680053711</v>
      </c>
      <c r="D15" s="9">
        <v>0.19499999284744263</v>
      </c>
      <c r="E15" s="9">
        <v>2.2999999523162842</v>
      </c>
      <c r="F15" s="9">
        <v>11</v>
      </c>
      <c r="G15" s="9">
        <v>0.96537846326828003</v>
      </c>
      <c r="H15" s="9">
        <v>0.20909090340137482</v>
      </c>
      <c r="I15">
        <v>0</v>
      </c>
      <c r="J15"/>
    </row>
    <row r="16" spans="1:10" ht="15" customHeight="1" x14ac:dyDescent="0.15">
      <c r="A16" s="155">
        <v>15</v>
      </c>
      <c r="B16" s="155" t="s">
        <v>206</v>
      </c>
      <c r="C16" s="8">
        <v>3.1634533405303955</v>
      </c>
      <c r="D16" s="9">
        <v>0.13099999725818634</v>
      </c>
      <c r="E16" s="9">
        <v>6</v>
      </c>
      <c r="F16" s="9">
        <v>21</v>
      </c>
      <c r="G16" s="9">
        <v>0.95582515001296997</v>
      </c>
      <c r="H16" s="9">
        <v>0.28571429848670959</v>
      </c>
      <c r="I16">
        <v>4.0000001899898052E-3</v>
      </c>
      <c r="J16"/>
    </row>
    <row r="17" spans="1:10" ht="15" customHeight="1" x14ac:dyDescent="0.15">
      <c r="A17" s="156">
        <v>16</v>
      </c>
      <c r="B17" s="156" t="s">
        <v>207</v>
      </c>
      <c r="C17" s="8">
        <v>3.3030226230621338</v>
      </c>
      <c r="D17" s="9">
        <v>0.55500000715255737</v>
      </c>
      <c r="E17" s="9">
        <v>3.9000000953674316</v>
      </c>
      <c r="F17" s="9">
        <v>15</v>
      </c>
      <c r="G17" s="9">
        <v>0.95341992378234863</v>
      </c>
      <c r="H17" s="9">
        <v>0.26000002026557922</v>
      </c>
      <c r="I17">
        <v>0</v>
      </c>
      <c r="J17"/>
    </row>
    <row r="18" spans="1:10" ht="15" customHeight="1" x14ac:dyDescent="0.15">
      <c r="A18" s="157">
        <v>17</v>
      </c>
      <c r="B18" s="157" t="s">
        <v>208</v>
      </c>
      <c r="C18" s="8">
        <v>2.8238451480865479</v>
      </c>
      <c r="D18" s="9">
        <v>1.628000020980835</v>
      </c>
      <c r="E18" s="9">
        <v>5.5</v>
      </c>
      <c r="F18" s="9">
        <v>19</v>
      </c>
      <c r="G18" s="9">
        <v>0.98073345422744751</v>
      </c>
      <c r="H18" s="9">
        <v>0.28947368264198303</v>
      </c>
      <c r="I18">
        <v>0</v>
      </c>
      <c r="J18"/>
    </row>
    <row r="19" spans="1:10" ht="15" customHeight="1" x14ac:dyDescent="0.15">
      <c r="A19" s="158">
        <v>18</v>
      </c>
      <c r="B19" s="158" t="s">
        <v>209</v>
      </c>
      <c r="C19" s="8">
        <v>2.2555556297302246</v>
      </c>
      <c r="D19" s="9">
        <v>2.2599999904632568</v>
      </c>
      <c r="E19" s="9">
        <v>28</v>
      </c>
      <c r="F19" s="9">
        <v>150</v>
      </c>
      <c r="G19" s="9">
        <v>0.7460131049156189</v>
      </c>
      <c r="H19" s="9">
        <v>0.18666666746139526</v>
      </c>
      <c r="I19">
        <v>0</v>
      </c>
      <c r="J19"/>
    </row>
    <row r="20" spans="1:10" ht="15" customHeight="1" x14ac:dyDescent="0.15">
      <c r="A20" s="159">
        <v>19</v>
      </c>
      <c r="B20" s="159" t="s">
        <v>210</v>
      </c>
      <c r="C20" s="8">
        <v>1</v>
      </c>
      <c r="D20" s="9">
        <v>3.75</v>
      </c>
      <c r="E20" s="9">
        <v>100</v>
      </c>
      <c r="F20" s="10"/>
      <c r="G20" s="9">
        <v>0.72727882862091064</v>
      </c>
      <c r="H20" s="10"/>
      <c r="I20">
        <v>0</v>
      </c>
      <c r="J20"/>
    </row>
    <row r="21" spans="1:10" ht="15" customHeight="1" x14ac:dyDescent="0.15">
      <c r="A21" s="160">
        <v>20</v>
      </c>
      <c r="B21" s="160" t="s">
        <v>211</v>
      </c>
      <c r="C21" s="8">
        <v>2</v>
      </c>
      <c r="D21" s="9">
        <v>0.69999998807907104</v>
      </c>
      <c r="E21" s="9">
        <v>170</v>
      </c>
      <c r="F21" s="9">
        <v>400</v>
      </c>
      <c r="G21" s="9">
        <v>0.52232414484024048</v>
      </c>
      <c r="H21" s="9">
        <v>0.42500001192092896</v>
      </c>
      <c r="I21">
        <v>0</v>
      </c>
      <c r="J21"/>
    </row>
    <row r="22" spans="1:10" ht="15" customHeight="1" x14ac:dyDescent="0.15">
      <c r="A22" s="161">
        <v>21</v>
      </c>
      <c r="B22" s="161" t="s">
        <v>212</v>
      </c>
      <c r="C22" s="8">
        <v>1</v>
      </c>
      <c r="D22" s="9">
        <v>1</v>
      </c>
      <c r="E22" s="10"/>
      <c r="F22" s="10"/>
      <c r="G22" s="7">
        <v>0.90040361881256104</v>
      </c>
      <c r="H22" s="10"/>
      <c r="I22">
        <v>0</v>
      </c>
      <c r="J22"/>
    </row>
    <row r="23" spans="1:10" ht="15" customHeight="1" x14ac:dyDescent="0.15">
      <c r="A23" s="162">
        <v>22</v>
      </c>
      <c r="B23" s="162" t="s">
        <v>213</v>
      </c>
      <c r="C23" s="8">
        <v>1</v>
      </c>
      <c r="D23" s="9">
        <v>5</v>
      </c>
      <c r="E23" s="10"/>
      <c r="F23" s="10"/>
      <c r="G23" s="7">
        <v>0</v>
      </c>
      <c r="H23" s="10"/>
      <c r="I23">
        <v>0</v>
      </c>
      <c r="J23"/>
    </row>
    <row r="24" spans="1:10" ht="15" customHeight="1" x14ac:dyDescent="0.15">
      <c r="A24" s="163">
        <v>23</v>
      </c>
      <c r="B24" s="163" t="s">
        <v>214</v>
      </c>
      <c r="C24" s="8">
        <v>5.2662968635559082</v>
      </c>
      <c r="D24" s="10"/>
      <c r="E24" s="10"/>
      <c r="F24" s="10"/>
      <c r="G24" s="10"/>
      <c r="H24" s="10"/>
      <c r="I24">
        <v>0.21899998188018799</v>
      </c>
      <c r="J24"/>
    </row>
    <row r="25" spans="1:10" ht="15" customHeight="1" x14ac:dyDescent="0.15">
      <c r="A25"/>
      <c r="B25"/>
      <c r="C25"/>
      <c r="D25"/>
      <c r="E25"/>
      <c r="F25"/>
      <c r="G25"/>
      <c r="H25"/>
      <c r="I25"/>
      <c r="J25"/>
    </row>
    <row r="26" spans="1:10" ht="15" customHeight="1" x14ac:dyDescent="0.15">
      <c r="A26"/>
      <c r="B26"/>
      <c r="C26"/>
      <c r="D26"/>
      <c r="E26"/>
      <c r="F26"/>
      <c r="G26"/>
      <c r="H26"/>
      <c r="I26"/>
      <c r="J26"/>
    </row>
    <row r="27" spans="1:10" ht="15" customHeight="1" x14ac:dyDescent="0.15">
      <c r="A27"/>
      <c r="B27"/>
      <c r="C27"/>
      <c r="D27"/>
      <c r="E27"/>
      <c r="F27"/>
      <c r="G27"/>
      <c r="H27"/>
      <c r="I27"/>
      <c r="J27"/>
    </row>
    <row r="28" spans="1:10" ht="15" customHeight="1" x14ac:dyDescent="0.15">
      <c r="A28"/>
      <c r="B28"/>
      <c r="C28"/>
      <c r="D28"/>
      <c r="E28"/>
      <c r="F28"/>
      <c r="G28"/>
      <c r="H28"/>
      <c r="I28"/>
      <c r="J28"/>
    </row>
    <row r="29" spans="1:10" ht="15" customHeight="1" x14ac:dyDescent="0.15">
      <c r="A29"/>
      <c r="B29"/>
      <c r="C29"/>
      <c r="D29"/>
      <c r="E29"/>
      <c r="F29"/>
      <c r="G29"/>
      <c r="H29"/>
      <c r="I29"/>
      <c r="J29"/>
    </row>
    <row r="30" spans="1:10" ht="15" customHeight="1" x14ac:dyDescent="0.15">
      <c r="A30"/>
      <c r="B30"/>
      <c r="C30"/>
      <c r="D30"/>
      <c r="E30"/>
      <c r="F30"/>
      <c r="G30"/>
      <c r="H30"/>
      <c r="I30"/>
      <c r="J30"/>
    </row>
    <row r="31" spans="1:10" ht="15" customHeight="1" x14ac:dyDescent="0.15">
      <c r="A31"/>
      <c r="B31"/>
      <c r="C31"/>
      <c r="D31"/>
      <c r="E31"/>
      <c r="F31"/>
      <c r="G31"/>
      <c r="H31"/>
      <c r="I31"/>
      <c r="J31"/>
    </row>
    <row r="32" spans="1:10" ht="15" customHeight="1" x14ac:dyDescent="0.15">
      <c r="A32"/>
      <c r="B32"/>
      <c r="C32"/>
      <c r="D32"/>
      <c r="E32"/>
      <c r="F32"/>
      <c r="G32"/>
      <c r="H32"/>
      <c r="I32"/>
      <c r="J32"/>
    </row>
    <row r="33" spans="1:10" ht="15" customHeight="1" x14ac:dyDescent="0.15">
      <c r="A33"/>
      <c r="B33"/>
      <c r="C33"/>
      <c r="D33"/>
      <c r="E33"/>
      <c r="F33"/>
      <c r="G33"/>
      <c r="H33"/>
      <c r="I33"/>
      <c r="J33"/>
    </row>
    <row r="34" spans="1:10" ht="15" customHeight="1" x14ac:dyDescent="0.15">
      <c r="A34"/>
      <c r="B34"/>
      <c r="C34"/>
      <c r="D34"/>
      <c r="E34"/>
      <c r="F34"/>
      <c r="G34"/>
      <c r="H34"/>
      <c r="I34"/>
      <c r="J34"/>
    </row>
    <row r="35" spans="1:10" ht="15" customHeight="1" x14ac:dyDescent="0.15">
      <c r="A35"/>
      <c r="B35"/>
      <c r="C35"/>
      <c r="D35"/>
      <c r="E35"/>
      <c r="F35"/>
      <c r="G35"/>
      <c r="H35"/>
      <c r="I35"/>
      <c r="J35"/>
    </row>
    <row r="36" spans="1:10" ht="15" customHeight="1" x14ac:dyDescent="0.15">
      <c r="A36"/>
      <c r="B36"/>
      <c r="C36"/>
      <c r="D36"/>
      <c r="E36"/>
      <c r="F36"/>
      <c r="G36"/>
      <c r="H36"/>
      <c r="I36"/>
      <c r="J36"/>
    </row>
    <row r="37" spans="1:10" ht="15" customHeight="1" x14ac:dyDescent="0.15">
      <c r="A37"/>
      <c r="B37"/>
      <c r="C37"/>
      <c r="D37"/>
      <c r="E37"/>
      <c r="F37"/>
      <c r="G37"/>
      <c r="H37"/>
      <c r="I37"/>
      <c r="J37"/>
    </row>
    <row r="38" spans="1:10" ht="15" customHeight="1" x14ac:dyDescent="0.15">
      <c r="A38"/>
      <c r="B38"/>
      <c r="C38"/>
      <c r="D38"/>
      <c r="E38"/>
      <c r="F38"/>
      <c r="G38"/>
      <c r="H38"/>
      <c r="I38"/>
      <c r="J38"/>
    </row>
    <row r="39" spans="1:10" ht="15" customHeight="1" x14ac:dyDescent="0.15">
      <c r="A39"/>
      <c r="B39"/>
      <c r="C39"/>
      <c r="D39"/>
      <c r="E39"/>
      <c r="F39"/>
      <c r="G39"/>
      <c r="H39"/>
      <c r="I39"/>
      <c r="J39"/>
    </row>
    <row r="40" spans="1:10" ht="15" customHeight="1" x14ac:dyDescent="0.15">
      <c r="A40"/>
      <c r="B40"/>
      <c r="C40"/>
      <c r="D40"/>
      <c r="E40"/>
      <c r="F40"/>
      <c r="G40"/>
      <c r="H40"/>
      <c r="I40"/>
      <c r="J40"/>
    </row>
    <row r="41" spans="1:10" ht="15" customHeight="1" x14ac:dyDescent="0.15">
      <c r="A41"/>
      <c r="B41"/>
      <c r="C41"/>
      <c r="D41"/>
      <c r="E41"/>
      <c r="F41"/>
      <c r="G41"/>
      <c r="H41"/>
      <c r="I41"/>
      <c r="J41"/>
    </row>
    <row r="42" spans="1:10" ht="15" customHeight="1" x14ac:dyDescent="0.15">
      <c r="A42"/>
      <c r="B42"/>
      <c r="C42"/>
      <c r="D42"/>
      <c r="E42"/>
      <c r="F42"/>
      <c r="G42"/>
      <c r="H42"/>
      <c r="I42"/>
      <c r="J42"/>
    </row>
    <row r="43" spans="1:10" ht="15" customHeight="1" x14ac:dyDescent="0.15">
      <c r="A43"/>
      <c r="B43"/>
      <c r="C43"/>
      <c r="D43"/>
      <c r="E43"/>
      <c r="F43"/>
      <c r="G43"/>
      <c r="H43"/>
      <c r="I43"/>
      <c r="J43"/>
    </row>
    <row r="44" spans="1:10" ht="15" customHeight="1" x14ac:dyDescent="0.15">
      <c r="A44"/>
      <c r="B44"/>
      <c r="C44"/>
      <c r="D44"/>
      <c r="E44"/>
      <c r="F44"/>
      <c r="G44"/>
      <c r="H44"/>
      <c r="I44"/>
      <c r="J44"/>
    </row>
    <row r="45" spans="1:10" ht="15" customHeight="1" x14ac:dyDescent="0.15">
      <c r="A45"/>
      <c r="B45"/>
      <c r="C45"/>
      <c r="D45"/>
      <c r="E45"/>
      <c r="F45"/>
      <c r="G45"/>
      <c r="H45"/>
      <c r="I45"/>
      <c r="J45"/>
    </row>
    <row r="46" spans="1:10" ht="15" customHeight="1" x14ac:dyDescent="0.15">
      <c r="A46"/>
      <c r="B46"/>
      <c r="C46"/>
      <c r="D46"/>
      <c r="E46"/>
      <c r="F46"/>
      <c r="G46"/>
      <c r="H46"/>
      <c r="I46"/>
      <c r="J46"/>
    </row>
    <row r="47" spans="1:10" ht="15" customHeight="1" x14ac:dyDescent="0.15">
      <c r="A47"/>
      <c r="B47"/>
      <c r="C47"/>
      <c r="D47"/>
      <c r="E47"/>
      <c r="F47"/>
      <c r="G47"/>
      <c r="H47"/>
      <c r="I47"/>
      <c r="J47"/>
    </row>
    <row r="48" spans="1:10" ht="15" customHeight="1" x14ac:dyDescent="0.15">
      <c r="A48"/>
      <c r="B48"/>
      <c r="C48"/>
      <c r="D48"/>
      <c r="E48"/>
      <c r="F48"/>
      <c r="G48"/>
      <c r="H48"/>
      <c r="I48"/>
      <c r="J48"/>
    </row>
    <row r="49" spans="1:10" ht="15" customHeight="1" x14ac:dyDescent="0.15">
      <c r="A49"/>
      <c r="B49"/>
      <c r="C49"/>
      <c r="D49"/>
      <c r="E49"/>
      <c r="F49"/>
      <c r="G49"/>
      <c r="H49"/>
      <c r="I49"/>
      <c r="J49"/>
    </row>
    <row r="50" spans="1:10" ht="15" customHeight="1" x14ac:dyDescent="0.15">
      <c r="A50"/>
      <c r="B50"/>
      <c r="C50"/>
      <c r="D50"/>
      <c r="E50"/>
      <c r="F50"/>
      <c r="G50"/>
      <c r="H50"/>
      <c r="I50"/>
      <c r="J50"/>
    </row>
    <row r="51" spans="1:10" ht="15" customHeight="1" x14ac:dyDescent="0.15">
      <c r="A51"/>
      <c r="B51"/>
      <c r="C51"/>
      <c r="D51"/>
      <c r="E51"/>
      <c r="F51"/>
      <c r="G51"/>
      <c r="H51"/>
      <c r="I51"/>
      <c r="J51"/>
    </row>
    <row r="52" spans="1:10" ht="15" customHeight="1" x14ac:dyDescent="0.15">
      <c r="A52"/>
      <c r="B52"/>
      <c r="C52"/>
      <c r="D52"/>
      <c r="E52"/>
      <c r="F52"/>
      <c r="G52"/>
      <c r="H52"/>
      <c r="I52"/>
      <c r="J52"/>
    </row>
    <row r="53" spans="1:10" ht="15" customHeight="1" x14ac:dyDescent="0.15">
      <c r="A53"/>
      <c r="B53"/>
      <c r="C53"/>
      <c r="D53"/>
      <c r="E53"/>
      <c r="F53"/>
      <c r="G53"/>
      <c r="H53"/>
      <c r="I53"/>
      <c r="J53"/>
    </row>
    <row r="54" spans="1:10" ht="15" customHeight="1" x14ac:dyDescent="0.15">
      <c r="A54"/>
      <c r="B54"/>
      <c r="C54"/>
      <c r="D54"/>
      <c r="E54"/>
      <c r="F54"/>
      <c r="G54"/>
      <c r="H54"/>
      <c r="I54"/>
      <c r="J54"/>
    </row>
    <row r="55" spans="1:10" ht="15" customHeight="1" x14ac:dyDescent="0.15">
      <c r="A55"/>
      <c r="B55"/>
      <c r="C55"/>
      <c r="D55"/>
      <c r="E55"/>
      <c r="F55"/>
      <c r="G55"/>
      <c r="H55"/>
      <c r="I55"/>
      <c r="J55"/>
    </row>
    <row r="56" spans="1:10" ht="15" customHeight="1" x14ac:dyDescent="0.15">
      <c r="A56"/>
      <c r="B56"/>
      <c r="C56"/>
      <c r="D56"/>
      <c r="E56"/>
      <c r="F56"/>
      <c r="G56"/>
      <c r="H56"/>
      <c r="I56"/>
      <c r="J56"/>
    </row>
    <row r="57" spans="1:10" ht="15" customHeight="1" x14ac:dyDescent="0.15">
      <c r="A57"/>
      <c r="B57"/>
      <c r="C57"/>
      <c r="D57"/>
      <c r="E57"/>
      <c r="F57"/>
      <c r="G57"/>
      <c r="H57"/>
      <c r="I57"/>
      <c r="J57"/>
    </row>
    <row r="58" spans="1:10" ht="15" customHeight="1" x14ac:dyDescent="0.15">
      <c r="A58"/>
      <c r="B58"/>
      <c r="C58"/>
      <c r="D58"/>
      <c r="E58"/>
      <c r="F58"/>
      <c r="G58"/>
      <c r="H58"/>
      <c r="I58"/>
      <c r="J58"/>
    </row>
    <row r="59" spans="1:10" ht="15" customHeight="1" x14ac:dyDescent="0.15">
      <c r="A59"/>
      <c r="B59"/>
      <c r="C59"/>
      <c r="D59"/>
      <c r="E59"/>
      <c r="F59"/>
      <c r="G59"/>
      <c r="H59"/>
      <c r="I59"/>
      <c r="J59"/>
    </row>
    <row r="60" spans="1:10" ht="15" customHeight="1" x14ac:dyDescent="0.15">
      <c r="A60"/>
      <c r="B60"/>
      <c r="C60"/>
      <c r="D60"/>
      <c r="E60"/>
      <c r="F60"/>
      <c r="G60"/>
      <c r="H60"/>
      <c r="I60"/>
      <c r="J60"/>
    </row>
    <row r="61" spans="1:10" ht="15" customHeight="1" x14ac:dyDescent="0.15">
      <c r="A61"/>
      <c r="B61"/>
      <c r="C61"/>
      <c r="D61"/>
      <c r="E61"/>
      <c r="F61"/>
      <c r="G61"/>
      <c r="H61"/>
      <c r="I61"/>
      <c r="J61"/>
    </row>
    <row r="62" spans="1:10" ht="15" customHeight="1" x14ac:dyDescent="0.15">
      <c r="A62"/>
      <c r="B62"/>
      <c r="C62"/>
      <c r="D62"/>
      <c r="E62"/>
      <c r="F62"/>
      <c r="G62"/>
      <c r="H62"/>
      <c r="I62"/>
      <c r="J62"/>
    </row>
    <row r="63" spans="1:10" ht="15" customHeight="1" x14ac:dyDescent="0.15">
      <c r="A63"/>
      <c r="B63"/>
      <c r="C63"/>
      <c r="D63"/>
      <c r="E63"/>
      <c r="F63"/>
      <c r="G63"/>
      <c r="H63"/>
      <c r="I63"/>
      <c r="J63"/>
    </row>
    <row r="64" spans="1:10" ht="15" customHeight="1" x14ac:dyDescent="0.15">
      <c r="A64"/>
      <c r="B64"/>
      <c r="C64"/>
      <c r="D64"/>
      <c r="E64"/>
      <c r="F64"/>
      <c r="G64"/>
      <c r="H64"/>
      <c r="I64"/>
      <c r="J64"/>
    </row>
    <row r="65" spans="1:10" ht="15" customHeight="1" x14ac:dyDescent="0.15">
      <c r="A65"/>
      <c r="B65"/>
      <c r="C65"/>
      <c r="D65"/>
      <c r="E65"/>
      <c r="F65"/>
      <c r="G65"/>
      <c r="H65"/>
      <c r="I65"/>
      <c r="J65"/>
    </row>
    <row r="66" spans="1:10" ht="15" customHeight="1" x14ac:dyDescent="0.15">
      <c r="A66"/>
      <c r="B66"/>
      <c r="C66"/>
      <c r="D66"/>
      <c r="E66"/>
      <c r="F66"/>
      <c r="G66"/>
      <c r="H66"/>
      <c r="I66"/>
      <c r="J66"/>
    </row>
    <row r="67" spans="1:10" ht="15" customHeight="1" x14ac:dyDescent="0.15">
      <c r="A67"/>
      <c r="B67"/>
      <c r="C67"/>
      <c r="D67"/>
      <c r="E67"/>
      <c r="F67"/>
      <c r="G67"/>
      <c r="H67"/>
      <c r="I67"/>
      <c r="J67"/>
    </row>
    <row r="68" spans="1:10" ht="15" customHeight="1" x14ac:dyDescent="0.15">
      <c r="A68"/>
      <c r="B68"/>
      <c r="C68"/>
      <c r="D68"/>
      <c r="E68"/>
      <c r="F68"/>
      <c r="G68"/>
      <c r="H68"/>
      <c r="I68"/>
      <c r="J68"/>
    </row>
    <row r="69" spans="1:10" ht="15" customHeight="1" x14ac:dyDescent="0.15">
      <c r="A69"/>
      <c r="B69"/>
      <c r="C69"/>
      <c r="D69"/>
      <c r="E69"/>
      <c r="F69"/>
      <c r="G69"/>
      <c r="H69"/>
      <c r="I69"/>
      <c r="J69"/>
    </row>
    <row r="70" spans="1:10" ht="15" customHeight="1" x14ac:dyDescent="0.15">
      <c r="A70"/>
      <c r="B70"/>
      <c r="C70"/>
      <c r="D70"/>
      <c r="E70"/>
      <c r="F70"/>
      <c r="G70"/>
      <c r="H70"/>
      <c r="I70"/>
      <c r="J70"/>
    </row>
    <row r="71" spans="1:10" ht="15" customHeight="1" x14ac:dyDescent="0.15">
      <c r="A71"/>
      <c r="B71"/>
      <c r="C71"/>
      <c r="D71"/>
      <c r="E71"/>
      <c r="F71"/>
      <c r="G71"/>
      <c r="H71"/>
      <c r="I71"/>
      <c r="J71"/>
    </row>
    <row r="72" spans="1:10" ht="15" customHeight="1" x14ac:dyDescent="0.15">
      <c r="A72"/>
      <c r="B72"/>
      <c r="C72"/>
      <c r="D72"/>
      <c r="E72"/>
      <c r="F72"/>
      <c r="G72"/>
      <c r="H72"/>
      <c r="I72"/>
      <c r="J72"/>
    </row>
    <row r="73" spans="1:10" ht="15" customHeight="1" x14ac:dyDescent="0.15">
      <c r="A73"/>
      <c r="B73"/>
      <c r="C73"/>
      <c r="D73"/>
      <c r="E73"/>
      <c r="F73"/>
      <c r="G73"/>
      <c r="H73"/>
      <c r="I73"/>
      <c r="J73"/>
    </row>
    <row r="74" spans="1:10" ht="15" customHeight="1" x14ac:dyDescent="0.15">
      <c r="A74"/>
      <c r="B74"/>
      <c r="C74"/>
      <c r="D74"/>
      <c r="E74"/>
      <c r="F74"/>
      <c r="G74"/>
      <c r="H74"/>
      <c r="I74"/>
      <c r="J74"/>
    </row>
    <row r="75" spans="1:10" ht="15" customHeight="1" x14ac:dyDescent="0.15">
      <c r="A75"/>
      <c r="B75"/>
      <c r="C75"/>
      <c r="D75"/>
      <c r="E75"/>
      <c r="F75"/>
      <c r="G75"/>
      <c r="H75"/>
      <c r="I75"/>
      <c r="J75"/>
    </row>
    <row r="76" spans="1:10" ht="15" customHeight="1" x14ac:dyDescent="0.15">
      <c r="A76"/>
      <c r="B76"/>
      <c r="C76"/>
      <c r="D76"/>
      <c r="E76"/>
      <c r="F76"/>
      <c r="G76"/>
      <c r="H76"/>
      <c r="I76"/>
      <c r="J76"/>
    </row>
    <row r="77" spans="1:10" ht="15" customHeight="1" x14ac:dyDescent="0.15">
      <c r="A77"/>
      <c r="B77"/>
      <c r="C77"/>
      <c r="D77"/>
      <c r="E77"/>
      <c r="F77"/>
      <c r="G77"/>
      <c r="H77"/>
      <c r="I77"/>
      <c r="J77"/>
    </row>
    <row r="78" spans="1:10" ht="15" customHeight="1" x14ac:dyDescent="0.15">
      <c r="A78"/>
      <c r="B78"/>
      <c r="C78"/>
      <c r="D78"/>
      <c r="E78"/>
      <c r="F78"/>
      <c r="G78"/>
      <c r="H78"/>
      <c r="I78"/>
      <c r="J78"/>
    </row>
    <row r="79" spans="1:10" ht="15" customHeight="1" x14ac:dyDescent="0.15">
      <c r="A79"/>
      <c r="B79"/>
      <c r="C79"/>
      <c r="D79"/>
      <c r="E79"/>
      <c r="F79"/>
      <c r="G79"/>
      <c r="H79"/>
      <c r="I79"/>
      <c r="J79"/>
    </row>
    <row r="80" spans="1:10" ht="15" customHeight="1" x14ac:dyDescent="0.15">
      <c r="A80"/>
      <c r="B80"/>
      <c r="C80"/>
      <c r="D80"/>
      <c r="E80"/>
      <c r="F80"/>
      <c r="G80"/>
      <c r="H80"/>
      <c r="I80"/>
      <c r="J80"/>
    </row>
    <row r="81" spans="1:10" ht="15" customHeight="1" x14ac:dyDescent="0.15">
      <c r="A81"/>
      <c r="B81"/>
      <c r="C81"/>
      <c r="D81"/>
      <c r="E81"/>
      <c r="F81"/>
      <c r="G81"/>
      <c r="H81"/>
      <c r="I81"/>
      <c r="J81"/>
    </row>
    <row r="82" spans="1:10" ht="15" customHeight="1" x14ac:dyDescent="0.15">
      <c r="A82"/>
      <c r="B82"/>
      <c r="C82"/>
      <c r="D82"/>
      <c r="E82"/>
      <c r="F82"/>
      <c r="G82"/>
      <c r="H82"/>
      <c r="I82"/>
      <c r="J82"/>
    </row>
    <row r="83" spans="1:10" ht="15" customHeight="1" x14ac:dyDescent="0.15">
      <c r="A83"/>
      <c r="B83"/>
      <c r="C83"/>
      <c r="D83"/>
      <c r="E83"/>
      <c r="F83"/>
      <c r="G83"/>
      <c r="H83"/>
      <c r="I83"/>
      <c r="J83"/>
    </row>
    <row r="84" spans="1:10" ht="15" customHeight="1" x14ac:dyDescent="0.15">
      <c r="A84"/>
      <c r="B84"/>
      <c r="C84"/>
      <c r="D84"/>
      <c r="E84"/>
      <c r="F84"/>
      <c r="G84"/>
      <c r="H84"/>
      <c r="I84"/>
      <c r="J84"/>
    </row>
    <row r="85" spans="1:10" ht="15" customHeight="1" x14ac:dyDescent="0.15">
      <c r="A85"/>
      <c r="B85"/>
      <c r="C85"/>
      <c r="D85"/>
      <c r="E85"/>
      <c r="F85"/>
      <c r="G85"/>
      <c r="H85"/>
      <c r="I85"/>
      <c r="J85"/>
    </row>
    <row r="86" spans="1:10" ht="15" customHeight="1" x14ac:dyDescent="0.15">
      <c r="A86"/>
      <c r="B86"/>
      <c r="C86"/>
      <c r="D86"/>
      <c r="E86"/>
      <c r="F86"/>
      <c r="G86"/>
      <c r="H86"/>
      <c r="I86"/>
      <c r="J86"/>
    </row>
    <row r="87" spans="1:10" ht="15" customHeight="1" x14ac:dyDescent="0.15">
      <c r="A87"/>
      <c r="B87"/>
      <c r="C87"/>
      <c r="D87"/>
      <c r="E87"/>
      <c r="F87"/>
      <c r="G87"/>
      <c r="H87"/>
      <c r="I87"/>
      <c r="J87"/>
    </row>
    <row r="88" spans="1:10" ht="15" customHeight="1" x14ac:dyDescent="0.15">
      <c r="A88"/>
      <c r="B88"/>
      <c r="C88"/>
      <c r="D88"/>
      <c r="E88"/>
      <c r="F88"/>
      <c r="G88"/>
      <c r="H88"/>
      <c r="I88"/>
      <c r="J88"/>
    </row>
    <row r="89" spans="1:10" ht="15" customHeight="1" x14ac:dyDescent="0.15">
      <c r="A89"/>
      <c r="B89"/>
      <c r="C89"/>
      <c r="D89"/>
      <c r="E89"/>
      <c r="F89"/>
      <c r="G89"/>
      <c r="H89"/>
      <c r="I89"/>
      <c r="J89"/>
    </row>
    <row r="90" spans="1:10" ht="15" customHeight="1" x14ac:dyDescent="0.15">
      <c r="A90"/>
      <c r="B90"/>
      <c r="C90"/>
      <c r="D90"/>
      <c r="E90"/>
      <c r="F90"/>
      <c r="G90"/>
      <c r="H90"/>
      <c r="I90"/>
      <c r="J90"/>
    </row>
    <row r="91" spans="1:10" ht="15" customHeight="1" x14ac:dyDescent="0.15">
      <c r="A91"/>
      <c r="B91"/>
      <c r="C91"/>
      <c r="D91"/>
      <c r="E91"/>
      <c r="F91"/>
      <c r="G91"/>
      <c r="H91"/>
      <c r="I91"/>
      <c r="J91"/>
    </row>
    <row r="92" spans="1:10" ht="15" customHeight="1" x14ac:dyDescent="0.15">
      <c r="A92"/>
      <c r="B92"/>
      <c r="C92"/>
      <c r="D92"/>
      <c r="E92"/>
      <c r="F92"/>
      <c r="G92"/>
      <c r="H92"/>
      <c r="I92"/>
      <c r="J92"/>
    </row>
    <row r="93" spans="1:10" ht="15" customHeight="1" x14ac:dyDescent="0.15">
      <c r="A93"/>
      <c r="B93"/>
      <c r="C93"/>
      <c r="D93"/>
      <c r="E93"/>
      <c r="F93"/>
      <c r="G93"/>
      <c r="H93"/>
      <c r="I93"/>
      <c r="J93"/>
    </row>
    <row r="94" spans="1:10" ht="15" customHeight="1" x14ac:dyDescent="0.15">
      <c r="A94"/>
      <c r="B94"/>
      <c r="C94"/>
      <c r="D94"/>
      <c r="E94"/>
      <c r="F94"/>
      <c r="G94"/>
      <c r="H94"/>
      <c r="I94"/>
      <c r="J94"/>
    </row>
    <row r="95" spans="1:10" ht="15" customHeight="1" x14ac:dyDescent="0.15">
      <c r="A95"/>
      <c r="B95"/>
      <c r="C95"/>
      <c r="D95"/>
      <c r="E95"/>
      <c r="F95"/>
      <c r="G95"/>
      <c r="H95"/>
      <c r="I95"/>
      <c r="J95"/>
    </row>
    <row r="96" spans="1:10" ht="15" customHeight="1" x14ac:dyDescent="0.15">
      <c r="A96"/>
      <c r="B96"/>
      <c r="C96"/>
      <c r="D96"/>
      <c r="E96"/>
      <c r="F96"/>
      <c r="G96"/>
      <c r="H96"/>
      <c r="I96"/>
      <c r="J96"/>
    </row>
    <row r="97" spans="1:10" ht="15" customHeight="1" x14ac:dyDescent="0.15">
      <c r="A97"/>
      <c r="B97"/>
      <c r="C97"/>
      <c r="D97"/>
      <c r="E97"/>
      <c r="F97"/>
      <c r="G97"/>
      <c r="H97"/>
      <c r="I97"/>
      <c r="J97"/>
    </row>
    <row r="98" spans="1:10" ht="15" customHeight="1" x14ac:dyDescent="0.15">
      <c r="A98"/>
      <c r="B98"/>
      <c r="C98"/>
      <c r="D98"/>
      <c r="E98"/>
      <c r="F98"/>
      <c r="G98"/>
      <c r="H98"/>
      <c r="I98"/>
      <c r="J98"/>
    </row>
    <row r="99" spans="1:10" ht="15" customHeight="1" x14ac:dyDescent="0.15">
      <c r="A99"/>
      <c r="B99"/>
      <c r="C99"/>
      <c r="D99"/>
      <c r="E99"/>
      <c r="F99"/>
      <c r="G99"/>
      <c r="H99"/>
      <c r="I99"/>
      <c r="J99"/>
    </row>
    <row r="100" spans="1:10" ht="15" customHeight="1" x14ac:dyDescent="0.15">
      <c r="A100"/>
      <c r="B100"/>
      <c r="C100"/>
      <c r="D100"/>
      <c r="E100"/>
      <c r="F100"/>
      <c r="G100"/>
      <c r="H100"/>
      <c r="I100"/>
      <c r="J100"/>
    </row>
    <row r="101" spans="1:10" ht="15" customHeight="1" x14ac:dyDescent="0.15">
      <c r="A101"/>
      <c r="B101"/>
      <c r="C101"/>
      <c r="D101"/>
      <c r="E101"/>
      <c r="F101"/>
      <c r="G101"/>
      <c r="H101"/>
      <c r="I101"/>
      <c r="J101"/>
    </row>
    <row r="102" spans="1:10" ht="15" customHeight="1" x14ac:dyDescent="0.15">
      <c r="A102"/>
      <c r="B102"/>
      <c r="C102"/>
      <c r="D102"/>
      <c r="E102"/>
      <c r="F102"/>
      <c r="G102"/>
      <c r="H102"/>
      <c r="I102"/>
      <c r="J102"/>
    </row>
    <row r="103" spans="1:10" ht="15" customHeight="1" x14ac:dyDescent="0.15">
      <c r="A103"/>
      <c r="B103"/>
      <c r="C103"/>
      <c r="D103"/>
      <c r="E103"/>
      <c r="F103"/>
      <c r="G103"/>
      <c r="H103"/>
      <c r="I103"/>
      <c r="J103"/>
    </row>
    <row r="104" spans="1:10" ht="15" customHeight="1" x14ac:dyDescent="0.15">
      <c r="A104"/>
      <c r="B104"/>
      <c r="C104"/>
      <c r="D104"/>
      <c r="E104"/>
      <c r="F104"/>
      <c r="G104"/>
      <c r="H104"/>
      <c r="I104"/>
      <c r="J104"/>
    </row>
    <row r="105" spans="1:10" ht="15" customHeight="1" x14ac:dyDescent="0.15">
      <c r="A105"/>
      <c r="B105"/>
      <c r="C105"/>
      <c r="D105"/>
      <c r="E105"/>
      <c r="F105"/>
      <c r="G105"/>
      <c r="H105"/>
      <c r="I105"/>
      <c r="J105"/>
    </row>
    <row r="106" spans="1:10" ht="15" customHeight="1" x14ac:dyDescent="0.15">
      <c r="A106"/>
      <c r="B106"/>
      <c r="C106"/>
      <c r="D106"/>
      <c r="E106"/>
      <c r="F106"/>
      <c r="G106"/>
      <c r="H106"/>
      <c r="I106"/>
      <c r="J106"/>
    </row>
    <row r="107" spans="1:10" ht="15" customHeight="1" x14ac:dyDescent="0.15">
      <c r="A107"/>
      <c r="B107"/>
      <c r="C107"/>
      <c r="D107"/>
      <c r="E107"/>
      <c r="F107"/>
      <c r="G107"/>
      <c r="H107"/>
      <c r="I107"/>
      <c r="J107"/>
    </row>
    <row r="108" spans="1:10" ht="15" customHeight="1" x14ac:dyDescent="0.15">
      <c r="A108"/>
      <c r="B108"/>
      <c r="C108"/>
      <c r="D108"/>
      <c r="E108"/>
      <c r="F108"/>
      <c r="G108"/>
      <c r="H108"/>
      <c r="I108"/>
      <c r="J108"/>
    </row>
    <row r="109" spans="1:10" ht="15" customHeight="1" x14ac:dyDescent="0.15">
      <c r="A109"/>
      <c r="B109"/>
      <c r="C109"/>
      <c r="D109"/>
      <c r="E109"/>
      <c r="F109"/>
      <c r="G109"/>
      <c r="H109"/>
      <c r="I109"/>
      <c r="J109"/>
    </row>
    <row r="110" spans="1:10" ht="15" customHeight="1" x14ac:dyDescent="0.15">
      <c r="A110"/>
      <c r="B110"/>
      <c r="C110"/>
      <c r="D110"/>
      <c r="E110"/>
      <c r="F110"/>
      <c r="G110"/>
      <c r="H110"/>
      <c r="I110"/>
      <c r="J110"/>
    </row>
    <row r="111" spans="1:10" ht="15" customHeight="1" x14ac:dyDescent="0.15">
      <c r="A111"/>
      <c r="B111"/>
      <c r="C111"/>
      <c r="D111"/>
      <c r="E111"/>
      <c r="F111"/>
      <c r="G111"/>
      <c r="H111"/>
      <c r="I111"/>
      <c r="J111"/>
    </row>
    <row r="112" spans="1:10" ht="15" customHeight="1" x14ac:dyDescent="0.15">
      <c r="A112"/>
      <c r="B112"/>
      <c r="C112"/>
      <c r="D112"/>
      <c r="E112"/>
      <c r="F112"/>
      <c r="G112"/>
      <c r="H112"/>
      <c r="I112"/>
      <c r="J112"/>
    </row>
    <row r="113" spans="1:10" ht="15" customHeight="1" x14ac:dyDescent="0.15">
      <c r="A113"/>
      <c r="B113"/>
      <c r="C113"/>
      <c r="D113"/>
      <c r="E113"/>
      <c r="F113"/>
      <c r="G113"/>
      <c r="H113"/>
      <c r="I113"/>
      <c r="J113"/>
    </row>
    <row r="114" spans="1:10" ht="15" customHeight="1" x14ac:dyDescent="0.15">
      <c r="A114"/>
      <c r="B114"/>
      <c r="C114"/>
      <c r="D114"/>
      <c r="E114"/>
      <c r="F114"/>
      <c r="G114"/>
      <c r="H114"/>
      <c r="I114"/>
      <c r="J114"/>
    </row>
    <row r="115" spans="1:10" ht="15" customHeight="1" x14ac:dyDescent="0.15">
      <c r="A115"/>
      <c r="B115"/>
      <c r="C115"/>
      <c r="D115"/>
      <c r="E115"/>
      <c r="F115"/>
      <c r="G115"/>
      <c r="H115"/>
      <c r="I115"/>
      <c r="J115"/>
    </row>
    <row r="116" spans="1:10" ht="15" customHeight="1" x14ac:dyDescent="0.15">
      <c r="A116"/>
      <c r="B116"/>
      <c r="C116"/>
      <c r="D116"/>
      <c r="E116"/>
      <c r="F116"/>
      <c r="G116"/>
      <c r="H116"/>
      <c r="I116"/>
      <c r="J116"/>
    </row>
    <row r="117" spans="1:10" ht="15" customHeight="1" x14ac:dyDescent="0.15">
      <c r="A117"/>
      <c r="B117"/>
      <c r="C117"/>
      <c r="D117"/>
      <c r="E117"/>
      <c r="F117"/>
      <c r="G117"/>
      <c r="H117"/>
      <c r="I117"/>
      <c r="J117"/>
    </row>
    <row r="118" spans="1:10" ht="15" customHeight="1" x14ac:dyDescent="0.15">
      <c r="A118"/>
      <c r="B118"/>
      <c r="C118"/>
      <c r="D118"/>
      <c r="E118"/>
      <c r="F118"/>
      <c r="G118"/>
      <c r="H118"/>
      <c r="I118"/>
      <c r="J118"/>
    </row>
    <row r="119" spans="1:10" ht="15" customHeight="1" x14ac:dyDescent="0.15">
      <c r="A119"/>
      <c r="B119"/>
      <c r="C119"/>
      <c r="D119"/>
      <c r="E119"/>
      <c r="F119"/>
      <c r="G119"/>
      <c r="H119"/>
      <c r="I119"/>
      <c r="J119"/>
    </row>
    <row r="120" spans="1:10" ht="15" customHeight="1" x14ac:dyDescent="0.15">
      <c r="A120"/>
      <c r="B120"/>
      <c r="C120"/>
      <c r="D120"/>
      <c r="E120"/>
      <c r="F120"/>
      <c r="G120"/>
      <c r="H120"/>
      <c r="I120"/>
      <c r="J120"/>
    </row>
    <row r="121" spans="1:10" ht="15" customHeight="1" x14ac:dyDescent="0.15">
      <c r="A121"/>
      <c r="B121"/>
      <c r="C121"/>
      <c r="D121"/>
      <c r="E121"/>
      <c r="F121"/>
      <c r="G121"/>
      <c r="H121"/>
      <c r="I121"/>
      <c r="J121"/>
    </row>
    <row r="122" spans="1:10" ht="15" customHeight="1" x14ac:dyDescent="0.15">
      <c r="A122"/>
      <c r="B122"/>
      <c r="C122"/>
      <c r="D122"/>
      <c r="E122"/>
      <c r="F122"/>
      <c r="G122"/>
      <c r="H122"/>
      <c r="I122"/>
      <c r="J122"/>
    </row>
    <row r="123" spans="1:10" ht="15" customHeight="1" x14ac:dyDescent="0.15">
      <c r="A123"/>
      <c r="B123"/>
      <c r="C123"/>
      <c r="D123"/>
      <c r="E123"/>
      <c r="F123"/>
      <c r="G123"/>
      <c r="H123"/>
      <c r="I123"/>
      <c r="J123"/>
    </row>
    <row r="124" spans="1:10" ht="15" customHeight="1" x14ac:dyDescent="0.15">
      <c r="A124"/>
      <c r="B124"/>
      <c r="C124"/>
      <c r="D124"/>
      <c r="E124"/>
      <c r="F124"/>
      <c r="G124"/>
      <c r="H124"/>
      <c r="I124"/>
      <c r="J124"/>
    </row>
    <row r="125" spans="1:10" ht="15" customHeight="1" x14ac:dyDescent="0.15">
      <c r="A125"/>
      <c r="B125"/>
      <c r="C125"/>
      <c r="D125"/>
      <c r="E125"/>
      <c r="F125"/>
      <c r="G125"/>
      <c r="H125"/>
      <c r="I125"/>
      <c r="J125"/>
    </row>
    <row r="126" spans="1:10" ht="15" customHeight="1" x14ac:dyDescent="0.15">
      <c r="A126"/>
      <c r="B126"/>
      <c r="C126"/>
      <c r="D126"/>
      <c r="E126"/>
      <c r="F126"/>
      <c r="G126"/>
      <c r="H126"/>
      <c r="I126"/>
      <c r="J126"/>
    </row>
    <row r="127" spans="1:10" ht="15" customHeight="1" x14ac:dyDescent="0.15">
      <c r="A127"/>
      <c r="B127"/>
      <c r="C127"/>
      <c r="D127"/>
      <c r="E127"/>
      <c r="F127"/>
      <c r="G127"/>
      <c r="H127"/>
      <c r="I127"/>
      <c r="J127"/>
    </row>
    <row r="128" spans="1:10" ht="15" customHeight="1" x14ac:dyDescent="0.15">
      <c r="A128"/>
      <c r="B128"/>
      <c r="C128"/>
      <c r="D128"/>
      <c r="E128"/>
      <c r="F128"/>
      <c r="G128"/>
      <c r="H128"/>
      <c r="I128"/>
      <c r="J128"/>
    </row>
    <row r="129" spans="1:10" ht="15" customHeight="1" x14ac:dyDescent="0.15">
      <c r="A129"/>
      <c r="B129"/>
      <c r="C129"/>
      <c r="D129"/>
      <c r="E129"/>
      <c r="F129"/>
      <c r="G129"/>
      <c r="H129"/>
      <c r="I129"/>
      <c r="J129"/>
    </row>
    <row r="130" spans="1:10" ht="15" customHeight="1" x14ac:dyDescent="0.15">
      <c r="A130"/>
      <c r="B130"/>
      <c r="C130"/>
      <c r="D130"/>
      <c r="E130"/>
      <c r="F130"/>
      <c r="G130"/>
      <c r="H130"/>
      <c r="I130"/>
      <c r="J130"/>
    </row>
    <row r="131" spans="1:10" ht="15" customHeight="1" x14ac:dyDescent="0.15">
      <c r="A131"/>
      <c r="B131"/>
      <c r="C131"/>
      <c r="D131"/>
      <c r="E131"/>
      <c r="F131"/>
      <c r="G131"/>
      <c r="H131"/>
      <c r="I131"/>
      <c r="J131"/>
    </row>
    <row r="132" spans="1:10" ht="15" customHeight="1" x14ac:dyDescent="0.15">
      <c r="A132"/>
      <c r="B132"/>
      <c r="C132"/>
      <c r="D132"/>
      <c r="E132"/>
      <c r="F132"/>
      <c r="G132"/>
      <c r="H132"/>
      <c r="I132"/>
      <c r="J132"/>
    </row>
    <row r="133" spans="1:10" ht="15" customHeight="1" x14ac:dyDescent="0.15">
      <c r="A133"/>
      <c r="B133"/>
      <c r="C133"/>
      <c r="D133"/>
      <c r="E133"/>
      <c r="F133"/>
      <c r="G133"/>
      <c r="H133"/>
      <c r="I133"/>
      <c r="J133"/>
    </row>
    <row r="134" spans="1:10" ht="15" customHeight="1" x14ac:dyDescent="0.15">
      <c r="A134"/>
      <c r="B134"/>
      <c r="C134"/>
      <c r="D134"/>
      <c r="E134"/>
      <c r="F134"/>
      <c r="G134"/>
      <c r="H134"/>
      <c r="I134"/>
      <c r="J134"/>
    </row>
    <row r="135" spans="1:10" ht="15" customHeight="1" x14ac:dyDescent="0.15">
      <c r="A135"/>
      <c r="B135"/>
      <c r="C135"/>
      <c r="D135"/>
      <c r="E135"/>
      <c r="F135"/>
      <c r="G135"/>
      <c r="H135"/>
      <c r="I135"/>
      <c r="J135"/>
    </row>
    <row r="136" spans="1:10" ht="15" customHeight="1" x14ac:dyDescent="0.15">
      <c r="A136"/>
      <c r="B136"/>
      <c r="C136"/>
      <c r="D136"/>
      <c r="E136"/>
      <c r="F136"/>
      <c r="G136"/>
      <c r="H136"/>
      <c r="I136"/>
      <c r="J136"/>
    </row>
    <row r="137" spans="1:10" ht="15" customHeight="1" x14ac:dyDescent="0.15">
      <c r="A137"/>
      <c r="B137"/>
      <c r="C137"/>
      <c r="D137"/>
      <c r="E137"/>
      <c r="F137"/>
      <c r="G137"/>
      <c r="H137"/>
      <c r="I137"/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X21" sqref="AX21"/>
    </sheetView>
  </sheetViews>
  <sheetFormatPr baseColWidth="10" defaultColWidth="8.83203125" defaultRowHeight="15" customHeight="1" x14ac:dyDescent="0.15"/>
  <cols>
    <col min="1" max="1" width="40.33203125" style="78" bestFit="1" customWidth="1"/>
    <col min="2" max="4" width="9.5" style="78" bestFit="1" customWidth="1"/>
    <col min="5" max="7" width="9" style="78" bestFit="1" customWidth="1"/>
    <col min="8" max="16" width="12.6640625" style="78" bestFit="1" customWidth="1"/>
    <col min="17" max="17" width="12.33203125" style="78" bestFit="1" customWidth="1"/>
    <col min="18" max="18" width="8.83203125" style="78"/>
    <col min="19" max="21" width="9.33203125" style="78" bestFit="1" customWidth="1"/>
    <col min="22" max="23" width="8.83203125" style="78"/>
    <col min="24" max="24" width="9.33203125" style="78" bestFit="1" customWidth="1"/>
    <col min="25" max="27" width="8.83203125" style="78"/>
    <col min="28" max="58" width="9" style="78" bestFit="1" customWidth="1"/>
    <col min="59" max="59" width="12.33203125" style="78" bestFit="1" customWidth="1"/>
    <col min="60" max="60" width="9" style="78" bestFit="1" customWidth="1"/>
    <col min="61" max="61" width="11.33203125" style="78" bestFit="1" customWidth="1"/>
    <col min="62" max="77" width="9" style="78" bestFit="1" customWidth="1"/>
    <col min="78" max="78" width="12.33203125" style="78" bestFit="1" customWidth="1"/>
    <col min="79" max="79" width="9" style="78" bestFit="1" customWidth="1"/>
    <col min="80" max="80" width="12.33203125" style="78" bestFit="1" customWidth="1"/>
    <col min="81" max="107" width="9" style="78" bestFit="1" customWidth="1"/>
    <col min="108" max="108" width="11.33203125" style="78" bestFit="1" customWidth="1"/>
    <col min="109" max="124" width="9" style="78" bestFit="1" customWidth="1"/>
    <col min="125" max="125" width="10.33203125" style="78" bestFit="1" customWidth="1"/>
    <col min="126" max="129" width="9.33203125" style="78" bestFit="1" customWidth="1"/>
    <col min="130" max="130" width="9" style="78" bestFit="1" customWidth="1"/>
    <col min="131" max="134" width="9.33203125" style="78" bestFit="1" customWidth="1"/>
    <col min="135" max="165" width="9" style="78" bestFit="1" customWidth="1"/>
    <col min="166" max="166" width="12.33203125" style="78" bestFit="1" customWidth="1"/>
    <col min="167" max="170" width="9" style="78" bestFit="1" customWidth="1"/>
    <col min="171" max="176" width="8.83203125" style="78"/>
    <col min="177" max="177" width="13.83203125" style="78" bestFit="1" customWidth="1"/>
    <col min="178" max="16384" width="8.83203125" style="78"/>
  </cols>
  <sheetData>
    <row r="1" spans="1:209" ht="15" customHeight="1" x14ac:dyDescent="0.15">
      <c r="A1" t="s">
        <v>15</v>
      </c>
      <c r="B1" t="s">
        <v>1</v>
      </c>
      <c r="C1" t="s">
        <v>16</v>
      </c>
      <c r="D1" t="s">
        <v>219</v>
      </c>
      <c r="E1" t="s">
        <v>192</v>
      </c>
      <c r="F1" t="s">
        <v>193</v>
      </c>
      <c r="G1" t="s">
        <v>194</v>
      </c>
      <c r="H1" t="s">
        <v>195</v>
      </c>
      <c r="I1" t="s">
        <v>196</v>
      </c>
      <c r="J1" t="s">
        <v>197</v>
      </c>
      <c r="K1" t="s">
        <v>198</v>
      </c>
      <c r="L1" t="s">
        <v>199</v>
      </c>
      <c r="M1" t="s">
        <v>200</v>
      </c>
      <c r="N1" t="s">
        <v>201</v>
      </c>
      <c r="O1" t="s">
        <v>202</v>
      </c>
      <c r="P1" t="s">
        <v>203</v>
      </c>
      <c r="Q1" t="s">
        <v>204</v>
      </c>
      <c r="R1" t="s">
        <v>205</v>
      </c>
      <c r="S1" t="s">
        <v>206</v>
      </c>
      <c r="T1" t="s">
        <v>207</v>
      </c>
      <c r="U1" t="s">
        <v>208</v>
      </c>
      <c r="V1" t="s">
        <v>209</v>
      </c>
      <c r="W1" t="s">
        <v>210</v>
      </c>
      <c r="X1" t="s">
        <v>211</v>
      </c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192</v>
      </c>
      <c r="B2">
        <v>5.000000074505806E-2</v>
      </c>
      <c r="C2">
        <v>5.000000074505806E-2</v>
      </c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193</v>
      </c>
      <c r="B3">
        <v>7.0000000298023224E-2</v>
      </c>
      <c r="C3">
        <v>7.0000000298023224E-2</v>
      </c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194</v>
      </c>
      <c r="B4">
        <v>0.69999998807907104</v>
      </c>
      <c r="C4">
        <v>4.8981677740812302E-2</v>
      </c>
      <c r="D4" s="191">
        <v>9.3333333730697632E-2</v>
      </c>
      <c r="E4" s="216">
        <v>0.24266664683818817</v>
      </c>
      <c r="F4"/>
      <c r="G4"/>
      <c r="H4"/>
      <c r="I4" s="220">
        <v>0.31501832604408264</v>
      </c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195</v>
      </c>
      <c r="B5">
        <v>0.60000002384185791</v>
      </c>
      <c r="C5">
        <v>4.4000029563903809E-2</v>
      </c>
      <c r="D5" s="192">
        <v>0.5</v>
      </c>
      <c r="E5" s="70">
        <v>5.59999980032444E-2</v>
      </c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196</v>
      </c>
      <c r="B6">
        <v>0.75</v>
      </c>
      <c r="C6">
        <v>4.5200005173683167E-2</v>
      </c>
      <c r="D6" s="193">
        <v>0.5</v>
      </c>
      <c r="E6" s="12">
        <v>2.79999990016222E-2</v>
      </c>
      <c r="F6"/>
      <c r="G6"/>
      <c r="H6" s="207">
        <v>0.1119999960064888</v>
      </c>
      <c r="I6"/>
      <c r="J6" s="201">
        <v>6.4799994230270386E-2</v>
      </c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197</v>
      </c>
      <c r="B7">
        <v>0.75</v>
      </c>
      <c r="C7">
        <v>1.7111107707023621E-2</v>
      </c>
      <c r="D7" s="194">
        <v>0.27777779102325439</v>
      </c>
      <c r="E7" s="198">
        <v>7.7777780592441559E-2</v>
      </c>
      <c r="F7"/>
      <c r="G7"/>
      <c r="H7" s="203">
        <v>0.23333333432674408</v>
      </c>
      <c r="I7"/>
      <c r="J7" s="199">
        <v>0.14399999380111694</v>
      </c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198</v>
      </c>
      <c r="B8">
        <v>1</v>
      </c>
      <c r="C8">
        <v>5.4818034172058105E-2</v>
      </c>
      <c r="D8"/>
      <c r="E8"/>
      <c r="F8"/>
      <c r="G8"/>
      <c r="H8" s="210">
        <v>0.46666660904884338</v>
      </c>
      <c r="I8" s="206">
        <v>0.26251530647277832</v>
      </c>
      <c r="J8" s="135">
        <v>0.21599999070167542</v>
      </c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199</v>
      </c>
      <c r="B9">
        <v>0.80000001192092896</v>
      </c>
      <c r="C9">
        <v>5.0500061362981796E-2</v>
      </c>
      <c r="D9" s="71">
        <v>6.25E-2</v>
      </c>
      <c r="E9"/>
      <c r="F9"/>
      <c r="G9"/>
      <c r="H9" s="204">
        <v>0.52499997615814209</v>
      </c>
      <c r="I9"/>
      <c r="J9" s="197">
        <v>0.16199997067451477</v>
      </c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 t="s">
        <v>200</v>
      </c>
      <c r="B10">
        <v>1.8999999761581421</v>
      </c>
      <c r="C10">
        <v>8.2460887730121613E-2</v>
      </c>
      <c r="D10" s="195">
        <v>0.23255813121795654</v>
      </c>
      <c r="E10"/>
      <c r="F10"/>
      <c r="G10"/>
      <c r="H10" s="201">
        <v>0.16279067099094391</v>
      </c>
      <c r="I10" s="211">
        <v>0.2747252881526947</v>
      </c>
      <c r="J10" s="62">
        <v>0.1054883599281311</v>
      </c>
      <c r="K10"/>
      <c r="L10" s="24">
        <v>5.9534884989261627E-2</v>
      </c>
      <c r="M10"/>
      <c r="N10" s="209">
        <v>0.17267441749572754</v>
      </c>
      <c r="O10" s="102">
        <v>0.29627904295921326</v>
      </c>
      <c r="P10" s="219">
        <v>0.51348835229873657</v>
      </c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 t="s">
        <v>201</v>
      </c>
      <c r="B11">
        <v>1</v>
      </c>
      <c r="C11">
        <v>2.4174988269805908E-2</v>
      </c>
      <c r="D11" s="196">
        <v>0.27777776122093201</v>
      </c>
      <c r="E11"/>
      <c r="F11"/>
      <c r="G11"/>
      <c r="H11" s="202">
        <v>0.15555554628372192</v>
      </c>
      <c r="I11" s="205">
        <v>0.17501018941402435</v>
      </c>
      <c r="J11" s="200">
        <v>9.5999985933303833E-2</v>
      </c>
      <c r="K11"/>
      <c r="L11" s="26">
        <v>3.5555556416511536E-2</v>
      </c>
      <c r="M11"/>
      <c r="N11"/>
      <c r="O11" s="208">
        <v>0.23592589795589447</v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 t="s">
        <v>202</v>
      </c>
      <c r="B12">
        <v>1.1000000238418579</v>
      </c>
      <c r="C12">
        <v>4.6530641615390778E-2</v>
      </c>
      <c r="D12" s="194">
        <v>0.40816327929496765</v>
      </c>
      <c r="E12"/>
      <c r="F12"/>
      <c r="G12"/>
      <c r="H12"/>
      <c r="I12"/>
      <c r="J12"/>
      <c r="K12"/>
      <c r="L12" s="26">
        <v>3.9183676242828369E-2</v>
      </c>
      <c r="M12"/>
      <c r="N12" s="214">
        <v>0.60612249374389648</v>
      </c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 t="s">
        <v>203</v>
      </c>
      <c r="B13">
        <v>2.2999999523162842</v>
      </c>
      <c r="C13">
        <v>0.32244947552680969</v>
      </c>
      <c r="D13" s="26">
        <v>8.1521734595298767E-2</v>
      </c>
      <c r="E13" s="22">
        <v>1.5217390842735767E-2</v>
      </c>
      <c r="F13"/>
      <c r="G13" s="212">
        <v>0.12880435585975647</v>
      </c>
      <c r="H13" s="27">
        <v>0.10652174055576324</v>
      </c>
      <c r="I13" s="17">
        <v>2.5680843740701675E-2</v>
      </c>
      <c r="J13" s="19">
        <v>9.8608687520027161E-2</v>
      </c>
      <c r="K13" s="65">
        <v>0.11739131063222885</v>
      </c>
      <c r="L13" s="18">
        <v>4.1739132255315781E-2</v>
      </c>
      <c r="M13" s="221">
        <v>0.30380436778068542</v>
      </c>
      <c r="N13" s="73">
        <v>0.32282611727714539</v>
      </c>
      <c r="O13" s="223">
        <v>0.41543477773666382</v>
      </c>
      <c r="P13" s="222">
        <v>0.31999999284744263</v>
      </c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 t="s">
        <v>204</v>
      </c>
      <c r="B14">
        <v>4.8000001907348633</v>
      </c>
      <c r="C14">
        <v>0.12442875653505325</v>
      </c>
      <c r="D14" s="17">
        <v>5.2631579339504242E-2</v>
      </c>
      <c r="E14" s="228">
        <v>0.56000000238418579</v>
      </c>
      <c r="F14" s="233">
        <v>1.6818419694900513</v>
      </c>
      <c r="G14" s="140">
        <v>1.7151319980621338</v>
      </c>
      <c r="H14" s="18">
        <v>8.1052623689174652E-2</v>
      </c>
      <c r="I14" s="27">
        <v>0.22382883727550507</v>
      </c>
      <c r="J14" s="22">
        <v>2.387368306517601E-2</v>
      </c>
      <c r="K14"/>
      <c r="L14"/>
      <c r="M14" s="15">
        <v>7.3552638292312622E-2</v>
      </c>
      <c r="N14" s="218">
        <v>0.11723684519529343</v>
      </c>
      <c r="O14" s="21">
        <v>3.3526312559843063E-2</v>
      </c>
      <c r="P14"/>
      <c r="Q14"/>
      <c r="R14" s="218">
        <v>0.11289472877979279</v>
      </c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 t="s">
        <v>205</v>
      </c>
      <c r="B15">
        <v>2.2999999523162842</v>
      </c>
      <c r="C15">
        <v>7.9629532992839813E-2</v>
      </c>
      <c r="D15"/>
      <c r="E15"/>
      <c r="F15" s="18">
        <v>3.948717936873436E-2</v>
      </c>
      <c r="G15" s="221">
        <v>0.30384618043899536</v>
      </c>
      <c r="H15" s="70">
        <v>0.21538463234901428</v>
      </c>
      <c r="I15" s="217">
        <v>0.19385744631290436</v>
      </c>
      <c r="J15" s="138">
        <v>6.6461533308029175E-2</v>
      </c>
      <c r="K15" s="24">
        <v>7.3846153914928436E-2</v>
      </c>
      <c r="L15" s="63">
        <v>4.9230773001909256E-2</v>
      </c>
      <c r="M15" s="64">
        <v>0.14333334565162659</v>
      </c>
      <c r="N15" s="103">
        <v>0.15230770409107208</v>
      </c>
      <c r="O15" s="212">
        <v>0.13066665828227997</v>
      </c>
      <c r="P15" s="221">
        <v>0.30194872617721558</v>
      </c>
      <c r="Q15"/>
      <c r="R15" s="224">
        <v>0.55000001192092896</v>
      </c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 t="s">
        <v>206</v>
      </c>
      <c r="B16">
        <v>6</v>
      </c>
      <c r="C16">
        <v>0.26504909992218018</v>
      </c>
      <c r="D16" s="22">
        <v>3.0534353107213974E-2</v>
      </c>
      <c r="E16"/>
      <c r="F16"/>
      <c r="G16" s="195">
        <v>0.72366416454315186</v>
      </c>
      <c r="H16" s="215">
        <v>0.23511449992656708</v>
      </c>
      <c r="I16" s="71">
        <v>0.46892043948173523</v>
      </c>
      <c r="J16" s="21">
        <v>4.9465645104646683E-2</v>
      </c>
      <c r="K16"/>
      <c r="L16" s="16">
        <v>7.8167945146560669E-2</v>
      </c>
      <c r="M16" s="225">
        <v>0.853435218334198</v>
      </c>
      <c r="N16" s="212">
        <v>0.34007635712623596</v>
      </c>
      <c r="O16" s="213">
        <v>0.19450381398200989</v>
      </c>
      <c r="P16" s="226">
        <v>1.1236641407012939</v>
      </c>
      <c r="Q16"/>
      <c r="R16" s="229">
        <v>1.6374045610427856</v>
      </c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 t="s">
        <v>207</v>
      </c>
      <c r="B17">
        <v>3.9000000953674316</v>
      </c>
      <c r="C17">
        <v>0.18166230618953705</v>
      </c>
      <c r="D17"/>
      <c r="E17"/>
      <c r="F17" s="63">
        <v>8.3243243396282196E-2</v>
      </c>
      <c r="G17" s="15">
        <v>6.4054057002067566E-2</v>
      </c>
      <c r="H17" s="218">
        <v>9.0810813009738922E-2</v>
      </c>
      <c r="I17" s="12">
        <v>0.14473815262317657</v>
      </c>
      <c r="J17" s="18">
        <v>6.5383777022361755E-2</v>
      </c>
      <c r="K17" s="213">
        <v>0.12972971796989441</v>
      </c>
      <c r="L17" s="22">
        <v>2.4216216057538986E-2</v>
      </c>
      <c r="M17" s="227">
        <v>0.3223063051700592</v>
      </c>
      <c r="N17" s="23">
        <v>0.10702703148126602</v>
      </c>
      <c r="O17" s="26">
        <v>0.13772971928119659</v>
      </c>
      <c r="P17" s="231">
        <v>0.53045046329498291</v>
      </c>
      <c r="Q17"/>
      <c r="R17" s="232">
        <v>0.77297294139862061</v>
      </c>
      <c r="S17" s="230">
        <v>0.49567565321922302</v>
      </c>
      <c r="T17" s="199">
        <v>0.75</v>
      </c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 t="s">
        <v>208</v>
      </c>
      <c r="B18">
        <v>5.5</v>
      </c>
      <c r="C18">
        <v>0.1059660017490387</v>
      </c>
      <c r="D18"/>
      <c r="E18"/>
      <c r="F18" s="21">
        <v>4.7297295182943344E-2</v>
      </c>
      <c r="G18" s="13">
        <v>1.4557739719748497E-2</v>
      </c>
      <c r="H18" s="11">
        <v>2.4078624323010445E-2</v>
      </c>
      <c r="I18" s="21">
        <v>4.3537549674510956E-2</v>
      </c>
      <c r="J18" s="13">
        <v>6.3685495406389236E-3</v>
      </c>
      <c r="K18" s="11">
        <v>2.2113021463155746E-2</v>
      </c>
      <c r="L18" s="13">
        <v>8.6486488580703735E-3</v>
      </c>
      <c r="M18" s="18">
        <v>9.6142508089542389E-2</v>
      </c>
      <c r="N18" s="13">
        <v>9.1216219589114189E-3</v>
      </c>
      <c r="O18"/>
      <c r="P18" s="139">
        <v>0.33454546332359314</v>
      </c>
      <c r="Q18"/>
      <c r="R18" s="27">
        <v>0.26351350545883179</v>
      </c>
      <c r="S18" s="67">
        <v>0.38865479826927185</v>
      </c>
      <c r="T18" s="234">
        <v>2.0454545021057129</v>
      </c>
      <c r="U18" s="235">
        <v>2.0899999141693115</v>
      </c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 t="s">
        <v>209</v>
      </c>
      <c r="B19">
        <v>28</v>
      </c>
      <c r="C19">
        <v>7.11163330078125</v>
      </c>
      <c r="D19"/>
      <c r="E19"/>
      <c r="F19"/>
      <c r="G19" s="11">
        <v>0.13108408451080322</v>
      </c>
      <c r="H19"/>
      <c r="I19"/>
      <c r="J19"/>
      <c r="K19"/>
      <c r="L19"/>
      <c r="M19"/>
      <c r="N19"/>
      <c r="O19"/>
      <c r="P19" s="22">
        <v>0.14329203963279724</v>
      </c>
      <c r="Q19" s="236">
        <v>3.0265486240386963</v>
      </c>
      <c r="R19"/>
      <c r="S19" s="14">
        <v>0.25562387704849243</v>
      </c>
      <c r="T19" s="20">
        <v>0.55254429578781128</v>
      </c>
      <c r="U19" s="64">
        <v>1.7792743444442749</v>
      </c>
      <c r="V19" s="237">
        <v>15.000000953674316</v>
      </c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 t="s">
        <v>210</v>
      </c>
      <c r="B20">
        <v>100</v>
      </c>
      <c r="C20">
        <v>27.272117614746094</v>
      </c>
      <c r="D20"/>
      <c r="E20"/>
      <c r="F20"/>
      <c r="G20"/>
      <c r="H20"/>
      <c r="I20"/>
      <c r="J20"/>
      <c r="K20"/>
      <c r="L20"/>
      <c r="M20"/>
      <c r="N20"/>
      <c r="O20"/>
      <c r="P20"/>
      <c r="Q20" s="13">
        <v>0.20266667008399963</v>
      </c>
      <c r="R20"/>
      <c r="S20" s="13">
        <v>0.15405599772930145</v>
      </c>
      <c r="T20" s="13">
        <v>0.28859999775886536</v>
      </c>
      <c r="U20" s="25">
        <v>2.474560022354126</v>
      </c>
      <c r="V20" s="238">
        <v>69.608001708984375</v>
      </c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 t="s">
        <v>211</v>
      </c>
      <c r="B21">
        <v>170</v>
      </c>
      <c r="C21">
        <v>81.20489501953125</v>
      </c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 s="21">
        <v>1.3176428079605103</v>
      </c>
      <c r="S21" s="22">
        <v>0.98250001668930054</v>
      </c>
      <c r="T21" s="20">
        <v>3.2110714912414551</v>
      </c>
      <c r="U21" s="134">
        <v>20.326744079589844</v>
      </c>
      <c r="V21" s="194">
        <v>62.957141876220703</v>
      </c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 t="s">
        <v>212</v>
      </c>
      <c r="B22"/>
      <c r="C22">
        <v>0.90040361881256104</v>
      </c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 s="9">
        <v>280</v>
      </c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 t="s">
        <v>213</v>
      </c>
      <c r="B23"/>
      <c r="C23">
        <v>0</v>
      </c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workbookViewId="0">
      <selection activeCell="D5" sqref="D5"/>
    </sheetView>
  </sheetViews>
  <sheetFormatPr baseColWidth="10" defaultRowHeight="13" x14ac:dyDescent="0.15"/>
  <cols>
    <col min="1" max="1" width="33.6640625" bestFit="1" customWidth="1"/>
    <col min="2" max="2" width="9" customWidth="1"/>
    <col min="3" max="3" width="9" style="6" customWidth="1"/>
    <col min="4" max="4" width="21.6640625" bestFit="1" customWidth="1"/>
    <col min="5" max="5" width="3.33203125" bestFit="1" customWidth="1"/>
    <col min="6" max="6" width="4.83203125" bestFit="1" customWidth="1"/>
    <col min="7" max="7" width="3.33203125" bestFit="1" customWidth="1"/>
    <col min="8" max="8" width="21.6640625" bestFit="1" customWidth="1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4" thickBot="1" x14ac:dyDescent="0.2">
      <c r="C1" s="52"/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J1" s="1" t="s">
        <v>130</v>
      </c>
      <c r="K1" s="1" t="s">
        <v>131</v>
      </c>
      <c r="L1" s="60" t="s">
        <v>166</v>
      </c>
    </row>
    <row r="2" spans="1:12" x14ac:dyDescent="0.15">
      <c r="A2" s="1" t="s">
        <v>37</v>
      </c>
      <c r="B2" s="37">
        <v>3</v>
      </c>
      <c r="C2" s="35"/>
      <c r="D2" t="s">
        <v>38</v>
      </c>
      <c r="E2">
        <v>1</v>
      </c>
      <c r="F2">
        <v>1</v>
      </c>
      <c r="G2">
        <v>1</v>
      </c>
      <c r="H2" t="s">
        <v>38</v>
      </c>
      <c r="J2" s="53"/>
      <c r="K2" s="54"/>
      <c r="L2" s="60" t="s">
        <v>167</v>
      </c>
    </row>
    <row r="3" spans="1:12" ht="14" thickBot="1" x14ac:dyDescent="0.2">
      <c r="A3" s="1" t="s">
        <v>39</v>
      </c>
      <c r="B3" s="38">
        <v>0</v>
      </c>
      <c r="C3" s="35"/>
      <c r="D3" t="s">
        <v>40</v>
      </c>
      <c r="E3">
        <v>2</v>
      </c>
      <c r="F3">
        <v>1.1000000000000001</v>
      </c>
      <c r="G3">
        <v>2</v>
      </c>
      <c r="H3" t="s">
        <v>40</v>
      </c>
      <c r="J3" s="55"/>
      <c r="K3" s="56"/>
    </row>
    <row r="4" spans="1:12" x14ac:dyDescent="0.15">
      <c r="D4" t="s">
        <v>41</v>
      </c>
      <c r="E4">
        <v>3</v>
      </c>
      <c r="F4">
        <v>1.2</v>
      </c>
      <c r="G4">
        <v>3</v>
      </c>
      <c r="H4" t="s">
        <v>41</v>
      </c>
      <c r="J4" s="55"/>
      <c r="K4" s="56"/>
    </row>
    <row r="5" spans="1:12" x14ac:dyDescent="0.15">
      <c r="D5" s="183" t="s">
        <v>192</v>
      </c>
      <c r="E5">
        <v>4</v>
      </c>
      <c r="F5">
        <v>3.16</v>
      </c>
      <c r="G5">
        <v>4</v>
      </c>
      <c r="H5" s="184" t="s">
        <v>192</v>
      </c>
      <c r="J5" s="55"/>
      <c r="K5" s="56"/>
    </row>
    <row r="6" spans="1:12" ht="14" thickBot="1" x14ac:dyDescent="0.2">
      <c r="A6" s="39" t="s">
        <v>121</v>
      </c>
      <c r="D6" s="183" t="s">
        <v>193</v>
      </c>
      <c r="E6">
        <v>5</v>
      </c>
      <c r="F6">
        <v>3.16</v>
      </c>
      <c r="G6">
        <v>5</v>
      </c>
      <c r="H6" s="184" t="s">
        <v>193</v>
      </c>
      <c r="J6" s="55"/>
      <c r="K6" s="56"/>
    </row>
    <row r="7" spans="1:12" x14ac:dyDescent="0.15">
      <c r="A7" s="34" t="s">
        <v>126</v>
      </c>
      <c r="B7" s="41">
        <v>1</v>
      </c>
      <c r="C7" s="36"/>
      <c r="D7" s="183" t="s">
        <v>194</v>
      </c>
      <c r="E7">
        <v>6</v>
      </c>
      <c r="F7">
        <v>3.14</v>
      </c>
      <c r="G7">
        <v>6</v>
      </c>
      <c r="H7" s="184" t="s">
        <v>194</v>
      </c>
      <c r="J7" s="55"/>
      <c r="K7" s="56"/>
    </row>
    <row r="8" spans="1:12" x14ac:dyDescent="0.15">
      <c r="A8" s="34" t="s">
        <v>38</v>
      </c>
      <c r="B8" s="42">
        <v>1</v>
      </c>
      <c r="C8" s="36"/>
      <c r="D8" s="183" t="s">
        <v>195</v>
      </c>
      <c r="E8">
        <v>7</v>
      </c>
      <c r="F8">
        <v>3.24</v>
      </c>
      <c r="G8">
        <v>7</v>
      </c>
      <c r="H8" s="184" t="s">
        <v>195</v>
      </c>
      <c r="J8" s="55"/>
      <c r="K8" s="56"/>
    </row>
    <row r="9" spans="1:12" x14ac:dyDescent="0.15">
      <c r="A9" s="34" t="s">
        <v>40</v>
      </c>
      <c r="B9" s="42">
        <v>1.1000000000000001</v>
      </c>
      <c r="C9" s="36"/>
      <c r="D9" s="183" t="s">
        <v>196</v>
      </c>
      <c r="E9">
        <v>8</v>
      </c>
      <c r="F9">
        <v>3.24</v>
      </c>
      <c r="G9">
        <v>8</v>
      </c>
      <c r="H9" s="184" t="s">
        <v>196</v>
      </c>
      <c r="J9" s="55"/>
      <c r="K9" s="56"/>
    </row>
    <row r="10" spans="1:12" x14ac:dyDescent="0.15">
      <c r="A10" s="34" t="s">
        <v>41</v>
      </c>
      <c r="B10" s="42">
        <v>1.2</v>
      </c>
      <c r="C10" s="36"/>
      <c r="D10" s="183" t="s">
        <v>197</v>
      </c>
      <c r="E10">
        <v>9</v>
      </c>
      <c r="F10">
        <v>3.24</v>
      </c>
      <c r="G10">
        <v>9</v>
      </c>
      <c r="H10" s="184" t="s">
        <v>197</v>
      </c>
      <c r="J10" s="55"/>
      <c r="K10" s="56"/>
    </row>
    <row r="11" spans="1:12" ht="12" customHeight="1" x14ac:dyDescent="0.15">
      <c r="A11" s="40" t="s">
        <v>127</v>
      </c>
      <c r="B11" s="42">
        <v>2</v>
      </c>
      <c r="C11" s="36"/>
      <c r="D11" s="183" t="s">
        <v>198</v>
      </c>
      <c r="E11">
        <v>10</v>
      </c>
      <c r="F11">
        <v>3.24</v>
      </c>
      <c r="G11">
        <v>10</v>
      </c>
      <c r="H11" s="184" t="s">
        <v>198</v>
      </c>
      <c r="J11" s="55"/>
      <c r="K11" s="56"/>
    </row>
    <row r="12" spans="1:12" x14ac:dyDescent="0.15">
      <c r="A12" s="34" t="s">
        <v>42</v>
      </c>
      <c r="B12" s="42">
        <v>2.1</v>
      </c>
      <c r="C12" s="36"/>
      <c r="D12" s="183" t="s">
        <v>199</v>
      </c>
      <c r="E12">
        <v>11</v>
      </c>
      <c r="F12">
        <v>3.24</v>
      </c>
      <c r="G12">
        <v>11</v>
      </c>
      <c r="H12" s="184" t="s">
        <v>199</v>
      </c>
      <c r="J12" s="55"/>
      <c r="K12" s="56"/>
    </row>
    <row r="13" spans="1:12" x14ac:dyDescent="0.15">
      <c r="A13" s="34" t="s">
        <v>43</v>
      </c>
      <c r="B13" s="42">
        <v>2.2000000000000002</v>
      </c>
      <c r="C13" s="36"/>
      <c r="D13" s="183" t="s">
        <v>200</v>
      </c>
      <c r="E13">
        <v>12</v>
      </c>
      <c r="F13">
        <v>3.24</v>
      </c>
      <c r="G13">
        <v>12</v>
      </c>
      <c r="H13" s="184" t="s">
        <v>200</v>
      </c>
      <c r="J13" s="55"/>
      <c r="K13" s="56"/>
    </row>
    <row r="14" spans="1:12" x14ac:dyDescent="0.15">
      <c r="A14" s="34" t="s">
        <v>67</v>
      </c>
      <c r="B14" s="42">
        <v>2.2999999999999998</v>
      </c>
      <c r="C14" s="36"/>
      <c r="D14" s="183" t="s">
        <v>201</v>
      </c>
      <c r="E14">
        <v>13</v>
      </c>
      <c r="F14">
        <v>3.24</v>
      </c>
      <c r="G14">
        <v>13</v>
      </c>
      <c r="H14" s="184" t="s">
        <v>201</v>
      </c>
      <c r="J14" s="55"/>
      <c r="K14" s="56"/>
    </row>
    <row r="15" spans="1:12" x14ac:dyDescent="0.15">
      <c r="A15" s="40" t="s">
        <v>128</v>
      </c>
      <c r="B15" s="42">
        <v>3</v>
      </c>
      <c r="C15" s="36"/>
      <c r="D15" s="183" t="s">
        <v>202</v>
      </c>
      <c r="E15">
        <v>14</v>
      </c>
      <c r="F15">
        <v>3.24</v>
      </c>
      <c r="G15">
        <v>14</v>
      </c>
      <c r="H15" s="184" t="s">
        <v>202</v>
      </c>
      <c r="J15" s="55"/>
      <c r="K15" s="56"/>
    </row>
    <row r="16" spans="1:12" x14ac:dyDescent="0.15">
      <c r="A16" s="34" t="s">
        <v>62</v>
      </c>
      <c r="B16" s="42">
        <v>3.11</v>
      </c>
      <c r="C16" s="36"/>
      <c r="D16" s="183" t="s">
        <v>203</v>
      </c>
      <c r="E16">
        <v>15</v>
      </c>
      <c r="F16">
        <v>3.24</v>
      </c>
      <c r="G16">
        <v>15</v>
      </c>
      <c r="H16" s="184" t="s">
        <v>203</v>
      </c>
      <c r="J16" s="55"/>
      <c r="K16" s="56"/>
    </row>
    <row r="17" spans="1:12" x14ac:dyDescent="0.15">
      <c r="A17" s="34" t="s">
        <v>61</v>
      </c>
      <c r="B17" s="42">
        <v>3.12</v>
      </c>
      <c r="C17" s="36"/>
      <c r="D17" s="183" t="s">
        <v>204</v>
      </c>
      <c r="E17">
        <v>16</v>
      </c>
      <c r="F17">
        <v>3.14</v>
      </c>
      <c r="G17">
        <v>16</v>
      </c>
      <c r="H17" s="184" t="s">
        <v>204</v>
      </c>
      <c r="J17" s="55"/>
      <c r="K17" s="56"/>
    </row>
    <row r="18" spans="1:12" x14ac:dyDescent="0.15">
      <c r="A18" s="34" t="s">
        <v>68</v>
      </c>
      <c r="B18" s="42">
        <v>3.13</v>
      </c>
      <c r="C18" s="36"/>
      <c r="D18" s="183" t="s">
        <v>205</v>
      </c>
      <c r="E18">
        <v>17</v>
      </c>
      <c r="F18">
        <v>3.21</v>
      </c>
      <c r="G18">
        <v>17</v>
      </c>
      <c r="H18" s="184" t="s">
        <v>205</v>
      </c>
      <c r="J18" s="55"/>
      <c r="K18" s="56"/>
    </row>
    <row r="19" spans="1:12" x14ac:dyDescent="0.15">
      <c r="A19" s="34" t="s">
        <v>66</v>
      </c>
      <c r="B19" s="42">
        <v>3.21</v>
      </c>
      <c r="C19" s="36"/>
      <c r="D19" s="183" t="s">
        <v>206</v>
      </c>
      <c r="E19">
        <v>18</v>
      </c>
      <c r="F19">
        <v>3.02</v>
      </c>
      <c r="G19">
        <v>18</v>
      </c>
      <c r="H19" s="184" t="s">
        <v>206</v>
      </c>
      <c r="J19" s="55"/>
      <c r="K19" s="56"/>
    </row>
    <row r="20" spans="1:12" x14ac:dyDescent="0.15">
      <c r="A20" s="34" t="s">
        <v>63</v>
      </c>
      <c r="B20" s="42">
        <v>3.22</v>
      </c>
      <c r="C20" s="36"/>
      <c r="D20" s="183" t="s">
        <v>207</v>
      </c>
      <c r="E20">
        <v>19</v>
      </c>
      <c r="F20">
        <v>3.21</v>
      </c>
      <c r="G20">
        <v>19</v>
      </c>
      <c r="H20" s="184" t="s">
        <v>207</v>
      </c>
      <c r="J20" s="55"/>
      <c r="K20" s="56"/>
    </row>
    <row r="21" spans="1:12" ht="14" thickBot="1" x14ac:dyDescent="0.2">
      <c r="A21" s="34" t="s">
        <v>69</v>
      </c>
      <c r="B21" s="42">
        <v>3.23</v>
      </c>
      <c r="C21" s="36"/>
      <c r="D21" s="183" t="s">
        <v>208</v>
      </c>
      <c r="E21">
        <v>20</v>
      </c>
      <c r="F21">
        <v>3.21</v>
      </c>
      <c r="G21">
        <v>20</v>
      </c>
      <c r="H21" s="184" t="s">
        <v>208</v>
      </c>
      <c r="J21" s="57"/>
      <c r="K21" s="58"/>
      <c r="L21" s="60" t="s">
        <v>152</v>
      </c>
    </row>
    <row r="22" spans="1:12" x14ac:dyDescent="0.15">
      <c r="A22" s="34" t="s">
        <v>64</v>
      </c>
      <c r="B22" s="42">
        <v>8</v>
      </c>
      <c r="C22" s="36"/>
      <c r="D22" s="183" t="s">
        <v>209</v>
      </c>
      <c r="E22">
        <v>21</v>
      </c>
      <c r="F22">
        <v>3.11</v>
      </c>
      <c r="G22">
        <v>21</v>
      </c>
      <c r="H22" s="184" t="s">
        <v>209</v>
      </c>
    </row>
    <row r="23" spans="1:12" x14ac:dyDescent="0.15">
      <c r="A23" s="34" t="s">
        <v>129</v>
      </c>
      <c r="B23" s="42">
        <v>4</v>
      </c>
      <c r="C23" s="36"/>
      <c r="D23" s="183" t="s">
        <v>210</v>
      </c>
      <c r="E23">
        <v>22</v>
      </c>
      <c r="F23">
        <v>2.1</v>
      </c>
      <c r="G23">
        <v>22</v>
      </c>
      <c r="H23" s="184" t="s">
        <v>210</v>
      </c>
    </row>
    <row r="24" spans="1:12" x14ac:dyDescent="0.15">
      <c r="A24" s="34" t="s">
        <v>122</v>
      </c>
      <c r="B24" s="42">
        <v>4.0999999999999996</v>
      </c>
      <c r="C24" s="36"/>
      <c r="D24" s="183" t="s">
        <v>211</v>
      </c>
      <c r="E24">
        <v>23</v>
      </c>
      <c r="F24">
        <v>9</v>
      </c>
      <c r="G24">
        <v>23</v>
      </c>
      <c r="H24" s="184" t="s">
        <v>211</v>
      </c>
    </row>
    <row r="25" spans="1:12" x14ac:dyDescent="0.15">
      <c r="A25" s="34" t="s">
        <v>70</v>
      </c>
      <c r="B25" s="42">
        <v>4.2</v>
      </c>
      <c r="C25" s="36"/>
      <c r="D25" s="183" t="s">
        <v>212</v>
      </c>
      <c r="E25">
        <v>24</v>
      </c>
      <c r="F25">
        <v>4.0999999999999996</v>
      </c>
      <c r="G25">
        <v>24</v>
      </c>
      <c r="H25" s="184" t="s">
        <v>212</v>
      </c>
    </row>
    <row r="26" spans="1:12" x14ac:dyDescent="0.15">
      <c r="A26" s="34" t="s">
        <v>123</v>
      </c>
      <c r="B26" s="42">
        <v>4.3</v>
      </c>
      <c r="C26" s="36"/>
      <c r="D26" s="183" t="s">
        <v>213</v>
      </c>
      <c r="E26">
        <v>25</v>
      </c>
      <c r="F26">
        <v>4.3</v>
      </c>
      <c r="G26">
        <v>25</v>
      </c>
      <c r="H26" s="184" t="s">
        <v>213</v>
      </c>
    </row>
    <row r="27" spans="1:12" x14ac:dyDescent="0.15">
      <c r="A27" s="34" t="s">
        <v>125</v>
      </c>
      <c r="B27" s="42">
        <v>6.1</v>
      </c>
      <c r="D27" s="183" t="s">
        <v>214</v>
      </c>
      <c r="E27">
        <v>26</v>
      </c>
      <c r="F27">
        <v>5</v>
      </c>
      <c r="G27">
        <v>26</v>
      </c>
      <c r="H27" s="184" t="s">
        <v>214</v>
      </c>
    </row>
    <row r="28" spans="1:12" x14ac:dyDescent="0.15">
      <c r="A28" s="34" t="s">
        <v>124</v>
      </c>
      <c r="B28" s="42">
        <v>6.2</v>
      </c>
      <c r="D28" s="183" t="s">
        <v>138</v>
      </c>
      <c r="E28">
        <v>27</v>
      </c>
      <c r="F28">
        <v>6.1</v>
      </c>
      <c r="G28">
        <v>27</v>
      </c>
      <c r="H28" s="184" t="s">
        <v>138</v>
      </c>
    </row>
    <row r="29" spans="1:12" x14ac:dyDescent="0.15">
      <c r="A29" s="34" t="s">
        <v>44</v>
      </c>
      <c r="B29" s="42">
        <v>5</v>
      </c>
      <c r="D29" s="183" t="s">
        <v>45</v>
      </c>
      <c r="E29">
        <v>28</v>
      </c>
      <c r="F29">
        <v>6.2</v>
      </c>
      <c r="G29">
        <v>28</v>
      </c>
      <c r="H29" s="184" t="s">
        <v>45</v>
      </c>
    </row>
    <row r="30" spans="1:12" x14ac:dyDescent="0.15">
      <c r="A30" s="34" t="s">
        <v>73</v>
      </c>
      <c r="B30" s="42">
        <v>7</v>
      </c>
    </row>
    <row r="31" spans="1:12" x14ac:dyDescent="0.15">
      <c r="A31" s="34" t="s">
        <v>169</v>
      </c>
      <c r="B31" s="42">
        <v>3.14</v>
      </c>
    </row>
    <row r="32" spans="1:12" ht="12" customHeight="1" thickBot="1" x14ac:dyDescent="0.2">
      <c r="A32" s="40" t="s">
        <v>170</v>
      </c>
      <c r="B32" s="43">
        <v>9</v>
      </c>
    </row>
    <row r="33" customFormat="1" ht="12" customHeight="1" x14ac:dyDescent="0.15"/>
    <row r="34" customFormat="1" ht="12" customHeight="1" x14ac:dyDescent="0.15"/>
    <row r="35" customFormat="1" x14ac:dyDescent="0.15"/>
    <row r="36" customFormat="1" x14ac:dyDescent="0.15"/>
    <row r="37" customFormat="1" ht="12" customHeight="1" x14ac:dyDescent="0.15"/>
    <row r="38" customFormat="1" x14ac:dyDescent="0.15"/>
    <row r="39" customFormat="1" x14ac:dyDescent="0.15"/>
    <row r="40" customFormat="1" x14ac:dyDescent="0.15"/>
    <row r="41" customFormat="1" x14ac:dyDescent="0.15"/>
    <row r="42" customFormat="1" x14ac:dyDescent="0.15"/>
    <row r="43" customFormat="1" x14ac:dyDescent="0.15"/>
    <row r="44" customFormat="1" x14ac:dyDescent="0.15"/>
    <row r="45" customFormat="1" x14ac:dyDescent="0.15"/>
    <row r="46" customFormat="1" x14ac:dyDescent="0.15"/>
    <row r="47" customFormat="1" x14ac:dyDescent="0.15"/>
    <row r="48" customFormat="1" x14ac:dyDescent="0.15"/>
    <row r="49" customFormat="1" x14ac:dyDescent="0.15"/>
    <row r="50" customFormat="1" ht="12" customHeight="1" x14ac:dyDescent="0.15"/>
    <row r="51" customFormat="1" x14ac:dyDescent="0.15"/>
    <row r="52" customFormat="1" ht="12" customHeight="1" x14ac:dyDescent="0.15"/>
    <row r="53" customFormat="1" x14ac:dyDescent="0.15"/>
    <row r="54" customFormat="1" ht="12" customHeight="1" x14ac:dyDescent="0.15"/>
    <row r="55" customFormat="1" ht="12" customHeight="1" x14ac:dyDescent="0.15"/>
    <row r="56" customFormat="1" x14ac:dyDescent="0.15"/>
    <row r="57" customFormat="1" x14ac:dyDescent="0.15"/>
    <row r="58" customFormat="1" x14ac:dyDescent="0.15"/>
    <row r="59" customFormat="1" x14ac:dyDescent="0.15"/>
    <row r="60" customFormat="1" x14ac:dyDescent="0.15"/>
    <row r="61" customFormat="1" x14ac:dyDescent="0.15"/>
    <row r="62" customFormat="1" x14ac:dyDescent="0.15"/>
    <row r="63" customFormat="1" x14ac:dyDescent="0.15"/>
    <row r="64" customFormat="1" x14ac:dyDescent="0.15"/>
    <row r="65" customFormat="1" x14ac:dyDescent="0.15"/>
    <row r="66" customFormat="1" x14ac:dyDescent="0.15"/>
    <row r="67" customFormat="1" x14ac:dyDescent="0.15"/>
    <row r="68" customFormat="1" x14ac:dyDescent="0.15"/>
    <row r="69" customFormat="1" x14ac:dyDescent="0.15"/>
    <row r="70" customFormat="1" x14ac:dyDescent="0.15"/>
    <row r="71" customFormat="1" x14ac:dyDescent="0.15"/>
    <row r="72" customFormat="1" x14ac:dyDescent="0.15"/>
    <row r="73" customFormat="1" x14ac:dyDescent="0.15"/>
    <row r="74" customFormat="1" x14ac:dyDescent="0.15"/>
    <row r="75" customFormat="1" x14ac:dyDescent="0.15"/>
    <row r="76" customFormat="1" x14ac:dyDescent="0.15"/>
    <row r="77" customFormat="1" x14ac:dyDescent="0.15"/>
    <row r="78" customFormat="1" x14ac:dyDescent="0.15"/>
    <row r="79" customFormat="1" x14ac:dyDescent="0.15"/>
    <row r="80" customFormat="1" x14ac:dyDescent="0.15"/>
    <row r="81" customFormat="1" x14ac:dyDescent="0.15"/>
    <row r="82" customFormat="1" x14ac:dyDescent="0.15"/>
    <row r="83" customFormat="1" x14ac:dyDescent="0.15"/>
    <row r="84" customFormat="1" x14ac:dyDescent="0.15"/>
    <row r="85" customFormat="1" x14ac:dyDescent="0.15"/>
    <row r="86" customFormat="1" x14ac:dyDescent="0.15"/>
    <row r="87" customFormat="1" x14ac:dyDescent="0.15"/>
    <row r="88" customFormat="1" x14ac:dyDescent="0.15"/>
    <row r="89" customFormat="1" x14ac:dyDescent="0.15"/>
    <row r="90" customFormat="1" x14ac:dyDescent="0.15"/>
    <row r="91" customFormat="1" x14ac:dyDescent="0.15"/>
    <row r="92" customFormat="1" x14ac:dyDescent="0.15"/>
    <row r="93" customFormat="1" x14ac:dyDescent="0.15"/>
    <row r="94" customFormat="1" x14ac:dyDescent="0.15"/>
    <row r="95" customFormat="1" x14ac:dyDescent="0.15"/>
    <row r="96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topLeftCell="B1" workbookViewId="0">
      <pane ySplit="2" topLeftCell="A3" activePane="bottomLeft" state="frozen"/>
      <selection pane="bottomLeft" activeCell="D4" sqref="D4"/>
    </sheetView>
  </sheetViews>
  <sheetFormatPr baseColWidth="10" defaultColWidth="11.5" defaultRowHeight="15" customHeight="1" x14ac:dyDescent="0.15"/>
  <cols>
    <col min="1" max="1" width="40.1640625" style="79" bestFit="1" customWidth="1"/>
    <col min="2" max="2" width="4.83203125" style="78" customWidth="1"/>
    <col min="3" max="3" width="13.1640625" style="78" customWidth="1"/>
    <col min="4" max="4" width="39.6640625" style="78" customWidth="1"/>
    <col min="5" max="5" width="8.1640625" style="78" customWidth="1"/>
    <col min="6" max="6" width="21.6640625" style="78" bestFit="1" customWidth="1"/>
    <col min="7" max="9" width="2.33203125" style="78" customWidth="1"/>
    <col min="10" max="10" width="2.33203125" style="78" bestFit="1" customWidth="1"/>
    <col min="11" max="15" width="2.33203125" style="78" customWidth="1"/>
    <col min="16" max="16" width="2.33203125" style="68" customWidth="1"/>
    <col min="17" max="17" width="2.33203125" style="78" customWidth="1"/>
    <col min="18" max="18" width="2.33203125" style="69" customWidth="1"/>
    <col min="19" max="16384" width="11.5" style="78"/>
  </cols>
  <sheetData>
    <row r="1" spans="1:23" ht="15" customHeight="1" thickBot="1" x14ac:dyDescent="0.2">
      <c r="F1" s="1"/>
      <c r="G1" s="66" t="s">
        <v>46</v>
      </c>
      <c r="H1" s="66" t="s">
        <v>47</v>
      </c>
      <c r="I1" s="66" t="s">
        <v>120</v>
      </c>
      <c r="J1" s="66" t="s">
        <v>132</v>
      </c>
      <c r="K1" s="80" t="s">
        <v>48</v>
      </c>
      <c r="L1" s="69"/>
      <c r="M1" s="80" t="s">
        <v>119</v>
      </c>
      <c r="N1" s="69"/>
      <c r="O1" s="80" t="s">
        <v>49</v>
      </c>
      <c r="P1" s="72"/>
      <c r="Q1" s="80" t="s">
        <v>50</v>
      </c>
      <c r="R1" s="66" t="s">
        <v>154</v>
      </c>
    </row>
    <row r="2" spans="1:23" ht="15" customHeight="1" x14ac:dyDescent="0.15">
      <c r="A2" s="80" t="s">
        <v>51</v>
      </c>
      <c r="B2" s="81">
        <v>0.5</v>
      </c>
      <c r="C2" s="79" t="s">
        <v>52</v>
      </c>
      <c r="D2" s="82"/>
      <c r="F2" s="1"/>
      <c r="G2" s="83"/>
      <c r="H2" s="83"/>
      <c r="I2" s="83" t="s">
        <v>133</v>
      </c>
      <c r="J2" s="83" t="s">
        <v>133</v>
      </c>
      <c r="K2" s="83" t="s">
        <v>52</v>
      </c>
      <c r="L2" s="83" t="s">
        <v>53</v>
      </c>
      <c r="M2" s="83" t="s">
        <v>52</v>
      </c>
      <c r="N2" s="83" t="s">
        <v>53</v>
      </c>
      <c r="O2" s="83" t="s">
        <v>52</v>
      </c>
      <c r="P2" s="84" t="s">
        <v>53</v>
      </c>
      <c r="Q2" s="83"/>
      <c r="R2" s="85" t="s">
        <v>155</v>
      </c>
    </row>
    <row r="3" spans="1:23" ht="15" customHeight="1" thickBot="1" x14ac:dyDescent="0.2">
      <c r="A3" s="80" t="s">
        <v>54</v>
      </c>
      <c r="B3" s="86">
        <v>0.5</v>
      </c>
      <c r="C3" s="79" t="s">
        <v>53</v>
      </c>
      <c r="D3" s="82"/>
      <c r="F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33">
        <v>0</v>
      </c>
      <c r="R3" s="36">
        <v>0</v>
      </c>
    </row>
    <row r="4" spans="1:23" ht="15" customHeight="1" thickBot="1" x14ac:dyDescent="0.2">
      <c r="F4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33">
        <v>0</v>
      </c>
      <c r="R4" s="105">
        <v>0</v>
      </c>
    </row>
    <row r="5" spans="1:23" ht="15" customHeight="1" x14ac:dyDescent="0.15">
      <c r="A5" s="80" t="s">
        <v>55</v>
      </c>
      <c r="B5" s="87">
        <v>0.5</v>
      </c>
      <c r="C5" s="79" t="s">
        <v>52</v>
      </c>
      <c r="D5" s="82"/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33">
        <v>0</v>
      </c>
      <c r="R5" s="105">
        <v>0</v>
      </c>
    </row>
    <row r="6" spans="1:23" ht="15" customHeight="1" thickBot="1" x14ac:dyDescent="0.2">
      <c r="A6" s="80"/>
      <c r="B6" s="88">
        <v>0.5</v>
      </c>
      <c r="C6" s="79" t="s">
        <v>53</v>
      </c>
      <c r="D6" s="82"/>
      <c r="F6" s="185" t="s">
        <v>192</v>
      </c>
      <c r="G6" s="78">
        <v>0</v>
      </c>
      <c r="H6" s="78">
        <v>0</v>
      </c>
      <c r="I6" s="78">
        <v>0</v>
      </c>
      <c r="J6" s="78">
        <v>0</v>
      </c>
      <c r="K6" s="78">
        <v>1</v>
      </c>
      <c r="L6" s="78">
        <v>0</v>
      </c>
      <c r="M6" s="78">
        <v>1</v>
      </c>
      <c r="N6" s="78">
        <v>0</v>
      </c>
      <c r="O6" s="78">
        <v>1</v>
      </c>
      <c r="P6" s="68">
        <v>0</v>
      </c>
      <c r="Q6" s="78">
        <v>0</v>
      </c>
      <c r="R6" s="69">
        <v>1</v>
      </c>
      <c r="S6"/>
      <c r="T6"/>
    </row>
    <row r="7" spans="1:23" ht="15" customHeight="1" thickBot="1" x14ac:dyDescent="0.2">
      <c r="F7" s="185" t="s">
        <v>193</v>
      </c>
      <c r="G7" s="78">
        <v>0</v>
      </c>
      <c r="H7" s="78">
        <v>0</v>
      </c>
      <c r="I7" s="78">
        <v>0</v>
      </c>
      <c r="J7" s="78">
        <v>0</v>
      </c>
      <c r="K7" s="78">
        <v>1</v>
      </c>
      <c r="L7" s="78">
        <v>0</v>
      </c>
      <c r="M7" s="78">
        <v>1</v>
      </c>
      <c r="N7" s="78">
        <v>0</v>
      </c>
      <c r="O7" s="78">
        <v>1</v>
      </c>
      <c r="P7" s="68">
        <v>0</v>
      </c>
      <c r="Q7" s="78">
        <v>0</v>
      </c>
      <c r="R7" s="69">
        <v>1</v>
      </c>
      <c r="S7"/>
      <c r="T7"/>
    </row>
    <row r="8" spans="1:23" ht="15" customHeight="1" x14ac:dyDescent="0.15">
      <c r="A8" s="80" t="s">
        <v>56</v>
      </c>
      <c r="B8" s="87">
        <v>1</v>
      </c>
      <c r="C8" s="186" t="s">
        <v>210</v>
      </c>
      <c r="D8" s="82" t="s">
        <v>160</v>
      </c>
      <c r="F8" s="185" t="s">
        <v>194</v>
      </c>
      <c r="G8" s="78">
        <v>0</v>
      </c>
      <c r="H8" s="78">
        <v>0</v>
      </c>
      <c r="I8" s="78">
        <v>0</v>
      </c>
      <c r="J8" s="78">
        <v>0</v>
      </c>
      <c r="K8" s="78">
        <v>1</v>
      </c>
      <c r="L8" s="78">
        <v>0</v>
      </c>
      <c r="M8" s="78">
        <v>1</v>
      </c>
      <c r="N8" s="78">
        <v>0</v>
      </c>
      <c r="O8" s="78">
        <v>1</v>
      </c>
      <c r="P8" s="68">
        <v>0</v>
      </c>
      <c r="Q8" s="78">
        <v>0</v>
      </c>
      <c r="R8" s="69">
        <v>1</v>
      </c>
      <c r="S8"/>
      <c r="T8"/>
      <c r="W8"/>
    </row>
    <row r="9" spans="1:23" ht="15" customHeight="1" x14ac:dyDescent="0.15">
      <c r="A9" s="119" t="s">
        <v>168</v>
      </c>
      <c r="B9" s="89"/>
      <c r="C9" s="77"/>
      <c r="D9" s="82" t="s">
        <v>160</v>
      </c>
      <c r="F9" s="185" t="s">
        <v>195</v>
      </c>
      <c r="G9" s="78">
        <v>0</v>
      </c>
      <c r="H9" s="78">
        <v>0</v>
      </c>
      <c r="I9" s="78">
        <v>0</v>
      </c>
      <c r="J9" s="78">
        <v>0</v>
      </c>
      <c r="K9" s="78">
        <v>1</v>
      </c>
      <c r="L9" s="78">
        <v>0</v>
      </c>
      <c r="M9" s="78">
        <v>1</v>
      </c>
      <c r="N9" s="78">
        <v>0</v>
      </c>
      <c r="O9" s="78">
        <v>1</v>
      </c>
      <c r="P9" s="68">
        <v>0</v>
      </c>
      <c r="Q9" s="78">
        <v>0</v>
      </c>
      <c r="R9" s="69">
        <v>1</v>
      </c>
      <c r="S9"/>
      <c r="T9"/>
      <c r="W9"/>
    </row>
    <row r="10" spans="1:23" ht="15" customHeight="1" x14ac:dyDescent="0.15">
      <c r="B10" s="89"/>
      <c r="C10" s="77"/>
      <c r="D10" s="82" t="s">
        <v>160</v>
      </c>
      <c r="F10" s="185" t="s">
        <v>196</v>
      </c>
      <c r="G10" s="78">
        <v>0</v>
      </c>
      <c r="H10" s="78">
        <v>0</v>
      </c>
      <c r="I10" s="78">
        <v>0</v>
      </c>
      <c r="J10" s="78">
        <v>0</v>
      </c>
      <c r="K10" s="78">
        <v>1</v>
      </c>
      <c r="L10" s="78">
        <v>0</v>
      </c>
      <c r="M10" s="78">
        <v>1</v>
      </c>
      <c r="N10" s="78">
        <v>0</v>
      </c>
      <c r="O10" s="78">
        <v>1</v>
      </c>
      <c r="P10" s="68">
        <v>0</v>
      </c>
      <c r="Q10" s="78">
        <v>0</v>
      </c>
      <c r="R10" s="69">
        <v>1</v>
      </c>
      <c r="S10"/>
      <c r="T10"/>
      <c r="W10"/>
    </row>
    <row r="11" spans="1:23" ht="15" customHeight="1" x14ac:dyDescent="0.15">
      <c r="A11" s="80"/>
      <c r="B11" s="89"/>
      <c r="C11" s="92"/>
      <c r="D11" s="82" t="s">
        <v>160</v>
      </c>
      <c r="F11" s="185" t="s">
        <v>197</v>
      </c>
      <c r="G11" s="78">
        <v>0</v>
      </c>
      <c r="H11" s="78">
        <v>0</v>
      </c>
      <c r="I11" s="78">
        <v>0</v>
      </c>
      <c r="J11" s="78">
        <v>0</v>
      </c>
      <c r="K11" s="78">
        <v>1</v>
      </c>
      <c r="L11" s="78">
        <v>0</v>
      </c>
      <c r="M11" s="78">
        <v>1</v>
      </c>
      <c r="N11" s="78">
        <v>0</v>
      </c>
      <c r="O11" s="78">
        <v>1</v>
      </c>
      <c r="P11" s="68">
        <v>0</v>
      </c>
      <c r="Q11" s="78">
        <v>0</v>
      </c>
      <c r="R11" s="69">
        <v>1</v>
      </c>
      <c r="S11"/>
      <c r="T11"/>
      <c r="W11"/>
    </row>
    <row r="12" spans="1:23" ht="15" customHeight="1" x14ac:dyDescent="0.15">
      <c r="B12" s="89"/>
      <c r="C12" s="93"/>
      <c r="D12" s="82" t="s">
        <v>160</v>
      </c>
      <c r="F12" s="185" t="s">
        <v>198</v>
      </c>
      <c r="G12" s="78">
        <v>0</v>
      </c>
      <c r="H12" s="78">
        <v>0</v>
      </c>
      <c r="I12" s="78">
        <v>0</v>
      </c>
      <c r="J12" s="78">
        <v>0</v>
      </c>
      <c r="K12" s="78">
        <v>1</v>
      </c>
      <c r="L12" s="78">
        <v>0</v>
      </c>
      <c r="M12" s="78">
        <v>1</v>
      </c>
      <c r="N12" s="78">
        <v>0</v>
      </c>
      <c r="O12" s="78">
        <v>1</v>
      </c>
      <c r="P12" s="68">
        <v>0</v>
      </c>
      <c r="Q12" s="78">
        <v>0</v>
      </c>
      <c r="R12" s="69">
        <v>1</v>
      </c>
      <c r="S12"/>
      <c r="T12"/>
      <c r="W12"/>
    </row>
    <row r="13" spans="1:23" ht="15" customHeight="1" x14ac:dyDescent="0.15">
      <c r="B13" s="89"/>
      <c r="C13" s="93"/>
      <c r="D13" s="82" t="s">
        <v>160</v>
      </c>
      <c r="F13" s="185" t="s">
        <v>199</v>
      </c>
      <c r="G13" s="78">
        <v>0</v>
      </c>
      <c r="H13" s="78">
        <v>0</v>
      </c>
      <c r="I13" s="78">
        <v>0</v>
      </c>
      <c r="J13" s="78">
        <v>0</v>
      </c>
      <c r="K13" s="78">
        <v>1</v>
      </c>
      <c r="L13" s="78">
        <v>0</v>
      </c>
      <c r="M13" s="78">
        <v>1</v>
      </c>
      <c r="N13" s="78">
        <v>0</v>
      </c>
      <c r="O13" s="78">
        <v>1</v>
      </c>
      <c r="P13" s="68">
        <v>0</v>
      </c>
      <c r="Q13" s="78">
        <v>0</v>
      </c>
      <c r="R13" s="69">
        <v>1</v>
      </c>
      <c r="S13"/>
      <c r="T13"/>
      <c r="W13"/>
    </row>
    <row r="14" spans="1:23" ht="15" customHeight="1" x14ac:dyDescent="0.15">
      <c r="B14" s="89"/>
      <c r="C14" s="77"/>
      <c r="D14" s="82" t="s">
        <v>160</v>
      </c>
      <c r="F14" s="185" t="s">
        <v>200</v>
      </c>
      <c r="G14" s="78">
        <v>0</v>
      </c>
      <c r="H14" s="78">
        <v>0</v>
      </c>
      <c r="I14" s="78">
        <v>0</v>
      </c>
      <c r="J14" s="78">
        <v>0</v>
      </c>
      <c r="K14" s="78">
        <v>1</v>
      </c>
      <c r="L14" s="78">
        <v>0</v>
      </c>
      <c r="M14" s="78">
        <v>1</v>
      </c>
      <c r="N14" s="78">
        <v>0</v>
      </c>
      <c r="O14" s="78">
        <v>1</v>
      </c>
      <c r="P14" s="68">
        <v>0</v>
      </c>
      <c r="Q14" s="78">
        <v>0</v>
      </c>
      <c r="R14" s="69">
        <v>1</v>
      </c>
      <c r="S14"/>
      <c r="T14"/>
      <c r="W14"/>
    </row>
    <row r="15" spans="1:23" ht="15" customHeight="1" x14ac:dyDescent="0.15">
      <c r="B15" s="89"/>
      <c r="C15" s="77"/>
      <c r="D15" s="82" t="s">
        <v>160</v>
      </c>
      <c r="F15" s="185" t="s">
        <v>201</v>
      </c>
      <c r="G15" s="78">
        <v>0</v>
      </c>
      <c r="H15" s="78">
        <v>0</v>
      </c>
      <c r="I15" s="78">
        <v>0</v>
      </c>
      <c r="J15" s="78">
        <v>0</v>
      </c>
      <c r="K15" s="78">
        <v>1</v>
      </c>
      <c r="L15" s="78">
        <v>0</v>
      </c>
      <c r="M15" s="78">
        <v>1</v>
      </c>
      <c r="N15" s="78">
        <v>0</v>
      </c>
      <c r="O15" s="78">
        <v>1</v>
      </c>
      <c r="P15" s="68">
        <v>0</v>
      </c>
      <c r="Q15" s="78">
        <v>0</v>
      </c>
      <c r="R15" s="69">
        <v>1</v>
      </c>
      <c r="S15"/>
      <c r="T15"/>
      <c r="W15"/>
    </row>
    <row r="16" spans="1:23" ht="15" customHeight="1" x14ac:dyDescent="0.15">
      <c r="B16" s="89"/>
      <c r="C16" s="77"/>
      <c r="D16" s="82" t="s">
        <v>160</v>
      </c>
      <c r="F16" s="185" t="s">
        <v>202</v>
      </c>
      <c r="G16" s="78">
        <v>0</v>
      </c>
      <c r="H16" s="78">
        <v>0</v>
      </c>
      <c r="I16" s="78">
        <v>0</v>
      </c>
      <c r="J16" s="78">
        <v>0</v>
      </c>
      <c r="K16" s="78">
        <v>1</v>
      </c>
      <c r="L16" s="78">
        <v>0</v>
      </c>
      <c r="M16" s="78">
        <v>1</v>
      </c>
      <c r="N16" s="78">
        <v>0</v>
      </c>
      <c r="O16" s="78">
        <v>1</v>
      </c>
      <c r="P16" s="68">
        <v>0</v>
      </c>
      <c r="Q16" s="78">
        <v>0</v>
      </c>
      <c r="R16" s="69">
        <v>1</v>
      </c>
      <c r="S16"/>
      <c r="T16"/>
    </row>
    <row r="17" spans="1:20" ht="15" customHeight="1" thickBot="1" x14ac:dyDescent="0.2">
      <c r="B17" s="88"/>
      <c r="C17" s="77"/>
      <c r="D17" s="82" t="s">
        <v>160</v>
      </c>
      <c r="F17" s="185" t="s">
        <v>203</v>
      </c>
      <c r="G17" s="78">
        <v>0</v>
      </c>
      <c r="H17" s="78">
        <v>0</v>
      </c>
      <c r="I17" s="78">
        <v>0</v>
      </c>
      <c r="J17" s="78">
        <v>0</v>
      </c>
      <c r="K17" s="78">
        <v>1</v>
      </c>
      <c r="L17" s="78">
        <v>0</v>
      </c>
      <c r="M17" s="78">
        <v>1</v>
      </c>
      <c r="N17" s="78">
        <v>0</v>
      </c>
      <c r="O17" s="78">
        <v>1</v>
      </c>
      <c r="P17" s="68">
        <v>0</v>
      </c>
      <c r="Q17" s="78">
        <v>0</v>
      </c>
      <c r="R17" s="69">
        <v>1</v>
      </c>
      <c r="S17"/>
      <c r="T17"/>
    </row>
    <row r="18" spans="1:20" ht="15" customHeight="1" thickBot="1" x14ac:dyDescent="0.2">
      <c r="B18" s="90"/>
      <c r="F18" s="185" t="s">
        <v>204</v>
      </c>
      <c r="G18" s="78">
        <v>0</v>
      </c>
      <c r="H18" s="78">
        <v>0</v>
      </c>
      <c r="I18" s="78">
        <v>0</v>
      </c>
      <c r="J18" s="78">
        <v>0</v>
      </c>
      <c r="K18" s="78">
        <v>1</v>
      </c>
      <c r="L18" s="78">
        <v>0</v>
      </c>
      <c r="M18" s="78">
        <v>1</v>
      </c>
      <c r="N18" s="78">
        <v>0</v>
      </c>
      <c r="O18" s="78">
        <v>1</v>
      </c>
      <c r="P18" s="68">
        <v>0</v>
      </c>
      <c r="Q18" s="78">
        <v>0</v>
      </c>
      <c r="R18" s="69">
        <v>1</v>
      </c>
      <c r="S18"/>
      <c r="T18"/>
    </row>
    <row r="19" spans="1:20" ht="15" customHeight="1" x14ac:dyDescent="0.15">
      <c r="A19" s="80" t="s">
        <v>57</v>
      </c>
      <c r="B19" s="87">
        <v>1</v>
      </c>
      <c r="C19" s="187" t="s">
        <v>210</v>
      </c>
      <c r="D19" s="82" t="s">
        <v>160</v>
      </c>
      <c r="F19" s="185" t="s">
        <v>205</v>
      </c>
      <c r="G19" s="78">
        <v>0</v>
      </c>
      <c r="H19" s="78">
        <v>0</v>
      </c>
      <c r="I19" s="78">
        <v>0</v>
      </c>
      <c r="J19" s="78">
        <v>0</v>
      </c>
      <c r="K19" s="78">
        <v>1</v>
      </c>
      <c r="L19" s="78">
        <v>0</v>
      </c>
      <c r="M19" s="78">
        <v>1</v>
      </c>
      <c r="N19" s="78">
        <v>0</v>
      </c>
      <c r="O19" s="78">
        <v>1</v>
      </c>
      <c r="P19" s="68">
        <v>0</v>
      </c>
      <c r="Q19" s="78">
        <v>0</v>
      </c>
      <c r="R19" s="69">
        <v>1</v>
      </c>
      <c r="S19"/>
      <c r="T19"/>
    </row>
    <row r="20" spans="1:20" ht="15" customHeight="1" x14ac:dyDescent="0.15">
      <c r="A20" s="119" t="s">
        <v>168</v>
      </c>
      <c r="B20" s="89"/>
      <c r="C20" s="77"/>
      <c r="D20" s="82" t="s">
        <v>160</v>
      </c>
      <c r="F20" s="185" t="s">
        <v>206</v>
      </c>
      <c r="G20" s="78">
        <v>0</v>
      </c>
      <c r="H20" s="78">
        <v>0</v>
      </c>
      <c r="I20" s="78">
        <v>0</v>
      </c>
      <c r="J20" s="78">
        <v>0</v>
      </c>
      <c r="K20" s="78">
        <v>1</v>
      </c>
      <c r="L20" s="78">
        <v>0</v>
      </c>
      <c r="M20" s="78">
        <v>1</v>
      </c>
      <c r="N20" s="78">
        <v>0</v>
      </c>
      <c r="O20" s="78">
        <v>1</v>
      </c>
      <c r="P20" s="68">
        <v>0</v>
      </c>
      <c r="Q20" s="78">
        <v>0</v>
      </c>
      <c r="R20" s="69">
        <v>1</v>
      </c>
      <c r="S20"/>
      <c r="T20"/>
    </row>
    <row r="21" spans="1:20" ht="15" customHeight="1" x14ac:dyDescent="0.15">
      <c r="B21" s="89"/>
      <c r="C21" s="77"/>
      <c r="D21" s="82" t="s">
        <v>160</v>
      </c>
      <c r="F21" s="185" t="s">
        <v>207</v>
      </c>
      <c r="G21" s="78">
        <v>0</v>
      </c>
      <c r="H21" s="78">
        <v>0</v>
      </c>
      <c r="I21" s="78">
        <v>0</v>
      </c>
      <c r="J21" s="78">
        <v>0</v>
      </c>
      <c r="K21" s="78">
        <v>1</v>
      </c>
      <c r="L21" s="78">
        <v>0</v>
      </c>
      <c r="M21" s="78">
        <v>1</v>
      </c>
      <c r="N21" s="78">
        <v>0</v>
      </c>
      <c r="O21" s="78">
        <v>1</v>
      </c>
      <c r="P21" s="68">
        <v>0</v>
      </c>
      <c r="Q21" s="78">
        <v>0</v>
      </c>
      <c r="R21" s="69">
        <v>1</v>
      </c>
      <c r="S21"/>
      <c r="T21"/>
    </row>
    <row r="22" spans="1:20" ht="15" customHeight="1" x14ac:dyDescent="0.15">
      <c r="A22" s="78"/>
      <c r="B22" s="89"/>
      <c r="C22" s="92"/>
      <c r="D22" s="82" t="s">
        <v>160</v>
      </c>
      <c r="F22" s="185" t="s">
        <v>208</v>
      </c>
      <c r="G22" s="78">
        <v>0</v>
      </c>
      <c r="H22" s="78">
        <v>0</v>
      </c>
      <c r="I22" s="78">
        <v>0</v>
      </c>
      <c r="J22" s="78">
        <v>0</v>
      </c>
      <c r="K22" s="78">
        <v>1</v>
      </c>
      <c r="L22" s="78">
        <v>0</v>
      </c>
      <c r="M22" s="78">
        <v>1</v>
      </c>
      <c r="N22" s="78">
        <v>0</v>
      </c>
      <c r="O22" s="78">
        <v>1</v>
      </c>
      <c r="P22" s="68">
        <v>0</v>
      </c>
      <c r="Q22" s="78">
        <v>0</v>
      </c>
      <c r="R22" s="69">
        <v>1</v>
      </c>
      <c r="S22"/>
      <c r="T22"/>
    </row>
    <row r="23" spans="1:20" ht="15" customHeight="1" x14ac:dyDescent="0.15">
      <c r="A23" s="78"/>
      <c r="B23" s="89"/>
      <c r="C23" s="93"/>
      <c r="D23" s="82" t="s">
        <v>160</v>
      </c>
      <c r="F23" s="185" t="s">
        <v>209</v>
      </c>
      <c r="G23" s="78">
        <v>0</v>
      </c>
      <c r="H23" s="78">
        <v>0</v>
      </c>
      <c r="I23" s="78">
        <v>0</v>
      </c>
      <c r="J23" s="78">
        <v>0</v>
      </c>
      <c r="K23" s="78">
        <v>1</v>
      </c>
      <c r="L23" s="78">
        <v>0</v>
      </c>
      <c r="M23" s="78">
        <v>1</v>
      </c>
      <c r="N23" s="78">
        <v>0</v>
      </c>
      <c r="O23" s="78">
        <v>1</v>
      </c>
      <c r="P23" s="68">
        <v>0</v>
      </c>
      <c r="Q23" s="78">
        <v>0</v>
      </c>
      <c r="R23" s="69">
        <v>1</v>
      </c>
      <c r="S23"/>
      <c r="T23"/>
    </row>
    <row r="24" spans="1:20" ht="15" customHeight="1" x14ac:dyDescent="0.15">
      <c r="A24" s="78"/>
      <c r="B24" s="89"/>
      <c r="C24" s="93"/>
      <c r="D24" s="82" t="s">
        <v>160</v>
      </c>
      <c r="F24" s="185" t="s">
        <v>210</v>
      </c>
      <c r="G24" s="78">
        <v>0</v>
      </c>
      <c r="H24" s="78">
        <v>0</v>
      </c>
      <c r="I24" s="78">
        <v>0</v>
      </c>
      <c r="J24" s="78">
        <v>0</v>
      </c>
      <c r="K24" s="78">
        <v>0</v>
      </c>
      <c r="L24" s="78">
        <v>0</v>
      </c>
      <c r="M24" s="78">
        <v>1</v>
      </c>
      <c r="N24" s="78">
        <v>0</v>
      </c>
      <c r="O24" s="78">
        <v>0</v>
      </c>
      <c r="P24" s="68">
        <v>0</v>
      </c>
      <c r="Q24" s="78">
        <v>0</v>
      </c>
      <c r="R24" s="69">
        <v>1</v>
      </c>
      <c r="S24"/>
      <c r="T24"/>
    </row>
    <row r="25" spans="1:20" ht="15" customHeight="1" x14ac:dyDescent="0.15">
      <c r="A25" s="78"/>
      <c r="B25" s="89"/>
      <c r="C25" s="77"/>
      <c r="D25" s="82" t="s">
        <v>160</v>
      </c>
      <c r="F25" s="185" t="s">
        <v>211</v>
      </c>
      <c r="G25" s="78">
        <v>0</v>
      </c>
      <c r="H25" s="78">
        <v>0</v>
      </c>
      <c r="I25" s="78">
        <v>0</v>
      </c>
      <c r="J25" s="78">
        <v>0</v>
      </c>
      <c r="K25" s="78">
        <v>1</v>
      </c>
      <c r="L25" s="78">
        <v>0</v>
      </c>
      <c r="M25" s="78">
        <v>1</v>
      </c>
      <c r="N25" s="78">
        <v>0</v>
      </c>
      <c r="O25" s="78">
        <v>1</v>
      </c>
      <c r="P25" s="68">
        <v>0</v>
      </c>
      <c r="Q25" s="78">
        <v>0</v>
      </c>
      <c r="R25" s="69">
        <v>1</v>
      </c>
      <c r="S25"/>
      <c r="T25"/>
    </row>
    <row r="26" spans="1:20" ht="15" customHeight="1" x14ac:dyDescent="0.15">
      <c r="B26" s="89"/>
      <c r="C26" s="77"/>
      <c r="D26" s="82" t="s">
        <v>160</v>
      </c>
      <c r="F26" s="185" t="s">
        <v>212</v>
      </c>
      <c r="G26" s="78">
        <v>0</v>
      </c>
      <c r="H26" s="78">
        <v>0</v>
      </c>
      <c r="I26" s="78">
        <v>0</v>
      </c>
      <c r="J26" s="78">
        <v>0</v>
      </c>
      <c r="K26" s="78">
        <v>0</v>
      </c>
      <c r="L26" s="78">
        <v>1</v>
      </c>
      <c r="M26" s="78">
        <v>0</v>
      </c>
      <c r="N26" s="78">
        <v>1</v>
      </c>
      <c r="O26" s="78">
        <v>0</v>
      </c>
      <c r="P26" s="68">
        <v>1</v>
      </c>
      <c r="Q26" s="78">
        <v>0</v>
      </c>
      <c r="R26" s="69">
        <v>1</v>
      </c>
      <c r="S26"/>
      <c r="T26"/>
    </row>
    <row r="27" spans="1:20" ht="15" customHeight="1" x14ac:dyDescent="0.15">
      <c r="B27" s="89"/>
      <c r="C27" s="77"/>
      <c r="D27" s="82" t="s">
        <v>160</v>
      </c>
      <c r="F27" s="185" t="s">
        <v>213</v>
      </c>
      <c r="G27" s="78">
        <v>0</v>
      </c>
      <c r="H27" s="78">
        <v>0</v>
      </c>
      <c r="I27" s="78">
        <v>0</v>
      </c>
      <c r="J27" s="78">
        <v>0</v>
      </c>
      <c r="K27" s="78">
        <v>0</v>
      </c>
      <c r="L27" s="78">
        <v>1</v>
      </c>
      <c r="M27" s="78">
        <v>0</v>
      </c>
      <c r="N27" s="78">
        <v>1</v>
      </c>
      <c r="O27" s="78">
        <v>0</v>
      </c>
      <c r="P27" s="68">
        <v>1</v>
      </c>
      <c r="Q27" s="78">
        <v>0</v>
      </c>
      <c r="R27" s="69">
        <v>1</v>
      </c>
      <c r="S27"/>
      <c r="T27"/>
    </row>
    <row r="28" spans="1:20" ht="15" customHeight="1" thickBot="1" x14ac:dyDescent="0.2">
      <c r="B28" s="88"/>
      <c r="C28" s="77"/>
      <c r="D28" s="82" t="s">
        <v>160</v>
      </c>
      <c r="F28" s="185" t="s">
        <v>214</v>
      </c>
      <c r="G28" s="78">
        <v>0</v>
      </c>
      <c r="H28" s="78">
        <v>0</v>
      </c>
      <c r="I28" s="78">
        <v>0</v>
      </c>
      <c r="J28" s="78">
        <v>0</v>
      </c>
      <c r="K28" s="78">
        <v>0</v>
      </c>
      <c r="L28" s="78">
        <v>1</v>
      </c>
      <c r="M28" s="78">
        <v>0</v>
      </c>
      <c r="N28" s="78">
        <v>0</v>
      </c>
      <c r="O28" s="78">
        <v>0</v>
      </c>
      <c r="P28" s="68">
        <v>0</v>
      </c>
      <c r="Q28" s="78">
        <v>0</v>
      </c>
      <c r="R28" s="69">
        <v>1</v>
      </c>
      <c r="S28"/>
      <c r="T28"/>
    </row>
    <row r="29" spans="1:20" ht="15" customHeight="1" x14ac:dyDescent="0.15"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15" customHeight="1" x14ac:dyDescent="0.15"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15" customHeight="1" x14ac:dyDescent="0.15">
      <c r="A31" s="120"/>
      <c r="B31" s="131" t="s">
        <v>17</v>
      </c>
      <c r="C31" s="131" t="s">
        <v>1</v>
      </c>
      <c r="D31" s="131" t="s">
        <v>161</v>
      </c>
      <c r="E31" s="132" t="s">
        <v>163</v>
      </c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15" customHeight="1" x14ac:dyDescent="0.15">
      <c r="A32" s="188" t="s">
        <v>210</v>
      </c>
      <c r="B32" s="90">
        <v>3.75</v>
      </c>
      <c r="C32" s="90">
        <v>100</v>
      </c>
      <c r="D32" s="90">
        <v>375</v>
      </c>
      <c r="E32" s="122">
        <v>1</v>
      </c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15" customHeight="1" x14ac:dyDescent="0.15">
      <c r="A33" s="121"/>
      <c r="B33" s="90"/>
      <c r="C33" s="90"/>
      <c r="D33" s="90"/>
      <c r="E33" s="122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15" customHeight="1" x14ac:dyDescent="0.15">
      <c r="A34" s="123"/>
      <c r="B34" s="90"/>
      <c r="C34" s="90"/>
      <c r="D34" s="90"/>
      <c r="E34" s="122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15" customHeight="1" x14ac:dyDescent="0.15">
      <c r="A35" s="124"/>
      <c r="B35" s="90"/>
      <c r="C35" s="90"/>
      <c r="D35" s="90"/>
      <c r="E35" s="122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15" customHeight="1" x14ac:dyDescent="0.15">
      <c r="A36" s="125"/>
      <c r="B36" s="90"/>
      <c r="C36" s="90"/>
      <c r="D36" s="90"/>
      <c r="E36" s="122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15" customHeight="1" x14ac:dyDescent="0.15">
      <c r="A37" s="125"/>
      <c r="B37" s="90"/>
      <c r="C37" s="90"/>
      <c r="D37" s="90"/>
      <c r="E37" s="122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15" customHeight="1" x14ac:dyDescent="0.15">
      <c r="A38" s="126"/>
      <c r="B38" s="90"/>
      <c r="C38" s="90"/>
      <c r="D38" s="90"/>
      <c r="E38" s="122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15" customHeight="1" x14ac:dyDescent="0.15">
      <c r="A39" s="126"/>
      <c r="B39" s="90"/>
      <c r="C39" s="90"/>
      <c r="D39" s="90"/>
      <c r="E39" s="122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15" customHeight="1" x14ac:dyDescent="0.15">
      <c r="A40" s="126"/>
      <c r="B40" s="90"/>
      <c r="C40" s="90"/>
      <c r="D40" s="90"/>
      <c r="E40" s="122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15" customHeight="1" thickBot="1" x14ac:dyDescent="0.2">
      <c r="A41" s="126"/>
      <c r="B41" s="90"/>
      <c r="C41" s="90"/>
      <c r="D41" s="91"/>
      <c r="E41" s="127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15" customHeight="1" x14ac:dyDescent="0.15">
      <c r="A42" s="128"/>
      <c r="B42" s="129"/>
      <c r="C42" s="129" t="s">
        <v>162</v>
      </c>
      <c r="D42" s="129">
        <f>SUM(D32:D41)</f>
        <v>375</v>
      </c>
      <c r="E42" s="130">
        <f>SUM(E32:E41)</f>
        <v>1</v>
      </c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15" customHeight="1" x14ac:dyDescent="0.15">
      <c r="A43" s="78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15" customHeight="1" x14ac:dyDescent="0.15">
      <c r="A44" s="78"/>
      <c r="F44"/>
      <c r="G44"/>
      <c r="H44"/>
      <c r="I44"/>
      <c r="J44"/>
      <c r="K44"/>
      <c r="L44"/>
      <c r="M44"/>
      <c r="N44"/>
      <c r="O44"/>
      <c r="P44"/>
      <c r="Q44"/>
      <c r="R44"/>
    </row>
    <row r="45" spans="1:20" ht="15" customHeight="1" x14ac:dyDescent="0.15">
      <c r="A45" s="78"/>
      <c r="F45"/>
      <c r="G45"/>
      <c r="H45"/>
      <c r="I45"/>
      <c r="J45"/>
      <c r="K45"/>
      <c r="L45"/>
      <c r="M45"/>
      <c r="N45"/>
      <c r="O45"/>
      <c r="P45"/>
      <c r="Q45"/>
      <c r="R45"/>
    </row>
    <row r="46" spans="1:20" ht="15" customHeight="1" x14ac:dyDescent="0.15">
      <c r="A46" s="78"/>
      <c r="F46"/>
      <c r="G46"/>
      <c r="H46"/>
      <c r="I46"/>
      <c r="J46"/>
      <c r="K46"/>
      <c r="L46"/>
      <c r="M46"/>
      <c r="N46"/>
      <c r="O46"/>
      <c r="P46"/>
      <c r="Q46"/>
      <c r="R46"/>
    </row>
    <row r="47" spans="1:20" ht="15" customHeight="1" x14ac:dyDescent="0.15">
      <c r="A47" s="78"/>
      <c r="F47"/>
      <c r="G47"/>
      <c r="H47"/>
      <c r="I47"/>
      <c r="J47"/>
      <c r="K47"/>
      <c r="L47"/>
      <c r="M47"/>
      <c r="N47"/>
      <c r="O47"/>
      <c r="P47"/>
      <c r="Q47"/>
      <c r="R47"/>
    </row>
    <row r="48" spans="1:20" ht="15" customHeight="1" x14ac:dyDescent="0.15">
      <c r="A48" s="78"/>
      <c r="F48"/>
      <c r="G48"/>
      <c r="H48"/>
      <c r="I48"/>
      <c r="J48"/>
      <c r="K48"/>
      <c r="L48"/>
      <c r="M48"/>
      <c r="N48"/>
      <c r="O48"/>
      <c r="P48"/>
      <c r="Q48"/>
      <c r="R48"/>
    </row>
    <row r="49" spans="6:18" s="78" customFormat="1" ht="15" customHeight="1" x14ac:dyDescent="0.15">
      <c r="F49"/>
      <c r="G49"/>
      <c r="H49"/>
      <c r="I49"/>
      <c r="J49"/>
      <c r="K49"/>
      <c r="L49"/>
      <c r="M49"/>
      <c r="N49"/>
      <c r="O49"/>
      <c r="P49"/>
      <c r="Q49"/>
      <c r="R49"/>
    </row>
    <row r="50" spans="6:18" s="78" customFormat="1" ht="15" customHeight="1" x14ac:dyDescent="0.15">
      <c r="F50"/>
      <c r="G50"/>
      <c r="H50"/>
      <c r="I50"/>
      <c r="J50"/>
      <c r="K50"/>
      <c r="L50"/>
      <c r="M50"/>
      <c r="N50"/>
      <c r="O50"/>
      <c r="P50"/>
      <c r="Q50"/>
      <c r="R50"/>
    </row>
    <row r="51" spans="6:18" s="78" customFormat="1" ht="15" customHeight="1" x14ac:dyDescent="0.15">
      <c r="F51"/>
      <c r="G51"/>
      <c r="H51"/>
      <c r="I51"/>
      <c r="J51"/>
      <c r="K51"/>
      <c r="L51"/>
      <c r="M51"/>
      <c r="N51"/>
      <c r="O51"/>
      <c r="P51"/>
      <c r="Q51"/>
      <c r="R51"/>
    </row>
    <row r="52" spans="6:18" s="78" customFormat="1" ht="15" customHeight="1" x14ac:dyDescent="0.15">
      <c r="F52"/>
      <c r="G52"/>
      <c r="H52"/>
      <c r="I52"/>
      <c r="J52"/>
      <c r="K52"/>
      <c r="L52"/>
      <c r="M52"/>
      <c r="N52"/>
      <c r="O52"/>
      <c r="P52"/>
      <c r="Q52"/>
      <c r="R52"/>
    </row>
    <row r="53" spans="6:18" s="78" customFormat="1" ht="15" customHeight="1" x14ac:dyDescent="0.15">
      <c r="F53"/>
      <c r="G53"/>
      <c r="H53"/>
      <c r="I53"/>
      <c r="J53"/>
      <c r="K53"/>
      <c r="L53"/>
      <c r="M53"/>
      <c r="N53"/>
      <c r="O53"/>
      <c r="P53"/>
      <c r="Q53"/>
      <c r="R53"/>
    </row>
    <row r="54" spans="6:18" s="78" customFormat="1" ht="15" customHeight="1" x14ac:dyDescent="0.15">
      <c r="F54"/>
      <c r="G54"/>
      <c r="H54"/>
      <c r="I54"/>
      <c r="J54"/>
      <c r="K54"/>
      <c r="L54"/>
      <c r="M54"/>
      <c r="N54"/>
      <c r="O54"/>
      <c r="P54"/>
      <c r="Q54"/>
      <c r="R54"/>
    </row>
    <row r="55" spans="6:18" s="78" customFormat="1" ht="15" customHeight="1" x14ac:dyDescent="0.15">
      <c r="F55"/>
      <c r="G55"/>
      <c r="H55"/>
      <c r="I55"/>
      <c r="J55"/>
      <c r="K55"/>
      <c r="L55"/>
      <c r="M55"/>
      <c r="N55"/>
      <c r="O55"/>
      <c r="P55"/>
      <c r="Q55"/>
      <c r="R55"/>
    </row>
    <row r="56" spans="6:18" s="78" customFormat="1" ht="15" customHeight="1" x14ac:dyDescent="0.15">
      <c r="F56"/>
      <c r="G56"/>
      <c r="H56"/>
      <c r="I56"/>
      <c r="J56"/>
      <c r="K56"/>
      <c r="L56"/>
      <c r="M56"/>
      <c r="N56"/>
      <c r="O56"/>
      <c r="P56"/>
      <c r="Q56"/>
      <c r="R56"/>
    </row>
    <row r="57" spans="6:18" s="78" customFormat="1" ht="15" customHeight="1" x14ac:dyDescent="0.15">
      <c r="F57"/>
      <c r="G57"/>
      <c r="H57"/>
      <c r="I57"/>
      <c r="J57"/>
      <c r="K57"/>
      <c r="L57"/>
      <c r="M57"/>
      <c r="N57"/>
      <c r="O57"/>
      <c r="P57"/>
      <c r="Q57"/>
      <c r="R57"/>
    </row>
    <row r="58" spans="6:18" s="78" customFormat="1" ht="15" customHeight="1" x14ac:dyDescent="0.15">
      <c r="F58"/>
      <c r="G58"/>
      <c r="H58"/>
      <c r="I58"/>
      <c r="J58"/>
      <c r="K58"/>
      <c r="L58"/>
      <c r="M58"/>
      <c r="N58"/>
      <c r="O58"/>
      <c r="P58"/>
      <c r="Q58"/>
      <c r="R58"/>
    </row>
    <row r="59" spans="6:18" s="78" customFormat="1" ht="15" customHeight="1" x14ac:dyDescent="0.15">
      <c r="F59"/>
      <c r="G59"/>
      <c r="H59"/>
      <c r="I59"/>
      <c r="J59"/>
      <c r="K59"/>
      <c r="L59"/>
      <c r="M59"/>
      <c r="N59"/>
      <c r="O59"/>
      <c r="P59"/>
      <c r="Q59"/>
      <c r="R59"/>
    </row>
    <row r="60" spans="6:18" s="78" customFormat="1" ht="15" customHeight="1" x14ac:dyDescent="0.15">
      <c r="F60"/>
      <c r="G60"/>
      <c r="H60"/>
      <c r="I60"/>
      <c r="J60"/>
      <c r="K60"/>
      <c r="L60"/>
      <c r="M60"/>
      <c r="N60"/>
      <c r="O60"/>
      <c r="P60"/>
      <c r="Q60"/>
      <c r="R60"/>
    </row>
    <row r="61" spans="6:18" s="78" customFormat="1" ht="15" customHeight="1" x14ac:dyDescent="0.15">
      <c r="F61"/>
      <c r="G61"/>
      <c r="H61"/>
      <c r="I61"/>
      <c r="J61"/>
      <c r="K61"/>
      <c r="L61"/>
      <c r="M61"/>
      <c r="N61"/>
      <c r="O61"/>
      <c r="P61"/>
      <c r="Q61"/>
      <c r="R61"/>
    </row>
    <row r="62" spans="6:18" s="78" customFormat="1" ht="15" customHeight="1" x14ac:dyDescent="0.15">
      <c r="F62"/>
      <c r="G62"/>
      <c r="H62"/>
      <c r="I62"/>
      <c r="J62"/>
      <c r="K62"/>
      <c r="L62"/>
      <c r="M62"/>
      <c r="N62"/>
      <c r="O62"/>
      <c r="P62"/>
      <c r="Q62"/>
      <c r="R62"/>
    </row>
    <row r="63" spans="6:18" s="78" customFormat="1" ht="15" customHeight="1" x14ac:dyDescent="0.15">
      <c r="F63"/>
      <c r="G63"/>
      <c r="H63"/>
      <c r="I63"/>
      <c r="J63"/>
      <c r="K63"/>
      <c r="L63"/>
      <c r="M63"/>
      <c r="N63"/>
      <c r="O63"/>
      <c r="P63"/>
      <c r="Q63"/>
      <c r="R63"/>
    </row>
    <row r="64" spans="6:18" s="78" customFormat="1" ht="15" customHeight="1" x14ac:dyDescent="0.15">
      <c r="F64"/>
      <c r="G64"/>
      <c r="H64"/>
      <c r="I64"/>
      <c r="J64"/>
      <c r="K64"/>
      <c r="L64"/>
      <c r="M64"/>
      <c r="N64"/>
      <c r="O64"/>
      <c r="P64"/>
      <c r="Q64"/>
      <c r="R64"/>
    </row>
    <row r="65" spans="1:18" ht="15" customHeight="1" x14ac:dyDescent="0.15">
      <c r="F65"/>
      <c r="G65"/>
      <c r="H65"/>
      <c r="I65"/>
      <c r="J65"/>
      <c r="K65"/>
      <c r="L65"/>
      <c r="M65"/>
      <c r="N65"/>
      <c r="O65"/>
      <c r="P65"/>
      <c r="Q65"/>
      <c r="R65"/>
    </row>
    <row r="66" spans="1:18" ht="15" customHeight="1" x14ac:dyDescent="0.15">
      <c r="F66"/>
      <c r="G66"/>
      <c r="H66"/>
      <c r="I66"/>
      <c r="J66"/>
      <c r="K66"/>
      <c r="L66"/>
      <c r="M66"/>
      <c r="N66"/>
      <c r="O66"/>
      <c r="P66"/>
      <c r="Q66"/>
      <c r="R66"/>
    </row>
    <row r="67" spans="1:18" ht="15" customHeight="1" x14ac:dyDescent="0.15">
      <c r="F67"/>
      <c r="G67"/>
      <c r="H67"/>
      <c r="I67"/>
      <c r="J67"/>
      <c r="K67"/>
      <c r="L67"/>
      <c r="M67"/>
      <c r="N67"/>
      <c r="O67"/>
      <c r="P67"/>
      <c r="Q67"/>
      <c r="R67"/>
    </row>
    <row r="68" spans="1:18" ht="15" customHeight="1" x14ac:dyDescent="0.15">
      <c r="F68"/>
      <c r="G68"/>
      <c r="H68"/>
      <c r="I68"/>
      <c r="J68"/>
      <c r="K68"/>
      <c r="L68"/>
      <c r="M68"/>
      <c r="N68"/>
      <c r="O68"/>
      <c r="P68"/>
      <c r="Q68"/>
      <c r="R68"/>
    </row>
    <row r="69" spans="1:18" ht="15" customHeight="1" x14ac:dyDescent="0.15">
      <c r="F69"/>
      <c r="G69"/>
      <c r="H69"/>
      <c r="I69"/>
      <c r="J69"/>
      <c r="K69"/>
      <c r="L69"/>
      <c r="M69"/>
      <c r="N69"/>
      <c r="O69"/>
      <c r="P69"/>
      <c r="Q69"/>
      <c r="R69"/>
    </row>
    <row r="70" spans="1:18" ht="15" customHeight="1" x14ac:dyDescent="0.15">
      <c r="F70"/>
      <c r="G70"/>
      <c r="H70"/>
      <c r="I70"/>
      <c r="J70"/>
      <c r="K70"/>
      <c r="L70"/>
      <c r="M70"/>
      <c r="N70"/>
      <c r="O70"/>
      <c r="P70"/>
      <c r="Q70"/>
      <c r="R70"/>
    </row>
    <row r="71" spans="1:18" ht="15" customHeight="1" x14ac:dyDescent="0.15">
      <c r="F71"/>
      <c r="G71"/>
      <c r="H71"/>
      <c r="I71"/>
      <c r="J71"/>
      <c r="K71"/>
      <c r="L71"/>
      <c r="M71"/>
      <c r="N71"/>
      <c r="O71"/>
      <c r="P71"/>
      <c r="Q71"/>
      <c r="R71"/>
    </row>
    <row r="72" spans="1:18" ht="15" customHeight="1" x14ac:dyDescent="0.15">
      <c r="F72"/>
      <c r="G72"/>
      <c r="H72"/>
      <c r="I72"/>
      <c r="J72"/>
      <c r="K72"/>
      <c r="L72"/>
      <c r="M72"/>
      <c r="N72"/>
      <c r="O72"/>
      <c r="P72"/>
      <c r="Q72"/>
      <c r="R72"/>
    </row>
    <row r="73" spans="1:18" ht="15" customHeight="1" x14ac:dyDescent="0.15">
      <c r="F73"/>
      <c r="G73"/>
      <c r="H73"/>
      <c r="I73"/>
      <c r="J73"/>
      <c r="K73"/>
      <c r="L73"/>
      <c r="M73"/>
      <c r="N73"/>
      <c r="O73"/>
      <c r="P73"/>
      <c r="Q73"/>
      <c r="R73"/>
    </row>
    <row r="74" spans="1:18" ht="15" customHeight="1" x14ac:dyDescent="0.15">
      <c r="F74"/>
      <c r="G74"/>
      <c r="H74"/>
      <c r="I74"/>
      <c r="J74"/>
      <c r="K74"/>
      <c r="L74"/>
      <c r="M74"/>
      <c r="N74"/>
      <c r="O74"/>
      <c r="P74"/>
      <c r="Q74"/>
      <c r="R74"/>
    </row>
    <row r="75" spans="1:18" ht="15" customHeight="1" x14ac:dyDescent="0.15">
      <c r="F75"/>
      <c r="G75"/>
      <c r="H75"/>
      <c r="I75"/>
      <c r="J75"/>
      <c r="K75"/>
      <c r="L75"/>
      <c r="M75"/>
      <c r="N75"/>
      <c r="O75"/>
      <c r="P75"/>
      <c r="Q75"/>
      <c r="R75"/>
    </row>
    <row r="76" spans="1:18" ht="15" customHeight="1" x14ac:dyDescent="0.15">
      <c r="A76" s="78"/>
      <c r="F76"/>
      <c r="G76"/>
      <c r="H76"/>
      <c r="I76"/>
      <c r="J76"/>
      <c r="K76"/>
      <c r="L76"/>
      <c r="M76"/>
      <c r="N76"/>
      <c r="O76"/>
      <c r="P76"/>
      <c r="Q76"/>
      <c r="R76"/>
    </row>
    <row r="77" spans="1:18" ht="15" customHeight="1" x14ac:dyDescent="0.15">
      <c r="A77" s="78"/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1:18" ht="15" customHeight="1" x14ac:dyDescent="0.15">
      <c r="A78" s="78"/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1:18" ht="15" customHeight="1" x14ac:dyDescent="0.15">
      <c r="A79" s="78"/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1:18" ht="15" customHeight="1" x14ac:dyDescent="0.15">
      <c r="A80" s="78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ht="15" customHeight="1" x14ac:dyDescent="0.15">
      <c r="A81" s="78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 ht="15" customHeight="1" x14ac:dyDescent="0.15">
      <c r="A82" s="78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 ht="15" customHeight="1" x14ac:dyDescent="0.15">
      <c r="A83" s="78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 ht="15" customHeight="1" x14ac:dyDescent="0.15">
      <c r="A84" s="78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 ht="15" customHeight="1" x14ac:dyDescent="0.15">
      <c r="A85" s="78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 ht="15" customHeight="1" x14ac:dyDescent="0.15">
      <c r="A86" s="78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ht="15" customHeight="1" x14ac:dyDescent="0.15">
      <c r="A87" s="78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ht="15" customHeight="1" x14ac:dyDescent="0.15">
      <c r="A88" s="78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ht="15" customHeight="1" x14ac:dyDescent="0.15">
      <c r="A89" s="78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ht="15" customHeight="1" x14ac:dyDescent="0.15">
      <c r="A90" s="78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ht="15" customHeight="1" x14ac:dyDescent="0.15">
      <c r="A91" s="78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ht="15" customHeight="1" x14ac:dyDescent="0.15">
      <c r="A92" s="78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ht="15" customHeight="1" x14ac:dyDescent="0.15">
      <c r="A93" s="78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ht="15" customHeight="1" x14ac:dyDescent="0.15">
      <c r="A94" s="78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ht="15" customHeight="1" x14ac:dyDescent="0.15">
      <c r="A95" s="78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ht="15" customHeight="1" x14ac:dyDescent="0.15">
      <c r="A96" s="78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ht="15" customHeight="1" x14ac:dyDescent="0.15">
      <c r="A97" s="78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ht="15" customHeight="1" x14ac:dyDescent="0.15">
      <c r="A98" s="78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ht="15" customHeight="1" x14ac:dyDescent="0.15">
      <c r="A99" s="78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ht="15" customHeight="1" x14ac:dyDescent="0.15">
      <c r="A100" s="78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ht="15" customHeight="1" x14ac:dyDescent="0.15">
      <c r="A101" s="78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ht="15" customHeight="1" x14ac:dyDescent="0.15">
      <c r="A102" s="78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ht="15" customHeight="1" x14ac:dyDescent="0.15">
      <c r="A103" s="78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ht="15" customHeight="1" x14ac:dyDescent="0.15">
      <c r="A104" s="78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ht="15" customHeight="1" x14ac:dyDescent="0.15">
      <c r="A105" s="78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ht="15" customHeight="1" x14ac:dyDescent="0.15"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ht="15" customHeight="1" x14ac:dyDescent="0.15"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ht="15" customHeight="1" x14ac:dyDescent="0.15"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ht="15" customHeight="1" x14ac:dyDescent="0.15"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ht="15" customHeight="1" x14ac:dyDescent="0.15"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ht="15" customHeight="1" x14ac:dyDescent="0.15"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ht="15" customHeight="1" x14ac:dyDescent="0.15"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6:18" s="78" customFormat="1" ht="15" customHeight="1" x14ac:dyDescent="0.15"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6:18" s="78" customFormat="1" ht="15" customHeight="1" x14ac:dyDescent="0.15"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6:18" s="78" customFormat="1" ht="15" customHeight="1" x14ac:dyDescent="0.15"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6:18" s="78" customFormat="1" ht="15" customHeight="1" x14ac:dyDescent="0.15"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6:18" s="78" customFormat="1" ht="15" customHeight="1" x14ac:dyDescent="0.15"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6:18" s="78" customFormat="1" ht="15" customHeight="1" x14ac:dyDescent="0.15"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6:18" s="78" customFormat="1" ht="15" customHeight="1" x14ac:dyDescent="0.15"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6:18" s="78" customFormat="1" ht="15" customHeight="1" x14ac:dyDescent="0.15"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6:18" s="78" customFormat="1" ht="15" customHeight="1" x14ac:dyDescent="0.15"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6:18" s="78" customFormat="1" ht="15" customHeight="1" x14ac:dyDescent="0.15"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6:18" s="78" customFormat="1" ht="15" customHeight="1" x14ac:dyDescent="0.15"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6:18" s="78" customFormat="1" ht="15" customHeight="1" x14ac:dyDescent="0.15"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6:18" s="78" customFormat="1" ht="15" customHeight="1" x14ac:dyDescent="0.15"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6:18" s="78" customFormat="1" ht="15" customHeight="1" x14ac:dyDescent="0.15"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6:18" s="78" customFormat="1" ht="15" customHeight="1" x14ac:dyDescent="0.15"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6:18" s="78" customFormat="1" ht="15" customHeight="1" x14ac:dyDescent="0.15"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6:18" s="78" customFormat="1" ht="15" customHeight="1" x14ac:dyDescent="0.15"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6:18" s="78" customFormat="1" ht="15" customHeight="1" x14ac:dyDescent="0.15"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6:18" s="78" customFormat="1" ht="15" customHeight="1" x14ac:dyDescent="0.15"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6:18" s="78" customFormat="1" ht="15" customHeight="1" x14ac:dyDescent="0.15"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6:18" s="78" customFormat="1" ht="15" customHeight="1" x14ac:dyDescent="0.15"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6:18" s="78" customFormat="1" ht="15" customHeight="1" x14ac:dyDescent="0.15"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6:18" s="78" customFormat="1" ht="15" customHeight="1" x14ac:dyDescent="0.15"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6:18" s="78" customFormat="1" ht="15" customHeight="1" x14ac:dyDescent="0.15"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6:18" s="78" customFormat="1" ht="15" customHeight="1" x14ac:dyDescent="0.15"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6:18" s="78" customFormat="1" ht="15" customHeight="1" x14ac:dyDescent="0.15"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6:18" s="78" customFormat="1" ht="15" customHeight="1" x14ac:dyDescent="0.15"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6:18" s="78" customFormat="1" ht="15" customHeight="1" x14ac:dyDescent="0.15"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6:18" s="78" customFormat="1" ht="15" customHeight="1" x14ac:dyDescent="0.15"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6:18" s="78" customFormat="1" ht="15" customHeight="1" x14ac:dyDescent="0.15"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6:18" s="78" customFormat="1" ht="15" customHeight="1" x14ac:dyDescent="0.15"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6:18" s="78" customFormat="1" ht="15" customHeight="1" x14ac:dyDescent="0.15"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6:18" s="78" customFormat="1" ht="15" customHeight="1" x14ac:dyDescent="0.15"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6:18" s="78" customFormat="1" ht="15" customHeight="1" x14ac:dyDescent="0.15"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6:18" s="78" customFormat="1" ht="15" customHeight="1" x14ac:dyDescent="0.15"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6:18" s="78" customFormat="1" ht="15" customHeight="1" x14ac:dyDescent="0.15"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6:18" s="78" customFormat="1" ht="15" customHeight="1" x14ac:dyDescent="0.15"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6:18" s="78" customFormat="1" ht="15" customHeight="1" x14ac:dyDescent="0.15"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6:18" s="78" customFormat="1" ht="15" customHeight="1" x14ac:dyDescent="0.15"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6:18" s="78" customFormat="1" ht="15" customHeight="1" x14ac:dyDescent="0.15"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6:18" s="78" customFormat="1" ht="15" customHeight="1" x14ac:dyDescent="0.15"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6:18" s="78" customFormat="1" ht="15" customHeight="1" x14ac:dyDescent="0.15"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6:18" s="78" customFormat="1" ht="15" customHeight="1" x14ac:dyDescent="0.15"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6:18" s="78" customFormat="1" ht="15" customHeight="1" x14ac:dyDescent="0.15"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6:18" s="78" customFormat="1" ht="15" customHeight="1" x14ac:dyDescent="0.15"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6:18" s="78" customFormat="1" ht="15" customHeight="1" x14ac:dyDescent="0.15"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6:18" s="78" customFormat="1" ht="15" customHeight="1" x14ac:dyDescent="0.15"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6:18" s="78" customFormat="1" ht="15" customHeight="1" x14ac:dyDescent="0.15"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6:18" s="78" customFormat="1" ht="15" customHeight="1" x14ac:dyDescent="0.15"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6:18" s="78" customFormat="1" ht="15" customHeight="1" x14ac:dyDescent="0.15"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6:18" s="78" customFormat="1" ht="15" customHeight="1" x14ac:dyDescent="0.15"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6:18" s="78" customFormat="1" ht="15" customHeight="1" x14ac:dyDescent="0.15"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6:18" s="78" customFormat="1" ht="15" customHeight="1" x14ac:dyDescent="0.15"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6:18" s="78" customFormat="1" ht="15" customHeight="1" x14ac:dyDescent="0.15"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6:18" s="78" customFormat="1" ht="15" customHeight="1" x14ac:dyDescent="0.15"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6:18" s="78" customFormat="1" ht="15" customHeight="1" x14ac:dyDescent="0.15"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6:18" s="78" customFormat="1" ht="15" customHeight="1" x14ac:dyDescent="0.15"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6:18" s="78" customFormat="1" ht="15" customHeight="1" x14ac:dyDescent="0.15"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6:18" s="78" customFormat="1" ht="15" customHeight="1" x14ac:dyDescent="0.15"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6:18" s="78" customFormat="1" ht="15" customHeight="1" x14ac:dyDescent="0.15"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6:18" s="78" customFormat="1" ht="15" customHeight="1" x14ac:dyDescent="0.15"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6:18" s="78" customFormat="1" ht="15" customHeight="1" x14ac:dyDescent="0.15"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6:18" s="78" customFormat="1" ht="15" customHeight="1" x14ac:dyDescent="0.15"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6:18" s="78" customFormat="1" ht="15" customHeight="1" x14ac:dyDescent="0.15"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6:18" s="78" customFormat="1" ht="15" customHeight="1" x14ac:dyDescent="0.15"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6:18" s="78" customFormat="1" ht="15" customHeight="1" x14ac:dyDescent="0.15"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6:18" s="78" customFormat="1" ht="15" customHeight="1" x14ac:dyDescent="0.15"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6:18" s="78" customFormat="1" ht="15" customHeight="1" x14ac:dyDescent="0.15"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6:18" s="78" customFormat="1" ht="15" customHeight="1" x14ac:dyDescent="0.15"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6:18" s="78" customFormat="1" ht="15" customHeight="1" x14ac:dyDescent="0.15"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6:18" s="78" customFormat="1" ht="15" customHeight="1" x14ac:dyDescent="0.15"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6:18" s="78" customFormat="1" ht="15" customHeight="1" x14ac:dyDescent="0.15"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6:18" s="78" customFormat="1" ht="15" customHeight="1" x14ac:dyDescent="0.15"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6:18" s="78" customFormat="1" ht="15" customHeight="1" x14ac:dyDescent="0.15"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6:18" s="78" customFormat="1" ht="15" customHeight="1" x14ac:dyDescent="0.15"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6:18" s="78" customFormat="1" ht="15" customHeight="1" x14ac:dyDescent="0.15">
      <c r="F188"/>
      <c r="G188"/>
      <c r="H188"/>
      <c r="I188"/>
      <c r="J188"/>
      <c r="K188"/>
      <c r="L188"/>
      <c r="M188"/>
      <c r="N188"/>
      <c r="O188"/>
      <c r="P188"/>
      <c r="Q188"/>
      <c r="R188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AL19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5" sqref="A5"/>
    </sheetView>
  </sheetViews>
  <sheetFormatPr baseColWidth="10" defaultColWidth="8.83203125" defaultRowHeight="13" x14ac:dyDescent="0.15"/>
  <cols>
    <col min="1" max="1" width="21.6640625" bestFit="1" customWidth="1"/>
    <col min="2" max="2" width="2.33203125" style="105" customWidth="1"/>
    <col min="3" max="5" width="7.83203125" style="105" customWidth="1"/>
    <col min="6" max="8" width="8.83203125" style="6"/>
    <col min="9" max="9" width="8.5" style="6" customWidth="1"/>
    <col min="10" max="10" width="5.5" style="6" customWidth="1"/>
    <col min="11" max="11" width="9.5" style="6" customWidth="1"/>
    <col min="12" max="12" width="11.6640625" style="6" customWidth="1"/>
    <col min="13" max="13" width="14.83203125" style="6" customWidth="1"/>
    <col min="14" max="14" width="11.5" style="6" customWidth="1"/>
    <col min="15" max="15" width="8.83203125" style="6" customWidth="1"/>
    <col min="16" max="16" width="7" style="6" customWidth="1"/>
    <col min="17" max="17" width="7.33203125" style="6" customWidth="1"/>
    <col min="18" max="18" width="9.1640625" style="6" customWidth="1"/>
    <col min="19" max="19" width="19.6640625" style="6" customWidth="1"/>
    <col min="20" max="20" width="17.1640625" style="6" customWidth="1"/>
    <col min="21" max="21" width="13.5" style="6" customWidth="1"/>
    <col min="22" max="22" width="13.33203125" style="6" customWidth="1"/>
    <col min="23" max="23" width="8.1640625" style="6" customWidth="1"/>
    <col min="24" max="24" width="18.6640625" style="6" customWidth="1"/>
    <col min="25" max="25" width="16.33203125" style="6" customWidth="1"/>
    <col min="26" max="26" width="11.33203125" style="6" customWidth="1"/>
    <col min="27" max="27" width="13.1640625" style="6" customWidth="1"/>
    <col min="28" max="28" width="8.1640625" style="6" customWidth="1"/>
    <col min="29" max="29" width="7.6640625" style="6" customWidth="1"/>
    <col min="30" max="30" width="21.6640625" style="6" customWidth="1"/>
    <col min="31" max="31" width="6.5" style="6" customWidth="1"/>
    <col min="32" max="38" width="8.83203125" style="6"/>
    <col min="81" max="81" width="22.1640625" bestFit="1" customWidth="1"/>
  </cols>
  <sheetData>
    <row r="1" spans="1:38" x14ac:dyDescent="0.15">
      <c r="A1" s="4" t="s">
        <v>156</v>
      </c>
      <c r="B1" s="35" t="s">
        <v>157</v>
      </c>
      <c r="C1" s="35" t="s">
        <v>17</v>
      </c>
      <c r="D1" s="35" t="s">
        <v>158</v>
      </c>
      <c r="E1" s="35" t="s">
        <v>159</v>
      </c>
      <c r="F1" t="s">
        <v>38</v>
      </c>
      <c r="G1" t="s">
        <v>40</v>
      </c>
      <c r="H1" t="s">
        <v>41</v>
      </c>
      <c r="I1" s="190" t="s">
        <v>192</v>
      </c>
      <c r="J1" s="190" t="s">
        <v>193</v>
      </c>
      <c r="K1" s="190" t="s">
        <v>194</v>
      </c>
      <c r="L1" s="190" t="s">
        <v>195</v>
      </c>
      <c r="M1" s="190" t="s">
        <v>196</v>
      </c>
      <c r="N1" s="190" t="s">
        <v>197</v>
      </c>
      <c r="O1" s="190" t="s">
        <v>198</v>
      </c>
      <c r="P1" s="190" t="s">
        <v>199</v>
      </c>
      <c r="Q1" s="190" t="s">
        <v>200</v>
      </c>
      <c r="R1" s="190" t="s">
        <v>201</v>
      </c>
      <c r="S1" s="190" t="s">
        <v>202</v>
      </c>
      <c r="T1" s="190" t="s">
        <v>203</v>
      </c>
      <c r="U1" s="190" t="s">
        <v>204</v>
      </c>
      <c r="V1" s="190" t="s">
        <v>205</v>
      </c>
      <c r="W1" s="190" t="s">
        <v>206</v>
      </c>
      <c r="X1" s="190" t="s">
        <v>207</v>
      </c>
      <c r="Y1" s="190" t="s">
        <v>208</v>
      </c>
      <c r="Z1" s="190" t="s">
        <v>209</v>
      </c>
      <c r="AA1" s="190" t="s">
        <v>210</v>
      </c>
      <c r="AB1" s="190" t="s">
        <v>211</v>
      </c>
      <c r="AC1" s="190" t="s">
        <v>212</v>
      </c>
      <c r="AD1" s="190" t="s">
        <v>213</v>
      </c>
      <c r="AE1" s="190" t="s">
        <v>214</v>
      </c>
      <c r="AF1"/>
      <c r="AG1"/>
      <c r="AH1"/>
      <c r="AI1"/>
      <c r="AJ1"/>
      <c r="AK1"/>
      <c r="AL1"/>
    </row>
    <row r="2" spans="1:38" x14ac:dyDescent="0.15">
      <c r="A2" t="s">
        <v>38</v>
      </c>
      <c r="B2" s="105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38" x14ac:dyDescent="0.15">
      <c r="A3" t="s">
        <v>40</v>
      </c>
      <c r="B3" s="105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38" x14ac:dyDescent="0.15">
      <c r="A4" t="s">
        <v>41</v>
      </c>
      <c r="B4" s="105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38" x14ac:dyDescent="0.15">
      <c r="A5" s="189" t="s">
        <v>192</v>
      </c>
      <c r="B5" s="105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38" x14ac:dyDescent="0.15">
      <c r="A6" s="189" t="s">
        <v>193</v>
      </c>
      <c r="B6" s="105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38" x14ac:dyDescent="0.15">
      <c r="A7" s="189" t="s">
        <v>194</v>
      </c>
      <c r="B7" s="105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38" x14ac:dyDescent="0.15">
      <c r="A8" s="189" t="s">
        <v>195</v>
      </c>
      <c r="B8" s="105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38" x14ac:dyDescent="0.15">
      <c r="A9" s="189" t="s">
        <v>196</v>
      </c>
      <c r="B9" s="105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38" x14ac:dyDescent="0.15">
      <c r="A10" s="189" t="s">
        <v>197</v>
      </c>
      <c r="B10" s="105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38" x14ac:dyDescent="0.15">
      <c r="A11" s="189" t="s">
        <v>198</v>
      </c>
      <c r="B11" s="105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38" x14ac:dyDescent="0.15">
      <c r="A12" s="189" t="s">
        <v>199</v>
      </c>
      <c r="B12" s="105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38" x14ac:dyDescent="0.15">
      <c r="A13" s="189" t="s">
        <v>200</v>
      </c>
      <c r="B13" s="105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38" x14ac:dyDescent="0.15">
      <c r="A14" s="189" t="s">
        <v>201</v>
      </c>
      <c r="B14" s="105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38" x14ac:dyDescent="0.15">
      <c r="A15" s="189" t="s">
        <v>202</v>
      </c>
      <c r="B15" s="105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38" x14ac:dyDescent="0.15">
      <c r="A16" s="189" t="s">
        <v>203</v>
      </c>
      <c r="B16" s="105"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ht="15" customHeight="1" x14ac:dyDescent="0.15">
      <c r="A17" s="189" t="s">
        <v>204</v>
      </c>
      <c r="B17" s="105"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ht="15" customHeight="1" x14ac:dyDescent="0.15">
      <c r="A18" s="189" t="s">
        <v>205</v>
      </c>
      <c r="B18" s="105">
        <v>0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ht="15" customHeight="1" x14ac:dyDescent="0.15">
      <c r="A19" s="189" t="s">
        <v>206</v>
      </c>
      <c r="B19" s="105">
        <v>0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ht="15" customHeight="1" x14ac:dyDescent="0.15">
      <c r="A20" s="189" t="s">
        <v>207</v>
      </c>
      <c r="B20" s="105">
        <v>0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 ht="15" customHeight="1" x14ac:dyDescent="0.15">
      <c r="A21" s="189" t="s">
        <v>208</v>
      </c>
      <c r="B21" s="105">
        <v>0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 ht="15" customHeight="1" x14ac:dyDescent="0.15">
      <c r="A22" s="189" t="s">
        <v>209</v>
      </c>
      <c r="B22" s="105">
        <v>0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 ht="15" customHeight="1" x14ac:dyDescent="0.15">
      <c r="A23" s="189" t="s">
        <v>210</v>
      </c>
      <c r="B23" s="105">
        <v>0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 x14ac:dyDescent="0.15">
      <c r="A24" s="189" t="s">
        <v>211</v>
      </c>
      <c r="B24" s="105">
        <v>0</v>
      </c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 ht="15" customHeight="1" x14ac:dyDescent="0.15">
      <c r="A25" s="189" t="s">
        <v>212</v>
      </c>
      <c r="B25" s="105">
        <v>0</v>
      </c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 ht="15" customHeight="1" x14ac:dyDescent="0.15">
      <c r="A26" s="189" t="s">
        <v>213</v>
      </c>
      <c r="B26" s="105">
        <v>0</v>
      </c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15" customHeight="1" x14ac:dyDescent="0.15">
      <c r="A27" s="189" t="s">
        <v>214</v>
      </c>
      <c r="B27" s="105">
        <v>0</v>
      </c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 ht="15" customHeight="1" x14ac:dyDescent="0.15"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 ht="15" customHeight="1" x14ac:dyDescent="0.15"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 ht="15" customHeight="1" x14ac:dyDescent="0.15"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 ht="15" customHeight="1" x14ac:dyDescent="0.15"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 ht="15" customHeight="1" x14ac:dyDescent="0.15"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2:38" ht="15" customHeight="1" x14ac:dyDescent="0.15"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2:38" ht="15" customHeight="1" x14ac:dyDescent="0.15"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2:38" ht="15" customHeight="1" x14ac:dyDescent="0.15"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2:38" ht="15" customHeight="1" x14ac:dyDescent="0.15">
      <c r="B36"/>
      <c r="C36"/>
      <c r="D36"/>
    </row>
    <row r="37" spans="2:38" ht="15" customHeight="1" x14ac:dyDescent="0.15">
      <c r="B37"/>
      <c r="C37"/>
      <c r="D37"/>
    </row>
    <row r="38" spans="2:38" ht="15" customHeight="1" x14ac:dyDescent="0.15"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2:38" ht="15" customHeight="1" x14ac:dyDescent="0.15">
      <c r="B39"/>
      <c r="C39"/>
      <c r="D39"/>
    </row>
    <row r="40" spans="2:38" ht="15" customHeight="1" x14ac:dyDescent="0.15">
      <c r="B40"/>
      <c r="C40"/>
      <c r="D40"/>
    </row>
    <row r="41" spans="2:38" ht="15" customHeight="1" x14ac:dyDescent="0.15">
      <c r="B41"/>
      <c r="C41"/>
      <c r="D41"/>
    </row>
    <row r="42" spans="2:38" ht="15" customHeight="1" x14ac:dyDescent="0.15"/>
    <row r="43" spans="2:38" ht="15" customHeight="1" x14ac:dyDescent="0.15"/>
    <row r="44" spans="2:38" ht="15" customHeight="1" x14ac:dyDescent="0.15"/>
    <row r="45" spans="2:38" ht="15" customHeight="1" x14ac:dyDescent="0.15"/>
    <row r="46" spans="2:38" ht="15" customHeight="1" x14ac:dyDescent="0.15"/>
    <row r="47" spans="2:38" ht="15" customHeight="1" x14ac:dyDescent="0.15"/>
    <row r="48" spans="2:38" ht="15" customHeight="1" x14ac:dyDescent="0.15"/>
    <row r="49" spans="2:38" ht="15" customHeight="1" x14ac:dyDescent="0.15"/>
    <row r="50" spans="2:38" ht="15" customHeight="1" x14ac:dyDescent="0.15"/>
    <row r="51" spans="2:38" ht="15" customHeight="1" x14ac:dyDescent="0.15"/>
    <row r="52" spans="2:38" ht="15" customHeight="1" x14ac:dyDescent="0.15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2:38" ht="15" customHeight="1" x14ac:dyDescent="0.1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2:38" ht="15" customHeight="1" x14ac:dyDescent="0.15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2:38" ht="15" customHeight="1" x14ac:dyDescent="0.15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2:38" ht="15" customHeight="1" x14ac:dyDescent="0.15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2:38" ht="15" customHeight="1" x14ac:dyDescent="0.15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2:38" ht="15" customHeight="1" x14ac:dyDescent="0.15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2:38" ht="15" customHeight="1" x14ac:dyDescent="0.15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2:38" ht="15" customHeight="1" x14ac:dyDescent="0.1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2:38" ht="15" customHeight="1" x14ac:dyDescent="0.15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2:38" ht="15" customHeight="1" x14ac:dyDescent="0.1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2:38" ht="15" customHeight="1" x14ac:dyDescent="0.1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2:38" ht="15" customHeight="1" x14ac:dyDescent="0.1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2:38" ht="15" customHeight="1" x14ac:dyDescent="0.1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2:38" ht="15" customHeight="1" x14ac:dyDescent="0.1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2:38" ht="15" customHeight="1" x14ac:dyDescent="0.1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2:38" ht="15" customHeight="1" x14ac:dyDescent="0.1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2:38" ht="15" customHeight="1" x14ac:dyDescent="0.1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2:38" ht="15" customHeight="1" x14ac:dyDescent="0.1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2:38" ht="15" customHeight="1" x14ac:dyDescent="0.1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2:38" ht="15" customHeight="1" x14ac:dyDescent="0.1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2:38" ht="15" customHeight="1" x14ac:dyDescent="0.1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2:38" ht="15" customHeight="1" x14ac:dyDescent="0.1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2:38" ht="15" customHeight="1" x14ac:dyDescent="0.1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2:38" ht="15" customHeight="1" x14ac:dyDescent="0.1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2:38" ht="15" customHeight="1" x14ac:dyDescent="0.1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2:38" ht="15" customHeight="1" x14ac:dyDescent="0.1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2:38" ht="15" customHeight="1" x14ac:dyDescent="0.1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2:38" ht="15" customHeight="1" x14ac:dyDescent="0.1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2:38" ht="15" customHeight="1" x14ac:dyDescent="0.1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2:38" ht="15" customHeight="1" x14ac:dyDescent="0.1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2:38" ht="15" customHeight="1" x14ac:dyDescent="0.1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2:38" ht="15" customHeight="1" x14ac:dyDescent="0.1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2:38" ht="15" customHeight="1" x14ac:dyDescent="0.1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2:38" ht="15" customHeight="1" x14ac:dyDescent="0.1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2:38" ht="15" customHeight="1" x14ac:dyDescent="0.1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2:38" ht="15" customHeight="1" x14ac:dyDescent="0.1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2:38" ht="15" customHeight="1" x14ac:dyDescent="0.1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2:38" ht="15" customHeight="1" x14ac:dyDescent="0.1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2:38" ht="15" customHeight="1" x14ac:dyDescent="0.1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2:38" ht="15" customHeight="1" x14ac:dyDescent="0.1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2:38" ht="15" customHeight="1" x14ac:dyDescent="0.1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2:38" ht="15" customHeight="1" x14ac:dyDescent="0.1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2:38" ht="15" customHeight="1" x14ac:dyDescent="0.1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2:38" ht="15" customHeight="1" x14ac:dyDescent="0.1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2:38" ht="15" customHeight="1" x14ac:dyDescent="0.1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2:38" ht="15" customHeight="1" x14ac:dyDescent="0.1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2:38" ht="15" customHeight="1" x14ac:dyDescent="0.1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2:38" ht="15" customHeight="1" x14ac:dyDescent="0.1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2:38" ht="15" customHeight="1" x14ac:dyDescent="0.1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2:38" ht="15" customHeight="1" x14ac:dyDescent="0.1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2:38" ht="15" customHeight="1" x14ac:dyDescent="0.1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2:38" ht="15" customHeight="1" x14ac:dyDescent="0.1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2:38" ht="15" customHeight="1" x14ac:dyDescent="0.1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2:38" ht="15" customHeight="1" x14ac:dyDescent="0.1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2:38" ht="15" customHeight="1" x14ac:dyDescent="0.1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2:38" ht="15" customHeight="1" x14ac:dyDescent="0.1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2:38" ht="15" customHeight="1" x14ac:dyDescent="0.1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2:38" ht="15" customHeight="1" x14ac:dyDescent="0.1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2:38" ht="15" customHeight="1" x14ac:dyDescent="0.1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2:38" ht="15" customHeight="1" x14ac:dyDescent="0.1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2:38" ht="15" customHeight="1" x14ac:dyDescent="0.1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2:38" ht="15" customHeight="1" x14ac:dyDescent="0.1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2:38" ht="15" customHeight="1" x14ac:dyDescent="0.1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2:38" ht="15" customHeight="1" x14ac:dyDescent="0.1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2:38" ht="15" customHeight="1" x14ac:dyDescent="0.1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2:38" ht="15" customHeight="1" x14ac:dyDescent="0.1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2:38" ht="15" customHeight="1" x14ac:dyDescent="0.1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2:38" ht="15" customHeight="1" x14ac:dyDescent="0.1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2:38" ht="15" customHeight="1" x14ac:dyDescent="0.1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2:38" ht="15" customHeight="1" x14ac:dyDescent="0.1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2:38" ht="15" customHeight="1" x14ac:dyDescent="0.1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2:38" ht="15" customHeight="1" x14ac:dyDescent="0.1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2:38" ht="15" customHeight="1" x14ac:dyDescent="0.1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2:38" ht="15" customHeight="1" x14ac:dyDescent="0.1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2:38" ht="15" customHeight="1" x14ac:dyDescent="0.1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2:38" ht="15" customHeight="1" x14ac:dyDescent="0.1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2:38" ht="15" customHeight="1" x14ac:dyDescent="0.1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2:38" ht="15" customHeight="1" x14ac:dyDescent="0.1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2:38" ht="15" customHeight="1" x14ac:dyDescent="0.1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2:38" ht="15" customHeight="1" x14ac:dyDescent="0.1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2:38" ht="15" customHeight="1" x14ac:dyDescent="0.1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2:38" ht="15" customHeight="1" x14ac:dyDescent="0.1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2:38" ht="15" customHeight="1" x14ac:dyDescent="0.1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2:38" ht="15" customHeight="1" x14ac:dyDescent="0.1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2:38" ht="15" customHeight="1" x14ac:dyDescent="0.1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2:38" ht="15" customHeight="1" x14ac:dyDescent="0.1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2:38" ht="15" customHeight="1" x14ac:dyDescent="0.1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2:38" ht="15" customHeight="1" x14ac:dyDescent="0.1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2:38" ht="15" customHeight="1" x14ac:dyDescent="0.1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2:38" ht="15" customHeight="1" x14ac:dyDescent="0.1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2:38" ht="15" customHeight="1" x14ac:dyDescent="0.1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2:38" ht="15" customHeight="1" x14ac:dyDescent="0.1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2:38" ht="15" customHeight="1" x14ac:dyDescent="0.1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2:38" ht="15" customHeight="1" x14ac:dyDescent="0.1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2:38" ht="15" customHeight="1" x14ac:dyDescent="0.1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2:38" ht="15" customHeight="1" x14ac:dyDescent="0.1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2:38" ht="15" customHeight="1" x14ac:dyDescent="0.1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2:38" ht="15" customHeight="1" x14ac:dyDescent="0.1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2:38" ht="15" customHeight="1" x14ac:dyDescent="0.1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2:38" ht="15" customHeight="1" x14ac:dyDescent="0.1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2:38" ht="15" customHeight="1" x14ac:dyDescent="0.1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2:38" ht="15" customHeight="1" x14ac:dyDescent="0.1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2:38" ht="15" customHeight="1" x14ac:dyDescent="0.1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2:38" ht="15" customHeight="1" x14ac:dyDescent="0.1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2:38" ht="15" customHeight="1" x14ac:dyDescent="0.1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2:38" ht="15" customHeight="1" x14ac:dyDescent="0.1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2:38" ht="15" customHeight="1" x14ac:dyDescent="0.1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2:38" ht="15" customHeight="1" x14ac:dyDescent="0.1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2:38" ht="15" customHeight="1" x14ac:dyDescent="0.1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2:38" ht="15" customHeight="1" x14ac:dyDescent="0.1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2:38" ht="15" customHeight="1" x14ac:dyDescent="0.1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2:38" ht="15" customHeight="1" x14ac:dyDescent="0.1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2:38" ht="15" customHeight="1" x14ac:dyDescent="0.1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2:38" ht="15" customHeight="1" x14ac:dyDescent="0.1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2:38" ht="15" customHeight="1" x14ac:dyDescent="0.1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2:38" ht="15" customHeight="1" x14ac:dyDescent="0.1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2:38" ht="15" customHeight="1" x14ac:dyDescent="0.1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2:38" ht="15" customHeight="1" x14ac:dyDescent="0.1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2:38" ht="15" customHeight="1" x14ac:dyDescent="0.1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2:38" ht="15" customHeight="1" x14ac:dyDescent="0.1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2:38" ht="15" customHeight="1" x14ac:dyDescent="0.1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2:38" ht="15" customHeight="1" x14ac:dyDescent="0.1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2:38" ht="15" customHeight="1" x14ac:dyDescent="0.1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2:38" ht="15" customHeight="1" x14ac:dyDescent="0.1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2:38" ht="15" customHeight="1" x14ac:dyDescent="0.1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2:38" ht="15" customHeight="1" x14ac:dyDescent="0.1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2:38" ht="15" customHeight="1" x14ac:dyDescent="0.1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2:38" ht="15" customHeight="1" x14ac:dyDescent="0.1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2:38" ht="15" customHeight="1" x14ac:dyDescent="0.1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2:38" ht="15" customHeight="1" x14ac:dyDescent="0.1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2:38" ht="15" customHeight="1" x14ac:dyDescent="0.1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2:38" ht="15" customHeight="1" x14ac:dyDescent="0.1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2:38" ht="15" customHeight="1" x14ac:dyDescent="0.1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2:38" ht="15" customHeight="1" x14ac:dyDescent="0.1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2:38" ht="15" customHeight="1" x14ac:dyDescent="0.1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2:38" ht="15" customHeight="1" x14ac:dyDescent="0.1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92" spans="2:38" ht="15" customHeight="1" x14ac:dyDescent="0.1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2022-10-24T05:25:49Z</dcterms:modified>
</cp:coreProperties>
</file>