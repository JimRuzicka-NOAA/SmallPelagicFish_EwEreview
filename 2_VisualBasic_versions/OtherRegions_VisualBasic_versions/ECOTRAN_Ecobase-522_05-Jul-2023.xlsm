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8100D960-3600-2C4F-BD2B-EB332AD4D95C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<sst xmlns="http://schemas.openxmlformats.org/spreadsheetml/2006/main" count="741" uniqueCount="220">
  <si>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</si>
  <si>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</si>
  <si>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</si>
  <si>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</si>
  <si>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</si>
  <si>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</si>
  <si>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</si>
  <si>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</si>
  <si>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</si>
  <si>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</si>
  <si>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</si>
  <si>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</si>
  <si>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</si>
  <si>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</si>
  <si>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</si>
  <si>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</si>
  <si>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</si>
  <si>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</si>
  <si>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</si>
  <si>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</si>
  <si>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</si>
  <si>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</si>
  <si>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</si>
  <si>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</si>
  <si>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</si>
  <si>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</si>
  <si>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</si>
  <si>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</si>
  <si>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</si>
  <si>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</si>
  <si>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</si>
  <si>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</si>
  <si>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</si>
  <si>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</si>
  <si>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</si>
  <si>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</si>
  <si>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</si>
  <si>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</si>
  <si>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</si>
  <si>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</si>
  <si>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</si>
  <si>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</si>
  <si>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</si>
  <si>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</si>
  <si>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</si>
  <si>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</si>
  <si>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</si>
  <si>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</si>
  <si>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</si>
  <si>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</si>
  <si>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</si>
  <si>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</si>
  <si>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</si>
  <si>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</si>
  <si>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</si>
  <si>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</si>
  <si>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</si>
  <si>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</si>
  <si>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</si>
  <si>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</si>
  <si>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</si>
  <si>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</si>
  <si>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</si>
  <si>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</si>
  <si>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</si>
  <si>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</si>
  <si>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</si>
  <si>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</si>
  <si>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</si>
  <si>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</si>
  <si>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</si>
  <si>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</si>
  <si>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</si>
  <si>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</si>
  <si>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</si>
  <si>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</si>
  <si>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</si>
  <si>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</si>
  <si>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</si>
  <si>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</si>
  <si>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</si>
  <si>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</si>
  <si>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</si>
  <si>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</si>
  <si>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</si>
  <si>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</si>
  <si>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</si>
  <si>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</si>
  <si>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</si>
  <si>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</si>
  <si>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</si>
  <si>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</si>
  <si>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</si>
  <si>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</si>
  <si>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</si>
  <si>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</si>
  <si>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</si>
  <si>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</si>
  <si>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</si>
  <si>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</si>
  <si>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</si>
  <si>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</si>
  <si>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</si>
  <si>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</si>
  <si>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</si>
  <si>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</si>
  <si>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</si>
  <si>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</si>
  <si>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</si>
  <si>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</si>
  <si>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</si>
  <si>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</si>
  <si>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</si>
  <si>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</si>
  <si>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</si>
  <si>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</si>
  <si>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</si>
  <si>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</si>
  <si>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</si>
  <si>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</si>
  <si>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</si>
  <si>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</si>
  <si>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</si>
  <si>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</si>
  <si>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</si>
  <si>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</si>
  <si>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</si>
  <si>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</si>
  <si>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</si>
  <si>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</si>
  <si>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</si>
  <si>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</si>
  <si>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</si>
  <si>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</si>
  <si>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</si>
  <si>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</si>
  <si>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</si>
  <si>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</si>
  <si>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</si>
  <si>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</si>
  <si>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</si>
  <si>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</si>
  <si>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</si>
  <si>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</si>
  <si>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</si>
  <si>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</si>
  <si>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</si>
  <si>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</si>
  <si>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</si>
  <si>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</si>
  <si>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</si>
  <si>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</si>
  <si>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</si>
  <si>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</si>
  <si>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</si>
  <si>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</si>
  <si>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</si>
  <si>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</si>
  <si>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</si>
  <si>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</si>
  <si>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</si>
  <si>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</si>
  <si>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</si>
  <si>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</si>
  <si>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</si>
  <si>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</si>
  <si>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</si>
  <si>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</si>
  <si>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</si>
  <si>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</si>
  <si>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</si>
  <si>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</si>
  <si>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</si>
  <si>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</si>
  <si>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</si>
  <si>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</si>
  <si>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</si>
  <si>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</si>
  <si>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</si>
  <si>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</si>
  <si>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</si>
  <si>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</si>
  <si>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</si>
  <si>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</si>
  <si>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</si>
  <si>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Deep Western Mediterranean sea</t>
  </si>
  <si>
    <t>Spain</t>
  </si>
  <si>
    <t>BOX(2.4 41,3 41.2)</t>
  </si>
  <si>
    <t>open ocean</t>
  </si>
  <si>
    <t>WetWeight</t>
  </si>
  <si>
    <t>Deep Western Mediterranean Sea. Catalan continental margin at 1050-1350 m depth in the open slope.</t>
  </si>
  <si>
    <t>Tecchio S.,Coll M.,Christensen V.,Company J.B.,Ramírez-Llodra E.,Sardà F.(2013). Food web structure and vulnerability of a deep-sea ecosystem in the NW Mediterranean Sea Deep Sea Research Part I: Oceanographic Research Papers. pp 1-15</t>
  </si>
  <si>
    <t>Bluntnose sixgill shark</t>
  </si>
  <si>
    <t>Demersal sharks</t>
  </si>
  <si>
    <t>Monkfish</t>
  </si>
  <si>
    <t>Phycis blennoides</t>
  </si>
  <si>
    <t>Lepidion lepidion</t>
  </si>
  <si>
    <t>Macrourids</t>
  </si>
  <si>
    <t>Mora moro</t>
  </si>
  <si>
    <t>Alepocephalus rostratus</t>
  </si>
  <si>
    <t>Other demersal, small</t>
  </si>
  <si>
    <t>Cephalopods</t>
  </si>
  <si>
    <t>Aristeus antennatus</t>
  </si>
  <si>
    <t>Mesopelagic crustacea</t>
  </si>
  <si>
    <t>Benthopelagic fish</t>
  </si>
  <si>
    <t>Benthic invertebrates, crustacea</t>
  </si>
  <si>
    <t>Benthic invertebrates, other</t>
  </si>
  <si>
    <t>Zooplankton, gelatinous</t>
  </si>
  <si>
    <t>Zooplankton, BBL</t>
  </si>
  <si>
    <t>Meiobenthos</t>
  </si>
  <si>
    <t>Surface production</t>
  </si>
  <si>
    <t>Marine snow (POC)</t>
  </si>
  <si>
    <t>Detritus</t>
  </si>
  <si>
    <t>Import</t>
  </si>
  <si>
    <t>export</t>
  </si>
  <si>
    <t>sum</t>
  </si>
  <si>
    <t>TOTAL</t>
  </si>
  <si>
    <t>dummy fleet</t>
  </si>
  <si>
    <t>&lt;&lt;--no fleet in model; Jruz added dummy model</t>
  </si>
  <si>
    <t>F dummy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</si>
</sst>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FFF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" fillId="0" borderId="0" xfId="0" applyFont="1" applyAlignment="1">
      <alignment horizontal="center"/>
    </xf>
    <xf numFmtId="0" fontId="0" fillId="34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5" borderId="3" xfId="0" applyNumberFormat="1" applyFont="1" applyFill="1" applyBorder="1"/>
    <xf numFmtId="0" fontId="0" fillId="35" borderId="2" xfId="0" applyFont="1" applyFill="1" applyBorder="1"/>
    <xf numFmtId="0" fontId="0" fillId="35" borderId="3" xfId="0" applyFont="1" applyFill="1" applyBorder="1"/>
    <xf numFmtId="0" fontId="0" fillId="3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0" fillId="3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0" fontId="14" fillId="0" borderId="0" xfId="0" applyFont="1"/>
    <xf numFmtId="49" fontId="14" fillId="0" borderId="52" xfId="0" applyNumberFormat="1" applyFont="1" applyBorder="1"/>
    <xf numFmtId="49" fontId="0" fillId="0" borderId="52" xfId="0" applyNumberFormat="1" applyFont="1" applyFill="1" applyBorder="1"/>
    <xf numFmtId="49" fontId="13" fillId="0" borderId="52" xfId="0" applyNumberFormat="1" applyFont="1" applyBorder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20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3" x14ac:dyDescent="0.15">
      <c r="B49" s="46" t="s">
        <v>44</v>
      </c>
      <c r="C49" s="30">
        <v>5</v>
      </c>
    </row>
    <row r="50" spans="2:3" x14ac:dyDescent="0.15">
      <c r="B50" s="46"/>
      <c r="C50" s="30"/>
    </row>
    <row r="51" spans="2:3" ht="14" thickBot="1" x14ac:dyDescent="0.2">
      <c r="B51" s="47" t="s">
        <v>73</v>
      </c>
      <c r="C51" s="31">
        <v>7</v>
      </c>
    </row>
    <row r="53" spans="2:3" x14ac:dyDescent="0.15">
      <c r="B53" s="159" t="s">
        <v>171</v>
      </c>
      <c r="C53">
        <v>522</v>
      </c>
    </row>
    <row r="54" spans="2:3" x14ac:dyDescent="0.15">
      <c r="B54" s="159" t="s">
        <v>172</v>
      </c>
      <c r="C54" s="159" t="s">
        <v>185</v>
      </c>
    </row>
    <row r="55" spans="2:3" x14ac:dyDescent="0.15">
      <c r="B55" s="159" t="s">
        <v>173</v>
      </c>
      <c r="C55" s="159" t="s">
        <v>186</v>
      </c>
    </row>
    <row r="56" spans="2:3" x14ac:dyDescent="0.15">
      <c r="B56" s="159" t="s">
        <v>174</v>
      </c>
      <c r="C56">
        <v>850</v>
      </c>
    </row>
    <row r="57" spans="2:3" x14ac:dyDescent="0.15">
      <c r="B57" s="159" t="s">
        <v>175</v>
      </c>
      <c r="C57" s="159" t="s">
        <v>187</v>
      </c>
    </row>
    <row r="58" spans="2:3" x14ac:dyDescent="0.15">
      <c r="B58" s="159" t="s">
        <v>176</v>
      </c>
      <c r="C58" s="159" t="s">
        <v>188</v>
      </c>
    </row>
    <row r="59" spans="2:3" x14ac:dyDescent="0.15">
      <c r="B59" s="159" t="s">
        <v>177</v>
      </c>
      <c r="C59" s="159" t="s">
        <v>189</v>
      </c>
    </row>
    <row r="60" spans="2:3" x14ac:dyDescent="0.15">
      <c r="B60" s="159" t="s">
        <v>178</v>
      </c>
      <c r="C60" s="159" t="s">
        <v>190</v>
      </c>
    </row>
    <row r="61" spans="2:3" x14ac:dyDescent="0.15">
      <c r="B61" s="159" t="s">
        <v>179</v>
      </c>
      <c r="C61">
        <v>21</v>
      </c>
    </row>
    <row r="62" spans="2:3" x14ac:dyDescent="0.15">
      <c r="B62" s="159" t="s">
        <v>180</v>
      </c>
      <c r="C62">
        <v>0</v>
      </c>
    </row>
    <row r="63" spans="2:3" x14ac:dyDescent="0.15">
      <c r="B63" s="159" t="s">
        <v>181</v>
      </c>
      <c r="C63">
        <v>2009</v>
      </c>
    </row>
    <row r="64" spans="2:3" x14ac:dyDescent="0.15">
      <c r="B64" s="159" t="s">
        <v>182</v>
      </c>
      <c r="C64">
        <v>1</v>
      </c>
    </row>
    <row r="65" spans="2:3" x14ac:dyDescent="0.15">
      <c r="B65" s="159" t="s">
        <v>183</v>
      </c>
      <c r="C65" s="159" t="s">
        <v>191</v>
      </c>
    </row>
    <row r="66" spans="2:3" x14ac:dyDescent="0.15">
      <c r="B66" s="159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20" sqref="E20"/>
    </sheetView>
  </sheetViews>
  <sheetFormatPr baseColWidth="10" defaultColWidth="8.83203125" defaultRowHeight="15" customHeight="1" x14ac:dyDescent="0.15"/>
  <cols>
    <col min="1" max="1" width="22.5" style="77" customWidth="1"/>
    <col min="2" max="3" width="11" style="77" customWidth="1"/>
    <col min="4" max="4" width="14.33203125" style="77" customWidth="1"/>
    <col min="5" max="5" width="27.83203125" style="77" bestFit="1" customWidth="1"/>
    <col min="6" max="6" width="2.33203125" style="77" bestFit="1" customWidth="1"/>
    <col min="7" max="7" width="11.83203125" style="77" bestFit="1" customWidth="1"/>
    <col min="8" max="8" width="10.83203125" style="77" customWidth="1"/>
    <col min="9" max="9" width="4.83203125" style="77" customWidth="1"/>
    <col min="10" max="11" width="11.83203125" style="77" customWidth="1"/>
    <col min="12" max="12" width="2.33203125" style="77" customWidth="1"/>
    <col min="13" max="13" width="4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60" t="s">
        <v>192</v>
      </c>
      <c r="F2" s="77">
        <v>0</v>
      </c>
      <c r="G2" s="77">
        <v>0.128</v>
      </c>
      <c r="H2" s="77">
        <v>0.14799999999999999</v>
      </c>
      <c r="I2" s="6">
        <v>1.1399999999999999</v>
      </c>
      <c r="J2" s="6">
        <v>0</v>
      </c>
      <c r="K2" s="6">
        <v>0.129824564</v>
      </c>
      <c r="L2" s="6">
        <v>0</v>
      </c>
      <c r="M2" s="77">
        <v>0.2</v>
      </c>
      <c r="N2" s="77">
        <v>0</v>
      </c>
    </row>
    <row r="3" spans="1:46" ht="15" customHeight="1" x14ac:dyDescent="0.15">
      <c r="A3" s="1" t="s">
        <v>9</v>
      </c>
      <c r="B3" s="4">
        <v>19</v>
      </c>
      <c r="C3" s="77">
        <v>2</v>
      </c>
      <c r="D3"/>
      <c r="E3" s="160" t="s">
        <v>193</v>
      </c>
      <c r="F3" s="77">
        <v>0</v>
      </c>
      <c r="G3" s="77">
        <v>0.2</v>
      </c>
      <c r="H3" s="77">
        <v>0.25</v>
      </c>
      <c r="I3" s="77">
        <v>1.9</v>
      </c>
      <c r="J3" s="77">
        <v>0.60739195300000004</v>
      </c>
      <c r="K3" s="77">
        <v>0.131578952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60" t="s">
        <v>194</v>
      </c>
      <c r="F4" s="77">
        <v>0</v>
      </c>
      <c r="G4" s="77">
        <v>0.05</v>
      </c>
      <c r="H4" s="77">
        <v>0.43</v>
      </c>
      <c r="I4" s="77">
        <v>2.7</v>
      </c>
      <c r="J4" s="77">
        <v>0.40085579999999998</v>
      </c>
      <c r="K4" s="77">
        <v>0.15925926000000001</v>
      </c>
      <c r="L4" s="77">
        <v>0</v>
      </c>
      <c r="M4" s="77">
        <v>0.2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60" t="s">
        <v>195</v>
      </c>
      <c r="F5" s="77">
        <v>0</v>
      </c>
      <c r="G5" s="77">
        <v>0.1</v>
      </c>
      <c r="H5" s="77">
        <v>0.50800000000000001</v>
      </c>
      <c r="I5" s="77">
        <v>2.75</v>
      </c>
      <c r="J5" s="77">
        <v>0.36096060000000002</v>
      </c>
      <c r="K5" s="77">
        <v>0.18472728099999999</v>
      </c>
      <c r="L5" s="77">
        <v>0</v>
      </c>
      <c r="M5" s="77">
        <v>0.2</v>
      </c>
      <c r="N5" s="77">
        <v>0</v>
      </c>
      <c r="P5" s="69"/>
      <c r="Q5" s="69"/>
      <c r="R5" s="69"/>
    </row>
    <row r="6" spans="1:46" ht="15" customHeight="1" thickBot="1" x14ac:dyDescent="0.2">
      <c r="B6" s="1"/>
      <c r="C6" s="77">
        <v>5</v>
      </c>
      <c r="D6"/>
      <c r="E6" s="160" t="s">
        <v>196</v>
      </c>
      <c r="F6" s="77">
        <v>0</v>
      </c>
      <c r="G6" s="77">
        <v>0.14000000000000001</v>
      </c>
      <c r="H6" s="77">
        <v>0.73599999999999999</v>
      </c>
      <c r="I6" s="77">
        <v>2.91</v>
      </c>
      <c r="J6" s="77">
        <v>0.45325312000000001</v>
      </c>
      <c r="K6" s="77">
        <v>0.252920955</v>
      </c>
      <c r="L6" s="77">
        <v>0</v>
      </c>
      <c r="M6" s="77">
        <v>0.2</v>
      </c>
      <c r="N6" s="77">
        <v>0</v>
      </c>
      <c r="P6" s="69"/>
      <c r="Q6" s="69"/>
      <c r="R6" s="69"/>
      <c r="W6" s="33" t="s">
        <v>31</v>
      </c>
      <c r="X6" s="49">
        <f>MAX(MainOutputs!G:G)</f>
        <v>0.99000006914138794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151</v>
      </c>
      <c r="C7" s="77">
        <v>6</v>
      </c>
      <c r="D7"/>
      <c r="E7" s="160" t="s">
        <v>197</v>
      </c>
      <c r="F7" s="77">
        <v>0</v>
      </c>
      <c r="G7" s="77">
        <v>0.22500000000000001</v>
      </c>
      <c r="H7" s="77">
        <v>0.51600000000000001</v>
      </c>
      <c r="I7" s="77">
        <v>3.35</v>
      </c>
      <c r="J7" s="77">
        <v>0.52323520000000001</v>
      </c>
      <c r="K7" s="77">
        <v>0.154029846</v>
      </c>
      <c r="L7" s="77">
        <v>0</v>
      </c>
      <c r="M7" s="77">
        <v>0.2</v>
      </c>
      <c r="N7" s="77">
        <v>0</v>
      </c>
      <c r="P7" s="69"/>
      <c r="Q7" s="69"/>
      <c r="R7" s="69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22</v>
      </c>
      <c r="C8" s="77">
        <v>7</v>
      </c>
      <c r="D8"/>
      <c r="E8" s="160" t="s">
        <v>198</v>
      </c>
      <c r="F8" s="77">
        <v>0</v>
      </c>
      <c r="G8" s="77">
        <v>0.25</v>
      </c>
      <c r="H8" s="77">
        <v>0.28299999999999997</v>
      </c>
      <c r="I8" s="77">
        <v>2.4500000000000002</v>
      </c>
      <c r="J8" s="77">
        <v>0.67394775200000001</v>
      </c>
      <c r="K8" s="77">
        <v>0.115510195</v>
      </c>
      <c r="L8" s="77">
        <v>0</v>
      </c>
      <c r="M8" s="77">
        <v>0.2</v>
      </c>
      <c r="N8" s="77">
        <v>0</v>
      </c>
      <c r="P8" s="69"/>
      <c r="Q8" s="69"/>
      <c r="R8" s="69"/>
    </row>
    <row r="9" spans="1:46" ht="15" customHeight="1" x14ac:dyDescent="0.15">
      <c r="B9" s="1"/>
      <c r="C9" s="77">
        <v>8</v>
      </c>
      <c r="D9"/>
      <c r="E9" s="160" t="s">
        <v>199</v>
      </c>
      <c r="F9" s="77">
        <v>0</v>
      </c>
      <c r="G9" s="77">
        <v>0.28499999999999998</v>
      </c>
      <c r="H9" s="77">
        <v>0.26500000000000001</v>
      </c>
      <c r="I9" s="77">
        <v>2.0299999999999998</v>
      </c>
      <c r="J9" s="77">
        <v>0.73052110000000003</v>
      </c>
      <c r="K9" s="77">
        <v>0.13054186100000001</v>
      </c>
      <c r="L9" s="77">
        <v>0</v>
      </c>
      <c r="M9" s="77">
        <v>0.2</v>
      </c>
      <c r="N9" s="77">
        <v>0</v>
      </c>
      <c r="P9" s="69"/>
      <c r="Q9" s="69"/>
      <c r="R9" s="69"/>
    </row>
    <row r="10" spans="1:46" ht="15" customHeight="1" x14ac:dyDescent="0.15">
      <c r="B10" s="1"/>
      <c r="C10" s="77">
        <v>9</v>
      </c>
      <c r="D10"/>
      <c r="E10" s="160" t="s">
        <v>200</v>
      </c>
      <c r="F10" s="77">
        <v>0</v>
      </c>
      <c r="G10" s="77">
        <v>0.08</v>
      </c>
      <c r="H10" s="77">
        <v>1.05</v>
      </c>
      <c r="I10" s="77">
        <v>3.6</v>
      </c>
      <c r="J10" s="77">
        <v>0.92688099999999995</v>
      </c>
      <c r="K10" s="77">
        <v>0.291666657</v>
      </c>
      <c r="L10" s="77">
        <v>0</v>
      </c>
      <c r="M10" s="77">
        <v>0.2</v>
      </c>
      <c r="N10" s="77">
        <v>0</v>
      </c>
    </row>
    <row r="11" spans="1:46" ht="15" customHeight="1" x14ac:dyDescent="0.15">
      <c r="C11" s="77">
        <v>10</v>
      </c>
      <c r="D11"/>
      <c r="E11" s="160" t="s">
        <v>201</v>
      </c>
      <c r="F11" s="77">
        <v>0</v>
      </c>
      <c r="G11" s="77">
        <v>0.105</v>
      </c>
      <c r="H11" s="77">
        <v>2.19</v>
      </c>
      <c r="I11" s="77">
        <v>7.3</v>
      </c>
      <c r="J11" s="77">
        <v>0.58534675800000002</v>
      </c>
      <c r="K11" s="77">
        <v>0.3</v>
      </c>
      <c r="L11" s="77">
        <v>0</v>
      </c>
      <c r="M11" s="77">
        <v>0.2</v>
      </c>
      <c r="N11" s="77">
        <v>0</v>
      </c>
    </row>
    <row r="12" spans="1:46" ht="15" customHeight="1" x14ac:dyDescent="0.15">
      <c r="C12" s="77">
        <v>11</v>
      </c>
      <c r="D12"/>
      <c r="E12" s="160" t="s">
        <v>202</v>
      </c>
      <c r="F12" s="77">
        <v>0</v>
      </c>
      <c r="G12" s="77">
        <v>0.15</v>
      </c>
      <c r="H12" s="77">
        <v>3</v>
      </c>
      <c r="I12" s="77">
        <v>8.59</v>
      </c>
      <c r="J12" s="77">
        <v>0.6462833</v>
      </c>
      <c r="K12" s="77">
        <v>0.34924329999999998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60" t="s">
        <v>203</v>
      </c>
      <c r="F13" s="77">
        <v>0</v>
      </c>
      <c r="G13" s="77">
        <v>0.30499999999999999</v>
      </c>
      <c r="H13" s="77">
        <v>3.1149997699999998</v>
      </c>
      <c r="I13" s="77">
        <v>8.9</v>
      </c>
      <c r="J13" s="77">
        <v>0.57531803800000003</v>
      </c>
      <c r="K13" s="77">
        <v>0.35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60" t="s">
        <v>204</v>
      </c>
      <c r="F14" s="77">
        <v>0</v>
      </c>
      <c r="G14" s="77">
        <v>0.54</v>
      </c>
      <c r="H14" s="77">
        <v>1.3</v>
      </c>
      <c r="I14" s="77">
        <v>7.4</v>
      </c>
      <c r="J14" s="77">
        <v>0.51276639999999996</v>
      </c>
      <c r="K14" s="77">
        <v>0.17567566000000001</v>
      </c>
      <c r="L14" s="77">
        <v>0</v>
      </c>
      <c r="M14" s="77">
        <v>0.2</v>
      </c>
      <c r="N14" s="77">
        <v>0</v>
      </c>
    </row>
    <row r="15" spans="1:46" ht="15" customHeight="1" x14ac:dyDescent="0.15">
      <c r="C15" s="77">
        <v>14</v>
      </c>
      <c r="D15"/>
      <c r="E15" s="160" t="s">
        <v>205</v>
      </c>
      <c r="F15" s="77">
        <v>0</v>
      </c>
      <c r="G15" s="77">
        <v>0.255</v>
      </c>
      <c r="H15" s="77">
        <v>2.7679999999999998</v>
      </c>
      <c r="I15" s="77">
        <v>10.4</v>
      </c>
      <c r="J15" s="77">
        <v>0.85500186700000003</v>
      </c>
      <c r="K15" s="77">
        <v>0.26615384199999997</v>
      </c>
      <c r="L15" s="77">
        <v>0</v>
      </c>
      <c r="M15" s="77">
        <v>0.2</v>
      </c>
      <c r="N15" s="77">
        <v>0</v>
      </c>
    </row>
    <row r="16" spans="1:46" ht="15" customHeight="1" x14ac:dyDescent="0.15">
      <c r="C16" s="77">
        <v>15</v>
      </c>
      <c r="D16"/>
      <c r="E16" s="160" t="s">
        <v>206</v>
      </c>
      <c r="F16" s="77">
        <v>0</v>
      </c>
      <c r="G16" s="77">
        <v>0.63144594399999998</v>
      </c>
      <c r="H16" s="77">
        <v>3.19</v>
      </c>
      <c r="I16" s="77">
        <v>16.2</v>
      </c>
      <c r="J16" s="77">
        <v>0.99</v>
      </c>
      <c r="K16" s="77">
        <v>0.19691357000000001</v>
      </c>
      <c r="L16" s="77">
        <v>0</v>
      </c>
      <c r="M16" s="77">
        <v>0.3</v>
      </c>
      <c r="N16" s="77">
        <v>0</v>
      </c>
    </row>
    <row r="17" spans="1:22" ht="15" customHeight="1" x14ac:dyDescent="0.15">
      <c r="C17" s="77">
        <v>16</v>
      </c>
      <c r="D17"/>
      <c r="E17" s="160" t="s">
        <v>207</v>
      </c>
      <c r="F17" s="77">
        <v>0</v>
      </c>
      <c r="G17" s="77">
        <v>0.08</v>
      </c>
      <c r="H17" s="77">
        <v>22</v>
      </c>
      <c r="I17" s="77">
        <v>56</v>
      </c>
      <c r="J17" s="77">
        <v>0.42056876399999998</v>
      </c>
      <c r="K17" s="77">
        <v>0.392857134</v>
      </c>
      <c r="L17" s="77">
        <v>0</v>
      </c>
      <c r="M17" s="77">
        <v>0.4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60" t="s">
        <v>208</v>
      </c>
      <c r="F18" s="77">
        <v>0</v>
      </c>
      <c r="G18" s="77">
        <v>0.38089987600000003</v>
      </c>
      <c r="H18" s="77">
        <v>18</v>
      </c>
      <c r="I18" s="77">
        <v>50</v>
      </c>
      <c r="J18" s="77">
        <v>0.95</v>
      </c>
      <c r="K18" s="77">
        <v>0.36</v>
      </c>
      <c r="L18" s="77">
        <v>0</v>
      </c>
      <c r="M18" s="77">
        <v>0.4</v>
      </c>
      <c r="N18" s="77">
        <v>0</v>
      </c>
      <c r="V18" s="1"/>
    </row>
    <row r="19" spans="1:22" ht="15" customHeight="1" x14ac:dyDescent="0.15">
      <c r="C19" s="77">
        <v>18</v>
      </c>
      <c r="D19"/>
      <c r="E19" s="160" t="s">
        <v>209</v>
      </c>
      <c r="F19" s="77">
        <v>0</v>
      </c>
      <c r="G19" s="77">
        <v>1.2E-2</v>
      </c>
      <c r="H19" s="77">
        <v>60</v>
      </c>
      <c r="I19" s="77">
        <v>240</v>
      </c>
      <c r="J19" s="77">
        <v>0.83002007</v>
      </c>
      <c r="K19" s="77">
        <v>0.25</v>
      </c>
      <c r="L19" s="77">
        <v>0</v>
      </c>
      <c r="M19" s="77">
        <v>0.35</v>
      </c>
      <c r="N19" s="77">
        <v>0</v>
      </c>
    </row>
    <row r="20" spans="1:22" ht="15" customHeight="1" thickBot="1" x14ac:dyDescent="0.2">
      <c r="C20" s="77">
        <v>19</v>
      </c>
      <c r="D20"/>
      <c r="E20" s="160" t="s">
        <v>210</v>
      </c>
      <c r="F20" s="77">
        <v>1</v>
      </c>
      <c r="G20" s="77">
        <v>0.01</v>
      </c>
      <c r="H20" s="77">
        <v>3577</v>
      </c>
      <c r="I20" s="77">
        <v>0</v>
      </c>
      <c r="J20" s="77">
        <v>0</v>
      </c>
      <c r="K20" s="77">
        <v>0</v>
      </c>
      <c r="L20" s="77">
        <v>0</v>
      </c>
      <c r="M20" s="77">
        <v>0</v>
      </c>
      <c r="N20" s="77">
        <v>0</v>
      </c>
    </row>
    <row r="21" spans="1:22" ht="15" customHeight="1" thickBot="1" x14ac:dyDescent="0.2">
      <c r="A21" s="44" t="s">
        <v>137</v>
      </c>
      <c r="B21" s="95"/>
      <c r="C21" s="77">
        <v>20</v>
      </c>
      <c r="D21"/>
      <c r="E21" s="160" t="s">
        <v>211</v>
      </c>
      <c r="F21" s="77">
        <v>2</v>
      </c>
      <c r="G21" s="77">
        <v>35</v>
      </c>
      <c r="H21" s="77">
        <v>0</v>
      </c>
      <c r="I21" s="77">
        <v>0</v>
      </c>
      <c r="J21" s="77">
        <v>0.71093280000000003</v>
      </c>
      <c r="K21" s="77">
        <v>0</v>
      </c>
      <c r="L21" s="77">
        <v>0</v>
      </c>
      <c r="M21" s="77">
        <v>0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60" t="s">
        <v>212</v>
      </c>
      <c r="F22" s="77">
        <v>2</v>
      </c>
      <c r="G22" s="77">
        <v>29.66</v>
      </c>
      <c r="H22" s="77">
        <v>0</v>
      </c>
      <c r="I22" s="77">
        <v>0</v>
      </c>
      <c r="J22" s="77">
        <v>0</v>
      </c>
      <c r="K22" s="77">
        <v>0</v>
      </c>
      <c r="L22" s="77">
        <v>0</v>
      </c>
      <c r="M22" s="77">
        <v>0</v>
      </c>
      <c r="N22" s="77">
        <v>6.13E-2</v>
      </c>
    </row>
    <row r="23" spans="1:22" ht="15" customHeight="1" x14ac:dyDescent="0.15">
      <c r="A23" s="96" t="s">
        <v>59</v>
      </c>
      <c r="B23" s="97">
        <v>1</v>
      </c>
      <c r="C23" s="185">
        <v>22</v>
      </c>
      <c r="D23" s="185"/>
      <c r="E23" s="186" t="s">
        <v>217</v>
      </c>
      <c r="F23" s="185">
        <v>3</v>
      </c>
      <c r="G23" s="185"/>
      <c r="H23" s="185"/>
      <c r="I23" s="185"/>
      <c r="J23" s="185"/>
      <c r="K23" s="185"/>
      <c r="L23" s="185"/>
      <c r="M23" s="185"/>
      <c r="N23" s="185"/>
      <c r="O23" s="185"/>
      <c r="P23" s="58" t="s">
        <v>218</v>
      </c>
    </row>
    <row r="24" spans="1:22" ht="15" customHeight="1" x14ac:dyDescent="0.15">
      <c r="A24" s="96" t="s">
        <v>60</v>
      </c>
      <c r="B24" s="97">
        <v>2</v>
      </c>
    </row>
    <row r="25" spans="1:22" ht="15" customHeight="1" thickBot="1" x14ac:dyDescent="0.2">
      <c r="A25" s="98" t="s">
        <v>44</v>
      </c>
      <c r="B25" s="9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10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0" sqref="A20:XFD20"/>
    </sheetView>
  </sheetViews>
  <sheetFormatPr baseColWidth="10" defaultColWidth="8.83203125" defaultRowHeight="13" x14ac:dyDescent="0.15"/>
  <cols>
    <col min="1" max="1" width="27.83203125" style="134" bestFit="1" customWidth="1"/>
    <col min="2" max="22" width="11.5" style="134" customWidth="1"/>
    <col min="23" max="29" width="9" style="134" bestFit="1" customWidth="1"/>
    <col min="30" max="16384" width="8.83203125" style="134"/>
  </cols>
  <sheetData>
    <row r="1" spans="1:34" x14ac:dyDescent="0.15">
      <c r="A1" s="133" t="s">
        <v>19</v>
      </c>
      <c r="B1" s="162" t="s">
        <v>192</v>
      </c>
      <c r="C1" s="162" t="s">
        <v>193</v>
      </c>
      <c r="D1" s="162" t="s">
        <v>194</v>
      </c>
      <c r="E1" s="162" t="s">
        <v>195</v>
      </c>
      <c r="F1" s="162" t="s">
        <v>196</v>
      </c>
      <c r="G1" s="162" t="s">
        <v>197</v>
      </c>
      <c r="H1" s="162" t="s">
        <v>198</v>
      </c>
      <c r="I1" s="162" t="s">
        <v>199</v>
      </c>
      <c r="J1" s="162" t="s">
        <v>200</v>
      </c>
      <c r="K1" s="162" t="s">
        <v>201</v>
      </c>
      <c r="L1" s="162" t="s">
        <v>202</v>
      </c>
      <c r="M1" s="162" t="s">
        <v>203</v>
      </c>
      <c r="N1" s="162" t="s">
        <v>204</v>
      </c>
      <c r="O1" s="162" t="s">
        <v>205</v>
      </c>
      <c r="P1" s="162" t="s">
        <v>206</v>
      </c>
      <c r="Q1" s="162" t="s">
        <v>207</v>
      </c>
      <c r="R1" s="162" t="s">
        <v>208</v>
      </c>
      <c r="S1" s="162" t="s">
        <v>209</v>
      </c>
      <c r="T1" s="162" t="s">
        <v>210</v>
      </c>
      <c r="U1" s="162" t="s">
        <v>211</v>
      </c>
      <c r="V1" s="162" t="s">
        <v>212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1" t="s">
        <v>192</v>
      </c>
      <c r="B2" s="134">
        <v>0</v>
      </c>
      <c r="C2" s="134">
        <v>0</v>
      </c>
      <c r="D2" s="134">
        <v>0</v>
      </c>
      <c r="E2" s="134">
        <v>0</v>
      </c>
      <c r="F2" s="134">
        <v>0</v>
      </c>
      <c r="G2" s="134">
        <v>0</v>
      </c>
      <c r="H2" s="134">
        <v>0</v>
      </c>
      <c r="I2" s="134">
        <v>0</v>
      </c>
      <c r="J2" s="134">
        <v>0</v>
      </c>
      <c r="K2" s="134">
        <v>0</v>
      </c>
      <c r="L2" s="134">
        <v>0</v>
      </c>
      <c r="M2" s="134">
        <v>0</v>
      </c>
      <c r="N2" s="134">
        <v>0</v>
      </c>
      <c r="O2" s="134">
        <v>0</v>
      </c>
      <c r="P2" s="134">
        <v>0</v>
      </c>
      <c r="Q2" s="134">
        <v>0</v>
      </c>
      <c r="R2" s="134">
        <v>0</v>
      </c>
      <c r="S2" s="134">
        <v>0</v>
      </c>
      <c r="T2" s="134">
        <v>0</v>
      </c>
      <c r="U2" s="134">
        <v>0</v>
      </c>
      <c r="V2" s="134">
        <v>0</v>
      </c>
    </row>
    <row r="3" spans="1:34" customFormat="1" x14ac:dyDescent="0.15">
      <c r="A3" s="161" t="s">
        <v>193</v>
      </c>
      <c r="B3" s="134">
        <v>0.13</v>
      </c>
      <c r="C3" s="134">
        <v>2.9999999999999992E-2</v>
      </c>
      <c r="D3" s="134">
        <v>0</v>
      </c>
      <c r="E3" s="134">
        <v>0</v>
      </c>
      <c r="F3" s="134">
        <v>0</v>
      </c>
      <c r="G3" s="134">
        <v>0</v>
      </c>
      <c r="H3" s="134">
        <v>0</v>
      </c>
      <c r="I3" s="134">
        <v>0</v>
      </c>
      <c r="J3" s="134">
        <v>0</v>
      </c>
      <c r="K3" s="134">
        <v>0</v>
      </c>
      <c r="L3" s="134">
        <v>0</v>
      </c>
      <c r="M3" s="134">
        <v>0</v>
      </c>
      <c r="N3" s="134">
        <v>0</v>
      </c>
      <c r="O3" s="134">
        <v>0</v>
      </c>
      <c r="P3" s="134">
        <v>0</v>
      </c>
      <c r="Q3" s="134">
        <v>0</v>
      </c>
      <c r="R3" s="134">
        <v>0</v>
      </c>
      <c r="S3" s="134">
        <v>0</v>
      </c>
      <c r="T3" s="134">
        <v>0</v>
      </c>
      <c r="U3" s="134">
        <v>0</v>
      </c>
      <c r="V3" s="134">
        <v>0</v>
      </c>
    </row>
    <row r="4" spans="1:34" customFormat="1" x14ac:dyDescent="0.15">
      <c r="A4" s="161" t="s">
        <v>194</v>
      </c>
      <c r="B4" s="134">
        <v>0.02</v>
      </c>
      <c r="C4" s="134">
        <v>1.4999999999999996E-2</v>
      </c>
      <c r="D4" s="134">
        <v>0</v>
      </c>
      <c r="E4" s="134">
        <v>0</v>
      </c>
      <c r="F4" s="134">
        <v>0</v>
      </c>
      <c r="G4" s="134">
        <v>0</v>
      </c>
      <c r="H4" s="134">
        <v>0</v>
      </c>
      <c r="I4" s="134">
        <v>0</v>
      </c>
      <c r="J4" s="134">
        <v>0</v>
      </c>
      <c r="K4" s="134">
        <v>0</v>
      </c>
      <c r="L4" s="134">
        <v>0</v>
      </c>
      <c r="M4" s="134">
        <v>0</v>
      </c>
      <c r="N4" s="134">
        <v>0</v>
      </c>
      <c r="O4" s="134">
        <v>0</v>
      </c>
      <c r="P4" s="134">
        <v>0</v>
      </c>
      <c r="Q4" s="134">
        <v>0</v>
      </c>
      <c r="R4" s="134">
        <v>0</v>
      </c>
      <c r="S4" s="134">
        <v>0</v>
      </c>
      <c r="T4" s="134">
        <v>0</v>
      </c>
      <c r="U4" s="134">
        <v>0</v>
      </c>
      <c r="V4" s="134">
        <v>0</v>
      </c>
    </row>
    <row r="5" spans="1:34" customFormat="1" x14ac:dyDescent="0.15">
      <c r="A5" s="161" t="s">
        <v>195</v>
      </c>
      <c r="B5" s="134">
        <v>0.04</v>
      </c>
      <c r="C5" s="134">
        <v>1.4999999999999996E-2</v>
      </c>
      <c r="D5" s="134">
        <v>3.0000000000000002E-2</v>
      </c>
      <c r="E5" s="134">
        <v>1.0000000000000002E-2</v>
      </c>
      <c r="F5" s="134">
        <v>0</v>
      </c>
      <c r="G5" s="134">
        <v>0</v>
      </c>
      <c r="H5" s="134">
        <v>0</v>
      </c>
      <c r="I5" s="134">
        <v>0</v>
      </c>
      <c r="J5" s="134">
        <v>0</v>
      </c>
      <c r="K5" s="134">
        <v>0</v>
      </c>
      <c r="L5" s="134">
        <v>0</v>
      </c>
      <c r="M5" s="134">
        <v>0</v>
      </c>
      <c r="N5" s="134">
        <v>0</v>
      </c>
      <c r="O5" s="134">
        <v>0</v>
      </c>
      <c r="P5" s="134">
        <v>0</v>
      </c>
      <c r="Q5" s="134">
        <v>0</v>
      </c>
      <c r="R5" s="134">
        <v>0</v>
      </c>
      <c r="S5" s="134">
        <v>0</v>
      </c>
      <c r="T5" s="134">
        <v>0</v>
      </c>
      <c r="U5" s="134">
        <v>0</v>
      </c>
      <c r="V5" s="134">
        <v>0</v>
      </c>
    </row>
    <row r="6" spans="1:34" customFormat="1" x14ac:dyDescent="0.15">
      <c r="A6" s="161" t="s">
        <v>196</v>
      </c>
      <c r="B6" s="134">
        <v>0.06</v>
      </c>
      <c r="C6" s="134">
        <v>4.9999999999999989E-2</v>
      </c>
      <c r="D6" s="134">
        <v>8.0000000000000016E-2</v>
      </c>
      <c r="E6" s="134">
        <v>0</v>
      </c>
      <c r="F6" s="134">
        <v>0.02</v>
      </c>
      <c r="G6" s="134">
        <v>0</v>
      </c>
      <c r="H6" s="134">
        <v>0</v>
      </c>
      <c r="I6" s="134">
        <v>0</v>
      </c>
      <c r="J6" s="134">
        <v>0</v>
      </c>
      <c r="K6" s="134">
        <v>0</v>
      </c>
      <c r="L6" s="134">
        <v>0</v>
      </c>
      <c r="M6" s="134">
        <v>0</v>
      </c>
      <c r="N6" s="134">
        <v>0</v>
      </c>
      <c r="O6" s="134">
        <v>0</v>
      </c>
      <c r="P6" s="134">
        <v>0</v>
      </c>
      <c r="Q6" s="134">
        <v>0</v>
      </c>
      <c r="R6" s="134">
        <v>0</v>
      </c>
      <c r="S6" s="134">
        <v>0</v>
      </c>
      <c r="T6" s="134">
        <v>0</v>
      </c>
      <c r="U6" s="134">
        <v>0</v>
      </c>
      <c r="V6" s="134">
        <v>0</v>
      </c>
    </row>
    <row r="7" spans="1:34" customFormat="1" x14ac:dyDescent="0.15">
      <c r="A7" s="161" t="s">
        <v>197</v>
      </c>
      <c r="B7" s="134">
        <v>0.08</v>
      </c>
      <c r="C7" s="134">
        <v>8.9999999999999983E-2</v>
      </c>
      <c r="D7" s="134">
        <v>8.0000000000000016E-2</v>
      </c>
      <c r="E7" s="134">
        <v>0</v>
      </c>
      <c r="F7" s="134">
        <v>0.01</v>
      </c>
      <c r="G7" s="134">
        <v>0</v>
      </c>
      <c r="H7" s="134">
        <v>0</v>
      </c>
      <c r="I7" s="134">
        <v>0</v>
      </c>
      <c r="J7" s="134">
        <v>0</v>
      </c>
      <c r="K7" s="134">
        <v>0</v>
      </c>
      <c r="L7" s="134">
        <v>0</v>
      </c>
      <c r="M7" s="134">
        <v>0</v>
      </c>
      <c r="N7" s="134">
        <v>0</v>
      </c>
      <c r="O7" s="134">
        <v>0</v>
      </c>
      <c r="P7" s="134">
        <v>0</v>
      </c>
      <c r="Q7" s="134">
        <v>0</v>
      </c>
      <c r="R7" s="134">
        <v>0</v>
      </c>
      <c r="S7" s="134">
        <v>0</v>
      </c>
      <c r="T7" s="134">
        <v>0</v>
      </c>
      <c r="U7" s="134">
        <v>0</v>
      </c>
      <c r="V7" s="134">
        <v>0</v>
      </c>
    </row>
    <row r="8" spans="1:34" customFormat="1" x14ac:dyDescent="0.15">
      <c r="A8" s="161" t="s">
        <v>198</v>
      </c>
      <c r="B8" s="134">
        <v>0.09</v>
      </c>
      <c r="C8" s="134">
        <v>4.9999999999999989E-2</v>
      </c>
      <c r="D8" s="134">
        <v>8.500000000000002E-2</v>
      </c>
      <c r="E8" s="134">
        <v>0</v>
      </c>
      <c r="F8" s="134">
        <v>0.01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4">
        <v>0</v>
      </c>
      <c r="M8" s="134">
        <v>0</v>
      </c>
      <c r="N8" s="134">
        <v>0</v>
      </c>
      <c r="O8" s="134">
        <v>0</v>
      </c>
      <c r="P8" s="134">
        <v>0</v>
      </c>
      <c r="Q8" s="134">
        <v>0</v>
      </c>
      <c r="R8" s="134">
        <v>0</v>
      </c>
      <c r="S8" s="134">
        <v>0</v>
      </c>
      <c r="T8" s="134">
        <v>0</v>
      </c>
      <c r="U8" s="134">
        <v>0</v>
      </c>
      <c r="V8" s="134">
        <v>0</v>
      </c>
    </row>
    <row r="9" spans="1:34" customFormat="1" x14ac:dyDescent="0.15">
      <c r="A9" s="161" t="s">
        <v>199</v>
      </c>
      <c r="B9" s="134">
        <v>0.08</v>
      </c>
      <c r="C9" s="134">
        <v>6.9999999999999993E-2</v>
      </c>
      <c r="D9" s="134">
        <v>9.5000000000000015E-2</v>
      </c>
      <c r="E9" s="134">
        <v>0</v>
      </c>
      <c r="F9" s="134">
        <v>0.01</v>
      </c>
      <c r="G9" s="134">
        <v>0</v>
      </c>
      <c r="H9" s="134">
        <v>0</v>
      </c>
      <c r="I9" s="134">
        <v>0</v>
      </c>
      <c r="J9" s="134">
        <v>0</v>
      </c>
      <c r="K9" s="134">
        <v>0</v>
      </c>
      <c r="L9" s="134">
        <v>0</v>
      </c>
      <c r="M9" s="134">
        <v>0</v>
      </c>
      <c r="N9" s="134">
        <v>0</v>
      </c>
      <c r="O9" s="134">
        <v>0</v>
      </c>
      <c r="P9" s="134">
        <v>0</v>
      </c>
      <c r="Q9" s="134">
        <v>0</v>
      </c>
      <c r="R9" s="134">
        <v>0</v>
      </c>
      <c r="S9" s="134">
        <v>0</v>
      </c>
      <c r="T9" s="134">
        <v>0</v>
      </c>
      <c r="U9" s="134">
        <v>0</v>
      </c>
      <c r="V9" s="134">
        <v>0</v>
      </c>
    </row>
    <row r="10" spans="1:34" customFormat="1" x14ac:dyDescent="0.15">
      <c r="A10" s="161" t="s">
        <v>200</v>
      </c>
      <c r="B10" s="134">
        <v>0.05</v>
      </c>
      <c r="C10" s="134">
        <v>9.9999999999999978E-2</v>
      </c>
      <c r="D10" s="134">
        <v>9.0000000000000011E-2</v>
      </c>
      <c r="E10" s="134">
        <v>0</v>
      </c>
      <c r="F10" s="134">
        <v>5.0000000000000001E-3</v>
      </c>
      <c r="G10" s="134">
        <v>0</v>
      </c>
      <c r="H10" s="134">
        <v>0.03</v>
      </c>
      <c r="I10" s="134">
        <v>0</v>
      </c>
      <c r="J10" s="134">
        <v>0</v>
      </c>
      <c r="K10" s="134">
        <v>0</v>
      </c>
      <c r="L10" s="134">
        <v>0</v>
      </c>
      <c r="M10" s="134">
        <v>0</v>
      </c>
      <c r="N10" s="134">
        <v>0</v>
      </c>
      <c r="O10" s="134">
        <v>0</v>
      </c>
      <c r="P10" s="134">
        <v>0</v>
      </c>
      <c r="Q10" s="134">
        <v>0</v>
      </c>
      <c r="R10" s="134">
        <v>0</v>
      </c>
      <c r="S10" s="134">
        <v>0</v>
      </c>
      <c r="T10" s="134">
        <v>0</v>
      </c>
      <c r="U10" s="134">
        <v>0</v>
      </c>
      <c r="V10" s="134">
        <v>0</v>
      </c>
    </row>
    <row r="11" spans="1:34" customFormat="1" x14ac:dyDescent="0.15">
      <c r="A11" s="161" t="s">
        <v>201</v>
      </c>
      <c r="B11" s="134">
        <v>0.15</v>
      </c>
      <c r="C11" s="134">
        <v>0.19999999999999996</v>
      </c>
      <c r="D11" s="134">
        <v>8.0000000000000016E-2</v>
      </c>
      <c r="E11" s="134">
        <v>0</v>
      </c>
      <c r="F11" s="134">
        <v>0</v>
      </c>
      <c r="G11" s="134">
        <v>0.01</v>
      </c>
      <c r="H11" s="134">
        <v>0.03</v>
      </c>
      <c r="I11" s="134">
        <v>0</v>
      </c>
      <c r="J11" s="134">
        <v>0</v>
      </c>
      <c r="K11" s="134">
        <v>0</v>
      </c>
      <c r="L11" s="134">
        <v>0</v>
      </c>
      <c r="M11" s="134">
        <v>0</v>
      </c>
      <c r="N11" s="134">
        <v>0</v>
      </c>
      <c r="O11" s="134">
        <v>0</v>
      </c>
      <c r="P11" s="134">
        <v>0</v>
      </c>
      <c r="Q11" s="134">
        <v>0</v>
      </c>
      <c r="R11" s="134">
        <v>0</v>
      </c>
      <c r="S11" s="134">
        <v>0</v>
      </c>
      <c r="T11" s="134">
        <v>0</v>
      </c>
      <c r="U11" s="134">
        <v>0</v>
      </c>
      <c r="V11" s="134">
        <v>0</v>
      </c>
    </row>
    <row r="12" spans="1:34" customFormat="1" x14ac:dyDescent="0.15">
      <c r="A12" s="161" t="s">
        <v>202</v>
      </c>
      <c r="B12" s="134">
        <v>0</v>
      </c>
      <c r="C12" s="134">
        <v>4.9999999999999989E-2</v>
      </c>
      <c r="D12" s="134">
        <v>0.10000000000000002</v>
      </c>
      <c r="E12" s="134">
        <v>3.0000000000000002E-2</v>
      </c>
      <c r="F12" s="134">
        <v>0.06</v>
      </c>
      <c r="G12" s="134">
        <v>0</v>
      </c>
      <c r="H12" s="134">
        <v>8.5000000000000006E-2</v>
      </c>
      <c r="I12" s="134">
        <v>4.0000000000000008E-2</v>
      </c>
      <c r="J12" s="134">
        <v>0</v>
      </c>
      <c r="K12" s="134">
        <v>0.02</v>
      </c>
      <c r="L12" s="134">
        <v>0</v>
      </c>
      <c r="M12" s="134">
        <v>0.04</v>
      </c>
      <c r="N12" s="134">
        <v>0</v>
      </c>
      <c r="O12" s="134">
        <v>9.9996238990037994E-3</v>
      </c>
      <c r="P12" s="134">
        <v>0</v>
      </c>
      <c r="Q12" s="134">
        <v>0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</row>
    <row r="13" spans="1:34" customFormat="1" x14ac:dyDescent="0.15">
      <c r="A13" s="161" t="s">
        <v>203</v>
      </c>
      <c r="B13" s="134">
        <v>0</v>
      </c>
      <c r="C13" s="134">
        <v>0.13999999999999999</v>
      </c>
      <c r="D13" s="134">
        <v>8.0000000000000016E-2</v>
      </c>
      <c r="E13" s="134">
        <v>0.20000000000000004</v>
      </c>
      <c r="F13" s="134">
        <v>0.09</v>
      </c>
      <c r="G13" s="134">
        <v>0.05</v>
      </c>
      <c r="H13" s="134">
        <v>8.5000000000000006E-2</v>
      </c>
      <c r="I13" s="134">
        <v>7.0000000000000021E-2</v>
      </c>
      <c r="J13" s="134">
        <v>7.9995701759905447E-2</v>
      </c>
      <c r="K13" s="134">
        <v>0.1</v>
      </c>
      <c r="L13" s="134">
        <v>0</v>
      </c>
      <c r="M13" s="134">
        <v>0.03</v>
      </c>
      <c r="N13" s="134">
        <v>0</v>
      </c>
      <c r="O13" s="134">
        <v>2.9998872097011395E-2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</row>
    <row r="14" spans="1:34" customFormat="1" x14ac:dyDescent="0.15">
      <c r="A14" s="161" t="s">
        <v>204</v>
      </c>
      <c r="B14" s="134">
        <v>0</v>
      </c>
      <c r="C14" s="134">
        <v>4.9999999999999989E-2</v>
      </c>
      <c r="D14" s="134">
        <v>0.18000000000000002</v>
      </c>
      <c r="E14" s="134">
        <v>0.10000000000000002</v>
      </c>
      <c r="F14" s="134">
        <v>5.0000000000000001E-3</v>
      </c>
      <c r="G14" s="134">
        <v>0</v>
      </c>
      <c r="H14" s="134">
        <v>0.08</v>
      </c>
      <c r="I14" s="134">
        <v>0</v>
      </c>
      <c r="J14" s="134">
        <v>0</v>
      </c>
      <c r="K14" s="134">
        <v>0.05</v>
      </c>
      <c r="L14" s="134">
        <v>0</v>
      </c>
      <c r="M14" s="134">
        <v>0</v>
      </c>
      <c r="N14" s="134">
        <v>0.05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</row>
    <row r="15" spans="1:34" customFormat="1" x14ac:dyDescent="0.15">
      <c r="A15" s="161" t="s">
        <v>205</v>
      </c>
      <c r="B15" s="134">
        <v>0</v>
      </c>
      <c r="C15" s="134">
        <v>2.9999999999999992E-2</v>
      </c>
      <c r="D15" s="134">
        <v>0</v>
      </c>
      <c r="E15" s="134">
        <v>0.35000000000000003</v>
      </c>
      <c r="F15" s="134">
        <v>7.0000000000000007E-2</v>
      </c>
      <c r="G15" s="134">
        <v>0.25</v>
      </c>
      <c r="H15" s="134">
        <v>0.11</v>
      </c>
      <c r="I15" s="134">
        <v>1.0000000000000002E-2</v>
      </c>
      <c r="J15" s="134">
        <v>9.99946221998817E-2</v>
      </c>
      <c r="K15" s="134">
        <v>0.16</v>
      </c>
      <c r="L15" s="134">
        <v>0</v>
      </c>
      <c r="M15" s="134">
        <v>0.02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</row>
    <row r="16" spans="1:34" customFormat="1" x14ac:dyDescent="0.15">
      <c r="A16" s="161" t="s">
        <v>206</v>
      </c>
      <c r="B16" s="134">
        <v>0</v>
      </c>
      <c r="C16" s="134">
        <v>2.9999999999999992E-2</v>
      </c>
      <c r="D16" s="134">
        <v>0</v>
      </c>
      <c r="E16" s="134">
        <v>0.10000000000000002</v>
      </c>
      <c r="F16" s="134">
        <v>0.38</v>
      </c>
      <c r="G16" s="134">
        <v>0.1</v>
      </c>
      <c r="H16" s="134">
        <v>0.41</v>
      </c>
      <c r="I16" s="134">
        <v>0.18000000000000002</v>
      </c>
      <c r="J16" s="134">
        <v>0.419977409239503</v>
      </c>
      <c r="K16" s="134">
        <v>0.42</v>
      </c>
      <c r="L16" s="134">
        <v>0.2</v>
      </c>
      <c r="M16" s="134">
        <v>0.1</v>
      </c>
      <c r="N16" s="134">
        <v>0</v>
      </c>
      <c r="O16" s="134">
        <v>0.14999437148505684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</row>
    <row r="17" spans="1:22" customFormat="1" x14ac:dyDescent="0.15">
      <c r="A17" s="161" t="s">
        <v>207</v>
      </c>
      <c r="B17" s="134">
        <v>0</v>
      </c>
      <c r="C17" s="134">
        <v>0</v>
      </c>
      <c r="D17" s="134">
        <v>0</v>
      </c>
      <c r="E17" s="134">
        <v>0</v>
      </c>
      <c r="F17" s="134">
        <v>0.04</v>
      </c>
      <c r="G17" s="134">
        <v>0.04</v>
      </c>
      <c r="H17" s="134">
        <v>0</v>
      </c>
      <c r="I17" s="134">
        <v>0.60000000000000009</v>
      </c>
      <c r="J17" s="134">
        <v>0</v>
      </c>
      <c r="K17" s="134">
        <v>0</v>
      </c>
      <c r="L17" s="134">
        <v>0</v>
      </c>
      <c r="M17" s="134">
        <v>0.03</v>
      </c>
      <c r="N17" s="134">
        <v>0</v>
      </c>
      <c r="O17" s="134">
        <v>9.9996248990037881E-2</v>
      </c>
      <c r="P17" s="134">
        <v>0</v>
      </c>
      <c r="Q17" s="134">
        <v>0</v>
      </c>
      <c r="R17" s="134">
        <v>0</v>
      </c>
      <c r="S17" s="134">
        <v>0</v>
      </c>
      <c r="T17" s="134">
        <v>0</v>
      </c>
      <c r="U17" s="134">
        <v>0</v>
      </c>
      <c r="V17" s="134">
        <v>0</v>
      </c>
    </row>
    <row r="18" spans="1:22" customFormat="1" x14ac:dyDescent="0.15">
      <c r="A18" s="161" t="s">
        <v>208</v>
      </c>
      <c r="B18" s="134">
        <v>0</v>
      </c>
      <c r="C18" s="134">
        <v>0</v>
      </c>
      <c r="D18" s="134">
        <v>0.10000000000000002</v>
      </c>
      <c r="E18" s="134">
        <v>6.0000000000000005E-2</v>
      </c>
      <c r="F18" s="134">
        <v>0.08</v>
      </c>
      <c r="G18" s="134">
        <v>7.0000000000000007E-2</v>
      </c>
      <c r="H18" s="134">
        <v>0</v>
      </c>
      <c r="I18" s="134">
        <v>0</v>
      </c>
      <c r="J18" s="134">
        <v>0.2150422047309285</v>
      </c>
      <c r="K18" s="134">
        <v>0</v>
      </c>
      <c r="L18" s="134">
        <v>0.3</v>
      </c>
      <c r="M18" s="134">
        <v>0.35</v>
      </c>
      <c r="N18" s="134">
        <v>0.4</v>
      </c>
      <c r="O18" s="134">
        <v>5.0035666194639776E-2</v>
      </c>
      <c r="P18" s="134">
        <v>5.9996916789887077E-2</v>
      </c>
      <c r="Q18" s="134">
        <v>0.38</v>
      </c>
      <c r="R18" s="134">
        <v>0.05</v>
      </c>
      <c r="S18" s="134">
        <v>0</v>
      </c>
      <c r="T18" s="134">
        <v>0</v>
      </c>
      <c r="U18" s="134">
        <v>0</v>
      </c>
      <c r="V18" s="134">
        <v>0</v>
      </c>
    </row>
    <row r="19" spans="1:22" customFormat="1" x14ac:dyDescent="0.15">
      <c r="A19" s="161" t="s">
        <v>209</v>
      </c>
      <c r="B19" s="134">
        <v>0</v>
      </c>
      <c r="C19" s="134">
        <v>0</v>
      </c>
      <c r="D19" s="134">
        <v>0</v>
      </c>
      <c r="E19" s="134">
        <v>0</v>
      </c>
      <c r="F19" s="134">
        <v>0</v>
      </c>
      <c r="G19" s="134">
        <v>0.06</v>
      </c>
      <c r="H19" s="134">
        <v>0</v>
      </c>
      <c r="I19" s="134">
        <v>0</v>
      </c>
      <c r="J19" s="134">
        <v>4.999731109994085E-2</v>
      </c>
      <c r="K19" s="134">
        <v>0</v>
      </c>
      <c r="L19" s="134">
        <v>0</v>
      </c>
      <c r="M19" s="134">
        <v>0</v>
      </c>
      <c r="N19" s="134">
        <v>0</v>
      </c>
      <c r="O19" s="134">
        <v>9.9996238990037994E-3</v>
      </c>
      <c r="P19" s="134">
        <v>5.0000164000537924E-2</v>
      </c>
      <c r="Q19" s="134">
        <v>0</v>
      </c>
      <c r="R19" s="134">
        <v>0</v>
      </c>
      <c r="S19" s="134">
        <v>0</v>
      </c>
      <c r="T19" s="134">
        <v>0</v>
      </c>
      <c r="U19" s="134">
        <v>0</v>
      </c>
      <c r="V19" s="134">
        <v>0</v>
      </c>
    </row>
    <row r="20" spans="1:22" customFormat="1" x14ac:dyDescent="0.15">
      <c r="A20" s="161" t="s">
        <v>210</v>
      </c>
      <c r="B20" s="134">
        <v>0</v>
      </c>
      <c r="C20" s="134">
        <v>0</v>
      </c>
      <c r="D20" s="134">
        <v>0</v>
      </c>
      <c r="E20" s="134">
        <v>0</v>
      </c>
      <c r="F20" s="134">
        <v>0</v>
      </c>
      <c r="G20" s="134">
        <v>0</v>
      </c>
      <c r="H20" s="134">
        <v>0</v>
      </c>
      <c r="I20" s="134">
        <v>0</v>
      </c>
      <c r="J20" s="134">
        <v>0</v>
      </c>
      <c r="K20" s="134">
        <v>0</v>
      </c>
      <c r="L20" s="134">
        <v>0</v>
      </c>
      <c r="M20" s="134">
        <v>0</v>
      </c>
      <c r="N20" s="134">
        <v>0</v>
      </c>
      <c r="O20" s="134">
        <v>0</v>
      </c>
      <c r="P20" s="134">
        <v>0</v>
      </c>
      <c r="Q20" s="134">
        <v>0</v>
      </c>
      <c r="R20" s="134">
        <v>0</v>
      </c>
      <c r="S20" s="134">
        <v>0</v>
      </c>
      <c r="T20" s="134">
        <v>0</v>
      </c>
      <c r="U20" s="134">
        <v>0</v>
      </c>
      <c r="V20" s="134">
        <v>0</v>
      </c>
    </row>
    <row r="21" spans="1:22" customFormat="1" x14ac:dyDescent="0.15">
      <c r="A21" s="161" t="s">
        <v>211</v>
      </c>
      <c r="B21" s="134">
        <v>0</v>
      </c>
      <c r="C21" s="134">
        <v>0</v>
      </c>
      <c r="D21" s="134">
        <v>0</v>
      </c>
      <c r="E21" s="134">
        <v>0</v>
      </c>
      <c r="F21" s="134">
        <v>0</v>
      </c>
      <c r="G21" s="134">
        <v>0.15</v>
      </c>
      <c r="H21" s="134">
        <v>0</v>
      </c>
      <c r="I21" s="134">
        <v>0</v>
      </c>
      <c r="J21" s="134">
        <v>0</v>
      </c>
      <c r="K21" s="134">
        <v>0.15</v>
      </c>
      <c r="L21" s="134">
        <v>0.15</v>
      </c>
      <c r="M21" s="134">
        <v>0.13</v>
      </c>
      <c r="N21" s="134">
        <v>0.15</v>
      </c>
      <c r="O21" s="134">
        <v>0.19999249798007576</v>
      </c>
      <c r="P21" s="134">
        <v>0.43000141040462614</v>
      </c>
      <c r="Q21" s="134">
        <v>0.27</v>
      </c>
      <c r="R21" s="134">
        <v>0.95</v>
      </c>
      <c r="S21" s="134">
        <v>0.3</v>
      </c>
      <c r="T21" s="134">
        <v>0</v>
      </c>
      <c r="U21" s="134">
        <v>0</v>
      </c>
      <c r="V21" s="134">
        <v>0</v>
      </c>
    </row>
    <row r="22" spans="1:22" customFormat="1" x14ac:dyDescent="0.15">
      <c r="A22" s="161" t="s">
        <v>212</v>
      </c>
      <c r="B22" s="134">
        <v>0</v>
      </c>
      <c r="C22" s="134">
        <v>0</v>
      </c>
      <c r="D22" s="134">
        <v>0</v>
      </c>
      <c r="E22" s="134">
        <v>0.15000000000000002</v>
      </c>
      <c r="F22" s="134">
        <v>0.22</v>
      </c>
      <c r="G22" s="134">
        <v>0.27</v>
      </c>
      <c r="H22" s="134">
        <v>0.17</v>
      </c>
      <c r="I22" s="134">
        <v>0.10000000000000002</v>
      </c>
      <c r="J22" s="134">
        <v>0.13499275096984054</v>
      </c>
      <c r="K22" s="134">
        <v>0</v>
      </c>
      <c r="L22" s="134">
        <v>0.05</v>
      </c>
      <c r="M22" s="134">
        <v>0</v>
      </c>
      <c r="N22" s="134">
        <v>0</v>
      </c>
      <c r="O22" s="134">
        <v>0.44998309545517079</v>
      </c>
      <c r="P22" s="134">
        <v>0.46000150880494894</v>
      </c>
      <c r="Q22" s="134">
        <v>0</v>
      </c>
      <c r="R22" s="134">
        <v>0</v>
      </c>
      <c r="S22" s="134">
        <v>0.7</v>
      </c>
      <c r="T22" s="134">
        <v>0</v>
      </c>
      <c r="U22" s="134">
        <v>0</v>
      </c>
      <c r="V22" s="134">
        <v>0</v>
      </c>
    </row>
    <row r="23" spans="1:22" customFormat="1" x14ac:dyDescent="0.15">
      <c r="A23" s="161" t="s">
        <v>213</v>
      </c>
      <c r="B23" s="134">
        <v>0.3</v>
      </c>
      <c r="C23" s="134">
        <v>7.9999999999999988E-2</v>
      </c>
      <c r="D23" s="134">
        <v>0</v>
      </c>
      <c r="E23" s="134">
        <v>0</v>
      </c>
      <c r="F23" s="134">
        <v>0</v>
      </c>
      <c r="G23" s="134">
        <v>0</v>
      </c>
      <c r="H23" s="134">
        <v>0</v>
      </c>
      <c r="I23" s="134">
        <v>0</v>
      </c>
      <c r="J23" s="134">
        <v>0</v>
      </c>
      <c r="K23" s="134">
        <v>0.1</v>
      </c>
      <c r="L23" s="134">
        <v>0.3</v>
      </c>
      <c r="M23" s="134">
        <v>0.3</v>
      </c>
      <c r="N23" s="134">
        <v>0.4</v>
      </c>
      <c r="O23" s="134">
        <v>0</v>
      </c>
      <c r="P23" s="134">
        <v>0</v>
      </c>
      <c r="Q23" s="134">
        <v>0.35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3" sqref="B23"/>
    </sheetView>
  </sheetViews>
  <sheetFormatPr baseColWidth="10" defaultColWidth="8.83203125" defaultRowHeight="13" x14ac:dyDescent="0.15"/>
  <cols>
    <col min="1" max="1" width="3.33203125" customWidth="1"/>
    <col min="2" max="2" width="27.83203125" customWidth="1"/>
    <col min="3" max="4" width="14.6640625" style="103" customWidth="1"/>
    <col min="5" max="6" width="14.6640625" style="102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64" t="s">
        <v>211</v>
      </c>
      <c r="D1" s="164" t="s">
        <v>212</v>
      </c>
      <c r="E1" s="164" t="s">
        <v>214</v>
      </c>
      <c r="F1" s="164" t="s">
        <v>215</v>
      </c>
      <c r="G1"/>
      <c r="H1"/>
    </row>
    <row r="2" spans="1:8" x14ac:dyDescent="0.15">
      <c r="A2">
        <v>1</v>
      </c>
      <c r="B2" s="163" t="s">
        <v>192</v>
      </c>
      <c r="C2" s="103">
        <v>0</v>
      </c>
      <c r="D2" s="103">
        <v>1</v>
      </c>
      <c r="E2" s="102">
        <v>0</v>
      </c>
      <c r="F2" s="102">
        <f>SUM(C2:E2)</f>
        <v>1</v>
      </c>
      <c r="G2"/>
      <c r="H2"/>
    </row>
    <row r="3" spans="1:8" x14ac:dyDescent="0.15">
      <c r="A3">
        <v>2</v>
      </c>
      <c r="B3" s="163" t="s">
        <v>193</v>
      </c>
      <c r="C3" s="103">
        <v>0</v>
      </c>
      <c r="D3" s="103">
        <v>1</v>
      </c>
      <c r="E3" s="102">
        <v>0</v>
      </c>
      <c r="F3" s="102">
        <f t="shared" ref="F3:F23" si="0">SUM(C3:E3)</f>
        <v>1</v>
      </c>
      <c r="G3"/>
      <c r="H3"/>
    </row>
    <row r="4" spans="1:8" x14ac:dyDescent="0.15">
      <c r="A4">
        <v>3</v>
      </c>
      <c r="B4" s="163" t="s">
        <v>194</v>
      </c>
      <c r="C4" s="103">
        <v>0</v>
      </c>
      <c r="D4" s="103">
        <v>1</v>
      </c>
      <c r="E4" s="102">
        <v>0</v>
      </c>
      <c r="F4" s="102">
        <f t="shared" si="0"/>
        <v>1</v>
      </c>
      <c r="G4"/>
      <c r="H4"/>
    </row>
    <row r="5" spans="1:8" x14ac:dyDescent="0.15">
      <c r="A5">
        <v>4</v>
      </c>
      <c r="B5" s="163" t="s">
        <v>195</v>
      </c>
      <c r="C5" s="103">
        <v>0</v>
      </c>
      <c r="D5" s="103">
        <v>1</v>
      </c>
      <c r="E5" s="102">
        <v>0</v>
      </c>
      <c r="F5" s="102">
        <f t="shared" si="0"/>
        <v>1</v>
      </c>
      <c r="G5"/>
      <c r="H5"/>
    </row>
    <row r="6" spans="1:8" x14ac:dyDescent="0.15">
      <c r="A6">
        <v>5</v>
      </c>
      <c r="B6" s="163" t="s">
        <v>196</v>
      </c>
      <c r="C6" s="103">
        <v>0</v>
      </c>
      <c r="D6" s="103">
        <v>1</v>
      </c>
      <c r="E6" s="102">
        <v>0</v>
      </c>
      <c r="F6" s="102">
        <f t="shared" si="0"/>
        <v>1</v>
      </c>
      <c r="G6"/>
      <c r="H6"/>
    </row>
    <row r="7" spans="1:8" x14ac:dyDescent="0.15">
      <c r="A7">
        <v>6</v>
      </c>
      <c r="B7" s="163" t="s">
        <v>197</v>
      </c>
      <c r="C7" s="103">
        <v>0</v>
      </c>
      <c r="D7" s="103">
        <v>1</v>
      </c>
      <c r="E7" s="102">
        <v>0</v>
      </c>
      <c r="F7" s="102">
        <f t="shared" si="0"/>
        <v>1</v>
      </c>
      <c r="G7"/>
      <c r="H7"/>
    </row>
    <row r="8" spans="1:8" x14ac:dyDescent="0.15">
      <c r="A8">
        <v>7</v>
      </c>
      <c r="B8" s="163" t="s">
        <v>198</v>
      </c>
      <c r="C8" s="103">
        <v>0</v>
      </c>
      <c r="D8" s="103">
        <v>1</v>
      </c>
      <c r="E8" s="102">
        <v>0</v>
      </c>
      <c r="F8" s="102">
        <f t="shared" si="0"/>
        <v>1</v>
      </c>
      <c r="G8"/>
      <c r="H8"/>
    </row>
    <row r="9" spans="1:8" x14ac:dyDescent="0.15">
      <c r="A9">
        <v>8</v>
      </c>
      <c r="B9" s="163" t="s">
        <v>199</v>
      </c>
      <c r="C9" s="103">
        <v>0</v>
      </c>
      <c r="D9" s="103">
        <v>1</v>
      </c>
      <c r="E9" s="102">
        <v>0</v>
      </c>
      <c r="F9" s="102">
        <f t="shared" si="0"/>
        <v>1</v>
      </c>
      <c r="G9"/>
      <c r="H9"/>
    </row>
    <row r="10" spans="1:8" x14ac:dyDescent="0.15">
      <c r="A10">
        <v>9</v>
      </c>
      <c r="B10" s="163" t="s">
        <v>200</v>
      </c>
      <c r="C10" s="103">
        <v>0</v>
      </c>
      <c r="D10" s="103">
        <v>1</v>
      </c>
      <c r="E10" s="102">
        <v>0</v>
      </c>
      <c r="F10" s="102">
        <f t="shared" si="0"/>
        <v>1</v>
      </c>
      <c r="G10"/>
      <c r="H10"/>
    </row>
    <row r="11" spans="1:8" x14ac:dyDescent="0.15">
      <c r="A11">
        <v>10</v>
      </c>
      <c r="B11" s="163" t="s">
        <v>201</v>
      </c>
      <c r="C11" s="103">
        <v>0</v>
      </c>
      <c r="D11" s="103">
        <v>1</v>
      </c>
      <c r="E11" s="102">
        <v>0</v>
      </c>
      <c r="F11" s="102">
        <f t="shared" si="0"/>
        <v>1</v>
      </c>
      <c r="G11"/>
      <c r="H11"/>
    </row>
    <row r="12" spans="1:8" x14ac:dyDescent="0.15">
      <c r="A12">
        <v>11</v>
      </c>
      <c r="B12" s="163" t="s">
        <v>202</v>
      </c>
      <c r="C12" s="103">
        <v>0</v>
      </c>
      <c r="D12" s="103">
        <v>1</v>
      </c>
      <c r="E12" s="102">
        <v>0</v>
      </c>
      <c r="F12" s="102">
        <f t="shared" si="0"/>
        <v>1</v>
      </c>
      <c r="G12"/>
      <c r="H12"/>
    </row>
    <row r="13" spans="1:8" x14ac:dyDescent="0.15">
      <c r="A13">
        <v>12</v>
      </c>
      <c r="B13" s="163" t="s">
        <v>203</v>
      </c>
      <c r="C13" s="103">
        <v>0.7</v>
      </c>
      <c r="D13" s="103">
        <v>0.3</v>
      </c>
      <c r="E13" s="102">
        <v>0</v>
      </c>
      <c r="F13" s="102">
        <f t="shared" si="0"/>
        <v>1</v>
      </c>
      <c r="G13"/>
      <c r="H13"/>
    </row>
    <row r="14" spans="1:8" x14ac:dyDescent="0.15">
      <c r="A14">
        <v>13</v>
      </c>
      <c r="B14" s="163" t="s">
        <v>204</v>
      </c>
      <c r="C14" s="103">
        <v>0.7</v>
      </c>
      <c r="D14" s="103">
        <v>0.3</v>
      </c>
      <c r="E14" s="102">
        <v>0</v>
      </c>
      <c r="F14" s="102">
        <f t="shared" si="0"/>
        <v>1</v>
      </c>
      <c r="G14"/>
      <c r="H14"/>
    </row>
    <row r="15" spans="1:8" x14ac:dyDescent="0.15">
      <c r="A15">
        <v>14</v>
      </c>
      <c r="B15" s="163" t="s">
        <v>205</v>
      </c>
      <c r="C15" s="103">
        <v>0</v>
      </c>
      <c r="D15" s="103">
        <v>1</v>
      </c>
      <c r="E15" s="102">
        <v>0</v>
      </c>
      <c r="F15" s="102">
        <f t="shared" si="0"/>
        <v>1</v>
      </c>
      <c r="G15"/>
      <c r="H15"/>
    </row>
    <row r="16" spans="1:8" x14ac:dyDescent="0.15">
      <c r="A16">
        <v>15</v>
      </c>
      <c r="B16" s="163" t="s">
        <v>206</v>
      </c>
      <c r="C16" s="103">
        <v>0</v>
      </c>
      <c r="D16" s="103">
        <v>1</v>
      </c>
      <c r="E16" s="102">
        <v>0</v>
      </c>
      <c r="F16" s="102">
        <f t="shared" si="0"/>
        <v>1</v>
      </c>
      <c r="G16"/>
      <c r="H16"/>
    </row>
    <row r="17" spans="1:8" ht="15" customHeight="1" x14ac:dyDescent="0.15">
      <c r="A17">
        <v>16</v>
      </c>
      <c r="B17" s="163" t="s">
        <v>207</v>
      </c>
      <c r="C17" s="103">
        <v>0</v>
      </c>
      <c r="D17" s="103">
        <v>1</v>
      </c>
      <c r="E17" s="102">
        <v>0</v>
      </c>
      <c r="F17" s="102">
        <f t="shared" si="0"/>
        <v>1</v>
      </c>
      <c r="G17"/>
      <c r="H17"/>
    </row>
    <row r="18" spans="1:8" ht="15" customHeight="1" x14ac:dyDescent="0.15">
      <c r="A18">
        <v>17</v>
      </c>
      <c r="B18" s="163" t="s">
        <v>208</v>
      </c>
      <c r="C18" s="103">
        <v>0</v>
      </c>
      <c r="D18" s="103">
        <v>1</v>
      </c>
      <c r="E18" s="102">
        <v>0</v>
      </c>
      <c r="F18" s="102">
        <f t="shared" si="0"/>
        <v>1</v>
      </c>
      <c r="G18"/>
      <c r="H18"/>
    </row>
    <row r="19" spans="1:8" ht="15" customHeight="1" x14ac:dyDescent="0.15">
      <c r="A19">
        <v>18</v>
      </c>
      <c r="B19" s="163" t="s">
        <v>209</v>
      </c>
      <c r="C19" s="103">
        <v>0</v>
      </c>
      <c r="D19" s="103">
        <v>1</v>
      </c>
      <c r="E19" s="102">
        <v>0</v>
      </c>
      <c r="F19" s="102">
        <f t="shared" si="0"/>
        <v>1</v>
      </c>
      <c r="G19"/>
      <c r="H19"/>
    </row>
    <row r="20" spans="1:8" ht="15" customHeight="1" x14ac:dyDescent="0.15">
      <c r="A20">
        <v>19</v>
      </c>
      <c r="B20" s="163" t="s">
        <v>210</v>
      </c>
      <c r="C20" s="103">
        <v>1</v>
      </c>
      <c r="D20" s="103">
        <v>0</v>
      </c>
      <c r="E20" s="102">
        <v>0</v>
      </c>
      <c r="F20" s="102">
        <f t="shared" si="0"/>
        <v>1</v>
      </c>
      <c r="G20"/>
      <c r="H20"/>
    </row>
    <row r="21" spans="1:8" ht="15" customHeight="1" x14ac:dyDescent="0.15">
      <c r="A21">
        <v>20</v>
      </c>
      <c r="B21" s="163" t="s">
        <v>211</v>
      </c>
      <c r="C21" s="103">
        <v>0</v>
      </c>
      <c r="D21" s="103">
        <v>1</v>
      </c>
      <c r="E21" s="102">
        <v>0</v>
      </c>
      <c r="F21" s="102">
        <f t="shared" si="0"/>
        <v>1</v>
      </c>
      <c r="G21"/>
      <c r="H21"/>
    </row>
    <row r="22" spans="1:8" ht="15" customHeight="1" x14ac:dyDescent="0.15">
      <c r="A22">
        <v>21</v>
      </c>
      <c r="B22" s="163" t="s">
        <v>212</v>
      </c>
      <c r="C22" s="103">
        <v>0</v>
      </c>
      <c r="D22" s="103">
        <v>0</v>
      </c>
      <c r="E22" s="102">
        <v>1</v>
      </c>
      <c r="F22" s="102">
        <f t="shared" si="0"/>
        <v>1</v>
      </c>
      <c r="G22"/>
      <c r="H22"/>
    </row>
    <row r="23" spans="1:8" ht="15" customHeight="1" x14ac:dyDescent="0.15">
      <c r="A23">
        <v>22</v>
      </c>
      <c r="B23" s="186" t="s">
        <v>217</v>
      </c>
      <c r="C23" s="103">
        <v>0</v>
      </c>
      <c r="D23" s="103">
        <v>1</v>
      </c>
      <c r="E23" s="102">
        <v>0</v>
      </c>
      <c r="F23" s="102">
        <f t="shared" si="0"/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3"/>
      <c r="F36" s="103"/>
      <c r="G36"/>
      <c r="H36"/>
    </row>
    <row r="37" spans="3:8" ht="15" customHeight="1" x14ac:dyDescent="0.15">
      <c r="C37"/>
      <c r="D37"/>
      <c r="E37" s="103"/>
      <c r="F37" s="103"/>
      <c r="G37"/>
      <c r="H37"/>
    </row>
    <row r="38" spans="3:8" ht="15" customHeight="1" x14ac:dyDescent="0.15">
      <c r="C38"/>
      <c r="D38"/>
      <c r="E38" s="103"/>
      <c r="F38" s="103"/>
      <c r="G38"/>
      <c r="H38"/>
    </row>
    <row r="39" spans="3:8" ht="15" customHeight="1" x14ac:dyDescent="0.15">
      <c r="C39"/>
      <c r="D39"/>
      <c r="E39" s="103"/>
      <c r="F39" s="103"/>
      <c r="G39"/>
      <c r="H39"/>
    </row>
    <row r="40" spans="3:8" ht="15" customHeight="1" x14ac:dyDescent="0.15">
      <c r="C40"/>
      <c r="D40"/>
      <c r="E40" s="103"/>
      <c r="F40" s="103"/>
      <c r="G40"/>
      <c r="H40"/>
    </row>
    <row r="41" spans="3:8" ht="15" customHeight="1" x14ac:dyDescent="0.15">
      <c r="C41"/>
      <c r="D41"/>
      <c r="E41" s="103"/>
      <c r="F41" s="103"/>
      <c r="G41"/>
      <c r="H41"/>
    </row>
    <row r="42" spans="3:8" ht="15" customHeight="1" x14ac:dyDescent="0.15">
      <c r="C42"/>
      <c r="D42"/>
      <c r="E42" s="103"/>
      <c r="F42" s="103"/>
      <c r="G42"/>
      <c r="H42"/>
    </row>
    <row r="43" spans="3:8" ht="15" customHeight="1" x14ac:dyDescent="0.15">
      <c r="C43"/>
      <c r="D43"/>
      <c r="E43" s="103"/>
      <c r="F43" s="10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3"/>
      <c r="F46" s="10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E6" sqref="E6"/>
    </sheetView>
  </sheetViews>
  <sheetFormatPr baseColWidth="10" defaultColWidth="8.83203125" defaultRowHeight="13" x14ac:dyDescent="0.15"/>
  <cols>
    <col min="1" max="1" width="3.33203125" customWidth="1"/>
    <col min="2" max="2" width="27.83203125" bestFit="1" customWidth="1"/>
    <col min="3" max="4" width="2.33203125" bestFit="1" customWidth="1"/>
    <col min="5" max="5" width="12.1640625" bestFit="1" customWidth="1"/>
  </cols>
  <sheetData>
    <row r="1" spans="1:5" s="104" customFormat="1" ht="112" x14ac:dyDescent="0.15">
      <c r="A1" s="5" t="s">
        <v>21</v>
      </c>
      <c r="B1" s="3" t="s">
        <v>0</v>
      </c>
      <c r="C1" s="186" t="s">
        <v>217</v>
      </c>
      <c r="D1" s="166" t="s">
        <v>216</v>
      </c>
      <c r="E1"/>
    </row>
    <row r="2" spans="1:5" ht="15" customHeight="1" x14ac:dyDescent="0.15">
      <c r="A2">
        <v>1</v>
      </c>
      <c r="B2" s="165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65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65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65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65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65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65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65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65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65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65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65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65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65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65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65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65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5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5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5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5" t="s">
        <v>212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E25" sqref="E25"/>
    </sheetView>
  </sheetViews>
  <sheetFormatPr baseColWidth="10" defaultColWidth="8.83203125" defaultRowHeight="13" x14ac:dyDescent="0.15"/>
  <cols>
    <col min="1" max="1" width="3.33203125" customWidth="1"/>
    <col min="2" max="2" width="27.83203125" bestFit="1" customWidth="1"/>
    <col min="3" max="4" width="2.33203125" bestFit="1" customWidth="1"/>
    <col min="5" max="5" width="12.1640625" bestFit="1" customWidth="1"/>
  </cols>
  <sheetData>
    <row r="1" spans="1:4" s="104" customFormat="1" ht="112" x14ac:dyDescent="0.15">
      <c r="A1" s="5" t="s">
        <v>22</v>
      </c>
      <c r="B1" s="3" t="s">
        <v>0</v>
      </c>
      <c r="C1" s="186" t="s">
        <v>217</v>
      </c>
      <c r="D1" s="168" t="s">
        <v>216</v>
      </c>
    </row>
    <row r="2" spans="1:4" x14ac:dyDescent="0.15">
      <c r="A2">
        <v>1</v>
      </c>
      <c r="B2" s="167" t="s">
        <v>192</v>
      </c>
      <c r="C2">
        <v>0</v>
      </c>
      <c r="D2">
        <v>0</v>
      </c>
    </row>
    <row r="3" spans="1:4" x14ac:dyDescent="0.15">
      <c r="A3">
        <v>2</v>
      </c>
      <c r="B3" s="167" t="s">
        <v>193</v>
      </c>
      <c r="C3">
        <v>0</v>
      </c>
      <c r="D3">
        <v>0</v>
      </c>
    </row>
    <row r="4" spans="1:4" x14ac:dyDescent="0.15">
      <c r="A4">
        <v>3</v>
      </c>
      <c r="B4" s="167" t="s">
        <v>194</v>
      </c>
      <c r="C4">
        <v>0</v>
      </c>
      <c r="D4">
        <v>0</v>
      </c>
    </row>
    <row r="5" spans="1:4" x14ac:dyDescent="0.15">
      <c r="A5">
        <v>4</v>
      </c>
      <c r="B5" s="167" t="s">
        <v>195</v>
      </c>
      <c r="C5">
        <v>0</v>
      </c>
      <c r="D5">
        <v>0</v>
      </c>
    </row>
    <row r="6" spans="1:4" x14ac:dyDescent="0.15">
      <c r="A6">
        <v>5</v>
      </c>
      <c r="B6" s="167" t="s">
        <v>196</v>
      </c>
      <c r="C6">
        <v>0</v>
      </c>
      <c r="D6">
        <v>0</v>
      </c>
    </row>
    <row r="7" spans="1:4" x14ac:dyDescent="0.15">
      <c r="A7">
        <v>6</v>
      </c>
      <c r="B7" s="167" t="s">
        <v>197</v>
      </c>
      <c r="C7">
        <v>0</v>
      </c>
      <c r="D7">
        <v>0</v>
      </c>
    </row>
    <row r="8" spans="1:4" x14ac:dyDescent="0.15">
      <c r="A8">
        <v>7</v>
      </c>
      <c r="B8" s="167" t="s">
        <v>198</v>
      </c>
      <c r="C8">
        <v>0</v>
      </c>
      <c r="D8">
        <v>0</v>
      </c>
    </row>
    <row r="9" spans="1:4" x14ac:dyDescent="0.15">
      <c r="A9">
        <v>8</v>
      </c>
      <c r="B9" s="167" t="s">
        <v>199</v>
      </c>
      <c r="C9">
        <v>0</v>
      </c>
      <c r="D9">
        <v>0</v>
      </c>
    </row>
    <row r="10" spans="1:4" x14ac:dyDescent="0.15">
      <c r="A10">
        <v>9</v>
      </c>
      <c r="B10" s="167" t="s">
        <v>200</v>
      </c>
      <c r="C10">
        <v>0</v>
      </c>
      <c r="D10">
        <v>0</v>
      </c>
    </row>
    <row r="11" spans="1:4" x14ac:dyDescent="0.15">
      <c r="A11">
        <v>10</v>
      </c>
      <c r="B11" s="167" t="s">
        <v>201</v>
      </c>
      <c r="C11">
        <v>0</v>
      </c>
      <c r="D11">
        <v>0</v>
      </c>
    </row>
    <row r="12" spans="1:4" x14ac:dyDescent="0.15">
      <c r="A12">
        <v>11</v>
      </c>
      <c r="B12" s="167" t="s">
        <v>202</v>
      </c>
      <c r="C12">
        <v>0</v>
      </c>
      <c r="D12">
        <v>0</v>
      </c>
    </row>
    <row r="13" spans="1:4" x14ac:dyDescent="0.15">
      <c r="A13">
        <v>12</v>
      </c>
      <c r="B13" s="167" t="s">
        <v>203</v>
      </c>
      <c r="C13">
        <v>0</v>
      </c>
      <c r="D13">
        <v>0</v>
      </c>
    </row>
    <row r="14" spans="1:4" x14ac:dyDescent="0.15">
      <c r="A14">
        <v>13</v>
      </c>
      <c r="B14" s="167" t="s">
        <v>204</v>
      </c>
      <c r="C14">
        <v>0</v>
      </c>
      <c r="D14">
        <v>0</v>
      </c>
    </row>
    <row r="15" spans="1:4" x14ac:dyDescent="0.15">
      <c r="A15">
        <v>14</v>
      </c>
      <c r="B15" s="167" t="s">
        <v>205</v>
      </c>
      <c r="C15">
        <v>0</v>
      </c>
      <c r="D15">
        <v>0</v>
      </c>
    </row>
    <row r="16" spans="1:4" x14ac:dyDescent="0.15">
      <c r="A16">
        <v>15</v>
      </c>
      <c r="B16" s="167" t="s">
        <v>206</v>
      </c>
      <c r="C16">
        <v>0</v>
      </c>
      <c r="D16">
        <v>0</v>
      </c>
    </row>
    <row r="17" spans="1:4" x14ac:dyDescent="0.15">
      <c r="A17">
        <v>16</v>
      </c>
      <c r="B17" s="167" t="s">
        <v>207</v>
      </c>
      <c r="C17">
        <v>0</v>
      </c>
      <c r="D17">
        <v>0</v>
      </c>
    </row>
    <row r="18" spans="1:4" x14ac:dyDescent="0.15">
      <c r="A18">
        <v>17</v>
      </c>
      <c r="B18" s="167" t="s">
        <v>208</v>
      </c>
      <c r="C18">
        <v>0</v>
      </c>
      <c r="D18">
        <v>0</v>
      </c>
    </row>
    <row r="19" spans="1:4" x14ac:dyDescent="0.15">
      <c r="A19">
        <v>18</v>
      </c>
      <c r="B19" s="167" t="s">
        <v>209</v>
      </c>
      <c r="C19">
        <v>0</v>
      </c>
      <c r="D19">
        <v>0</v>
      </c>
    </row>
    <row r="20" spans="1:4" x14ac:dyDescent="0.15">
      <c r="A20">
        <v>19</v>
      </c>
      <c r="B20" s="167" t="s">
        <v>210</v>
      </c>
      <c r="C20">
        <v>0</v>
      </c>
      <c r="D20">
        <v>0</v>
      </c>
    </row>
    <row r="21" spans="1:4" x14ac:dyDescent="0.15">
      <c r="A21">
        <v>20</v>
      </c>
      <c r="B21" s="167" t="s">
        <v>211</v>
      </c>
      <c r="C21">
        <v>0</v>
      </c>
      <c r="D21">
        <v>0</v>
      </c>
    </row>
    <row r="22" spans="1:4" x14ac:dyDescent="0.15">
      <c r="A22">
        <v>21</v>
      </c>
      <c r="B22" s="167" t="s">
        <v>212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7.83203125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69" t="s">
        <v>192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69" t="s">
        <v>193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69" t="s">
        <v>194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69" t="s">
        <v>195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69" t="s">
        <v>196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69" t="s">
        <v>197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69" t="s">
        <v>198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8" t="s">
        <v>150</v>
      </c>
      <c r="D9">
        <v>8</v>
      </c>
      <c r="E9" s="169" t="s">
        <v>199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8" t="s">
        <v>150</v>
      </c>
      <c r="D10">
        <v>9</v>
      </c>
      <c r="E10" s="169" t="s">
        <v>200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69" t="s">
        <v>201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69" t="s">
        <v>202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69" t="s">
        <v>203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69" t="s">
        <v>204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69" t="s">
        <v>205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69" t="s">
        <v>206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69" t="s">
        <v>207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69" t="s">
        <v>208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69" t="s">
        <v>209</v>
      </c>
      <c r="F19">
        <v>0.98</v>
      </c>
      <c r="G19">
        <v>0.8</v>
      </c>
      <c r="H19">
        <v>0.8</v>
      </c>
      <c r="I19">
        <v>0.8</v>
      </c>
      <c r="J19" s="103">
        <v>0.25</v>
      </c>
      <c r="K19" s="103">
        <v>0.05</v>
      </c>
    </row>
    <row r="20" spans="4:33" ht="15" customHeight="1" x14ac:dyDescent="0.15">
      <c r="D20">
        <v>19</v>
      </c>
      <c r="E20" s="169" t="s">
        <v>210</v>
      </c>
      <c r="F20">
        <v>0.98</v>
      </c>
      <c r="G20">
        <v>0.8</v>
      </c>
      <c r="H20">
        <v>0.8</v>
      </c>
      <c r="I20">
        <v>0</v>
      </c>
      <c r="J20" s="103">
        <v>0</v>
      </c>
      <c r="K20" s="103">
        <v>0</v>
      </c>
    </row>
    <row r="21" spans="4:33" ht="15" customHeight="1" x14ac:dyDescent="0.15">
      <c r="D21">
        <v>20</v>
      </c>
      <c r="E21" s="169" t="s">
        <v>211</v>
      </c>
      <c r="F21">
        <v>0.98</v>
      </c>
      <c r="G21">
        <v>0.8</v>
      </c>
      <c r="H21">
        <v>0</v>
      </c>
      <c r="I21">
        <v>0</v>
      </c>
      <c r="J21" s="103">
        <v>0</v>
      </c>
      <c r="K21" s="103">
        <v>0</v>
      </c>
    </row>
    <row r="22" spans="4:33" ht="15" customHeight="1" x14ac:dyDescent="0.15">
      <c r="D22">
        <v>21</v>
      </c>
      <c r="E22" s="169" t="s">
        <v>212</v>
      </c>
      <c r="F22">
        <v>0.98</v>
      </c>
      <c r="G22">
        <v>0.8</v>
      </c>
      <c r="H22">
        <v>0</v>
      </c>
      <c r="I22">
        <v>0</v>
      </c>
      <c r="J22" s="103">
        <v>0</v>
      </c>
      <c r="K22" s="103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7.83203125" style="101" bestFit="1" customWidth="1"/>
    <col min="2" max="19" width="3.83203125" style="101" customWidth="1"/>
    <col min="20" max="22" width="2.33203125" style="101" customWidth="1"/>
    <col min="23" max="16384" width="10.83203125" style="101"/>
  </cols>
  <sheetData>
    <row r="1" spans="1:30" x14ac:dyDescent="0.15">
      <c r="A1" s="60" t="s">
        <v>118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 s="171" t="s">
        <v>211</v>
      </c>
      <c r="V1" s="171" t="s">
        <v>212</v>
      </c>
      <c r="W1"/>
      <c r="X1"/>
      <c r="Y1"/>
      <c r="Z1"/>
      <c r="AA1"/>
      <c r="AB1"/>
      <c r="AC1"/>
      <c r="AD1"/>
    </row>
    <row r="2" spans="1:30" customFormat="1" x14ac:dyDescent="0.15">
      <c r="A2" s="170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</row>
    <row r="3" spans="1:30" customFormat="1" x14ac:dyDescent="0.15">
      <c r="A3" s="170" t="s">
        <v>193</v>
      </c>
      <c r="B3" s="101">
        <v>0.8</v>
      </c>
      <c r="C3" s="101">
        <v>0.8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</row>
    <row r="4" spans="1:30" customFormat="1" x14ac:dyDescent="0.15">
      <c r="A4" s="170" t="s">
        <v>194</v>
      </c>
      <c r="B4" s="101">
        <v>0.8</v>
      </c>
      <c r="C4" s="101">
        <v>0.8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</row>
    <row r="5" spans="1:30" customFormat="1" x14ac:dyDescent="0.15">
      <c r="A5" s="170" t="s">
        <v>195</v>
      </c>
      <c r="B5" s="101">
        <v>0.8</v>
      </c>
      <c r="C5" s="101">
        <v>0.8</v>
      </c>
      <c r="D5" s="101">
        <v>0.8</v>
      </c>
      <c r="E5" s="101">
        <v>0.8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</row>
    <row r="6" spans="1:30" customFormat="1" x14ac:dyDescent="0.15">
      <c r="A6" s="170" t="s">
        <v>196</v>
      </c>
      <c r="B6" s="101">
        <v>0.8</v>
      </c>
      <c r="C6" s="101">
        <v>0.8</v>
      </c>
      <c r="D6" s="101">
        <v>0.8</v>
      </c>
      <c r="E6" s="101">
        <v>0</v>
      </c>
      <c r="F6" s="101">
        <v>0.8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</row>
    <row r="7" spans="1:30" customFormat="1" x14ac:dyDescent="0.15">
      <c r="A7" s="170" t="s">
        <v>197</v>
      </c>
      <c r="B7" s="101">
        <v>0.8</v>
      </c>
      <c r="C7" s="101">
        <v>0.8</v>
      </c>
      <c r="D7" s="101">
        <v>0.8</v>
      </c>
      <c r="E7" s="101">
        <v>0</v>
      </c>
      <c r="F7" s="101">
        <v>0.8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</row>
    <row r="8" spans="1:30" customFormat="1" x14ac:dyDescent="0.15">
      <c r="A8" s="170" t="s">
        <v>198</v>
      </c>
      <c r="B8" s="101">
        <v>0.8</v>
      </c>
      <c r="C8" s="101">
        <v>0.8</v>
      </c>
      <c r="D8" s="101">
        <v>0.8</v>
      </c>
      <c r="E8" s="101">
        <v>0</v>
      </c>
      <c r="F8" s="101">
        <v>0.8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</row>
    <row r="9" spans="1:30" customFormat="1" x14ac:dyDescent="0.15">
      <c r="A9" s="170" t="s">
        <v>199</v>
      </c>
      <c r="B9" s="101">
        <v>0.8</v>
      </c>
      <c r="C9" s="101">
        <v>0.8</v>
      </c>
      <c r="D9" s="101">
        <v>0.8</v>
      </c>
      <c r="E9" s="101">
        <v>0</v>
      </c>
      <c r="F9" s="101">
        <v>0.8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</row>
    <row r="10" spans="1:30" customFormat="1" x14ac:dyDescent="0.15">
      <c r="A10" s="170" t="s">
        <v>200</v>
      </c>
      <c r="B10" s="101">
        <v>0.8</v>
      </c>
      <c r="C10" s="101">
        <v>0.8</v>
      </c>
      <c r="D10" s="101">
        <v>0.8</v>
      </c>
      <c r="E10" s="101">
        <v>0</v>
      </c>
      <c r="F10" s="101">
        <v>0.8</v>
      </c>
      <c r="G10" s="101">
        <v>0</v>
      </c>
      <c r="H10" s="101">
        <v>0.8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</row>
    <row r="11" spans="1:30" customFormat="1" x14ac:dyDescent="0.15">
      <c r="A11" s="170" t="s">
        <v>201</v>
      </c>
      <c r="B11" s="101">
        <v>0.8</v>
      </c>
      <c r="C11" s="101">
        <v>0.8</v>
      </c>
      <c r="D11" s="101">
        <v>0.8</v>
      </c>
      <c r="E11" s="101">
        <v>0</v>
      </c>
      <c r="F11" s="101">
        <v>0</v>
      </c>
      <c r="G11" s="101">
        <v>0.8</v>
      </c>
      <c r="H11" s="101">
        <v>0.8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</row>
    <row r="12" spans="1:30" customFormat="1" x14ac:dyDescent="0.15">
      <c r="A12" s="170" t="s">
        <v>202</v>
      </c>
      <c r="B12" s="101">
        <v>0</v>
      </c>
      <c r="C12" s="101">
        <v>0.8</v>
      </c>
      <c r="D12" s="101">
        <v>0.8</v>
      </c>
      <c r="E12" s="101">
        <v>0.8</v>
      </c>
      <c r="F12" s="101">
        <v>0.8</v>
      </c>
      <c r="G12" s="101">
        <v>0</v>
      </c>
      <c r="H12" s="101">
        <v>0.8</v>
      </c>
      <c r="I12" s="101">
        <v>0.8</v>
      </c>
      <c r="J12" s="101">
        <v>0</v>
      </c>
      <c r="K12" s="101">
        <v>0.8</v>
      </c>
      <c r="L12" s="101">
        <v>0</v>
      </c>
      <c r="M12" s="101">
        <v>0.8</v>
      </c>
      <c r="N12" s="101">
        <v>0</v>
      </c>
      <c r="O12" s="101">
        <v>0.8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</row>
    <row r="13" spans="1:30" customFormat="1" x14ac:dyDescent="0.15">
      <c r="A13" s="170" t="s">
        <v>203</v>
      </c>
      <c r="B13" s="101">
        <v>0</v>
      </c>
      <c r="C13" s="101">
        <v>0.8</v>
      </c>
      <c r="D13" s="101">
        <v>0.8</v>
      </c>
      <c r="E13" s="101">
        <v>0.8</v>
      </c>
      <c r="F13" s="101">
        <v>0.8</v>
      </c>
      <c r="G13" s="101">
        <v>0.8</v>
      </c>
      <c r="H13" s="101">
        <v>0.8</v>
      </c>
      <c r="I13" s="101">
        <v>0.8</v>
      </c>
      <c r="J13" s="101">
        <v>0.8</v>
      </c>
      <c r="K13" s="101">
        <v>0.8</v>
      </c>
      <c r="L13" s="101">
        <v>0</v>
      </c>
      <c r="M13" s="101">
        <v>0.8</v>
      </c>
      <c r="N13" s="101">
        <v>0</v>
      </c>
      <c r="O13" s="101">
        <v>0.8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</row>
    <row r="14" spans="1:30" customFormat="1" x14ac:dyDescent="0.15">
      <c r="A14" s="170" t="s">
        <v>204</v>
      </c>
      <c r="B14" s="101">
        <v>0</v>
      </c>
      <c r="C14" s="101">
        <v>0.8</v>
      </c>
      <c r="D14" s="101">
        <v>0.8</v>
      </c>
      <c r="E14" s="101">
        <v>0.8</v>
      </c>
      <c r="F14" s="101">
        <v>0.8</v>
      </c>
      <c r="G14" s="101">
        <v>0</v>
      </c>
      <c r="H14" s="101">
        <v>0.8</v>
      </c>
      <c r="I14" s="101">
        <v>0</v>
      </c>
      <c r="J14" s="101">
        <v>0</v>
      </c>
      <c r="K14" s="101">
        <v>0.8</v>
      </c>
      <c r="L14" s="101">
        <v>0</v>
      </c>
      <c r="M14" s="101">
        <v>0</v>
      </c>
      <c r="N14" s="101">
        <v>0.8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</row>
    <row r="15" spans="1:30" customFormat="1" x14ac:dyDescent="0.15">
      <c r="A15" s="170" t="s">
        <v>205</v>
      </c>
      <c r="B15" s="101">
        <v>0</v>
      </c>
      <c r="C15" s="101">
        <v>0.8</v>
      </c>
      <c r="D15" s="101">
        <v>0</v>
      </c>
      <c r="E15" s="101">
        <v>0.8</v>
      </c>
      <c r="F15" s="101">
        <v>0.8</v>
      </c>
      <c r="G15" s="101">
        <v>0.8</v>
      </c>
      <c r="H15" s="101">
        <v>0.8</v>
      </c>
      <c r="I15" s="101">
        <v>0.8</v>
      </c>
      <c r="J15" s="101">
        <v>0.8</v>
      </c>
      <c r="K15" s="101">
        <v>0.8</v>
      </c>
      <c r="L15" s="101">
        <v>0</v>
      </c>
      <c r="M15" s="101">
        <v>0.8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</row>
    <row r="16" spans="1:30" customFormat="1" x14ac:dyDescent="0.15">
      <c r="A16" s="170" t="s">
        <v>206</v>
      </c>
      <c r="B16" s="101">
        <v>0</v>
      </c>
      <c r="C16" s="101">
        <v>0.8</v>
      </c>
      <c r="D16" s="101">
        <v>0</v>
      </c>
      <c r="E16" s="101">
        <v>0.8</v>
      </c>
      <c r="F16" s="101">
        <v>0.8</v>
      </c>
      <c r="G16" s="101">
        <v>0.8</v>
      </c>
      <c r="H16" s="101">
        <v>0.8</v>
      </c>
      <c r="I16" s="101">
        <v>0.8</v>
      </c>
      <c r="J16" s="101">
        <v>0.8</v>
      </c>
      <c r="K16" s="101">
        <v>0.8</v>
      </c>
      <c r="L16" s="101">
        <v>0.8</v>
      </c>
      <c r="M16" s="101">
        <v>0.8</v>
      </c>
      <c r="N16" s="101">
        <v>0</v>
      </c>
      <c r="O16" s="101">
        <v>0.8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</row>
    <row r="17" spans="1:22" customFormat="1" x14ac:dyDescent="0.15">
      <c r="A17" s="170" t="s">
        <v>207</v>
      </c>
      <c r="B17" s="101">
        <v>0</v>
      </c>
      <c r="C17" s="101">
        <v>0</v>
      </c>
      <c r="D17" s="101">
        <v>0</v>
      </c>
      <c r="E17" s="101">
        <v>0</v>
      </c>
      <c r="F17" s="101">
        <v>0.8</v>
      </c>
      <c r="G17" s="101">
        <v>0.8</v>
      </c>
      <c r="H17" s="101">
        <v>0</v>
      </c>
      <c r="I17" s="101">
        <v>0.8</v>
      </c>
      <c r="J17" s="101">
        <v>0</v>
      </c>
      <c r="K17" s="101">
        <v>0</v>
      </c>
      <c r="L17" s="101">
        <v>0</v>
      </c>
      <c r="M17" s="101">
        <v>0.8</v>
      </c>
      <c r="N17" s="101">
        <v>0</v>
      </c>
      <c r="O17" s="101">
        <v>0.8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</row>
    <row r="18" spans="1:22" customFormat="1" x14ac:dyDescent="0.15">
      <c r="A18" s="170" t="s">
        <v>208</v>
      </c>
      <c r="B18" s="101">
        <v>0</v>
      </c>
      <c r="C18" s="101">
        <v>0</v>
      </c>
      <c r="D18" s="101">
        <v>0.8</v>
      </c>
      <c r="E18" s="101">
        <v>0.8</v>
      </c>
      <c r="F18" s="101">
        <v>0.8</v>
      </c>
      <c r="G18" s="101">
        <v>0.8</v>
      </c>
      <c r="H18" s="101">
        <v>0</v>
      </c>
      <c r="I18" s="101">
        <v>0</v>
      </c>
      <c r="J18" s="101">
        <v>0.8</v>
      </c>
      <c r="K18" s="101">
        <v>0</v>
      </c>
      <c r="L18" s="101">
        <v>0.8</v>
      </c>
      <c r="M18" s="101">
        <v>0.8</v>
      </c>
      <c r="N18" s="101">
        <v>0.8</v>
      </c>
      <c r="O18" s="101">
        <v>0.8</v>
      </c>
      <c r="P18" s="101">
        <v>0.8</v>
      </c>
      <c r="Q18" s="101">
        <v>0.8</v>
      </c>
      <c r="R18" s="101">
        <v>0.8</v>
      </c>
      <c r="S18" s="101">
        <v>0</v>
      </c>
      <c r="T18" s="101">
        <v>0</v>
      </c>
      <c r="U18" s="101">
        <v>0</v>
      </c>
      <c r="V18" s="101">
        <v>0</v>
      </c>
    </row>
    <row r="19" spans="1:22" customFormat="1" x14ac:dyDescent="0.15">
      <c r="A19" s="170" t="s">
        <v>209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0.8</v>
      </c>
      <c r="H19" s="101">
        <v>0</v>
      </c>
      <c r="I19" s="101">
        <v>0</v>
      </c>
      <c r="J19" s="101">
        <v>0.8</v>
      </c>
      <c r="K19" s="101">
        <v>0</v>
      </c>
      <c r="L19" s="101">
        <v>0</v>
      </c>
      <c r="M19" s="101">
        <v>0</v>
      </c>
      <c r="N19" s="101">
        <v>0</v>
      </c>
      <c r="O19" s="101">
        <v>0.8</v>
      </c>
      <c r="P19" s="101">
        <v>0.8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</row>
    <row r="20" spans="1:22" customFormat="1" x14ac:dyDescent="0.15">
      <c r="A20" s="170" t="s">
        <v>210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  <c r="V20" s="101">
        <v>0</v>
      </c>
    </row>
    <row r="21" spans="1:22" customFormat="1" x14ac:dyDescent="0.15">
      <c r="A21" s="170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0</v>
      </c>
      <c r="G21" s="101">
        <v>0.8</v>
      </c>
      <c r="H21" s="101">
        <v>0</v>
      </c>
      <c r="I21" s="101">
        <v>0</v>
      </c>
      <c r="J21" s="101">
        <v>0</v>
      </c>
      <c r="K21" s="101">
        <v>0.8</v>
      </c>
      <c r="L21" s="101">
        <v>0.8</v>
      </c>
      <c r="M21" s="101">
        <v>0.8</v>
      </c>
      <c r="N21" s="101">
        <v>0.8</v>
      </c>
      <c r="O21" s="101">
        <v>0.8</v>
      </c>
      <c r="P21" s="101">
        <v>0.8</v>
      </c>
      <c r="Q21" s="101">
        <v>0.8</v>
      </c>
      <c r="R21" s="101">
        <v>0.8</v>
      </c>
      <c r="S21" s="101">
        <v>0.8</v>
      </c>
      <c r="T21" s="101">
        <v>0</v>
      </c>
      <c r="U21" s="101">
        <v>0</v>
      </c>
      <c r="V21" s="101">
        <v>0</v>
      </c>
    </row>
    <row r="22" spans="1:22" customFormat="1" x14ac:dyDescent="0.15">
      <c r="A22" s="170" t="s">
        <v>212</v>
      </c>
      <c r="B22" s="101">
        <v>0</v>
      </c>
      <c r="C22" s="101">
        <v>0</v>
      </c>
      <c r="D22" s="101">
        <v>0</v>
      </c>
      <c r="E22" s="101">
        <v>0.8</v>
      </c>
      <c r="F22" s="101">
        <v>0.8</v>
      </c>
      <c r="G22" s="101">
        <v>0.8</v>
      </c>
      <c r="H22" s="101">
        <v>0.8</v>
      </c>
      <c r="I22" s="101">
        <v>0.8</v>
      </c>
      <c r="J22" s="101">
        <v>0.8</v>
      </c>
      <c r="K22" s="101">
        <v>0</v>
      </c>
      <c r="L22" s="101">
        <v>0.8</v>
      </c>
      <c r="M22" s="101">
        <v>0</v>
      </c>
      <c r="N22" s="101">
        <v>0</v>
      </c>
      <c r="O22" s="101">
        <v>0.8</v>
      </c>
      <c r="P22" s="101">
        <v>0.8</v>
      </c>
      <c r="Q22" s="101">
        <v>0</v>
      </c>
      <c r="R22" s="101">
        <v>0</v>
      </c>
      <c r="S22" s="101">
        <v>0.8</v>
      </c>
      <c r="T22" s="101">
        <v>0</v>
      </c>
      <c r="U22" s="101">
        <v>0</v>
      </c>
      <c r="V22" s="101">
        <v>0</v>
      </c>
    </row>
    <row r="23" spans="1:22" customFormat="1" x14ac:dyDescent="0.15">
      <c r="A23" s="170" t="s">
        <v>213</v>
      </c>
      <c r="B23" s="101">
        <v>0.8</v>
      </c>
      <c r="C23" s="101">
        <v>0.8</v>
      </c>
      <c r="D23" s="101">
        <v>0</v>
      </c>
      <c r="E23" s="101">
        <v>0</v>
      </c>
      <c r="F23" s="101">
        <v>0</v>
      </c>
      <c r="G23" s="101">
        <v>0</v>
      </c>
      <c r="H23" s="101">
        <v>0</v>
      </c>
      <c r="I23" s="101">
        <v>0</v>
      </c>
      <c r="J23" s="101">
        <v>0</v>
      </c>
      <c r="K23" s="101">
        <v>0.8</v>
      </c>
      <c r="L23" s="101">
        <v>0.8</v>
      </c>
      <c r="M23" s="101">
        <v>0.8</v>
      </c>
      <c r="N23" s="101">
        <v>0.8</v>
      </c>
      <c r="O23" s="101">
        <v>0</v>
      </c>
      <c r="P23" s="101">
        <v>0</v>
      </c>
      <c r="Q23" s="101">
        <v>0.8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7.83203125" style="101" bestFit="1" customWidth="1"/>
    <col min="2" max="22" width="2.33203125" style="101" customWidth="1"/>
    <col min="23" max="16384" width="10.83203125" style="101"/>
  </cols>
  <sheetData>
    <row r="1" spans="1:31" x14ac:dyDescent="0.15">
      <c r="A1" s="60" t="s">
        <v>139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72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</row>
    <row r="3" spans="1:31" customFormat="1" x14ac:dyDescent="0.15">
      <c r="A3" s="172" t="s">
        <v>193</v>
      </c>
      <c r="B3" s="101">
        <v>1</v>
      </c>
      <c r="C3" s="101">
        <v>1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</row>
    <row r="4" spans="1:31" customFormat="1" x14ac:dyDescent="0.15">
      <c r="A4" s="172" t="s">
        <v>194</v>
      </c>
      <c r="B4" s="101">
        <v>1</v>
      </c>
      <c r="C4" s="101">
        <v>1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</row>
    <row r="5" spans="1:31" customFormat="1" x14ac:dyDescent="0.15">
      <c r="A5" s="172" t="s">
        <v>195</v>
      </c>
      <c r="B5" s="101">
        <v>1</v>
      </c>
      <c r="C5" s="101">
        <v>1</v>
      </c>
      <c r="D5" s="101">
        <v>1</v>
      </c>
      <c r="E5" s="101">
        <v>1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</row>
    <row r="6" spans="1:31" customFormat="1" x14ac:dyDescent="0.15">
      <c r="A6" s="172" t="s">
        <v>196</v>
      </c>
      <c r="B6" s="101">
        <v>1</v>
      </c>
      <c r="C6" s="101">
        <v>1</v>
      </c>
      <c r="D6" s="101">
        <v>1</v>
      </c>
      <c r="E6" s="101">
        <v>0</v>
      </c>
      <c r="F6" s="101">
        <v>1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</row>
    <row r="7" spans="1:31" customFormat="1" x14ac:dyDescent="0.15">
      <c r="A7" s="172" t="s">
        <v>197</v>
      </c>
      <c r="B7" s="101">
        <v>1</v>
      </c>
      <c r="C7" s="101">
        <v>1</v>
      </c>
      <c r="D7" s="101">
        <v>1</v>
      </c>
      <c r="E7" s="101">
        <v>0</v>
      </c>
      <c r="F7" s="101">
        <v>1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</row>
    <row r="8" spans="1:31" customFormat="1" x14ac:dyDescent="0.15">
      <c r="A8" s="172" t="s">
        <v>198</v>
      </c>
      <c r="B8" s="101">
        <v>1</v>
      </c>
      <c r="C8" s="101">
        <v>1</v>
      </c>
      <c r="D8" s="101">
        <v>1</v>
      </c>
      <c r="E8" s="101">
        <v>0</v>
      </c>
      <c r="F8" s="101">
        <v>1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</row>
    <row r="9" spans="1:31" customFormat="1" x14ac:dyDescent="0.15">
      <c r="A9" s="172" t="s">
        <v>199</v>
      </c>
      <c r="B9" s="101">
        <v>1</v>
      </c>
      <c r="C9" s="101">
        <v>1</v>
      </c>
      <c r="D9" s="101">
        <v>1</v>
      </c>
      <c r="E9" s="101">
        <v>0</v>
      </c>
      <c r="F9" s="101">
        <v>1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</row>
    <row r="10" spans="1:31" customFormat="1" x14ac:dyDescent="0.15">
      <c r="A10" s="172" t="s">
        <v>200</v>
      </c>
      <c r="B10" s="101">
        <v>1</v>
      </c>
      <c r="C10" s="101">
        <v>1</v>
      </c>
      <c r="D10" s="101">
        <v>1</v>
      </c>
      <c r="E10" s="101">
        <v>0</v>
      </c>
      <c r="F10" s="101">
        <v>1</v>
      </c>
      <c r="G10" s="101">
        <v>0</v>
      </c>
      <c r="H10" s="101">
        <v>1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</row>
    <row r="11" spans="1:31" customFormat="1" x14ac:dyDescent="0.15">
      <c r="A11" s="172" t="s">
        <v>201</v>
      </c>
      <c r="B11" s="101">
        <v>1</v>
      </c>
      <c r="C11" s="101">
        <v>1</v>
      </c>
      <c r="D11" s="101">
        <v>1</v>
      </c>
      <c r="E11" s="101">
        <v>0</v>
      </c>
      <c r="F11" s="101">
        <v>0</v>
      </c>
      <c r="G11" s="101">
        <v>1</v>
      </c>
      <c r="H11" s="101">
        <v>1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</row>
    <row r="12" spans="1:31" customFormat="1" x14ac:dyDescent="0.15">
      <c r="A12" s="172" t="s">
        <v>202</v>
      </c>
      <c r="B12" s="101">
        <v>0</v>
      </c>
      <c r="C12" s="101">
        <v>1</v>
      </c>
      <c r="D12" s="101">
        <v>1</v>
      </c>
      <c r="E12" s="101">
        <v>1</v>
      </c>
      <c r="F12" s="101">
        <v>1</v>
      </c>
      <c r="G12" s="101">
        <v>0</v>
      </c>
      <c r="H12" s="101">
        <v>1</v>
      </c>
      <c r="I12" s="101">
        <v>1</v>
      </c>
      <c r="J12" s="101">
        <v>0</v>
      </c>
      <c r="K12" s="101">
        <v>1</v>
      </c>
      <c r="L12" s="101">
        <v>0</v>
      </c>
      <c r="M12" s="101">
        <v>1</v>
      </c>
      <c r="N12" s="101">
        <v>0</v>
      </c>
      <c r="O12" s="101">
        <v>1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</row>
    <row r="13" spans="1:31" customFormat="1" x14ac:dyDescent="0.15">
      <c r="A13" s="172" t="s">
        <v>203</v>
      </c>
      <c r="B13" s="101">
        <v>0</v>
      </c>
      <c r="C13" s="101">
        <v>1</v>
      </c>
      <c r="D13" s="101">
        <v>1</v>
      </c>
      <c r="E13" s="101">
        <v>1</v>
      </c>
      <c r="F13" s="101">
        <v>1</v>
      </c>
      <c r="G13" s="101">
        <v>1</v>
      </c>
      <c r="H13" s="101">
        <v>1</v>
      </c>
      <c r="I13" s="101">
        <v>1</v>
      </c>
      <c r="J13" s="101">
        <v>1</v>
      </c>
      <c r="K13" s="101">
        <v>1</v>
      </c>
      <c r="L13" s="101">
        <v>0</v>
      </c>
      <c r="M13" s="101">
        <v>1</v>
      </c>
      <c r="N13" s="101">
        <v>0</v>
      </c>
      <c r="O13" s="101">
        <v>1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</row>
    <row r="14" spans="1:31" customFormat="1" x14ac:dyDescent="0.15">
      <c r="A14" s="172" t="s">
        <v>204</v>
      </c>
      <c r="B14" s="101">
        <v>0</v>
      </c>
      <c r="C14" s="101">
        <v>1</v>
      </c>
      <c r="D14" s="101">
        <v>1</v>
      </c>
      <c r="E14" s="101">
        <v>1</v>
      </c>
      <c r="F14" s="101">
        <v>1</v>
      </c>
      <c r="G14" s="101">
        <v>0</v>
      </c>
      <c r="H14" s="101">
        <v>1</v>
      </c>
      <c r="I14" s="101">
        <v>0</v>
      </c>
      <c r="J14" s="101">
        <v>0</v>
      </c>
      <c r="K14" s="101">
        <v>1</v>
      </c>
      <c r="L14" s="101">
        <v>0</v>
      </c>
      <c r="M14" s="101">
        <v>0</v>
      </c>
      <c r="N14" s="101">
        <v>1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</row>
    <row r="15" spans="1:31" customFormat="1" x14ac:dyDescent="0.15">
      <c r="A15" s="172" t="s">
        <v>205</v>
      </c>
      <c r="B15" s="101">
        <v>0</v>
      </c>
      <c r="C15" s="101">
        <v>1</v>
      </c>
      <c r="D15" s="101">
        <v>0</v>
      </c>
      <c r="E15" s="101">
        <v>1</v>
      </c>
      <c r="F15" s="101">
        <v>1</v>
      </c>
      <c r="G15" s="101">
        <v>1</v>
      </c>
      <c r="H15" s="101">
        <v>1</v>
      </c>
      <c r="I15" s="101">
        <v>1</v>
      </c>
      <c r="J15" s="101">
        <v>1</v>
      </c>
      <c r="K15" s="101">
        <v>1</v>
      </c>
      <c r="L15" s="101">
        <v>0</v>
      </c>
      <c r="M15" s="101">
        <v>1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</row>
    <row r="16" spans="1:31" customFormat="1" x14ac:dyDescent="0.15">
      <c r="A16" s="172" t="s">
        <v>206</v>
      </c>
      <c r="B16" s="101">
        <v>0</v>
      </c>
      <c r="C16" s="101">
        <v>1</v>
      </c>
      <c r="D16" s="101">
        <v>0</v>
      </c>
      <c r="E16" s="101">
        <v>1</v>
      </c>
      <c r="F16" s="101">
        <v>1</v>
      </c>
      <c r="G16" s="101">
        <v>1</v>
      </c>
      <c r="H16" s="101">
        <v>1</v>
      </c>
      <c r="I16" s="101">
        <v>1</v>
      </c>
      <c r="J16" s="101">
        <v>1</v>
      </c>
      <c r="K16" s="101">
        <v>1</v>
      </c>
      <c r="L16" s="101">
        <v>1</v>
      </c>
      <c r="M16" s="101">
        <v>1</v>
      </c>
      <c r="N16" s="101">
        <v>0</v>
      </c>
      <c r="O16" s="101">
        <v>1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</row>
    <row r="17" spans="1:22" customFormat="1" x14ac:dyDescent="0.15">
      <c r="A17" s="172" t="s">
        <v>207</v>
      </c>
      <c r="B17" s="101">
        <v>0</v>
      </c>
      <c r="C17" s="101">
        <v>0</v>
      </c>
      <c r="D17" s="101">
        <v>0</v>
      </c>
      <c r="E17" s="101">
        <v>0</v>
      </c>
      <c r="F17" s="101">
        <v>1</v>
      </c>
      <c r="G17" s="101">
        <v>1</v>
      </c>
      <c r="H17" s="101">
        <v>0</v>
      </c>
      <c r="I17" s="101">
        <v>1</v>
      </c>
      <c r="J17" s="101">
        <v>0</v>
      </c>
      <c r="K17" s="101">
        <v>0</v>
      </c>
      <c r="L17" s="101">
        <v>0</v>
      </c>
      <c r="M17" s="101">
        <v>1</v>
      </c>
      <c r="N17" s="101">
        <v>0</v>
      </c>
      <c r="O17" s="101">
        <v>1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</row>
    <row r="18" spans="1:22" customFormat="1" x14ac:dyDescent="0.15">
      <c r="A18" s="172" t="s">
        <v>208</v>
      </c>
      <c r="B18" s="101">
        <v>0</v>
      </c>
      <c r="C18" s="101">
        <v>0</v>
      </c>
      <c r="D18" s="101">
        <v>1</v>
      </c>
      <c r="E18" s="101">
        <v>1</v>
      </c>
      <c r="F18" s="101">
        <v>1</v>
      </c>
      <c r="G18" s="101">
        <v>1</v>
      </c>
      <c r="H18" s="101">
        <v>0</v>
      </c>
      <c r="I18" s="101">
        <v>0</v>
      </c>
      <c r="J18" s="101">
        <v>1</v>
      </c>
      <c r="K18" s="101">
        <v>0</v>
      </c>
      <c r="L18" s="101">
        <v>1</v>
      </c>
      <c r="M18" s="101">
        <v>1</v>
      </c>
      <c r="N18" s="101">
        <v>1</v>
      </c>
      <c r="O18" s="101">
        <v>1</v>
      </c>
      <c r="P18" s="101">
        <v>1</v>
      </c>
      <c r="Q18" s="101">
        <v>1</v>
      </c>
      <c r="R18" s="101">
        <v>1</v>
      </c>
      <c r="S18" s="101">
        <v>0</v>
      </c>
      <c r="T18" s="101">
        <v>0</v>
      </c>
      <c r="U18" s="101">
        <v>0</v>
      </c>
      <c r="V18" s="101">
        <v>0</v>
      </c>
    </row>
    <row r="19" spans="1:22" customFormat="1" x14ac:dyDescent="0.15">
      <c r="A19" s="172" t="s">
        <v>209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1</v>
      </c>
      <c r="H19" s="101">
        <v>0</v>
      </c>
      <c r="I19" s="101">
        <v>0</v>
      </c>
      <c r="J19" s="101">
        <v>1</v>
      </c>
      <c r="K19" s="101">
        <v>0</v>
      </c>
      <c r="L19" s="101">
        <v>0</v>
      </c>
      <c r="M19" s="101">
        <v>0</v>
      </c>
      <c r="N19" s="101">
        <v>0</v>
      </c>
      <c r="O19" s="101">
        <v>1</v>
      </c>
      <c r="P19" s="101">
        <v>1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</row>
    <row r="20" spans="1:22" customFormat="1" x14ac:dyDescent="0.15">
      <c r="A20" s="172" t="s">
        <v>210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  <c r="V20" s="101">
        <v>0</v>
      </c>
    </row>
    <row r="21" spans="1:22" customFormat="1" x14ac:dyDescent="0.15">
      <c r="A21" s="172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0</v>
      </c>
      <c r="G21" s="101">
        <v>1</v>
      </c>
      <c r="H21" s="101">
        <v>0</v>
      </c>
      <c r="I21" s="101">
        <v>0</v>
      </c>
      <c r="J21" s="101">
        <v>0</v>
      </c>
      <c r="K21" s="101">
        <v>1</v>
      </c>
      <c r="L21" s="101">
        <v>1</v>
      </c>
      <c r="M21" s="101">
        <v>1</v>
      </c>
      <c r="N21" s="101">
        <v>1</v>
      </c>
      <c r="O21" s="101">
        <v>1</v>
      </c>
      <c r="P21" s="101">
        <v>1</v>
      </c>
      <c r="Q21" s="101">
        <v>1</v>
      </c>
      <c r="R21" s="101">
        <v>1</v>
      </c>
      <c r="S21" s="101">
        <v>1</v>
      </c>
      <c r="T21" s="101">
        <v>0</v>
      </c>
      <c r="U21" s="101">
        <v>0</v>
      </c>
      <c r="V21" s="101">
        <v>0</v>
      </c>
    </row>
    <row r="22" spans="1:22" customFormat="1" x14ac:dyDescent="0.15">
      <c r="A22" s="172" t="s">
        <v>212</v>
      </c>
      <c r="B22" s="101">
        <v>0</v>
      </c>
      <c r="C22" s="101">
        <v>0</v>
      </c>
      <c r="D22" s="101">
        <v>0</v>
      </c>
      <c r="E22" s="101">
        <v>1</v>
      </c>
      <c r="F22" s="101">
        <v>1</v>
      </c>
      <c r="G22" s="101">
        <v>1</v>
      </c>
      <c r="H22" s="101">
        <v>1</v>
      </c>
      <c r="I22" s="101">
        <v>1</v>
      </c>
      <c r="J22" s="101">
        <v>1</v>
      </c>
      <c r="K22" s="101">
        <v>0</v>
      </c>
      <c r="L22" s="101">
        <v>1</v>
      </c>
      <c r="M22" s="101">
        <v>0</v>
      </c>
      <c r="N22" s="101">
        <v>0</v>
      </c>
      <c r="O22" s="101">
        <v>1</v>
      </c>
      <c r="P22" s="101">
        <v>1</v>
      </c>
      <c r="Q22" s="101">
        <v>0</v>
      </c>
      <c r="R22" s="101">
        <v>0</v>
      </c>
      <c r="S22" s="101">
        <v>1</v>
      </c>
      <c r="T22" s="101">
        <v>0</v>
      </c>
      <c r="U22" s="101">
        <v>0</v>
      </c>
      <c r="V22" s="101">
        <v>0</v>
      </c>
    </row>
    <row r="23" spans="1:22" customFormat="1" x14ac:dyDescent="0.15">
      <c r="A23" s="172" t="s">
        <v>213</v>
      </c>
      <c r="B23" s="101">
        <v>1</v>
      </c>
      <c r="C23" s="101">
        <v>1</v>
      </c>
      <c r="D23" s="101">
        <v>0</v>
      </c>
      <c r="E23" s="101">
        <v>0</v>
      </c>
      <c r="F23" s="101">
        <v>0</v>
      </c>
      <c r="G23" s="101">
        <v>0</v>
      </c>
      <c r="H23" s="101">
        <v>0</v>
      </c>
      <c r="I23" s="101">
        <v>0</v>
      </c>
      <c r="J23" s="101">
        <v>0</v>
      </c>
      <c r="K23" s="101">
        <v>1</v>
      </c>
      <c r="L23" s="101">
        <v>1</v>
      </c>
      <c r="M23" s="101">
        <v>1</v>
      </c>
      <c r="N23" s="101">
        <v>1</v>
      </c>
      <c r="O23" s="101">
        <v>0</v>
      </c>
      <c r="P23" s="101">
        <v>0</v>
      </c>
      <c r="Q23" s="101">
        <v>1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D6" sqref="D6"/>
    </sheetView>
  </sheetViews>
  <sheetFormatPr baseColWidth="10" defaultRowHeight="13" x14ac:dyDescent="0.15"/>
  <cols>
    <col min="1" max="1" width="3.33203125" customWidth="1"/>
    <col min="2" max="2" width="27.832031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6" t="s">
        <v>217</v>
      </c>
    </row>
    <row r="2" spans="1:3" x14ac:dyDescent="0.15">
      <c r="A2">
        <v>1</v>
      </c>
      <c r="B2" s="174" t="s">
        <v>192</v>
      </c>
      <c r="C2">
        <v>0</v>
      </c>
    </row>
    <row r="3" spans="1:3" x14ac:dyDescent="0.15">
      <c r="A3">
        <v>2</v>
      </c>
      <c r="B3" s="174" t="s">
        <v>193</v>
      </c>
      <c r="C3">
        <v>0</v>
      </c>
    </row>
    <row r="4" spans="1:3" x14ac:dyDescent="0.15">
      <c r="A4">
        <v>3</v>
      </c>
      <c r="B4" s="174" t="s">
        <v>194</v>
      </c>
      <c r="C4">
        <v>0</v>
      </c>
    </row>
    <row r="5" spans="1:3" x14ac:dyDescent="0.15">
      <c r="A5">
        <v>4</v>
      </c>
      <c r="B5" s="174" t="s">
        <v>195</v>
      </c>
      <c r="C5">
        <v>0</v>
      </c>
    </row>
    <row r="6" spans="1:3" x14ac:dyDescent="0.15">
      <c r="A6">
        <v>5</v>
      </c>
      <c r="B6" s="174" t="s">
        <v>196</v>
      </c>
      <c r="C6">
        <v>0</v>
      </c>
    </row>
    <row r="7" spans="1:3" x14ac:dyDescent="0.15">
      <c r="A7">
        <v>6</v>
      </c>
      <c r="B7" s="174" t="s">
        <v>197</v>
      </c>
      <c r="C7">
        <v>0</v>
      </c>
    </row>
    <row r="8" spans="1:3" x14ac:dyDescent="0.15">
      <c r="A8">
        <v>7</v>
      </c>
      <c r="B8" s="174" t="s">
        <v>198</v>
      </c>
      <c r="C8">
        <v>0</v>
      </c>
    </row>
    <row r="9" spans="1:3" x14ac:dyDescent="0.15">
      <c r="A9">
        <v>8</v>
      </c>
      <c r="B9" s="174" t="s">
        <v>199</v>
      </c>
      <c r="C9">
        <v>0</v>
      </c>
    </row>
    <row r="10" spans="1:3" x14ac:dyDescent="0.15">
      <c r="A10">
        <v>9</v>
      </c>
      <c r="B10" s="174" t="s">
        <v>200</v>
      </c>
      <c r="C10">
        <v>0</v>
      </c>
    </row>
    <row r="11" spans="1:3" x14ac:dyDescent="0.15">
      <c r="A11">
        <v>10</v>
      </c>
      <c r="B11" s="174" t="s">
        <v>201</v>
      </c>
      <c r="C11">
        <v>0</v>
      </c>
    </row>
    <row r="12" spans="1:3" x14ac:dyDescent="0.15">
      <c r="A12">
        <v>11</v>
      </c>
      <c r="B12" s="174" t="s">
        <v>202</v>
      </c>
      <c r="C12">
        <v>0</v>
      </c>
    </row>
    <row r="13" spans="1:3" x14ac:dyDescent="0.15">
      <c r="A13">
        <v>12</v>
      </c>
      <c r="B13" s="174" t="s">
        <v>203</v>
      </c>
      <c r="C13">
        <v>0</v>
      </c>
    </row>
    <row r="14" spans="1:3" x14ac:dyDescent="0.15">
      <c r="A14">
        <v>13</v>
      </c>
      <c r="B14" s="174" t="s">
        <v>204</v>
      </c>
      <c r="C14">
        <v>0</v>
      </c>
    </row>
    <row r="15" spans="1:3" x14ac:dyDescent="0.15">
      <c r="A15">
        <v>14</v>
      </c>
      <c r="B15" s="174" t="s">
        <v>205</v>
      </c>
      <c r="C15">
        <v>0</v>
      </c>
    </row>
    <row r="16" spans="1:3" x14ac:dyDescent="0.15">
      <c r="A16">
        <v>15</v>
      </c>
      <c r="B16" s="174" t="s">
        <v>206</v>
      </c>
      <c r="C16">
        <v>0</v>
      </c>
    </row>
    <row r="17" spans="1:3" x14ac:dyDescent="0.15">
      <c r="A17">
        <v>16</v>
      </c>
      <c r="B17" s="174" t="s">
        <v>207</v>
      </c>
      <c r="C17">
        <v>0</v>
      </c>
    </row>
    <row r="18" spans="1:3" x14ac:dyDescent="0.15">
      <c r="A18">
        <v>17</v>
      </c>
      <c r="B18" s="174" t="s">
        <v>208</v>
      </c>
      <c r="C18">
        <v>0</v>
      </c>
    </row>
    <row r="19" spans="1:3" x14ac:dyDescent="0.15">
      <c r="A19">
        <v>18</v>
      </c>
      <c r="B19" s="174" t="s">
        <v>209</v>
      </c>
      <c r="C19">
        <v>0</v>
      </c>
    </row>
    <row r="20" spans="1:3" x14ac:dyDescent="0.15">
      <c r="A20">
        <v>19</v>
      </c>
      <c r="B20" s="174" t="s">
        <v>210</v>
      </c>
      <c r="C20">
        <v>0</v>
      </c>
    </row>
    <row r="21" spans="1:3" x14ac:dyDescent="0.15">
      <c r="A21">
        <v>20</v>
      </c>
      <c r="B21" s="174" t="s">
        <v>211</v>
      </c>
      <c r="C21">
        <v>0</v>
      </c>
    </row>
    <row r="22" spans="1:3" x14ac:dyDescent="0.15">
      <c r="A22">
        <v>21</v>
      </c>
      <c r="B22" s="174" t="s">
        <v>212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D4" sqref="D4"/>
    </sheetView>
  </sheetViews>
  <sheetFormatPr baseColWidth="10" defaultRowHeight="13" x14ac:dyDescent="0.15"/>
  <cols>
    <col min="1" max="1" width="3.33203125" customWidth="1"/>
    <col min="2" max="2" width="27.832031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6" t="s">
        <v>217</v>
      </c>
    </row>
    <row r="2" spans="1:3" x14ac:dyDescent="0.15">
      <c r="A2">
        <v>1</v>
      </c>
      <c r="B2" s="175" t="s">
        <v>192</v>
      </c>
      <c r="C2">
        <v>0</v>
      </c>
    </row>
    <row r="3" spans="1:3" x14ac:dyDescent="0.15">
      <c r="A3">
        <v>2</v>
      </c>
      <c r="B3" s="175" t="s">
        <v>193</v>
      </c>
      <c r="C3">
        <v>0</v>
      </c>
    </row>
    <row r="4" spans="1:3" x14ac:dyDescent="0.15">
      <c r="A4">
        <v>3</v>
      </c>
      <c r="B4" s="175" t="s">
        <v>194</v>
      </c>
      <c r="C4">
        <v>0</v>
      </c>
    </row>
    <row r="5" spans="1:3" x14ac:dyDescent="0.15">
      <c r="A5">
        <v>4</v>
      </c>
      <c r="B5" s="175" t="s">
        <v>195</v>
      </c>
      <c r="C5">
        <v>0</v>
      </c>
    </row>
    <row r="6" spans="1:3" x14ac:dyDescent="0.15">
      <c r="A6">
        <v>5</v>
      </c>
      <c r="B6" s="175" t="s">
        <v>196</v>
      </c>
      <c r="C6">
        <v>0</v>
      </c>
    </row>
    <row r="7" spans="1:3" x14ac:dyDescent="0.15">
      <c r="A7">
        <v>6</v>
      </c>
      <c r="B7" s="175" t="s">
        <v>197</v>
      </c>
      <c r="C7">
        <v>0</v>
      </c>
    </row>
    <row r="8" spans="1:3" x14ac:dyDescent="0.15">
      <c r="A8">
        <v>7</v>
      </c>
      <c r="B8" s="175" t="s">
        <v>198</v>
      </c>
      <c r="C8">
        <v>0</v>
      </c>
    </row>
    <row r="9" spans="1:3" x14ac:dyDescent="0.15">
      <c r="A9">
        <v>8</v>
      </c>
      <c r="B9" s="175" t="s">
        <v>199</v>
      </c>
      <c r="C9">
        <v>0</v>
      </c>
    </row>
    <row r="10" spans="1:3" x14ac:dyDescent="0.15">
      <c r="A10">
        <v>9</v>
      </c>
      <c r="B10" s="175" t="s">
        <v>200</v>
      </c>
      <c r="C10">
        <v>0</v>
      </c>
    </row>
    <row r="11" spans="1:3" x14ac:dyDescent="0.15">
      <c r="A11">
        <v>10</v>
      </c>
      <c r="B11" s="175" t="s">
        <v>201</v>
      </c>
      <c r="C11">
        <v>0</v>
      </c>
    </row>
    <row r="12" spans="1:3" x14ac:dyDescent="0.15">
      <c r="A12">
        <v>11</v>
      </c>
      <c r="B12" s="175" t="s">
        <v>202</v>
      </c>
      <c r="C12">
        <v>0</v>
      </c>
    </row>
    <row r="13" spans="1:3" x14ac:dyDescent="0.15">
      <c r="A13">
        <v>12</v>
      </c>
      <c r="B13" s="175" t="s">
        <v>203</v>
      </c>
      <c r="C13">
        <v>0</v>
      </c>
    </row>
    <row r="14" spans="1:3" x14ac:dyDescent="0.15">
      <c r="A14">
        <v>13</v>
      </c>
      <c r="B14" s="175" t="s">
        <v>204</v>
      </c>
      <c r="C14">
        <v>0</v>
      </c>
    </row>
    <row r="15" spans="1:3" x14ac:dyDescent="0.15">
      <c r="A15">
        <v>14</v>
      </c>
      <c r="B15" s="175" t="s">
        <v>205</v>
      </c>
      <c r="C15">
        <v>0</v>
      </c>
    </row>
    <row r="16" spans="1:3" x14ac:dyDescent="0.15">
      <c r="A16">
        <v>15</v>
      </c>
      <c r="B16" s="175" t="s">
        <v>206</v>
      </c>
      <c r="C16">
        <v>0</v>
      </c>
    </row>
    <row r="17" spans="1:3" x14ac:dyDescent="0.15">
      <c r="A17">
        <v>16</v>
      </c>
      <c r="B17" s="175" t="s">
        <v>207</v>
      </c>
      <c r="C17">
        <v>0</v>
      </c>
    </row>
    <row r="18" spans="1:3" x14ac:dyDescent="0.15">
      <c r="A18">
        <v>17</v>
      </c>
      <c r="B18" s="175" t="s">
        <v>208</v>
      </c>
      <c r="C18">
        <v>0</v>
      </c>
    </row>
    <row r="19" spans="1:3" x14ac:dyDescent="0.15">
      <c r="A19">
        <v>18</v>
      </c>
      <c r="B19" s="175" t="s">
        <v>209</v>
      </c>
      <c r="C19">
        <v>0</v>
      </c>
    </row>
    <row r="20" spans="1:3" x14ac:dyDescent="0.15">
      <c r="A20">
        <v>19</v>
      </c>
      <c r="B20" s="175" t="s">
        <v>210</v>
      </c>
      <c r="C20">
        <v>0</v>
      </c>
    </row>
    <row r="21" spans="1:3" x14ac:dyDescent="0.15">
      <c r="A21">
        <v>20</v>
      </c>
      <c r="B21" s="175" t="s">
        <v>211</v>
      </c>
      <c r="C21">
        <v>0</v>
      </c>
    </row>
    <row r="22" spans="1:3" x14ac:dyDescent="0.15">
      <c r="A22">
        <v>21</v>
      </c>
      <c r="B22" s="175" t="s">
        <v>212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A20" sqref="A20:XFD20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37">
        <v>1</v>
      </c>
      <c r="B2" s="137" t="s">
        <v>192</v>
      </c>
      <c r="C2" s="8">
        <v>4.3196735382080078</v>
      </c>
      <c r="D2" s="9">
        <v>0.12800000607967377</v>
      </c>
      <c r="E2" s="9">
        <v>0.14800000190734863</v>
      </c>
      <c r="F2" s="9">
        <v>1.1399999856948853</v>
      </c>
      <c r="G2" s="7">
        <v>0</v>
      </c>
      <c r="H2" s="9">
        <v>0.12982456386089325</v>
      </c>
      <c r="I2">
        <v>0</v>
      </c>
      <c r="J2"/>
    </row>
    <row r="3" spans="1:10" ht="15" customHeight="1" x14ac:dyDescent="0.15">
      <c r="A3" s="138">
        <v>2</v>
      </c>
      <c r="B3" s="138" t="s">
        <v>193</v>
      </c>
      <c r="C3" s="8">
        <v>4.0209031105041504</v>
      </c>
      <c r="D3" s="9">
        <v>0.20000000298023224</v>
      </c>
      <c r="E3" s="9">
        <v>0.25</v>
      </c>
      <c r="F3" s="9">
        <v>1.8999999761581421</v>
      </c>
      <c r="G3" s="9">
        <v>0.60739189386367798</v>
      </c>
      <c r="H3" s="9">
        <v>0.1315789520740509</v>
      </c>
      <c r="I3">
        <v>0</v>
      </c>
      <c r="J3"/>
    </row>
    <row r="4" spans="1:10" ht="15" customHeight="1" x14ac:dyDescent="0.15">
      <c r="A4" s="139">
        <v>3</v>
      </c>
      <c r="B4" s="139" t="s">
        <v>194</v>
      </c>
      <c r="C4" s="8">
        <v>3.9024574756622314</v>
      </c>
      <c r="D4" s="9">
        <v>5.000000074505806E-2</v>
      </c>
      <c r="E4" s="9">
        <v>0.43000000715255737</v>
      </c>
      <c r="F4" s="9">
        <v>2.7000000476837158</v>
      </c>
      <c r="G4" s="9">
        <v>0.40085572004318237</v>
      </c>
      <c r="H4" s="9">
        <v>0.15925925970077515</v>
      </c>
      <c r="I4">
        <v>0</v>
      </c>
      <c r="J4"/>
    </row>
    <row r="5" spans="1:10" ht="15" customHeight="1" x14ac:dyDescent="0.15">
      <c r="A5" s="140">
        <v>4</v>
      </c>
      <c r="B5" s="140" t="s">
        <v>195</v>
      </c>
      <c r="C5" s="8">
        <v>3.3285622596740723</v>
      </c>
      <c r="D5" s="9">
        <v>0.10000000149011612</v>
      </c>
      <c r="E5" s="9">
        <v>0.50800001621246338</v>
      </c>
      <c r="F5" s="9">
        <v>2.75</v>
      </c>
      <c r="G5" s="9">
        <v>0.36096060276031494</v>
      </c>
      <c r="H5" s="9">
        <v>0.18472728133201599</v>
      </c>
      <c r="I5">
        <v>0</v>
      </c>
      <c r="J5"/>
    </row>
    <row r="6" spans="1:10" ht="15" customHeight="1" x14ac:dyDescent="0.15">
      <c r="A6" s="141">
        <v>5</v>
      </c>
      <c r="B6" s="141" t="s">
        <v>196</v>
      </c>
      <c r="C6" s="8">
        <v>3.0800092220306396</v>
      </c>
      <c r="D6" s="9">
        <v>0.14000000059604645</v>
      </c>
      <c r="E6" s="9">
        <v>0.73600000143051147</v>
      </c>
      <c r="F6" s="9">
        <v>2.9100000858306885</v>
      </c>
      <c r="G6" s="9">
        <v>0.45325306057929993</v>
      </c>
      <c r="H6" s="9">
        <v>0.25292095541954041</v>
      </c>
      <c r="I6">
        <v>0</v>
      </c>
      <c r="J6"/>
    </row>
    <row r="7" spans="1:10" ht="15" customHeight="1" x14ac:dyDescent="0.15">
      <c r="A7" s="142">
        <v>6</v>
      </c>
      <c r="B7" s="142" t="s">
        <v>197</v>
      </c>
      <c r="C7" s="8">
        <v>2.7948837280273438</v>
      </c>
      <c r="D7" s="9">
        <v>0.22499999403953552</v>
      </c>
      <c r="E7" s="9">
        <v>0.51599997282028198</v>
      </c>
      <c r="F7" s="9">
        <v>3.3499999046325684</v>
      </c>
      <c r="G7" s="9">
        <v>0.52323514223098755</v>
      </c>
      <c r="H7" s="9">
        <v>0.15402984619140625</v>
      </c>
      <c r="I7">
        <v>0</v>
      </c>
      <c r="J7"/>
    </row>
    <row r="8" spans="1:10" ht="15" customHeight="1" x14ac:dyDescent="0.15">
      <c r="A8" s="143">
        <v>7</v>
      </c>
      <c r="B8" s="143" t="s">
        <v>198</v>
      </c>
      <c r="C8" s="8">
        <v>3.1991860866546631</v>
      </c>
      <c r="D8" s="9">
        <v>0.25</v>
      </c>
      <c r="E8" s="9">
        <v>0.28299999237060547</v>
      </c>
      <c r="F8" s="9">
        <v>2.4500000476837158</v>
      </c>
      <c r="G8" s="9">
        <v>0.67394769191741943</v>
      </c>
      <c r="H8" s="9">
        <v>0.11551019549369812</v>
      </c>
      <c r="I8">
        <v>0</v>
      </c>
      <c r="J8"/>
    </row>
    <row r="9" spans="1:10" ht="15" customHeight="1" x14ac:dyDescent="0.15">
      <c r="A9" s="144">
        <v>8</v>
      </c>
      <c r="B9" s="144" t="s">
        <v>199</v>
      </c>
      <c r="C9" s="8">
        <v>3.3910481929779053</v>
      </c>
      <c r="D9" s="9">
        <v>0.28499999642372131</v>
      </c>
      <c r="E9" s="9">
        <v>0.26499998569488525</v>
      </c>
      <c r="F9" s="9">
        <v>2.0299999713897705</v>
      </c>
      <c r="G9" s="9">
        <v>0.73052108287811279</v>
      </c>
      <c r="H9" s="9">
        <v>0.13054186105728149</v>
      </c>
      <c r="I9">
        <v>0</v>
      </c>
      <c r="J9"/>
    </row>
    <row r="10" spans="1:10" ht="15" customHeight="1" x14ac:dyDescent="0.15">
      <c r="A10" s="145">
        <v>9</v>
      </c>
      <c r="B10" s="145" t="s">
        <v>200</v>
      </c>
      <c r="C10" s="8">
        <v>3.0459969043731689</v>
      </c>
      <c r="D10" s="9">
        <v>7.9999998211860657E-2</v>
      </c>
      <c r="E10" s="9">
        <v>1.0499999523162842</v>
      </c>
      <c r="F10" s="9">
        <v>3.5999999046325684</v>
      </c>
      <c r="G10" s="9">
        <v>0.92688095569610596</v>
      </c>
      <c r="H10" s="9">
        <v>0.2916666567325592</v>
      </c>
      <c r="I10">
        <v>0</v>
      </c>
      <c r="J10"/>
    </row>
    <row r="11" spans="1:10" ht="15" customHeight="1" x14ac:dyDescent="0.15">
      <c r="A11" s="146">
        <v>10</v>
      </c>
      <c r="B11" s="146" t="s">
        <v>201</v>
      </c>
      <c r="C11" s="8">
        <v>3.1330726146697998</v>
      </c>
      <c r="D11" s="9">
        <v>0.10499999672174454</v>
      </c>
      <c r="E11" s="9">
        <v>2.190000057220459</v>
      </c>
      <c r="F11" s="9">
        <v>7.3000001907348633</v>
      </c>
      <c r="G11" s="9">
        <v>0.5853467583656311</v>
      </c>
      <c r="H11" s="9">
        <v>0.30000001192092896</v>
      </c>
      <c r="I11">
        <v>0</v>
      </c>
      <c r="J11"/>
    </row>
    <row r="12" spans="1:10" ht="15" customHeight="1" x14ac:dyDescent="0.15">
      <c r="A12" s="147">
        <v>11</v>
      </c>
      <c r="B12" s="147" t="s">
        <v>202</v>
      </c>
      <c r="C12" s="8">
        <v>2.769172191619873</v>
      </c>
      <c r="D12" s="9">
        <v>0.15000000596046448</v>
      </c>
      <c r="E12" s="9">
        <v>3</v>
      </c>
      <c r="F12" s="9">
        <v>8.5900001525878906</v>
      </c>
      <c r="G12" s="9">
        <v>0.64628332853317261</v>
      </c>
      <c r="H12" s="9">
        <v>0.34924331307411194</v>
      </c>
      <c r="I12">
        <v>0</v>
      </c>
      <c r="J12"/>
    </row>
    <row r="13" spans="1:10" ht="15" customHeight="1" x14ac:dyDescent="0.15">
      <c r="A13" s="148">
        <v>12</v>
      </c>
      <c r="B13" s="148" t="s">
        <v>203</v>
      </c>
      <c r="C13" s="8">
        <v>2.9430160522460938</v>
      </c>
      <c r="D13" s="9">
        <v>0.30500000715255737</v>
      </c>
      <c r="E13" s="9">
        <v>3.1149997711181641</v>
      </c>
      <c r="F13" s="9">
        <v>8.8999996185302734</v>
      </c>
      <c r="G13" s="9">
        <v>0.57531803846359253</v>
      </c>
      <c r="H13" s="9">
        <v>0.34999999403953552</v>
      </c>
      <c r="I13">
        <v>0</v>
      </c>
      <c r="J13"/>
    </row>
    <row r="14" spans="1:10" ht="15" customHeight="1" x14ac:dyDescent="0.15">
      <c r="A14" s="149">
        <v>13</v>
      </c>
      <c r="B14" s="149" t="s">
        <v>204</v>
      </c>
      <c r="C14" s="8">
        <v>2.756232738494873</v>
      </c>
      <c r="D14" s="9">
        <v>0.54000002145767212</v>
      </c>
      <c r="E14" s="9">
        <v>1.2999999523162842</v>
      </c>
      <c r="F14" s="9">
        <v>7.4000000953674316</v>
      </c>
      <c r="G14" s="9">
        <v>0.51276642084121704</v>
      </c>
      <c r="H14" s="9">
        <v>0.1756756603717804</v>
      </c>
      <c r="I14">
        <v>0</v>
      </c>
      <c r="J14"/>
    </row>
    <row r="15" spans="1:10" ht="15" customHeight="1" x14ac:dyDescent="0.15">
      <c r="A15" s="150">
        <v>14</v>
      </c>
      <c r="B15" s="150" t="s">
        <v>205</v>
      </c>
      <c r="C15" s="8">
        <v>2.4671478271484375</v>
      </c>
      <c r="D15" s="9">
        <v>0.25499999523162842</v>
      </c>
      <c r="E15" s="9">
        <v>2.7679998874664307</v>
      </c>
      <c r="F15" s="9">
        <v>10.399999618530273</v>
      </c>
      <c r="G15" s="9">
        <v>0.85500186681747437</v>
      </c>
      <c r="H15" s="9">
        <v>0.26615384221076965</v>
      </c>
      <c r="I15">
        <v>0</v>
      </c>
      <c r="J15"/>
    </row>
    <row r="16" spans="1:10" ht="15" customHeight="1" x14ac:dyDescent="0.15">
      <c r="A16" s="151">
        <v>15</v>
      </c>
      <c r="B16" s="151" t="s">
        <v>206</v>
      </c>
      <c r="C16" s="8">
        <v>2.1131548881530762</v>
      </c>
      <c r="D16" s="9">
        <v>0.63144594430923462</v>
      </c>
      <c r="E16" s="9">
        <v>3.190000057220459</v>
      </c>
      <c r="F16" s="9">
        <v>16.200000762939453</v>
      </c>
      <c r="G16" s="9">
        <v>0.99000006914138794</v>
      </c>
      <c r="H16" s="9">
        <v>0.19691357016563416</v>
      </c>
      <c r="I16">
        <v>0</v>
      </c>
      <c r="J16"/>
    </row>
    <row r="17" spans="1:10" ht="15" customHeight="1" x14ac:dyDescent="0.15">
      <c r="A17" s="152">
        <v>16</v>
      </c>
      <c r="B17" s="152" t="s">
        <v>207</v>
      </c>
      <c r="C17" s="8">
        <v>2.6153848171234131</v>
      </c>
      <c r="D17" s="9">
        <v>7.9999998211860657E-2</v>
      </c>
      <c r="E17" s="9">
        <v>22</v>
      </c>
      <c r="F17" s="9">
        <v>56</v>
      </c>
      <c r="G17" s="9">
        <v>0.42056876420974731</v>
      </c>
      <c r="H17" s="9">
        <v>0.3928571343421936</v>
      </c>
      <c r="I17">
        <v>0</v>
      </c>
      <c r="J17"/>
    </row>
    <row r="18" spans="1:10" ht="15" customHeight="1" x14ac:dyDescent="0.15">
      <c r="A18" s="153">
        <v>17</v>
      </c>
      <c r="B18" s="153" t="s">
        <v>208</v>
      </c>
      <c r="C18" s="8">
        <v>2.0526316165924072</v>
      </c>
      <c r="D18" s="9">
        <v>0.38089987635612488</v>
      </c>
      <c r="E18" s="9">
        <v>18</v>
      </c>
      <c r="F18" s="9">
        <v>50</v>
      </c>
      <c r="G18" s="9">
        <v>0.95000022649765015</v>
      </c>
      <c r="H18" s="9">
        <v>0.36000001430511475</v>
      </c>
      <c r="I18">
        <v>0</v>
      </c>
      <c r="J18"/>
    </row>
    <row r="19" spans="1:10" ht="15" customHeight="1" x14ac:dyDescent="0.15">
      <c r="A19" s="154">
        <v>18</v>
      </c>
      <c r="B19" s="154" t="s">
        <v>209</v>
      </c>
      <c r="C19" s="8">
        <v>2</v>
      </c>
      <c r="D19" s="9">
        <v>1.2000000104308128E-2</v>
      </c>
      <c r="E19" s="9">
        <v>60</v>
      </c>
      <c r="F19" s="9">
        <v>240</v>
      </c>
      <c r="G19" s="9">
        <v>0.83002239465713501</v>
      </c>
      <c r="H19" s="9">
        <v>0.25</v>
      </c>
      <c r="I19">
        <v>0</v>
      </c>
      <c r="J19"/>
    </row>
    <row r="20" spans="1:10" ht="15" customHeight="1" x14ac:dyDescent="0.15">
      <c r="A20" s="155">
        <v>19</v>
      </c>
      <c r="B20" s="155" t="s">
        <v>210</v>
      </c>
      <c r="C20" s="8">
        <v>1</v>
      </c>
      <c r="D20" s="9">
        <v>9.9999997764825821E-3</v>
      </c>
      <c r="E20" s="9">
        <v>3577</v>
      </c>
      <c r="F20" s="10"/>
      <c r="G20" s="7">
        <v>0</v>
      </c>
      <c r="H20" s="10"/>
      <c r="I20">
        <v>0</v>
      </c>
      <c r="J20"/>
    </row>
    <row r="21" spans="1:10" ht="15" customHeight="1" x14ac:dyDescent="0.15">
      <c r="A21" s="156">
        <v>20</v>
      </c>
      <c r="B21" s="156" t="s">
        <v>211</v>
      </c>
      <c r="C21" s="8">
        <v>1</v>
      </c>
      <c r="D21" s="9">
        <v>35</v>
      </c>
      <c r="E21" s="10"/>
      <c r="F21" s="10"/>
      <c r="G21" s="9">
        <v>0.71093320846557617</v>
      </c>
      <c r="H21" s="10"/>
      <c r="I21">
        <v>0</v>
      </c>
      <c r="J21"/>
    </row>
    <row r="22" spans="1:10" ht="15" customHeight="1" x14ac:dyDescent="0.15">
      <c r="A22" s="157">
        <v>21</v>
      </c>
      <c r="B22" s="157" t="s">
        <v>212</v>
      </c>
      <c r="C22" s="8">
        <v>1</v>
      </c>
      <c r="D22" s="9">
        <v>29.659999847412109</v>
      </c>
      <c r="E22" s="10"/>
      <c r="F22" s="10"/>
      <c r="G22" s="7">
        <v>0.29666954278945923</v>
      </c>
      <c r="H22" s="10"/>
      <c r="I22">
        <v>0</v>
      </c>
      <c r="J22"/>
    </row>
    <row r="23" spans="1:10" ht="15" customHeight="1" x14ac:dyDescent="0.15">
      <c r="A23" s="158">
        <v>22</v>
      </c>
      <c r="B23" s="158" t="s">
        <v>217</v>
      </c>
      <c r="C23" s="8">
        <v>1</v>
      </c>
      <c r="D23" s="10"/>
      <c r="E23" s="10"/>
      <c r="F23" s="10"/>
      <c r="G23" s="10"/>
      <c r="H23" s="10"/>
      <c r="I23">
        <v>0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0.14800000190734863</v>
      </c>
      <c r="C2">
        <v>0.14800000190734863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0.25</v>
      </c>
      <c r="C3">
        <v>9.8152026534080505E-2</v>
      </c>
      <c r="D3"/>
      <c r="E3" s="131">
        <v>9.4847992062568665E-2</v>
      </c>
      <c r="F3" s="200">
        <v>5.6999985128641129E-2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0.43000000715255737</v>
      </c>
      <c r="C4">
        <v>0.2576320469379425</v>
      </c>
      <c r="D4"/>
      <c r="E4" s="190">
        <v>5.8368001133203506E-2</v>
      </c>
      <c r="F4" s="194">
        <v>0.11399997025728226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0.50800001621246338</v>
      </c>
      <c r="C5">
        <v>0.32463201880455017</v>
      </c>
      <c r="D5"/>
      <c r="E5" s="195">
        <v>5.8368001133203506E-2</v>
      </c>
      <c r="F5" s="193">
        <v>5.6999985128641129E-2</v>
      </c>
      <c r="G5" s="191">
        <v>4.050000011920929E-2</v>
      </c>
      <c r="H5" s="61">
        <v>2.7499999850988388E-2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0.73600000143051147</v>
      </c>
      <c r="C6">
        <v>0.40240573883056641</v>
      </c>
      <c r="D6"/>
      <c r="E6" s="198">
        <v>6.2537148594856262E-2</v>
      </c>
      <c r="F6" s="208">
        <v>0.13571426272392273</v>
      </c>
      <c r="G6" s="199">
        <v>7.7142857015132904E-2</v>
      </c>
      <c r="H6"/>
      <c r="I6" s="71">
        <v>5.8199997991323471E-2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0.51599997282028198</v>
      </c>
      <c r="C7">
        <v>0.24601064622402191</v>
      </c>
      <c r="D7"/>
      <c r="E7" s="132">
        <v>5.188266932964325E-2</v>
      </c>
      <c r="F7" s="212">
        <v>0.15199998021125793</v>
      </c>
      <c r="G7" s="65">
        <v>4.8000004142522812E-2</v>
      </c>
      <c r="H7"/>
      <c r="I7" s="25">
        <v>1.8106665462255478E-2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0.28299999237060547</v>
      </c>
      <c r="C8">
        <v>9.22728031873703E-2</v>
      </c>
      <c r="D8"/>
      <c r="E8" s="205">
        <v>5.2531205117702484E-2</v>
      </c>
      <c r="F8" s="207">
        <v>7.5999990105628967E-2</v>
      </c>
      <c r="G8" s="201">
        <v>4.5900002121925354E-2</v>
      </c>
      <c r="H8"/>
      <c r="I8" s="192">
        <v>1.629599928855896E-2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0.26499998569488525</v>
      </c>
      <c r="C9">
        <v>7.141190767288208E-2</v>
      </c>
      <c r="D9"/>
      <c r="E9" s="202">
        <v>4.0960002690553665E-2</v>
      </c>
      <c r="F9" s="210">
        <v>9.3333326280117035E-2</v>
      </c>
      <c r="G9" s="204">
        <v>4.5000001788139343E-2</v>
      </c>
      <c r="H9"/>
      <c r="I9" s="61">
        <v>1.4294736087322235E-2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1.0499999523162842</v>
      </c>
      <c r="C10">
        <v>7.6774992048740387E-2</v>
      </c>
      <c r="D10"/>
      <c r="E10" s="196">
        <v>9.1200001537799835E-2</v>
      </c>
      <c r="F10" s="213">
        <v>0.47499993443489075</v>
      </c>
      <c r="G10" s="203">
        <v>0.15187501907348633</v>
      </c>
      <c r="H10"/>
      <c r="I10" s="189">
        <v>2.5462498888373375E-2</v>
      </c>
      <c r="J10"/>
      <c r="K10" s="206">
        <v>0.22968751192092896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2.190000057220459</v>
      </c>
      <c r="C11">
        <v>0.90809065103530884</v>
      </c>
      <c r="D11"/>
      <c r="E11" s="209">
        <v>0.20845715701580048</v>
      </c>
      <c r="F11" s="214">
        <v>0.72380948066711426</v>
      </c>
      <c r="G11" s="26">
        <v>0.10285715013742447</v>
      </c>
      <c r="H11"/>
      <c r="I11"/>
      <c r="J11" s="197">
        <v>7.1785710752010345E-2</v>
      </c>
      <c r="K11" s="191">
        <v>0.17500001192092896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3</v>
      </c>
      <c r="C12">
        <v>1.061150074005127</v>
      </c>
      <c r="D12"/>
      <c r="E12"/>
      <c r="F12" s="19">
        <v>0.12666665017604828</v>
      </c>
      <c r="G12" s="135">
        <v>8.999999612569809E-2</v>
      </c>
      <c r="H12" s="18">
        <v>5.4999995976686478E-2</v>
      </c>
      <c r="I12" s="61">
        <v>0.1629599928855896</v>
      </c>
      <c r="J12"/>
      <c r="K12" s="195">
        <v>0.34708333015441895</v>
      </c>
      <c r="L12" s="66">
        <v>0.15427999198436737</v>
      </c>
      <c r="M12"/>
      <c r="N12" s="197">
        <v>0.10219999402761459</v>
      </c>
      <c r="O12"/>
      <c r="P12" s="216">
        <v>0.72386658191680908</v>
      </c>
      <c r="Q12"/>
      <c r="R12" s="63">
        <v>0.17679333686828613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3.1149997711181641</v>
      </c>
      <c r="C13">
        <v>1.322884202003479</v>
      </c>
      <c r="D13"/>
      <c r="E13"/>
      <c r="F13" s="192">
        <v>0.17442621290683746</v>
      </c>
      <c r="G13" s="17">
        <v>3.5409837961196899E-2</v>
      </c>
      <c r="H13" s="63">
        <v>0.1803278774023056</v>
      </c>
      <c r="I13" s="211">
        <v>0.12021639943122864</v>
      </c>
      <c r="J13" s="211">
        <v>0.12356556951999664</v>
      </c>
      <c r="K13" s="61">
        <v>0.17069672048091888</v>
      </c>
      <c r="L13" s="19">
        <v>0.13278196752071381</v>
      </c>
      <c r="M13" s="189">
        <v>7.5536914169788361E-2</v>
      </c>
      <c r="N13" s="191">
        <v>0.25131148099899292</v>
      </c>
      <c r="O13"/>
      <c r="P13" s="196">
        <v>0.2669999897480011</v>
      </c>
      <c r="Q13"/>
      <c r="R13" s="198">
        <v>0.26084262132644653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1.2999999523162842</v>
      </c>
      <c r="C14">
        <v>0.63340365886688232</v>
      </c>
      <c r="D14"/>
      <c r="E14"/>
      <c r="F14" s="23">
        <v>3.5185180604457855E-2</v>
      </c>
      <c r="G14" s="25">
        <v>4.5000001788139343E-2</v>
      </c>
      <c r="H14" s="211">
        <v>5.0925925374031067E-2</v>
      </c>
      <c r="I14" s="13">
        <v>3.7722219713032246E-3</v>
      </c>
      <c r="J14"/>
      <c r="K14" s="68">
        <v>9.0740732848644257E-2</v>
      </c>
      <c r="L14"/>
      <c r="M14"/>
      <c r="N14" s="61">
        <v>7.0972219109535217E-2</v>
      </c>
      <c r="O14"/>
      <c r="P14"/>
      <c r="Q14" s="219">
        <v>0.37000000476837158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2.7679998874664307</v>
      </c>
      <c r="C15">
        <v>0.40135481953620911</v>
      </c>
      <c r="D15"/>
      <c r="E15"/>
      <c r="F15" s="15">
        <v>4.4705871492624283E-2</v>
      </c>
      <c r="G15"/>
      <c r="H15" s="215">
        <v>0.37745097279548645</v>
      </c>
      <c r="I15" s="62">
        <v>0.1118353009223938</v>
      </c>
      <c r="J15" s="218">
        <v>0.73897057771682739</v>
      </c>
      <c r="K15" s="209">
        <v>0.26421570777893066</v>
      </c>
      <c r="L15" s="21">
        <v>2.2688234224915504E-2</v>
      </c>
      <c r="M15" s="62">
        <v>0.11293509602546692</v>
      </c>
      <c r="N15" s="217">
        <v>0.48094117641448975</v>
      </c>
      <c r="O15"/>
      <c r="P15" s="24">
        <v>0.21290194988250732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3.190000057220459</v>
      </c>
      <c r="C16">
        <v>3.1899780035018921E-2</v>
      </c>
      <c r="D16"/>
      <c r="E16"/>
      <c r="F16" s="22">
        <v>1.8053798004984856E-2</v>
      </c>
      <c r="G16"/>
      <c r="H16" s="16">
        <v>4.3550841510295868E-2</v>
      </c>
      <c r="I16" s="24">
        <v>0.24517063796520233</v>
      </c>
      <c r="J16" s="12">
        <v>0.11936888843774796</v>
      </c>
      <c r="K16" s="220">
        <v>0.39769834280014038</v>
      </c>
      <c r="L16" s="66">
        <v>0.16492147743701935</v>
      </c>
      <c r="M16" s="136">
        <v>0.19155001640319824</v>
      </c>
      <c r="N16" s="223">
        <v>0.50982987880706787</v>
      </c>
      <c r="O16" s="221">
        <v>0.40811097621917725</v>
      </c>
      <c r="P16" s="190">
        <v>0.42988637089729309</v>
      </c>
      <c r="Q16"/>
      <c r="R16" s="224">
        <v>0.62995904684066772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22</v>
      </c>
      <c r="C17">
        <v>12.74748706817627</v>
      </c>
      <c r="D17"/>
      <c r="E17"/>
      <c r="F17"/>
      <c r="G17"/>
      <c r="H17"/>
      <c r="I17" s="14">
        <v>0.203699991106987</v>
      </c>
      <c r="J17" s="18">
        <v>0.37687498331069946</v>
      </c>
      <c r="K17"/>
      <c r="L17" s="224">
        <v>4.3391251564025879</v>
      </c>
      <c r="M17"/>
      <c r="N17"/>
      <c r="O17"/>
      <c r="P17" s="26">
        <v>1.0179374217987061</v>
      </c>
      <c r="Q17"/>
      <c r="R17" s="222">
        <v>3.314875602722168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18</v>
      </c>
      <c r="C18">
        <v>0.89999592304229736</v>
      </c>
      <c r="D18"/>
      <c r="E18"/>
      <c r="F18"/>
      <c r="G18" s="13">
        <v>3.5442385822534561E-2</v>
      </c>
      <c r="H18" s="13">
        <v>4.3318469077348709E-2</v>
      </c>
      <c r="I18" s="11">
        <v>8.556579053401947E-2</v>
      </c>
      <c r="J18" s="21">
        <v>0.13852064311504364</v>
      </c>
      <c r="K18"/>
      <c r="L18"/>
      <c r="M18" s="14">
        <v>0.16259430348873138</v>
      </c>
      <c r="N18"/>
      <c r="O18" s="192">
        <v>1.0148336887359619</v>
      </c>
      <c r="P18" s="227">
        <v>2.4942905902862549</v>
      </c>
      <c r="Q18" s="228">
        <v>4.1963787078857422</v>
      </c>
      <c r="R18" s="20">
        <v>0.34837129712104797</v>
      </c>
      <c r="S18" s="226">
        <v>1.6112736463546753</v>
      </c>
      <c r="T18" s="229">
        <v>4.4694161415100098</v>
      </c>
      <c r="U18" s="227">
        <v>2.5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60</v>
      </c>
      <c r="C19">
        <v>10.19865608215332</v>
      </c>
      <c r="D19"/>
      <c r="E19"/>
      <c r="F19"/>
      <c r="G19"/>
      <c r="H19"/>
      <c r="I19"/>
      <c r="J19" s="64">
        <v>3.7687497138977051</v>
      </c>
      <c r="K19"/>
      <c r="L19"/>
      <c r="M19" s="20">
        <v>1.1999354362487793</v>
      </c>
      <c r="N19"/>
      <c r="O19"/>
      <c r="P19"/>
      <c r="Q19"/>
      <c r="R19" s="12">
        <v>2.2099165916442871</v>
      </c>
      <c r="S19" s="225">
        <v>42.622745513916016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3577</v>
      </c>
      <c r="C20">
        <v>3577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0.71093320846557617</v>
      </c>
      <c r="D21"/>
      <c r="E21"/>
      <c r="F21"/>
      <c r="G21"/>
      <c r="H21"/>
      <c r="I21"/>
      <c r="J21" s="9">
        <v>0.11306250095367432</v>
      </c>
      <c r="K21"/>
      <c r="L21"/>
      <c r="M21"/>
      <c r="N21" s="9">
        <v>0.11497500538825989</v>
      </c>
      <c r="O21" s="9">
        <v>0.19327501952648163</v>
      </c>
      <c r="P21" s="9">
        <v>0.35288497805595398</v>
      </c>
      <c r="Q21" s="9">
        <v>0.59940004348754883</v>
      </c>
      <c r="R21" s="9">
        <v>0.53038007020950317</v>
      </c>
      <c r="S21" s="9">
        <v>4.3986668586730957</v>
      </c>
      <c r="T21" s="9">
        <v>1.2095999717712402</v>
      </c>
      <c r="U21" s="9">
        <v>18.092744827270508</v>
      </c>
      <c r="V21" s="9">
        <v>0.86400002241134644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0.29666954278945923</v>
      </c>
      <c r="D22"/>
      <c r="E22"/>
      <c r="F22"/>
      <c r="G22"/>
      <c r="H22" s="9">
        <v>4.1250001639127731E-2</v>
      </c>
      <c r="I22" s="9">
        <v>8.9628003537654877E-2</v>
      </c>
      <c r="J22" s="9">
        <v>0.20351248979568481</v>
      </c>
      <c r="K22" s="9">
        <v>0.1041250005364418</v>
      </c>
      <c r="L22" s="9">
        <v>5.7854998856782913E-2</v>
      </c>
      <c r="M22" s="9">
        <v>3.8877908140420914E-2</v>
      </c>
      <c r="N22"/>
      <c r="O22" s="9">
        <v>6.4425006508827209E-2</v>
      </c>
      <c r="P22"/>
      <c r="Q22"/>
      <c r="R22" s="9">
        <v>1.1933550834655762</v>
      </c>
      <c r="S22" s="9">
        <v>4.7055506706237793</v>
      </c>
      <c r="T22"/>
      <c r="U22"/>
      <c r="V22" s="9">
        <v>2.0160000324249268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H31" sqref="H31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7.83203125" bestFit="1" customWidth="1"/>
    <col min="5" max="7" width="7.33203125" customWidth="1"/>
    <col min="8" max="8" width="27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166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167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76" t="s">
        <v>192</v>
      </c>
      <c r="E5">
        <v>4</v>
      </c>
      <c r="F5">
        <v>0</v>
      </c>
      <c r="G5">
        <v>4</v>
      </c>
      <c r="H5" s="177" t="s">
        <v>192</v>
      </c>
      <c r="J5" s="54"/>
      <c r="K5" s="55"/>
    </row>
    <row r="6" spans="1:12" ht="14" thickBot="1" x14ac:dyDescent="0.2">
      <c r="A6" s="38" t="s">
        <v>121</v>
      </c>
      <c r="D6" s="176" t="s">
        <v>193</v>
      </c>
      <c r="E6">
        <v>5</v>
      </c>
      <c r="F6">
        <v>3.24</v>
      </c>
      <c r="G6">
        <v>5</v>
      </c>
      <c r="H6" s="177" t="s">
        <v>193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76" t="s">
        <v>194</v>
      </c>
      <c r="E7">
        <v>6</v>
      </c>
      <c r="F7">
        <v>3.24</v>
      </c>
      <c r="G7">
        <v>6</v>
      </c>
      <c r="H7" s="177" t="s">
        <v>194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76" t="s">
        <v>195</v>
      </c>
      <c r="E8">
        <v>7</v>
      </c>
      <c r="F8">
        <v>0</v>
      </c>
      <c r="G8">
        <v>7</v>
      </c>
      <c r="H8" s="177" t="s">
        <v>195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76" t="s">
        <v>196</v>
      </c>
      <c r="E9">
        <v>8</v>
      </c>
      <c r="F9">
        <v>0</v>
      </c>
      <c r="G9">
        <v>8</v>
      </c>
      <c r="H9" s="177" t="s">
        <v>196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76" t="s">
        <v>197</v>
      </c>
      <c r="E10">
        <v>9</v>
      </c>
      <c r="F10">
        <v>0</v>
      </c>
      <c r="G10">
        <v>9</v>
      </c>
      <c r="H10" s="177" t="s">
        <v>197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76" t="s">
        <v>198</v>
      </c>
      <c r="E11">
        <v>10</v>
      </c>
      <c r="F11">
        <v>3.24</v>
      </c>
      <c r="G11">
        <v>10</v>
      </c>
      <c r="H11" s="177" t="s">
        <v>198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76" t="s">
        <v>199</v>
      </c>
      <c r="E12">
        <v>11</v>
      </c>
      <c r="F12">
        <v>0</v>
      </c>
      <c r="G12">
        <v>11</v>
      </c>
      <c r="H12" s="177" t="s">
        <v>199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76" t="s">
        <v>200</v>
      </c>
      <c r="E13">
        <v>12</v>
      </c>
      <c r="F13">
        <v>0</v>
      </c>
      <c r="G13">
        <v>12</v>
      </c>
      <c r="H13" s="177" t="s">
        <v>200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76" t="s">
        <v>201</v>
      </c>
      <c r="E14">
        <v>13</v>
      </c>
      <c r="F14">
        <v>3.13</v>
      </c>
      <c r="G14">
        <v>13</v>
      </c>
      <c r="H14" s="177" t="s">
        <v>201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76" t="s">
        <v>202</v>
      </c>
      <c r="E15">
        <v>14</v>
      </c>
      <c r="F15">
        <v>0</v>
      </c>
      <c r="G15">
        <v>14</v>
      </c>
      <c r="H15" s="177" t="s">
        <v>202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76" t="s">
        <v>203</v>
      </c>
      <c r="E16">
        <v>15</v>
      </c>
      <c r="F16">
        <v>0</v>
      </c>
      <c r="G16">
        <v>15</v>
      </c>
      <c r="H16" s="177" t="s">
        <v>203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76" t="s">
        <v>204</v>
      </c>
      <c r="E17">
        <v>16</v>
      </c>
      <c r="F17">
        <v>3.24</v>
      </c>
      <c r="G17">
        <v>16</v>
      </c>
      <c r="H17" s="177" t="s">
        <v>204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76" t="s">
        <v>205</v>
      </c>
      <c r="E18">
        <v>17</v>
      </c>
      <c r="F18">
        <v>0</v>
      </c>
      <c r="G18">
        <v>17</v>
      </c>
      <c r="H18" s="177" t="s">
        <v>205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76" t="s">
        <v>206</v>
      </c>
      <c r="E19">
        <v>18</v>
      </c>
      <c r="F19">
        <v>0</v>
      </c>
      <c r="G19">
        <v>18</v>
      </c>
      <c r="H19" s="177" t="s">
        <v>206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76" t="s">
        <v>207</v>
      </c>
      <c r="E20">
        <v>19</v>
      </c>
      <c r="F20">
        <v>0</v>
      </c>
      <c r="G20">
        <v>19</v>
      </c>
      <c r="H20" s="177" t="s">
        <v>207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76" t="s">
        <v>208</v>
      </c>
      <c r="E21">
        <v>20</v>
      </c>
      <c r="F21">
        <v>0</v>
      </c>
      <c r="G21">
        <v>20</v>
      </c>
      <c r="H21" s="177" t="s">
        <v>208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76" t="s">
        <v>209</v>
      </c>
      <c r="E22">
        <v>21</v>
      </c>
      <c r="F22">
        <v>3.21</v>
      </c>
      <c r="G22">
        <v>21</v>
      </c>
      <c r="H22" s="177" t="s">
        <v>209</v>
      </c>
    </row>
    <row r="23" spans="1:12" x14ac:dyDescent="0.15">
      <c r="A23" s="33" t="s">
        <v>129</v>
      </c>
      <c r="B23" s="41">
        <v>4</v>
      </c>
      <c r="C23" s="35"/>
      <c r="D23" s="176" t="s">
        <v>210</v>
      </c>
      <c r="E23">
        <v>22</v>
      </c>
      <c r="F23">
        <v>2</v>
      </c>
      <c r="G23">
        <v>22</v>
      </c>
      <c r="H23" s="177" t="s">
        <v>210</v>
      </c>
    </row>
    <row r="24" spans="1:12" x14ac:dyDescent="0.15">
      <c r="A24" s="33" t="s">
        <v>122</v>
      </c>
      <c r="B24" s="41">
        <v>4.0999999999999996</v>
      </c>
      <c r="C24" s="35"/>
      <c r="D24" s="176" t="s">
        <v>211</v>
      </c>
      <c r="E24">
        <v>23</v>
      </c>
      <c r="F24">
        <v>4.0999999999999996</v>
      </c>
      <c r="G24">
        <v>23</v>
      </c>
      <c r="H24" s="177" t="s">
        <v>211</v>
      </c>
    </row>
    <row r="25" spans="1:12" x14ac:dyDescent="0.15">
      <c r="A25" s="33" t="s">
        <v>70</v>
      </c>
      <c r="B25" s="41">
        <v>4.2</v>
      </c>
      <c r="C25" s="35"/>
      <c r="D25" s="176" t="s">
        <v>212</v>
      </c>
      <c r="E25">
        <v>24</v>
      </c>
      <c r="F25">
        <v>4.3</v>
      </c>
      <c r="G25">
        <v>24</v>
      </c>
      <c r="H25" s="177" t="s">
        <v>212</v>
      </c>
    </row>
    <row r="26" spans="1:12" x14ac:dyDescent="0.15">
      <c r="A26" s="33" t="s">
        <v>123</v>
      </c>
      <c r="B26" s="41">
        <v>4.3</v>
      </c>
      <c r="C26" s="35"/>
      <c r="D26" s="187" t="s">
        <v>217</v>
      </c>
      <c r="E26">
        <v>25</v>
      </c>
      <c r="F26">
        <v>5</v>
      </c>
      <c r="G26">
        <v>25</v>
      </c>
      <c r="H26" s="187" t="s">
        <v>217</v>
      </c>
    </row>
    <row r="27" spans="1:12" x14ac:dyDescent="0.15">
      <c r="A27" s="33" t="s">
        <v>125</v>
      </c>
      <c r="B27" s="41">
        <v>6.1</v>
      </c>
      <c r="D27" s="176" t="s">
        <v>138</v>
      </c>
      <c r="E27">
        <v>26</v>
      </c>
      <c r="F27">
        <v>6.1</v>
      </c>
      <c r="G27">
        <v>26</v>
      </c>
      <c r="H27" s="177" t="s">
        <v>138</v>
      </c>
    </row>
    <row r="28" spans="1:12" x14ac:dyDescent="0.15">
      <c r="A28" s="33" t="s">
        <v>124</v>
      </c>
      <c r="B28" s="41">
        <v>6.2</v>
      </c>
      <c r="D28" s="176" t="s">
        <v>45</v>
      </c>
      <c r="E28">
        <v>27</v>
      </c>
      <c r="F28">
        <v>6.2</v>
      </c>
      <c r="G28">
        <v>27</v>
      </c>
      <c r="H28" s="177" t="s">
        <v>45</v>
      </c>
    </row>
    <row r="29" spans="1:12" x14ac:dyDescent="0.15">
      <c r="A29" s="33" t="s">
        <v>44</v>
      </c>
      <c r="B29" s="41">
        <v>5</v>
      </c>
    </row>
    <row r="30" spans="1:12" x14ac:dyDescent="0.15">
      <c r="A30" s="33" t="s">
        <v>73</v>
      </c>
      <c r="B30" s="41">
        <v>7</v>
      </c>
    </row>
    <row r="31" spans="1:12" x14ac:dyDescent="0.15">
      <c r="A31" s="33" t="s">
        <v>169</v>
      </c>
      <c r="B31" s="41">
        <v>3.14</v>
      </c>
    </row>
    <row r="32" spans="1:12" ht="12" customHeight="1" thickBot="1" x14ac:dyDescent="0.2">
      <c r="A32" s="39" t="s">
        <v>170</v>
      </c>
      <c r="B32" s="42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F30" sqref="F30"/>
    </sheetView>
  </sheetViews>
  <sheetFormatPr baseColWidth="10" defaultColWidth="11.5" defaultRowHeight="15" customHeight="1" x14ac:dyDescent="0.15"/>
  <cols>
    <col min="1" max="1" width="40.1640625" style="78" bestFit="1" customWidth="1"/>
    <col min="2" max="2" width="4.83203125" style="77" customWidth="1"/>
    <col min="3" max="3" width="16.6640625" style="77" customWidth="1"/>
    <col min="4" max="4" width="39.6640625" style="77" customWidth="1"/>
    <col min="5" max="5" width="8.1640625" style="77" customWidth="1"/>
    <col min="6" max="6" width="27.83203125" style="77" bestFit="1" customWidth="1"/>
    <col min="7" max="9" width="2.33203125" style="77" customWidth="1"/>
    <col min="10" max="10" width="2.33203125" style="77" bestFit="1" customWidth="1"/>
    <col min="11" max="15" width="3.83203125" style="77" customWidth="1"/>
    <col min="16" max="16" width="3.83203125" style="69" customWidth="1"/>
    <col min="17" max="17" width="2.33203125" style="77" customWidth="1"/>
    <col min="18" max="18" width="2.33203125" style="70" customWidth="1"/>
    <col min="19" max="16384" width="11.5" style="77"/>
  </cols>
  <sheetData>
    <row r="1" spans="1:23" ht="15" customHeight="1" thickBot="1" x14ac:dyDescent="0.2">
      <c r="F1" s="1"/>
      <c r="G1" s="67" t="s">
        <v>46</v>
      </c>
      <c r="H1" s="67" t="s">
        <v>47</v>
      </c>
      <c r="I1" s="67" t="s">
        <v>120</v>
      </c>
      <c r="J1" s="67" t="s">
        <v>132</v>
      </c>
      <c r="K1" s="79" t="s">
        <v>48</v>
      </c>
      <c r="L1" s="70"/>
      <c r="M1" s="79" t="s">
        <v>119</v>
      </c>
      <c r="N1" s="70"/>
      <c r="O1" s="79" t="s">
        <v>49</v>
      </c>
      <c r="P1" s="72"/>
      <c r="Q1" s="79" t="s">
        <v>50</v>
      </c>
      <c r="R1" s="67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2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2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78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1</v>
      </c>
      <c r="M6" s="77">
        <v>0</v>
      </c>
      <c r="N6" s="77">
        <v>1</v>
      </c>
      <c r="O6" s="77">
        <v>0</v>
      </c>
      <c r="P6" s="69">
        <v>1</v>
      </c>
      <c r="Q6" s="77">
        <v>0</v>
      </c>
      <c r="R6" s="70">
        <v>1</v>
      </c>
      <c r="S6"/>
      <c r="T6"/>
    </row>
    <row r="7" spans="1:23" ht="15" customHeight="1" thickBot="1" x14ac:dyDescent="0.2">
      <c r="F7" s="178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0</v>
      </c>
      <c r="L7" s="77">
        <v>1</v>
      </c>
      <c r="M7" s="77">
        <v>0</v>
      </c>
      <c r="N7" s="77">
        <v>1</v>
      </c>
      <c r="O7" s="77">
        <v>0</v>
      </c>
      <c r="P7" s="69">
        <v>1</v>
      </c>
      <c r="Q7" s="77">
        <v>0</v>
      </c>
      <c r="R7" s="70">
        <v>1</v>
      </c>
      <c r="S7"/>
      <c r="T7"/>
    </row>
    <row r="8" spans="1:23" ht="15" customHeight="1" x14ac:dyDescent="0.15">
      <c r="A8" s="79" t="s">
        <v>56</v>
      </c>
      <c r="B8" s="86">
        <v>1</v>
      </c>
      <c r="C8" s="179" t="s">
        <v>210</v>
      </c>
      <c r="D8" s="81" t="s">
        <v>160</v>
      </c>
      <c r="F8" s="178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0</v>
      </c>
      <c r="L8" s="77">
        <v>1</v>
      </c>
      <c r="M8" s="77">
        <v>0</v>
      </c>
      <c r="N8" s="77">
        <v>1</v>
      </c>
      <c r="O8" s="77">
        <v>0</v>
      </c>
      <c r="P8" s="69">
        <v>1</v>
      </c>
      <c r="Q8" s="77">
        <v>0</v>
      </c>
      <c r="R8" s="70">
        <v>1</v>
      </c>
      <c r="S8"/>
      <c r="T8"/>
      <c r="W8"/>
    </row>
    <row r="9" spans="1:23" ht="15" customHeight="1" x14ac:dyDescent="0.15">
      <c r="A9" s="116" t="s">
        <v>168</v>
      </c>
      <c r="B9" s="88"/>
      <c r="C9" s="76"/>
      <c r="D9" s="81" t="s">
        <v>160</v>
      </c>
      <c r="F9" s="178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0</v>
      </c>
      <c r="L9" s="77">
        <v>1</v>
      </c>
      <c r="M9" s="77">
        <v>0</v>
      </c>
      <c r="N9" s="77">
        <v>1</v>
      </c>
      <c r="O9" s="77">
        <v>0</v>
      </c>
      <c r="P9" s="69">
        <v>1</v>
      </c>
      <c r="Q9" s="77">
        <v>0</v>
      </c>
      <c r="R9" s="70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78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0</v>
      </c>
      <c r="L10" s="77">
        <v>1</v>
      </c>
      <c r="M10" s="77">
        <v>0</v>
      </c>
      <c r="N10" s="77">
        <v>1</v>
      </c>
      <c r="O10" s="77">
        <v>0</v>
      </c>
      <c r="P10" s="69">
        <v>1</v>
      </c>
      <c r="Q10" s="77">
        <v>0</v>
      </c>
      <c r="R10" s="70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78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0</v>
      </c>
      <c r="L11" s="77">
        <v>1</v>
      </c>
      <c r="M11" s="77">
        <v>0</v>
      </c>
      <c r="N11" s="77">
        <v>1</v>
      </c>
      <c r="O11" s="77">
        <v>0</v>
      </c>
      <c r="P11" s="69">
        <v>1</v>
      </c>
      <c r="Q11" s="77">
        <v>0</v>
      </c>
      <c r="R11" s="70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78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0</v>
      </c>
      <c r="L12" s="77">
        <v>1</v>
      </c>
      <c r="M12" s="77">
        <v>0</v>
      </c>
      <c r="N12" s="77">
        <v>1</v>
      </c>
      <c r="O12" s="77">
        <v>0</v>
      </c>
      <c r="P12" s="69">
        <v>1</v>
      </c>
      <c r="Q12" s="77">
        <v>0</v>
      </c>
      <c r="R12" s="70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78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0</v>
      </c>
      <c r="L13" s="77">
        <v>1</v>
      </c>
      <c r="M13" s="77">
        <v>0</v>
      </c>
      <c r="N13" s="77">
        <v>1</v>
      </c>
      <c r="O13" s="77">
        <v>0</v>
      </c>
      <c r="P13" s="69">
        <v>1</v>
      </c>
      <c r="Q13" s="77">
        <v>0</v>
      </c>
      <c r="R13" s="70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78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0</v>
      </c>
      <c r="L14" s="77">
        <v>1</v>
      </c>
      <c r="M14" s="77">
        <v>0</v>
      </c>
      <c r="N14" s="77">
        <v>1</v>
      </c>
      <c r="O14" s="77">
        <v>0</v>
      </c>
      <c r="P14" s="69">
        <v>1</v>
      </c>
      <c r="Q14" s="77">
        <v>0</v>
      </c>
      <c r="R14" s="70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78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0</v>
      </c>
      <c r="L15" s="77">
        <v>1</v>
      </c>
      <c r="M15" s="77">
        <v>0</v>
      </c>
      <c r="N15" s="77">
        <v>1</v>
      </c>
      <c r="O15" s="77">
        <v>0</v>
      </c>
      <c r="P15" s="69">
        <v>1</v>
      </c>
      <c r="Q15" s="77">
        <v>0</v>
      </c>
      <c r="R15" s="70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78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0</v>
      </c>
      <c r="L16" s="77">
        <v>1</v>
      </c>
      <c r="M16" s="77">
        <v>0</v>
      </c>
      <c r="N16" s="77">
        <v>1</v>
      </c>
      <c r="O16" s="77">
        <v>0</v>
      </c>
      <c r="P16" s="69">
        <v>1</v>
      </c>
      <c r="Q16" s="77">
        <v>0</v>
      </c>
      <c r="R16" s="70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78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0.7</v>
      </c>
      <c r="L17" s="77">
        <v>0.30000000000000004</v>
      </c>
      <c r="M17" s="77">
        <v>0.7</v>
      </c>
      <c r="N17" s="77">
        <v>0.30000000000000004</v>
      </c>
      <c r="O17" s="77">
        <v>0.7</v>
      </c>
      <c r="P17" s="69">
        <v>0.30000000000000004</v>
      </c>
      <c r="Q17" s="77">
        <v>0</v>
      </c>
      <c r="R17" s="70">
        <v>1</v>
      </c>
      <c r="S17"/>
      <c r="T17"/>
    </row>
    <row r="18" spans="1:20" ht="15" customHeight="1" thickBot="1" x14ac:dyDescent="0.2">
      <c r="B18" s="89"/>
      <c r="F18" s="178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0.7</v>
      </c>
      <c r="L18" s="77">
        <v>0.30000000000000004</v>
      </c>
      <c r="M18" s="77">
        <v>0.7</v>
      </c>
      <c r="N18" s="77">
        <v>0.30000000000000004</v>
      </c>
      <c r="O18" s="77">
        <v>0.7</v>
      </c>
      <c r="P18" s="69">
        <v>0.30000000000000004</v>
      </c>
      <c r="Q18" s="77">
        <v>0</v>
      </c>
      <c r="R18" s="70">
        <v>1</v>
      </c>
      <c r="S18"/>
      <c r="T18"/>
    </row>
    <row r="19" spans="1:20" ht="15" customHeight="1" x14ac:dyDescent="0.15">
      <c r="A19" s="79" t="s">
        <v>57</v>
      </c>
      <c r="B19" s="86">
        <v>1</v>
      </c>
      <c r="C19" s="180" t="s">
        <v>210</v>
      </c>
      <c r="D19" s="81" t="s">
        <v>160</v>
      </c>
      <c r="F19" s="178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0</v>
      </c>
      <c r="L19" s="77">
        <v>1</v>
      </c>
      <c r="M19" s="77">
        <v>0</v>
      </c>
      <c r="N19" s="77">
        <v>1</v>
      </c>
      <c r="O19" s="77">
        <v>0</v>
      </c>
      <c r="P19" s="69">
        <v>1</v>
      </c>
      <c r="Q19" s="77">
        <v>0</v>
      </c>
      <c r="R19" s="70">
        <v>1</v>
      </c>
      <c r="S19"/>
      <c r="T19"/>
    </row>
    <row r="20" spans="1:20" ht="15" customHeight="1" x14ac:dyDescent="0.15">
      <c r="A20" s="116" t="s">
        <v>168</v>
      </c>
      <c r="B20" s="88"/>
      <c r="C20" s="76"/>
      <c r="D20" s="81" t="s">
        <v>160</v>
      </c>
      <c r="F20" s="178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0</v>
      </c>
      <c r="L20" s="77">
        <v>1</v>
      </c>
      <c r="M20" s="77">
        <v>0</v>
      </c>
      <c r="N20" s="77">
        <v>1</v>
      </c>
      <c r="O20" s="77">
        <v>0</v>
      </c>
      <c r="P20" s="69">
        <v>1</v>
      </c>
      <c r="Q20" s="77">
        <v>0</v>
      </c>
      <c r="R20" s="70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78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0</v>
      </c>
      <c r="L21" s="77">
        <v>1</v>
      </c>
      <c r="M21" s="77">
        <v>0</v>
      </c>
      <c r="N21" s="77">
        <v>1</v>
      </c>
      <c r="O21" s="77">
        <v>0</v>
      </c>
      <c r="P21" s="69">
        <v>1</v>
      </c>
      <c r="Q21" s="77">
        <v>0</v>
      </c>
      <c r="R21" s="70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78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0</v>
      </c>
      <c r="L22" s="77">
        <v>1</v>
      </c>
      <c r="M22" s="77">
        <v>0</v>
      </c>
      <c r="N22" s="77">
        <v>1</v>
      </c>
      <c r="O22" s="77">
        <v>0</v>
      </c>
      <c r="P22" s="69">
        <v>1</v>
      </c>
      <c r="Q22" s="77">
        <v>0</v>
      </c>
      <c r="R22" s="70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78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0</v>
      </c>
      <c r="L23" s="77">
        <v>1</v>
      </c>
      <c r="M23" s="77">
        <v>0</v>
      </c>
      <c r="N23" s="77">
        <v>1</v>
      </c>
      <c r="O23" s="77">
        <v>0</v>
      </c>
      <c r="P23" s="69">
        <v>1</v>
      </c>
      <c r="Q23" s="77">
        <v>0</v>
      </c>
      <c r="R23" s="70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78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0</v>
      </c>
      <c r="L24" s="77">
        <v>0</v>
      </c>
      <c r="M24" s="77">
        <v>1</v>
      </c>
      <c r="N24" s="77">
        <v>0</v>
      </c>
      <c r="O24" s="77">
        <v>0</v>
      </c>
      <c r="P24" s="69">
        <v>0</v>
      </c>
      <c r="Q24" s="77">
        <v>0</v>
      </c>
      <c r="R24" s="70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78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0</v>
      </c>
      <c r="L25" s="77">
        <v>1</v>
      </c>
      <c r="M25" s="77">
        <v>0</v>
      </c>
      <c r="N25" s="77">
        <v>1</v>
      </c>
      <c r="O25" s="77">
        <v>0</v>
      </c>
      <c r="P25" s="69">
        <v>1</v>
      </c>
      <c r="Q25" s="77">
        <v>0</v>
      </c>
      <c r="R25" s="70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78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0</v>
      </c>
      <c r="L26" s="77">
        <v>1</v>
      </c>
      <c r="M26" s="77">
        <v>0</v>
      </c>
      <c r="N26" s="77">
        <v>1</v>
      </c>
      <c r="O26" s="77">
        <v>0</v>
      </c>
      <c r="P26" s="69">
        <v>1</v>
      </c>
      <c r="Q26" s="77">
        <v>0</v>
      </c>
      <c r="R26" s="70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84" t="s">
        <v>217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 s="103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7"/>
      <c r="B31" s="128" t="s">
        <v>17</v>
      </c>
      <c r="C31" s="128" t="s">
        <v>1</v>
      </c>
      <c r="D31" s="128" t="s">
        <v>161</v>
      </c>
      <c r="E31" s="12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1" t="s">
        <v>210</v>
      </c>
      <c r="B32" s="89">
        <v>0.01</v>
      </c>
      <c r="C32" s="89">
        <v>3577</v>
      </c>
      <c r="D32" s="89">
        <v>35.770000000000003</v>
      </c>
      <c r="E32" s="119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8"/>
      <c r="B33" s="89"/>
      <c r="C33" s="89"/>
      <c r="D33" s="89"/>
      <c r="E33" s="119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0"/>
      <c r="B34" s="89"/>
      <c r="C34" s="89"/>
      <c r="D34" s="89"/>
      <c r="E34" s="11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1"/>
      <c r="B35" s="89"/>
      <c r="C35" s="89"/>
      <c r="D35" s="89"/>
      <c r="E35" s="11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2"/>
      <c r="B36" s="89"/>
      <c r="C36" s="89"/>
      <c r="D36" s="89"/>
      <c r="E36" s="11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2"/>
      <c r="B37" s="89"/>
      <c r="C37" s="89"/>
      <c r="D37" s="89"/>
      <c r="E37" s="11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3"/>
      <c r="B38" s="89"/>
      <c r="C38" s="89"/>
      <c r="D38" s="89"/>
      <c r="E38" s="11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9"/>
      <c r="C39" s="89"/>
      <c r="D39" s="89"/>
      <c r="E39" s="11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9"/>
      <c r="C40" s="89"/>
      <c r="D40" s="89"/>
      <c r="E40" s="11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9"/>
      <c r="C41" s="89"/>
      <c r="D41" s="90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35.770000000000003</v>
      </c>
      <c r="E42" s="12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Z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baseColWidth="10" defaultColWidth="8.83203125" defaultRowHeight="13" x14ac:dyDescent="0.15"/>
  <cols>
    <col min="1" max="1" width="27.83203125" bestFit="1" customWidth="1"/>
    <col min="2" max="2" width="2.33203125" style="102" customWidth="1"/>
    <col min="3" max="5" width="7.83203125" style="102" customWidth="1"/>
    <col min="6" max="8" width="8.83203125" style="6"/>
    <col min="9" max="9" width="20" style="6" customWidth="1"/>
    <col min="10" max="10" width="15.33203125" style="6" customWidth="1"/>
    <col min="11" max="11" width="8.6640625" style="6" customWidth="1"/>
    <col min="12" max="12" width="16.5" style="6" customWidth="1"/>
    <col min="13" max="13" width="15" style="6" customWidth="1"/>
    <col min="14" max="14" width="10.5" style="6" customWidth="1"/>
    <col min="15" max="15" width="10.1640625" style="6" customWidth="1"/>
    <col min="16" max="16" width="21.33203125" style="6" customWidth="1"/>
    <col min="17" max="17" width="19.5" style="6" customWidth="1"/>
    <col min="18" max="18" width="12" style="6" customWidth="1"/>
    <col min="19" max="19" width="17.83203125" style="6" customWidth="1"/>
    <col min="20" max="20" width="20.5" style="6" customWidth="1"/>
    <col min="21" max="21" width="16.5" style="6" customWidth="1"/>
    <col min="22" max="22" width="27.83203125" style="6" customWidth="1"/>
    <col min="23" max="23" width="23.83203125" style="6" customWidth="1"/>
    <col min="24" max="24" width="20.83203125" style="6" customWidth="1"/>
    <col min="25" max="25" width="16" style="6" customWidth="1"/>
    <col min="26" max="26" width="11.83203125" style="6" customWidth="1"/>
    <col min="27" max="27" width="16.6640625" style="6" customWidth="1"/>
    <col min="28" max="28" width="17.5" style="6" customWidth="1"/>
    <col min="29" max="29" width="7.664062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/>
      <c r="G1"/>
      <c r="H1"/>
      <c r="I1" s="183" t="s">
        <v>192</v>
      </c>
      <c r="J1" s="183" t="s">
        <v>193</v>
      </c>
      <c r="K1" s="183" t="s">
        <v>194</v>
      </c>
      <c r="L1" s="183" t="s">
        <v>195</v>
      </c>
      <c r="M1" s="183" t="s">
        <v>196</v>
      </c>
      <c r="N1" s="183" t="s">
        <v>197</v>
      </c>
      <c r="O1" s="183" t="s">
        <v>198</v>
      </c>
      <c r="P1" s="183" t="s">
        <v>199</v>
      </c>
      <c r="Q1" s="183" t="s">
        <v>200</v>
      </c>
      <c r="R1" s="183" t="s">
        <v>201</v>
      </c>
      <c r="S1" s="183" t="s">
        <v>202</v>
      </c>
      <c r="T1" s="183" t="s">
        <v>203</v>
      </c>
      <c r="U1" s="183" t="s">
        <v>204</v>
      </c>
      <c r="V1" s="183" t="s">
        <v>205</v>
      </c>
      <c r="W1" s="183" t="s">
        <v>206</v>
      </c>
      <c r="X1" s="183" t="s">
        <v>207</v>
      </c>
      <c r="Y1" s="183" t="s">
        <v>208</v>
      </c>
      <c r="Z1" s="183" t="s">
        <v>209</v>
      </c>
      <c r="AA1" s="183" t="s">
        <v>210</v>
      </c>
      <c r="AB1" s="183" t="s">
        <v>211</v>
      </c>
      <c r="AC1" s="183" t="s">
        <v>212</v>
      </c>
      <c r="AD1" s="188" t="s">
        <v>217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2" t="s">
        <v>192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2" t="s">
        <v>193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2" t="s">
        <v>194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2" t="s">
        <v>195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2" t="s">
        <v>196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2" t="s">
        <v>197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2" t="s">
        <v>198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2" t="s">
        <v>199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2" t="s">
        <v>200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2" t="s">
        <v>201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2" t="s">
        <v>202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2" t="s">
        <v>203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2" t="s">
        <v>204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2" t="s">
        <v>205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2" t="s">
        <v>206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2" t="s">
        <v>207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2" t="s">
        <v>208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2" t="s">
        <v>209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2" t="s">
        <v>210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2" t="s">
        <v>211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2" t="s">
        <v>212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4" t="s">
        <v>217</v>
      </c>
      <c r="B26" s="10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2023-08-14T23:29:05Z</dcterms:modified>
</cp:coreProperties>
</file>