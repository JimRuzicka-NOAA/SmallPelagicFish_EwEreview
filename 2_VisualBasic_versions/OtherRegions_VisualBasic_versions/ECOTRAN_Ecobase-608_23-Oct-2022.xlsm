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CCD22ACC-2500-0E44-BEC2-38B9A615887B}" xr6:coauthVersionLast="45" xr6:coauthVersionMax="45" xr10:uidLastSave="{00000000-0000-0000-0000-000000000000}"/>
  <bookViews>
    <workbookView xWindow="0" yWindow="460" windowWidth="25600" windowHeight="14240" tabRatio="728" firstSheet="8" activeTab="1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Main!$C$2:$N$27</definedName>
    <definedName name="matDetritus">Detritus!$C$2:$F$27</definedName>
    <definedName name="matDiet">Diets!$B$2:$U$25</definedName>
    <definedName name="matDiscards">Discards!$C$2:$E$24</definedName>
    <definedName name="matFishery">Fishing!$C$2:$E$24</definedName>
    <definedName name="matFishing">Fishing!#REF!</definedName>
    <definedName name="matMort">Mortalities!$A$1:$AC$24</definedName>
    <definedName name="matOut">MainOutputs!$A$2:$I$27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" i="1"/>
  <c r="C28" i="78"/>
  <c r="D28" i="78"/>
  <c r="E28" i="78"/>
  <c r="F28" i="78"/>
  <c r="G28" i="78"/>
  <c r="H28" i="78"/>
  <c r="I28" i="78"/>
  <c r="J28" i="78"/>
  <c r="K28" i="78"/>
  <c r="L28" i="78"/>
  <c r="M28" i="78"/>
  <c r="N28" i="78"/>
  <c r="O28" i="78"/>
  <c r="P28" i="78"/>
  <c r="Q28" i="78"/>
  <c r="R28" i="78"/>
  <c r="S28" i="78"/>
  <c r="T28" i="78"/>
  <c r="U28" i="78"/>
  <c r="V28" i="78"/>
  <c r="W28" i="78"/>
  <c r="X28" i="78"/>
  <c r="B28" i="78"/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<sst xmlns="http://schemas.openxmlformats.org/spreadsheetml/2006/main" count="819" uniqueCount="227">
  <si>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</si>
  <si>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</si>
  <si>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</si>
  <si>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</si>
  <si>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</si>
  <si>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</si>
  <si>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</si>
  <si>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</si>
  <si>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</si>
  <si>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</si>
  <si>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</si>
  <si>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</si>
  <si>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</si>
  <si>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</si>
  <si>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</si>
  <si>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</si>
  <si>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</si>
  <si>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</si>
  <si>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</si>
  <si>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</si>
  <si>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</si>
  <si>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</si>
  <si>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</si>
  <si>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</si>
  <si>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</si>
  <si>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</si>
  <si>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</si>
  <si>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</si>
  <si>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</si>
  <si>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</si>
  <si>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</si>
  <si>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</si>
  <si>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</si>
  <si>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</si>
  <si>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</si>
  <si>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</si>
  <si>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</si>
  <si>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</si>
  <si>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</si>
  <si>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</si>
  <si>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</si>
  <si>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</si>
  <si>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</si>
  <si>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</si>
  <si>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</si>
  <si>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</si>
  <si>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</si>
  <si>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</si>
  <si>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</si>
  <si>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</si>
  <si>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</si>
  <si>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</si>
  <si>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</si>
  <si>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</si>
  <si>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</si>
  <si>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</si>
  <si>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</si>
  <si>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</si>
  <si>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</si>
  <si>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</si>
  <si>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</si>
  <si>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</si>
  <si>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</si>
  <si>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</si>
  <si>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</si>
  <si>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</si>
  <si>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</si>
  <si>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</si>
  <si>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</si>
  <si>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</si>
  <si>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</si>
  <si>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</si>
  <si>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</si>
  <si>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</si>
  <si>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</si>
  <si>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</si>
  <si>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</si>
  <si>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</si>
  <si>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</si>
  <si>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</si>
  <si>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</si>
  <si>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</si>
  <si>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</si>
  <si>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</si>
  <si>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</si>
  <si>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</si>
  <si>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</si>
  <si>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</si>
  <si>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</si>
  <si>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</si>
  <si>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</si>
  <si>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</si>
  <si>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</si>
  <si>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</si>
  <si>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</si>
  <si>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</si>
  <si>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</si>
  <si>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</si>
  <si>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</si>
  <si>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</si>
  <si>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</si>
  <si>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</si>
  <si>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</si>
  <si>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</si>
  <si>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</si>
  <si>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</si>
  <si>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</si>
  <si>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</si>
  <si>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</si>
  <si>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</si>
  <si>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</si>
  <si>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</si>
  <si>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</si>
  <si>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</si>
  <si>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</si>
  <si>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</si>
  <si>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</si>
  <si>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</si>
  <si>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</si>
  <si>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</si>
  <si>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</si>
  <si>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</si>
  <si>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</si>
  <si>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</si>
  <si>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</si>
  <si>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</si>
  <si>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</si>
  <si>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</si>
  <si>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</si>
  <si>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</si>
  <si>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</si>
  <si>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</si>
  <si>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</si>
  <si>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</si>
  <si>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</si>
  <si>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</si>
  <si>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</si>
  <si>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</si>
  <si>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</si>
  <si>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</si>
  <si>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</si>
  <si>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</si>
  <si>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</si>
  <si>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</si>
  <si>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</si>
  <si>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</si>
  <si>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</si>
  <si>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</si>
  <si>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</si>
  <si>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</si>
  <si>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</si>
  <si>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</si>
  <si>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</si>
  <si>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</si>
  <si>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</si>
  <si>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</si>
  <si>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</si>
  <si>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</si>
  <si>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</si>
  <si>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</si>
  <si>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</si>
  <si>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</si>
  <si>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</si>
  <si>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</si>
  <si>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</si>
  <si>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</si>
  <si>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</si>
  <si>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</si>
  <si>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</si>
  <si>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</si>
  <si>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</si>
  <si>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</si>
  <si>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</si>
  <si>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</si>
  <si>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</si>
  <si>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</si>
  <si>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</si>
  <si>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</si>
  <si>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</si>
  <si>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</si>
  <si>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</si>
  <si>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</si>
  <si>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</si>
  <si>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</si>
  <si>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</si>
  <si>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Central Baltic Sea</t>
  </si>
  <si>
    <t>Not affiliated</t>
  </si>
  <si>
    <t>BOX(13.0000000197708 53.0000000065027,29.0439411209194 60.6800002709701)</t>
  </si>
  <si>
    <t>continental shelf</t>
  </si>
  <si>
    <t>WetWeight</t>
  </si>
  <si>
    <t>; 4/18/2011 11:07:00 AM</t>
  </si>
  <si>
    <t>Tomczak M.T.,Niiranen S.,Hjerne O.,Blenckner T.(2012). Ecosystem flow dynamics in the Baltic Proper—Using a multi-trophic dataset as a basis for food–web modelling Ecological Modelling. pp 123-147</t>
  </si>
  <si>
    <t>Cyanobacteria</t>
  </si>
  <si>
    <t>spring phytoplankton</t>
  </si>
  <si>
    <t>other phytoplankton</t>
  </si>
  <si>
    <t>microzooplankton</t>
  </si>
  <si>
    <t>Temora sp</t>
  </si>
  <si>
    <t>Acartia sp</t>
  </si>
  <si>
    <t>Pseudocalanus sp.</t>
  </si>
  <si>
    <t>other mesozooplankton</t>
  </si>
  <si>
    <t>Mysids</t>
  </si>
  <si>
    <t>meiozoobenthos</t>
  </si>
  <si>
    <t>macrozoobenthos</t>
  </si>
  <si>
    <t>Sprat 0 / Sprat 1</t>
  </si>
  <si>
    <t>Ad. Sprat</t>
  </si>
  <si>
    <t>Herring 0 / Herring 1 / Herring</t>
  </si>
  <si>
    <t>Ad. Herring</t>
  </si>
  <si>
    <t>Cod larvae</t>
  </si>
  <si>
    <t>Cod 0 / Cod 1</t>
  </si>
  <si>
    <t>Cod 2 / Cod 3</t>
  </si>
  <si>
    <t>Ad. Cod</t>
  </si>
  <si>
    <t>Seals</t>
  </si>
  <si>
    <t>Detritus-water column</t>
  </si>
  <si>
    <t>Detritus-sediment</t>
  </si>
  <si>
    <t>detritus_TerminalBenthic</t>
  </si>
  <si>
    <t>COD-Trawl</t>
  </si>
  <si>
    <t>HER-Trawl</t>
  </si>
  <si>
    <t>SPR-Trawl</t>
  </si>
  <si>
    <t>Import</t>
  </si>
  <si>
    <t>export</t>
  </si>
  <si>
    <t>sum</t>
  </si>
  <si>
    <t>TOTAL</t>
  </si>
  <si>
    <t>F COD-Trawl</t>
  </si>
  <si>
    <t>F HER-Trawl</t>
  </si>
  <si>
    <t>F SPR-Trawl</t>
  </si>
  <si>
    <t>sum--&gt;</t>
  </si>
  <si>
    <t>original ba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</si>
</sst>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color theme="1"/>
      <name val="Arial"/>
      <family val="2"/>
    </font>
  </fonts>
  <fills count="10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FF00"/>
        <bgColor indexed="64"/>
      </patternFill>
    </fill>
    <fill>
      <patternFill patternType="solid">
        <fgColor rgb="FFFF58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D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F15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FF91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96FF00"/>
        <bgColor indexed="64"/>
      </patternFill>
    </fill>
    <fill>
      <patternFill patternType="solid">
        <fgColor rgb="FFE5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B7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FFAB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86FF00"/>
        <bgColor indexed="64"/>
      </patternFill>
    </fill>
    <fill>
      <patternFill patternType="solid">
        <fgColor rgb="FFFFE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24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1" borderId="2" xfId="0" applyFont="1" applyFill="1" applyBorder="1" applyAlignment="1">
      <alignment horizontal="center"/>
    </xf>
    <xf numFmtId="0" fontId="1" fillId="21" borderId="4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0" fillId="21" borderId="8" xfId="0" applyFill="1" applyBorder="1"/>
    <xf numFmtId="0" fontId="0" fillId="21" borderId="9" xfId="0" applyFill="1" applyBorder="1"/>
    <xf numFmtId="0" fontId="0" fillId="2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1" borderId="0" xfId="0" applyFill="1"/>
    <xf numFmtId="0" fontId="0" fillId="0" borderId="0" xfId="0" applyFont="1" applyFill="1" applyAlignment="1">
      <alignment horizontal="center"/>
    </xf>
    <xf numFmtId="0" fontId="0" fillId="3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0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0" borderId="3" xfId="0" applyNumberFormat="1" applyFont="1" applyFill="1" applyBorder="1"/>
    <xf numFmtId="0" fontId="0" fillId="30" borderId="2" xfId="0" applyFont="1" applyFill="1" applyBorder="1"/>
    <xf numFmtId="0" fontId="0" fillId="30" borderId="3" xfId="0" applyFont="1" applyFill="1" applyBorder="1"/>
    <xf numFmtId="0" fontId="0" fillId="30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1" borderId="2" xfId="0" applyFill="1" applyBorder="1" applyAlignment="1">
      <alignment horizontal="center"/>
    </xf>
    <xf numFmtId="0" fontId="0" fillId="21" borderId="4" xfId="0" applyFill="1" applyBorder="1" applyAlignment="1">
      <alignment horizontal="center"/>
    </xf>
    <xf numFmtId="0" fontId="0" fillId="21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6" borderId="0" xfId="0" applyFill="1"/>
    <xf numFmtId="0" fontId="0" fillId="37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8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49" fontId="0" fillId="0" borderId="53" xfId="0" applyNumberFormat="1" applyFont="1" applyFill="1" applyBorder="1"/>
    <xf numFmtId="0" fontId="8" fillId="73" borderId="0" xfId="0" applyFont="1" applyFill="1" applyAlignment="1">
      <alignment horizontal="center"/>
    </xf>
    <xf numFmtId="0" fontId="13" fillId="0" borderId="0" xfId="0" applyFont="1" applyFill="1" applyAlignment="1">
      <alignment horizontal="center"/>
    </xf>
    <xf numFmtId="0" fontId="8" fillId="73" borderId="0" xfId="0" applyFont="1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2" zoomScale="125" zoomScaleNormal="125" zoomScalePageLayoutView="125" workbookViewId="0">
      <selection activeCell="C67" sqref="C67"/>
    </sheetView>
  </sheetViews>
  <sheetFormatPr baseColWidth="10" defaultColWidth="8.83203125" defaultRowHeight="13" x14ac:dyDescent="0.15"/>
  <cols>
    <col min="2" max="2" width="16" customWidth="1"/>
    <col min="3" max="3" width="197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8" t="s">
        <v>164</v>
      </c>
    </row>
    <row r="6" spans="2:4" ht="14" thickBot="1" x14ac:dyDescent="0.2">
      <c r="B6" s="42" t="s">
        <v>141</v>
      </c>
    </row>
    <row r="7" spans="2:4" x14ac:dyDescent="0.15">
      <c r="B7" s="58" t="s">
        <v>143</v>
      </c>
    </row>
    <row r="8" spans="2:4" x14ac:dyDescent="0.15">
      <c r="B8" s="58" t="s">
        <v>142</v>
      </c>
    </row>
    <row r="9" spans="2:4" x14ac:dyDescent="0.15">
      <c r="B9" s="58" t="s">
        <v>144</v>
      </c>
    </row>
    <row r="10" spans="2:4" x14ac:dyDescent="0.15">
      <c r="B10" s="58" t="s">
        <v>147</v>
      </c>
    </row>
    <row r="11" spans="2:4" x14ac:dyDescent="0.15">
      <c r="B11" s="58" t="s">
        <v>151</v>
      </c>
    </row>
    <row r="12" spans="2:4" x14ac:dyDescent="0.15">
      <c r="B12" s="58" t="s">
        <v>153</v>
      </c>
    </row>
    <row r="13" spans="2:4" x14ac:dyDescent="0.15">
      <c r="B13" s="58" t="s">
        <v>165</v>
      </c>
    </row>
    <row r="15" spans="2:4" ht="14" thickBot="1" x14ac:dyDescent="0.2"/>
    <row r="16" spans="2:4" ht="14" thickBot="1" x14ac:dyDescent="0.2">
      <c r="B16" s="43" t="s">
        <v>137</v>
      </c>
      <c r="C16" s="44"/>
      <c r="D16" s="26">
        <v>41373</v>
      </c>
    </row>
    <row r="17" spans="2:4" x14ac:dyDescent="0.15">
      <c r="B17" s="45" t="s">
        <v>58</v>
      </c>
      <c r="C17" s="29">
        <v>0</v>
      </c>
    </row>
    <row r="18" spans="2:4" x14ac:dyDescent="0.15">
      <c r="B18" s="45" t="s">
        <v>59</v>
      </c>
      <c r="C18" s="29">
        <v>1</v>
      </c>
    </row>
    <row r="19" spans="2:4" x14ac:dyDescent="0.15">
      <c r="B19" s="45" t="s">
        <v>60</v>
      </c>
      <c r="C19" s="29">
        <v>2</v>
      </c>
    </row>
    <row r="20" spans="2:4" ht="14" thickBot="1" x14ac:dyDescent="0.2">
      <c r="B20" s="46" t="s">
        <v>44</v>
      </c>
      <c r="C20" s="30">
        <v>3</v>
      </c>
    </row>
    <row r="21" spans="2:4" x14ac:dyDescent="0.15">
      <c r="B21" s="47" t="s">
        <v>140</v>
      </c>
    </row>
    <row r="22" spans="2:4" ht="14" thickBot="1" x14ac:dyDescent="0.2"/>
    <row r="23" spans="2:4" ht="14" thickBot="1" x14ac:dyDescent="0.2">
      <c r="B23" s="43" t="s">
        <v>65</v>
      </c>
      <c r="C23" s="44"/>
      <c r="D23" s="26" t="s">
        <v>148</v>
      </c>
    </row>
    <row r="24" spans="2:4" x14ac:dyDescent="0.15">
      <c r="B24" s="49" t="s">
        <v>38</v>
      </c>
      <c r="C24" s="27">
        <v>1</v>
      </c>
    </row>
    <row r="25" spans="2:4" x14ac:dyDescent="0.15">
      <c r="B25" s="45" t="s">
        <v>40</v>
      </c>
      <c r="C25" s="29">
        <v>1.1000000000000001</v>
      </c>
    </row>
    <row r="26" spans="2:4" x14ac:dyDescent="0.15">
      <c r="B26" s="45" t="s">
        <v>41</v>
      </c>
      <c r="C26" s="29">
        <v>1.2</v>
      </c>
    </row>
    <row r="27" spans="2:4" x14ac:dyDescent="0.15">
      <c r="B27" s="45"/>
      <c r="C27" s="29"/>
    </row>
    <row r="28" spans="2:4" x14ac:dyDescent="0.15">
      <c r="B28" s="45" t="s">
        <v>42</v>
      </c>
      <c r="C28" s="29">
        <v>2.1</v>
      </c>
    </row>
    <row r="29" spans="2:4" x14ac:dyDescent="0.15">
      <c r="B29" s="45" t="s">
        <v>43</v>
      </c>
      <c r="C29" s="29">
        <v>2.2000000000000002</v>
      </c>
    </row>
    <row r="30" spans="2:4" x14ac:dyDescent="0.15">
      <c r="B30" s="45" t="s">
        <v>67</v>
      </c>
      <c r="C30" s="29">
        <v>2.2999999999999998</v>
      </c>
    </row>
    <row r="31" spans="2:4" x14ac:dyDescent="0.15">
      <c r="B31" s="45"/>
      <c r="C31" s="29"/>
    </row>
    <row r="32" spans="2:4" x14ac:dyDescent="0.15">
      <c r="B32" s="45" t="s">
        <v>62</v>
      </c>
      <c r="C32" s="29">
        <v>3.11</v>
      </c>
    </row>
    <row r="33" spans="2:3" x14ac:dyDescent="0.15">
      <c r="B33" s="45" t="s">
        <v>61</v>
      </c>
      <c r="C33" s="29">
        <v>3.12</v>
      </c>
    </row>
    <row r="34" spans="2:3" x14ac:dyDescent="0.15">
      <c r="B34" s="45" t="s">
        <v>68</v>
      </c>
      <c r="C34" s="29">
        <v>3.13</v>
      </c>
    </row>
    <row r="35" spans="2:3" x14ac:dyDescent="0.15">
      <c r="B35" s="45"/>
      <c r="C35" s="29"/>
    </row>
    <row r="36" spans="2:3" x14ac:dyDescent="0.15">
      <c r="B36" s="45" t="s">
        <v>66</v>
      </c>
      <c r="C36" s="29">
        <v>3.21</v>
      </c>
    </row>
    <row r="37" spans="2:3" x14ac:dyDescent="0.15">
      <c r="B37" s="45" t="s">
        <v>63</v>
      </c>
      <c r="C37" s="29">
        <v>3.22</v>
      </c>
    </row>
    <row r="38" spans="2:3" x14ac:dyDescent="0.15">
      <c r="B38" s="45" t="s">
        <v>69</v>
      </c>
      <c r="C38" s="29">
        <v>3.23</v>
      </c>
    </row>
    <row r="39" spans="2:3" x14ac:dyDescent="0.15">
      <c r="B39" s="45"/>
      <c r="C39" s="29"/>
    </row>
    <row r="40" spans="2:3" x14ac:dyDescent="0.15">
      <c r="B40" s="45" t="s">
        <v>64</v>
      </c>
      <c r="C40" s="29">
        <v>8</v>
      </c>
    </row>
    <row r="41" spans="2:3" x14ac:dyDescent="0.15">
      <c r="B41" s="45"/>
      <c r="C41" s="29"/>
    </row>
    <row r="42" spans="2:3" x14ac:dyDescent="0.15">
      <c r="B42" s="45" t="s">
        <v>71</v>
      </c>
      <c r="C42" s="29">
        <v>4.0999999999999996</v>
      </c>
    </row>
    <row r="43" spans="2:3" x14ac:dyDescent="0.15">
      <c r="B43" s="45" t="s">
        <v>70</v>
      </c>
      <c r="C43" s="29">
        <v>4.2</v>
      </c>
    </row>
    <row r="44" spans="2:3" x14ac:dyDescent="0.15">
      <c r="B44" s="45" t="s">
        <v>72</v>
      </c>
      <c r="C44" s="29">
        <v>4.3</v>
      </c>
    </row>
    <row r="45" spans="2:3" x14ac:dyDescent="0.15">
      <c r="B45" s="28"/>
      <c r="C45" s="29"/>
    </row>
    <row r="46" spans="2:3" x14ac:dyDescent="0.15">
      <c r="B46" s="45" t="s">
        <v>138</v>
      </c>
      <c r="C46" s="29">
        <v>6.1</v>
      </c>
    </row>
    <row r="47" spans="2:3" x14ac:dyDescent="0.15">
      <c r="B47" s="45" t="s">
        <v>45</v>
      </c>
      <c r="C47" s="29">
        <v>6.2</v>
      </c>
    </row>
    <row r="48" spans="2:3" x14ac:dyDescent="0.15">
      <c r="B48" s="45"/>
      <c r="C48" s="29"/>
    </row>
    <row r="49" spans="2:4" x14ac:dyDescent="0.15">
      <c r="B49" s="45" t="s">
        <v>44</v>
      </c>
      <c r="C49" s="29">
        <v>5</v>
      </c>
    </row>
    <row r="50" spans="2:4" x14ac:dyDescent="0.15">
      <c r="B50" s="45"/>
      <c r="C50" s="29"/>
    </row>
    <row r="51" spans="2:4" ht="14" thickBot="1" x14ac:dyDescent="0.2">
      <c r="B51" s="46" t="s">
        <v>73</v>
      </c>
      <c r="C51" s="30">
        <v>7</v>
      </c>
    </row>
    <row r="53" spans="2:4" x14ac:dyDescent="0.15">
      <c r="B53" s="133" t="s">
        <v>171</v>
      </c>
      <c r="C53" s="100">
        <v>608</v>
      </c>
      <c r="D53" s="100"/>
    </row>
    <row r="54" spans="2:4" x14ac:dyDescent="0.15">
      <c r="B54" s="133" t="s">
        <v>172</v>
      </c>
      <c r="C54" s="133" t="s">
        <v>185</v>
      </c>
      <c r="D54" s="100"/>
    </row>
    <row r="55" spans="2:4" x14ac:dyDescent="0.15">
      <c r="B55" s="133" t="s">
        <v>173</v>
      </c>
      <c r="C55" s="133" t="s">
        <v>186</v>
      </c>
      <c r="D55" s="100"/>
    </row>
    <row r="56" spans="2:4" x14ac:dyDescent="0.15">
      <c r="B56" s="133" t="s">
        <v>174</v>
      </c>
      <c r="C56" s="100">
        <v>240000</v>
      </c>
      <c r="D56" s="100"/>
    </row>
    <row r="57" spans="2:4" x14ac:dyDescent="0.15">
      <c r="B57" s="133" t="s">
        <v>175</v>
      </c>
      <c r="C57" s="133" t="s">
        <v>187</v>
      </c>
      <c r="D57" s="100"/>
    </row>
    <row r="58" spans="2:4" x14ac:dyDescent="0.15">
      <c r="B58" s="133" t="s">
        <v>176</v>
      </c>
      <c r="C58" s="133" t="s">
        <v>188</v>
      </c>
      <c r="D58" s="100"/>
    </row>
    <row r="59" spans="2:4" x14ac:dyDescent="0.15">
      <c r="B59" s="133" t="s">
        <v>177</v>
      </c>
      <c r="C59" s="133" t="s">
        <v>189</v>
      </c>
      <c r="D59" s="100"/>
    </row>
    <row r="60" spans="2:4" x14ac:dyDescent="0.15">
      <c r="B60" s="133" t="s">
        <v>178</v>
      </c>
      <c r="C60" s="133" t="s">
        <v>190</v>
      </c>
      <c r="D60" s="100"/>
    </row>
    <row r="61" spans="2:4" x14ac:dyDescent="0.15">
      <c r="B61" s="133" t="s">
        <v>179</v>
      </c>
      <c r="C61" s="100">
        <v>22</v>
      </c>
      <c r="D61" s="100"/>
    </row>
    <row r="62" spans="2:4" x14ac:dyDescent="0.15">
      <c r="B62" s="133" t="s">
        <v>180</v>
      </c>
      <c r="C62" s="100">
        <v>3</v>
      </c>
      <c r="D62" s="100"/>
    </row>
    <row r="63" spans="2:4" x14ac:dyDescent="0.15">
      <c r="B63" s="133" t="s">
        <v>181</v>
      </c>
      <c r="C63" s="100">
        <v>1974</v>
      </c>
      <c r="D63" s="100"/>
    </row>
    <row r="64" spans="2:4" x14ac:dyDescent="0.15">
      <c r="B64" s="133" t="s">
        <v>182</v>
      </c>
      <c r="C64" s="100">
        <v>0</v>
      </c>
      <c r="D64" s="100"/>
    </row>
    <row r="65" spans="2:4" x14ac:dyDescent="0.15">
      <c r="B65" s="133" t="s">
        <v>183</v>
      </c>
      <c r="C65" s="133" t="s">
        <v>191</v>
      </c>
      <c r="D65" s="100"/>
    </row>
    <row r="66" spans="2:4" x14ac:dyDescent="0.15">
      <c r="B66" s="133" t="s">
        <v>184</v>
      </c>
      <c r="D66" s="100"/>
    </row>
    <row r="67" spans="2:4" x14ac:dyDescent="0.15">
      <c r="B67" s="100"/>
      <c r="C67" s="100"/>
      <c r="D67" s="100"/>
    </row>
    <row r="68" spans="2:4" x14ac:dyDescent="0.15">
      <c r="B68" s="100"/>
      <c r="C68" s="100"/>
      <c r="D68" s="100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D30" sqref="D30"/>
    </sheetView>
  </sheetViews>
  <sheetFormatPr baseColWidth="10" defaultColWidth="8.83203125" defaultRowHeight="15" customHeight="1" x14ac:dyDescent="0.15"/>
  <cols>
    <col min="1" max="1" width="22.5" style="73" customWidth="1"/>
    <col min="2" max="3" width="3.33203125" style="73" customWidth="1"/>
    <col min="4" max="4" width="14.33203125" style="73" customWidth="1"/>
    <col min="5" max="5" width="25.5" style="73" bestFit="1" customWidth="1"/>
    <col min="6" max="6" width="2.33203125" style="73" bestFit="1" customWidth="1"/>
    <col min="7" max="7" width="13.83203125" style="73" bestFit="1" customWidth="1"/>
    <col min="8" max="8" width="9.83203125" style="73" customWidth="1"/>
    <col min="9" max="9" width="10.83203125" style="73" customWidth="1"/>
    <col min="10" max="11" width="12.83203125" style="73" customWidth="1"/>
    <col min="12" max="12" width="11.83203125" style="73" customWidth="1"/>
    <col min="13" max="13" width="12.83203125" style="73" customWidth="1"/>
    <col min="14" max="14" width="2.33203125" style="73" customWidth="1"/>
    <col min="16" max="25" width="8.83203125" style="7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3"/>
  </cols>
  <sheetData>
    <row r="1" spans="1:46" s="90" customFormat="1" ht="15" customHeight="1" x14ac:dyDescent="0.15">
      <c r="A1" s="69" t="s">
        <v>18</v>
      </c>
      <c r="C1" s="70" t="s">
        <v>8</v>
      </c>
      <c r="D1" s="69" t="s">
        <v>23</v>
      </c>
      <c r="E1" s="69" t="s">
        <v>0</v>
      </c>
      <c r="F1" s="69" t="s">
        <v>7</v>
      </c>
      <c r="G1" s="71" t="s">
        <v>13</v>
      </c>
      <c r="H1" s="69" t="s">
        <v>1</v>
      </c>
      <c r="I1" s="69" t="s">
        <v>2</v>
      </c>
      <c r="J1" s="69" t="s">
        <v>14</v>
      </c>
      <c r="K1" s="69" t="s">
        <v>3</v>
      </c>
      <c r="L1" s="69" t="s">
        <v>4</v>
      </c>
      <c r="M1" s="69" t="s">
        <v>5</v>
      </c>
      <c r="N1" s="6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0">
        <v>1</v>
      </c>
      <c r="D2"/>
      <c r="E2" s="134" t="s">
        <v>192</v>
      </c>
      <c r="F2" s="73">
        <v>1</v>
      </c>
      <c r="G2" s="73">
        <v>3.4</v>
      </c>
      <c r="H2" s="73">
        <v>160</v>
      </c>
      <c r="I2" s="6">
        <v>0</v>
      </c>
      <c r="J2" s="6">
        <v>7.4019305399999999E-2</v>
      </c>
      <c r="K2" s="6">
        <v>0</v>
      </c>
      <c r="L2" s="6">
        <v>0</v>
      </c>
      <c r="M2" s="73">
        <v>0</v>
      </c>
      <c r="N2" s="73">
        <v>0</v>
      </c>
    </row>
    <row r="3" spans="1:46" ht="15" customHeight="1" x14ac:dyDescent="0.15">
      <c r="A3" s="1" t="s">
        <v>9</v>
      </c>
      <c r="B3" s="4">
        <v>20</v>
      </c>
      <c r="C3" s="73">
        <v>2</v>
      </c>
      <c r="D3"/>
      <c r="E3" s="134" t="s">
        <v>193</v>
      </c>
      <c r="F3" s="73">
        <v>1</v>
      </c>
      <c r="G3" s="73">
        <v>2.8</v>
      </c>
      <c r="H3" s="73">
        <v>117</v>
      </c>
      <c r="I3" s="73">
        <v>0</v>
      </c>
      <c r="J3" s="73">
        <v>0.51577764699999995</v>
      </c>
      <c r="K3" s="73">
        <v>0</v>
      </c>
      <c r="L3" s="73">
        <v>0</v>
      </c>
      <c r="M3" s="73">
        <v>0</v>
      </c>
      <c r="N3" s="73">
        <v>0</v>
      </c>
    </row>
    <row r="4" spans="1:46" ht="15" customHeight="1" x14ac:dyDescent="0.15">
      <c r="A4" s="1" t="s">
        <v>10</v>
      </c>
      <c r="B4" s="4">
        <v>3</v>
      </c>
      <c r="C4" s="73">
        <v>3</v>
      </c>
      <c r="D4"/>
      <c r="E4" s="134" t="s">
        <v>194</v>
      </c>
      <c r="F4" s="73">
        <v>1</v>
      </c>
      <c r="G4" s="73">
        <v>4.5</v>
      </c>
      <c r="H4" s="73">
        <v>135</v>
      </c>
      <c r="I4" s="73">
        <v>0</v>
      </c>
      <c r="J4" s="73">
        <v>0.99223333599999997</v>
      </c>
      <c r="K4" s="73">
        <v>0</v>
      </c>
      <c r="L4" s="73">
        <v>0</v>
      </c>
      <c r="M4" s="73">
        <v>0</v>
      </c>
      <c r="N4" s="7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3</v>
      </c>
      <c r="C5" s="73">
        <v>4</v>
      </c>
      <c r="D5"/>
      <c r="E5" s="134" t="s">
        <v>195</v>
      </c>
      <c r="F5" s="73">
        <v>0</v>
      </c>
      <c r="G5" s="73">
        <v>3.1</v>
      </c>
      <c r="H5" s="73">
        <v>110</v>
      </c>
      <c r="I5" s="73">
        <v>275</v>
      </c>
      <c r="J5" s="73">
        <v>0.497093856</v>
      </c>
      <c r="K5" s="73">
        <v>0.4</v>
      </c>
      <c r="L5" s="73">
        <v>0</v>
      </c>
      <c r="M5" s="73">
        <v>0.2</v>
      </c>
      <c r="N5" s="73">
        <v>0</v>
      </c>
      <c r="P5" s="64"/>
      <c r="Q5" s="64"/>
      <c r="R5" s="64"/>
    </row>
    <row r="6" spans="1:46" ht="15" customHeight="1" thickBot="1" x14ac:dyDescent="0.2">
      <c r="B6" s="1"/>
      <c r="C6" s="73">
        <v>5</v>
      </c>
      <c r="D6"/>
      <c r="E6" s="134" t="s">
        <v>196</v>
      </c>
      <c r="F6" s="73">
        <v>0</v>
      </c>
      <c r="G6" s="73">
        <v>1.9</v>
      </c>
      <c r="H6" s="73">
        <v>26</v>
      </c>
      <c r="I6" s="73">
        <v>83</v>
      </c>
      <c r="J6" s="73">
        <v>0.46258053199999999</v>
      </c>
      <c r="K6" s="73">
        <v>0.31325301500000002</v>
      </c>
      <c r="L6" s="73">
        <v>0</v>
      </c>
      <c r="M6" s="73">
        <v>0.2</v>
      </c>
      <c r="N6" s="73">
        <v>0</v>
      </c>
      <c r="P6" s="64"/>
      <c r="Q6" s="64"/>
      <c r="R6" s="64"/>
      <c r="W6" s="32" t="s">
        <v>31</v>
      </c>
      <c r="X6" s="48">
        <f>MAX(MainOutputs!G:G)</f>
        <v>0.99223333597183228</v>
      </c>
    </row>
    <row r="7" spans="1:46" ht="15" customHeight="1" x14ac:dyDescent="0.15">
      <c r="A7" s="2" t="s">
        <v>27</v>
      </c>
      <c r="B7" s="73">
        <f ca="1">COUNTIF(OFFSET(cornerDiets,1,1,NumLiving+NumDead+1,NumLiving+NumDead),"&gt;0")+NumLiving+NumDead+1</f>
        <v>118</v>
      </c>
      <c r="C7" s="73">
        <v>6</v>
      </c>
      <c r="D7"/>
      <c r="E7" s="134" t="s">
        <v>197</v>
      </c>
      <c r="F7" s="73">
        <v>0</v>
      </c>
      <c r="G7" s="73">
        <v>1.35</v>
      </c>
      <c r="H7" s="73">
        <v>25</v>
      </c>
      <c r="I7" s="73">
        <v>83</v>
      </c>
      <c r="J7" s="73">
        <v>0.35487312100000001</v>
      </c>
      <c r="K7" s="73">
        <v>0.30120482999999998</v>
      </c>
      <c r="L7" s="73">
        <v>0</v>
      </c>
      <c r="M7" s="73">
        <v>0.2</v>
      </c>
      <c r="N7" s="73">
        <v>0</v>
      </c>
      <c r="P7" s="64"/>
      <c r="Q7" s="64"/>
      <c r="R7" s="64"/>
    </row>
    <row r="8" spans="1:46" ht="15" customHeight="1" x14ac:dyDescent="0.15">
      <c r="A8" s="2" t="s">
        <v>28</v>
      </c>
      <c r="B8" s="73">
        <f ca="1">COUNTIF(OFFSET(cornerFishing,1,2,NumLiving+NumDead,NumGears),"&gt;0")+NumDead*COUNTIF(OFFSET(cornerDiscards,1,2,NumLiving+NumDead,NumGears),"&gt;0")+NumLiving+NumDead+1</f>
        <v>30</v>
      </c>
      <c r="C8" s="73">
        <v>7</v>
      </c>
      <c r="D8"/>
      <c r="E8" s="134" t="s">
        <v>198</v>
      </c>
      <c r="F8" s="73">
        <v>0</v>
      </c>
      <c r="G8" s="73">
        <v>4.3899999999999997</v>
      </c>
      <c r="H8" s="73">
        <v>8</v>
      </c>
      <c r="I8" s="73">
        <v>27</v>
      </c>
      <c r="J8" s="73">
        <v>0.50642985100000004</v>
      </c>
      <c r="K8" s="73">
        <v>0.29629630000000001</v>
      </c>
      <c r="L8" s="73">
        <v>0</v>
      </c>
      <c r="M8" s="73">
        <v>0.2</v>
      </c>
      <c r="N8" s="73">
        <v>0</v>
      </c>
      <c r="P8" s="64"/>
      <c r="Q8" s="64"/>
      <c r="R8" s="64"/>
    </row>
    <row r="9" spans="1:46" ht="15" customHeight="1" x14ac:dyDescent="0.15">
      <c r="B9" s="1"/>
      <c r="C9" s="73">
        <v>8</v>
      </c>
      <c r="D9"/>
      <c r="E9" s="134" t="s">
        <v>199</v>
      </c>
      <c r="F9" s="73">
        <v>0</v>
      </c>
      <c r="G9" s="73">
        <v>4</v>
      </c>
      <c r="H9" s="73">
        <v>30</v>
      </c>
      <c r="I9" s="73">
        <v>100</v>
      </c>
      <c r="J9" s="73">
        <v>7.6587565199999999E-2</v>
      </c>
      <c r="K9" s="73">
        <v>0.3</v>
      </c>
      <c r="L9" s="73">
        <v>0</v>
      </c>
      <c r="M9" s="73">
        <v>0.2</v>
      </c>
      <c r="N9" s="73">
        <v>0</v>
      </c>
      <c r="P9" s="64"/>
      <c r="Q9" s="64"/>
      <c r="R9" s="64"/>
    </row>
    <row r="10" spans="1:46" ht="15" customHeight="1" x14ac:dyDescent="0.15">
      <c r="B10" s="1"/>
      <c r="C10" s="73">
        <v>9</v>
      </c>
      <c r="D10"/>
      <c r="E10" s="134" t="s">
        <v>200</v>
      </c>
      <c r="F10" s="73">
        <v>0</v>
      </c>
      <c r="G10" s="73">
        <v>2.035218</v>
      </c>
      <c r="H10" s="73">
        <v>7.3</v>
      </c>
      <c r="I10" s="73">
        <v>15</v>
      </c>
      <c r="J10" s="73">
        <v>0.75</v>
      </c>
      <c r="K10" s="73">
        <v>0.48666667899999999</v>
      </c>
      <c r="L10" s="73">
        <v>0</v>
      </c>
      <c r="M10" s="73">
        <v>0.2</v>
      </c>
      <c r="N10" s="73">
        <v>0</v>
      </c>
    </row>
    <row r="11" spans="1:46" ht="15" customHeight="1" x14ac:dyDescent="0.15">
      <c r="C11" s="73">
        <v>10</v>
      </c>
      <c r="D11"/>
      <c r="E11" s="134" t="s">
        <v>201</v>
      </c>
      <c r="F11" s="73">
        <v>0</v>
      </c>
      <c r="G11" s="73">
        <v>4.8</v>
      </c>
      <c r="H11" s="73">
        <v>6.17</v>
      </c>
      <c r="I11" s="73">
        <v>31.16667</v>
      </c>
      <c r="J11" s="73">
        <v>0.6650779</v>
      </c>
      <c r="K11" s="73">
        <v>0.1979679</v>
      </c>
      <c r="L11" s="73">
        <v>0</v>
      </c>
      <c r="M11" s="73">
        <v>0.2</v>
      </c>
      <c r="N11" s="73">
        <v>0</v>
      </c>
    </row>
    <row r="12" spans="1:46" ht="15" customHeight="1" x14ac:dyDescent="0.15">
      <c r="C12" s="73">
        <v>11</v>
      </c>
      <c r="D12"/>
      <c r="E12" s="134" t="s">
        <v>202</v>
      </c>
      <c r="F12" s="73">
        <v>0</v>
      </c>
      <c r="G12" s="73">
        <v>27.3</v>
      </c>
      <c r="H12" s="73">
        <v>1.92</v>
      </c>
      <c r="I12" s="73">
        <v>11.1</v>
      </c>
      <c r="J12" s="73">
        <v>0.250418961</v>
      </c>
      <c r="K12" s="73">
        <v>0.17297296200000001</v>
      </c>
      <c r="L12" s="73">
        <v>0</v>
      </c>
      <c r="M12" s="73">
        <v>0.2</v>
      </c>
      <c r="N12" s="73">
        <v>0</v>
      </c>
      <c r="P12" s="197" t="s">
        <v>226</v>
      </c>
    </row>
    <row r="13" spans="1:46" ht="15" customHeight="1" x14ac:dyDescent="0.15">
      <c r="C13" s="73">
        <v>12</v>
      </c>
      <c r="D13"/>
      <c r="E13" s="134" t="s">
        <v>203</v>
      </c>
      <c r="F13" s="73">
        <v>0</v>
      </c>
      <c r="G13" s="73">
        <v>0.9224485</v>
      </c>
      <c r="H13" s="73">
        <v>1.98</v>
      </c>
      <c r="I13" s="73">
        <v>10.992172200000001</v>
      </c>
      <c r="J13" s="73">
        <v>0.60709273799999997</v>
      </c>
      <c r="K13" s="73">
        <v>0.180128187</v>
      </c>
      <c r="L13" s="197">
        <v>0</v>
      </c>
      <c r="M13" s="73">
        <v>0.16676048900000001</v>
      </c>
      <c r="N13" s="73">
        <v>0</v>
      </c>
      <c r="P13" s="197">
        <v>1.7000000000000001E-2</v>
      </c>
    </row>
    <row r="14" spans="1:46" ht="15" customHeight="1" x14ac:dyDescent="0.15">
      <c r="C14" s="73">
        <v>13</v>
      </c>
      <c r="D14"/>
      <c r="E14" s="134" t="s">
        <v>204</v>
      </c>
      <c r="F14" s="73">
        <v>0</v>
      </c>
      <c r="G14" s="73">
        <v>4.2131614700000002</v>
      </c>
      <c r="H14" s="73">
        <v>0.6</v>
      </c>
      <c r="I14" s="73">
        <v>4.7500004799999997</v>
      </c>
      <c r="J14" s="73">
        <v>0.76378360000000001</v>
      </c>
      <c r="K14" s="73">
        <v>0.12631578700000001</v>
      </c>
      <c r="L14" s="197">
        <v>0</v>
      </c>
      <c r="M14" s="73">
        <v>0.2</v>
      </c>
      <c r="N14" s="73">
        <v>0</v>
      </c>
      <c r="P14" s="197">
        <v>1.7000000000000001E-2</v>
      </c>
    </row>
    <row r="15" spans="1:46" ht="15" customHeight="1" x14ac:dyDescent="0.15">
      <c r="C15" s="73">
        <v>14</v>
      </c>
      <c r="D15"/>
      <c r="E15" s="134" t="s">
        <v>205</v>
      </c>
      <c r="F15" s="73">
        <v>0</v>
      </c>
      <c r="G15" s="73">
        <v>3.9741360000000001</v>
      </c>
      <c r="H15" s="73">
        <v>1.9455</v>
      </c>
      <c r="I15" s="73">
        <v>4.8497567200000002</v>
      </c>
      <c r="J15" s="73">
        <v>0.29690024300000001</v>
      </c>
      <c r="K15" s="73">
        <v>0.40115415999999998</v>
      </c>
      <c r="L15" s="197">
        <v>0</v>
      </c>
      <c r="M15" s="73">
        <v>8.6566343899999995E-2</v>
      </c>
      <c r="N15" s="73">
        <v>0</v>
      </c>
      <c r="P15" s="197">
        <v>-8.9999999999999993E-3</v>
      </c>
    </row>
    <row r="16" spans="1:46" ht="15" customHeight="1" x14ac:dyDescent="0.15">
      <c r="C16" s="73">
        <v>15</v>
      </c>
      <c r="D16"/>
      <c r="E16" s="134" t="s">
        <v>206</v>
      </c>
      <c r="F16" s="73">
        <v>0</v>
      </c>
      <c r="G16" s="73">
        <v>5.6194205300000002</v>
      </c>
      <c r="H16" s="73">
        <v>0.41599999999999998</v>
      </c>
      <c r="I16" s="73">
        <v>2.0000007200000001</v>
      </c>
      <c r="J16" s="73">
        <v>0.66583610000000004</v>
      </c>
      <c r="K16" s="73">
        <v>0.20799993</v>
      </c>
      <c r="L16" s="197">
        <v>0</v>
      </c>
      <c r="M16" s="73">
        <v>0.2</v>
      </c>
      <c r="N16" s="73">
        <v>0</v>
      </c>
      <c r="P16" s="197">
        <v>-8.9999999999999993E-3</v>
      </c>
    </row>
    <row r="17" spans="1:22" ht="15" customHeight="1" x14ac:dyDescent="0.15">
      <c r="C17" s="73">
        <v>16</v>
      </c>
      <c r="D17"/>
      <c r="E17" s="134" t="s">
        <v>207</v>
      </c>
      <c r="F17" s="73">
        <v>0</v>
      </c>
      <c r="G17" s="73">
        <v>1.60556228E-3</v>
      </c>
      <c r="H17" s="73">
        <v>13</v>
      </c>
      <c r="I17" s="73">
        <v>74.707633999999999</v>
      </c>
      <c r="J17" s="73">
        <v>0.95880719999999997</v>
      </c>
      <c r="K17" s="73">
        <v>0.17401166300000001</v>
      </c>
      <c r="L17" s="197">
        <v>0</v>
      </c>
      <c r="M17" s="73">
        <v>0.2</v>
      </c>
      <c r="N17" s="73">
        <v>0</v>
      </c>
      <c r="P17" s="197">
        <v>0.36328196499999998</v>
      </c>
      <c r="V17" s="1" t="s">
        <v>30</v>
      </c>
    </row>
    <row r="18" spans="1:22" ht="15" customHeight="1" x14ac:dyDescent="0.15">
      <c r="C18" s="73">
        <v>17</v>
      </c>
      <c r="D18"/>
      <c r="E18" s="134" t="s">
        <v>208</v>
      </c>
      <c r="F18" s="73">
        <v>0</v>
      </c>
      <c r="G18" s="73">
        <v>0.27009376899999998</v>
      </c>
      <c r="H18" s="73">
        <v>0.9</v>
      </c>
      <c r="I18" s="73">
        <v>11.205159999999999</v>
      </c>
      <c r="J18" s="73">
        <v>0.85728219999999999</v>
      </c>
      <c r="K18" s="73">
        <v>8.0320134799999998E-2</v>
      </c>
      <c r="L18" s="197">
        <v>0</v>
      </c>
      <c r="M18" s="73">
        <v>0.2</v>
      </c>
      <c r="N18" s="73">
        <v>0</v>
      </c>
      <c r="P18" s="197">
        <v>0.36328199999999999</v>
      </c>
      <c r="V18" s="1"/>
    </row>
    <row r="19" spans="1:22" ht="15" customHeight="1" x14ac:dyDescent="0.15">
      <c r="C19" s="73">
        <v>18</v>
      </c>
      <c r="D19"/>
      <c r="E19" s="134" t="s">
        <v>209</v>
      </c>
      <c r="F19" s="73">
        <v>0</v>
      </c>
      <c r="G19" s="73">
        <v>1.0194989999999999</v>
      </c>
      <c r="H19" s="73">
        <v>0.62</v>
      </c>
      <c r="I19" s="73">
        <v>5.33692265</v>
      </c>
      <c r="J19" s="73">
        <v>0.43729475099999998</v>
      </c>
      <c r="K19" s="73">
        <v>0.116171815</v>
      </c>
      <c r="L19" s="197">
        <v>0</v>
      </c>
      <c r="M19" s="73">
        <v>0.12860284699999999</v>
      </c>
      <c r="N19" s="73">
        <v>0</v>
      </c>
      <c r="P19" s="197">
        <v>0.36328199999999999</v>
      </c>
    </row>
    <row r="20" spans="1:22" ht="15" customHeight="1" thickBot="1" x14ac:dyDescent="0.2">
      <c r="C20" s="73">
        <v>19</v>
      </c>
      <c r="D20"/>
      <c r="E20" s="134" t="s">
        <v>210</v>
      </c>
      <c r="F20" s="73">
        <v>0</v>
      </c>
      <c r="G20" s="73">
        <v>0.49000036699999999</v>
      </c>
      <c r="H20" s="73">
        <v>0.92</v>
      </c>
      <c r="I20" s="73">
        <v>3.4999976199999998</v>
      </c>
      <c r="J20" s="73">
        <v>0.82872599999999996</v>
      </c>
      <c r="K20" s="73">
        <v>0.26285731800000001</v>
      </c>
      <c r="L20" s="197">
        <v>0</v>
      </c>
      <c r="M20" s="73">
        <v>0.17</v>
      </c>
      <c r="N20" s="73">
        <v>0</v>
      </c>
      <c r="P20" s="197">
        <v>0.36328199999999999</v>
      </c>
    </row>
    <row r="21" spans="1:22" ht="15" customHeight="1" thickBot="1" x14ac:dyDescent="0.2">
      <c r="A21" s="43" t="s">
        <v>137</v>
      </c>
      <c r="B21" s="91"/>
      <c r="C21" s="73">
        <v>20</v>
      </c>
      <c r="D21"/>
      <c r="E21" s="134" t="s">
        <v>211</v>
      </c>
      <c r="F21" s="73">
        <v>0</v>
      </c>
      <c r="G21" s="73">
        <v>5.9999999999999995E-4</v>
      </c>
      <c r="H21" s="73">
        <v>0.1</v>
      </c>
      <c r="I21" s="73">
        <v>12.77</v>
      </c>
      <c r="J21" s="73">
        <v>0</v>
      </c>
      <c r="K21" s="73">
        <v>7.8308539999999999E-3</v>
      </c>
      <c r="L21" s="73">
        <v>0</v>
      </c>
      <c r="M21" s="73">
        <v>0.15</v>
      </c>
      <c r="N21" s="73">
        <v>0</v>
      </c>
    </row>
    <row r="22" spans="1:22" ht="15" customHeight="1" x14ac:dyDescent="0.15">
      <c r="A22" s="92" t="s">
        <v>58</v>
      </c>
      <c r="B22" s="93">
        <v>0</v>
      </c>
      <c r="C22" s="73">
        <v>21</v>
      </c>
      <c r="D22"/>
      <c r="E22" s="134" t="s">
        <v>212</v>
      </c>
      <c r="F22" s="73">
        <v>2</v>
      </c>
      <c r="G22" s="73">
        <v>3255.81</v>
      </c>
      <c r="H22" s="73">
        <v>0.93086049999999998</v>
      </c>
      <c r="I22" s="73">
        <v>0.72050000000000003</v>
      </c>
      <c r="J22" s="73">
        <v>0.65375965800000002</v>
      </c>
      <c r="K22" s="73">
        <v>0</v>
      </c>
      <c r="L22" s="73">
        <v>0</v>
      </c>
      <c r="M22" s="73">
        <v>0.2</v>
      </c>
      <c r="N22" s="73">
        <v>0</v>
      </c>
    </row>
    <row r="23" spans="1:22" ht="15" customHeight="1" x14ac:dyDescent="0.15">
      <c r="A23" s="92" t="s">
        <v>59</v>
      </c>
      <c r="B23" s="93">
        <v>1</v>
      </c>
      <c r="C23" s="73">
        <v>22</v>
      </c>
      <c r="D23"/>
      <c r="E23" s="134" t="s">
        <v>213</v>
      </c>
      <c r="F23" s="73">
        <v>2</v>
      </c>
      <c r="G23" s="73">
        <v>4651.17</v>
      </c>
      <c r="H23" s="73">
        <v>0</v>
      </c>
      <c r="I23" s="73">
        <v>0</v>
      </c>
      <c r="J23" s="73">
        <v>0</v>
      </c>
      <c r="K23" s="73">
        <v>0</v>
      </c>
      <c r="L23" s="73">
        <v>0</v>
      </c>
      <c r="M23" s="73">
        <v>0</v>
      </c>
      <c r="N23" s="73">
        <v>0</v>
      </c>
    </row>
    <row r="24" spans="1:22" ht="15" customHeight="1" x14ac:dyDescent="0.15">
      <c r="A24" s="92" t="s">
        <v>60</v>
      </c>
      <c r="B24" s="93">
        <v>2</v>
      </c>
      <c r="C24" s="73">
        <v>23</v>
      </c>
      <c r="D24"/>
      <c r="E24" s="134" t="s">
        <v>214</v>
      </c>
      <c r="F24" s="73">
        <v>2</v>
      </c>
      <c r="G24" s="73">
        <v>5</v>
      </c>
      <c r="H24" s="73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</row>
    <row r="25" spans="1:22" ht="15" customHeight="1" thickBot="1" x14ac:dyDescent="0.2">
      <c r="A25" s="94" t="s">
        <v>44</v>
      </c>
      <c r="B25" s="95">
        <v>3</v>
      </c>
      <c r="C25" s="73">
        <v>24</v>
      </c>
      <c r="D25"/>
      <c r="E25" s="134" t="s">
        <v>215</v>
      </c>
      <c r="F25" s="73">
        <v>3</v>
      </c>
      <c r="G25" s="73">
        <v>0</v>
      </c>
      <c r="H25" s="73">
        <v>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</row>
    <row r="26" spans="1:22" ht="15" customHeight="1" x14ac:dyDescent="0.15">
      <c r="A26" s="96" t="s">
        <v>140</v>
      </c>
      <c r="C26" s="73">
        <v>25</v>
      </c>
      <c r="D26"/>
      <c r="E26" s="134" t="s">
        <v>216</v>
      </c>
      <c r="F26" s="73">
        <v>3</v>
      </c>
      <c r="G26" s="73">
        <v>0</v>
      </c>
      <c r="H26" s="73">
        <v>0</v>
      </c>
      <c r="I26" s="73">
        <v>0</v>
      </c>
      <c r="J26" s="73">
        <v>0</v>
      </c>
      <c r="K26" s="73">
        <v>0</v>
      </c>
      <c r="L26" s="73">
        <v>0</v>
      </c>
      <c r="M26" s="73">
        <v>0</v>
      </c>
      <c r="N26" s="73">
        <v>0</v>
      </c>
    </row>
    <row r="27" spans="1:22" ht="15" customHeight="1" x14ac:dyDescent="0.15">
      <c r="C27" s="73">
        <v>26</v>
      </c>
      <c r="D27"/>
      <c r="E27" s="134" t="s">
        <v>217</v>
      </c>
      <c r="F27" s="73">
        <v>3</v>
      </c>
      <c r="G27" s="73">
        <v>0</v>
      </c>
      <c r="H27" s="73">
        <v>0</v>
      </c>
      <c r="I27" s="73">
        <v>0</v>
      </c>
      <c r="J27" s="73">
        <v>0</v>
      </c>
      <c r="K27" s="73">
        <v>0</v>
      </c>
      <c r="L27" s="73">
        <v>0</v>
      </c>
      <c r="M27" s="73">
        <v>0</v>
      </c>
      <c r="N27" s="73">
        <v>0</v>
      </c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32" sqref="D32"/>
    </sheetView>
  </sheetViews>
  <sheetFormatPr baseColWidth="10" defaultColWidth="8.83203125" defaultRowHeight="13" x14ac:dyDescent="0.15"/>
  <cols>
    <col min="1" max="1" width="25.5" style="131" bestFit="1" customWidth="1"/>
    <col min="2" max="24" width="13" style="131" customWidth="1"/>
    <col min="25" max="29" width="9" style="131" bestFit="1" customWidth="1"/>
    <col min="30" max="16384" width="8.83203125" style="131"/>
  </cols>
  <sheetData>
    <row r="1" spans="1:34" x14ac:dyDescent="0.15">
      <c r="A1" s="130" t="s">
        <v>19</v>
      </c>
      <c r="B1" s="136" t="s">
        <v>192</v>
      </c>
      <c r="C1" s="136" t="s">
        <v>193</v>
      </c>
      <c r="D1" s="136" t="s">
        <v>194</v>
      </c>
      <c r="E1" s="136" t="s">
        <v>195</v>
      </c>
      <c r="F1" s="136" t="s">
        <v>196</v>
      </c>
      <c r="G1" s="136" t="s">
        <v>197</v>
      </c>
      <c r="H1" s="136" t="s">
        <v>198</v>
      </c>
      <c r="I1" s="136" t="s">
        <v>199</v>
      </c>
      <c r="J1" s="136" t="s">
        <v>200</v>
      </c>
      <c r="K1" s="136" t="s">
        <v>201</v>
      </c>
      <c r="L1" s="136" t="s">
        <v>202</v>
      </c>
      <c r="M1" s="136" t="s">
        <v>203</v>
      </c>
      <c r="N1" s="136" t="s">
        <v>204</v>
      </c>
      <c r="O1" s="136" t="s">
        <v>205</v>
      </c>
      <c r="P1" s="136" t="s">
        <v>206</v>
      </c>
      <c r="Q1" s="136" t="s">
        <v>207</v>
      </c>
      <c r="R1" s="136" t="s">
        <v>208</v>
      </c>
      <c r="S1" s="136" t="s">
        <v>209</v>
      </c>
      <c r="T1" s="136" t="s">
        <v>210</v>
      </c>
      <c r="U1" s="136" t="s">
        <v>211</v>
      </c>
      <c r="V1" s="136" t="s">
        <v>212</v>
      </c>
      <c r="W1" s="136" t="s">
        <v>213</v>
      </c>
      <c r="X1" s="136" t="s">
        <v>214</v>
      </c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35" t="s">
        <v>192</v>
      </c>
      <c r="B2" s="131">
        <v>0</v>
      </c>
      <c r="C2" s="131">
        <v>0</v>
      </c>
      <c r="D2" s="131">
        <v>0</v>
      </c>
      <c r="E2" s="131">
        <v>1E-3</v>
      </c>
      <c r="F2" s="131">
        <v>0.05</v>
      </c>
      <c r="G2" s="131">
        <v>5.000000000000001E-2</v>
      </c>
      <c r="H2" s="131">
        <v>0.05</v>
      </c>
      <c r="I2" s="131">
        <v>0.05</v>
      </c>
      <c r="J2" s="131">
        <v>0</v>
      </c>
      <c r="K2" s="131">
        <v>0</v>
      </c>
      <c r="L2" s="131">
        <v>0</v>
      </c>
      <c r="M2" s="131">
        <v>0</v>
      </c>
      <c r="N2" s="131">
        <v>0</v>
      </c>
      <c r="O2" s="131">
        <v>0</v>
      </c>
      <c r="P2" s="131">
        <v>0</v>
      </c>
      <c r="Q2" s="131">
        <v>0</v>
      </c>
      <c r="R2" s="131">
        <v>0</v>
      </c>
      <c r="S2" s="131">
        <v>0</v>
      </c>
      <c r="T2" s="131">
        <v>0</v>
      </c>
      <c r="U2" s="131">
        <v>0</v>
      </c>
      <c r="V2" s="131">
        <v>0</v>
      </c>
      <c r="W2" s="131">
        <v>0</v>
      </c>
      <c r="X2" s="131">
        <v>0</v>
      </c>
    </row>
    <row r="3" spans="1:34" customFormat="1" x14ac:dyDescent="0.15">
      <c r="A3" s="135" t="s">
        <v>193</v>
      </c>
      <c r="B3" s="131">
        <v>0</v>
      </c>
      <c r="C3" s="131">
        <v>0</v>
      </c>
      <c r="D3" s="131">
        <v>0</v>
      </c>
      <c r="E3" s="131">
        <v>0.05</v>
      </c>
      <c r="F3" s="131">
        <v>0.28999999999999998</v>
      </c>
      <c r="G3" s="131">
        <v>0.11000000000000001</v>
      </c>
      <c r="H3" s="131">
        <v>0.2</v>
      </c>
      <c r="I3" s="131">
        <v>0.1</v>
      </c>
      <c r="J3" s="131">
        <v>0.14999999999999997</v>
      </c>
      <c r="K3" s="131">
        <v>0</v>
      </c>
      <c r="L3" s="131">
        <v>0</v>
      </c>
      <c r="M3" s="131">
        <v>0</v>
      </c>
      <c r="N3" s="131">
        <v>0</v>
      </c>
      <c r="O3" s="131">
        <v>0</v>
      </c>
      <c r="P3" s="131">
        <v>0</v>
      </c>
      <c r="Q3" s="131">
        <v>0</v>
      </c>
      <c r="R3" s="131">
        <v>0</v>
      </c>
      <c r="S3" s="131">
        <v>0</v>
      </c>
      <c r="T3" s="131">
        <v>0</v>
      </c>
      <c r="U3" s="131">
        <v>0</v>
      </c>
      <c r="V3" s="131">
        <v>0</v>
      </c>
      <c r="W3" s="131">
        <v>0</v>
      </c>
      <c r="X3" s="131">
        <v>0</v>
      </c>
    </row>
    <row r="4" spans="1:34" customFormat="1" x14ac:dyDescent="0.15">
      <c r="A4" s="135" t="s">
        <v>194</v>
      </c>
      <c r="B4" s="131">
        <v>0</v>
      </c>
      <c r="C4" s="131">
        <v>0</v>
      </c>
      <c r="D4" s="131">
        <v>0</v>
      </c>
      <c r="E4" s="131">
        <v>0.4</v>
      </c>
      <c r="F4" s="131">
        <v>0.26</v>
      </c>
      <c r="G4" s="131">
        <v>0.29000000000000004</v>
      </c>
      <c r="H4" s="131">
        <v>0.2</v>
      </c>
      <c r="I4" s="131">
        <v>0.4</v>
      </c>
      <c r="J4" s="131">
        <v>0.14999999999999997</v>
      </c>
      <c r="K4" s="131">
        <v>0</v>
      </c>
      <c r="L4" s="131">
        <v>0</v>
      </c>
      <c r="M4" s="131">
        <v>0</v>
      </c>
      <c r="N4" s="131">
        <v>0</v>
      </c>
      <c r="O4" s="131">
        <v>0</v>
      </c>
      <c r="P4" s="131">
        <v>0</v>
      </c>
      <c r="Q4" s="131">
        <v>0</v>
      </c>
      <c r="R4" s="131">
        <v>0</v>
      </c>
      <c r="S4" s="131">
        <v>0</v>
      </c>
      <c r="T4" s="131">
        <v>0</v>
      </c>
      <c r="U4" s="131">
        <v>0</v>
      </c>
      <c r="V4" s="131">
        <v>0</v>
      </c>
      <c r="W4" s="131">
        <v>0</v>
      </c>
      <c r="X4" s="131">
        <v>0</v>
      </c>
    </row>
    <row r="5" spans="1:34" customFormat="1" x14ac:dyDescent="0.15">
      <c r="A5" s="135" t="s">
        <v>195</v>
      </c>
      <c r="B5" s="131">
        <v>0</v>
      </c>
      <c r="C5" s="131">
        <v>0</v>
      </c>
      <c r="D5" s="131">
        <v>0</v>
      </c>
      <c r="E5" s="131">
        <v>0</v>
      </c>
      <c r="F5" s="131">
        <v>0.2</v>
      </c>
      <c r="G5" s="131">
        <v>0.20000000000000004</v>
      </c>
      <c r="H5" s="131">
        <v>0.3</v>
      </c>
      <c r="I5" s="131">
        <v>0.2</v>
      </c>
      <c r="J5" s="131">
        <v>0</v>
      </c>
      <c r="K5" s="131">
        <v>0</v>
      </c>
      <c r="L5" s="131">
        <v>0</v>
      </c>
      <c r="M5" s="131">
        <v>0</v>
      </c>
      <c r="N5" s="131">
        <v>0</v>
      </c>
      <c r="O5" s="131">
        <v>0</v>
      </c>
      <c r="P5" s="131">
        <v>0</v>
      </c>
      <c r="Q5" s="131">
        <v>0</v>
      </c>
      <c r="R5" s="131">
        <v>0</v>
      </c>
      <c r="S5" s="131">
        <v>0</v>
      </c>
      <c r="T5" s="131">
        <v>0</v>
      </c>
      <c r="U5" s="131">
        <v>0</v>
      </c>
      <c r="V5" s="131">
        <v>0</v>
      </c>
      <c r="W5" s="131">
        <v>0</v>
      </c>
      <c r="X5" s="131">
        <v>0</v>
      </c>
    </row>
    <row r="6" spans="1:34" customFormat="1" x14ac:dyDescent="0.15">
      <c r="A6" s="135" t="s">
        <v>196</v>
      </c>
      <c r="B6" s="131">
        <v>0</v>
      </c>
      <c r="C6" s="131">
        <v>0</v>
      </c>
      <c r="D6" s="131">
        <v>0</v>
      </c>
      <c r="E6" s="131">
        <v>0</v>
      </c>
      <c r="F6" s="131">
        <v>0</v>
      </c>
      <c r="G6" s="131">
        <v>0</v>
      </c>
      <c r="H6" s="131">
        <v>0</v>
      </c>
      <c r="I6" s="131">
        <v>0</v>
      </c>
      <c r="J6" s="131">
        <v>0.19999999999999996</v>
      </c>
      <c r="K6" s="131">
        <v>0</v>
      </c>
      <c r="L6" s="131">
        <v>0</v>
      </c>
      <c r="M6" s="131">
        <v>0.32986805277888848</v>
      </c>
      <c r="N6" s="131">
        <v>0.35299999999999998</v>
      </c>
      <c r="O6" s="131">
        <v>0.23536504847073009</v>
      </c>
      <c r="P6" s="131">
        <v>0.159</v>
      </c>
      <c r="Q6" s="131">
        <v>0.1</v>
      </c>
      <c r="R6" s="131">
        <v>0</v>
      </c>
      <c r="S6" s="131">
        <v>0</v>
      </c>
      <c r="T6" s="131">
        <v>0</v>
      </c>
      <c r="U6" s="131">
        <v>0</v>
      </c>
      <c r="V6" s="131">
        <v>0</v>
      </c>
      <c r="W6" s="131">
        <v>0</v>
      </c>
      <c r="X6" s="131">
        <v>0</v>
      </c>
    </row>
    <row r="7" spans="1:34" customFormat="1" x14ac:dyDescent="0.15">
      <c r="A7" s="135" t="s">
        <v>197</v>
      </c>
      <c r="B7" s="131">
        <v>0</v>
      </c>
      <c r="C7" s="131">
        <v>0</v>
      </c>
      <c r="D7" s="131">
        <v>0</v>
      </c>
      <c r="E7" s="131">
        <v>0</v>
      </c>
      <c r="F7" s="131">
        <v>0</v>
      </c>
      <c r="G7" s="131">
        <v>0</v>
      </c>
      <c r="H7" s="131">
        <v>0</v>
      </c>
      <c r="I7" s="131">
        <v>0</v>
      </c>
      <c r="J7" s="131">
        <v>9.9999999999999978E-2</v>
      </c>
      <c r="K7" s="131">
        <v>0</v>
      </c>
      <c r="L7" s="131">
        <v>0</v>
      </c>
      <c r="M7" s="131">
        <v>0.2998800479808077</v>
      </c>
      <c r="N7" s="131">
        <v>0.13800000000000001</v>
      </c>
      <c r="O7" s="131">
        <v>0.13620881727241763</v>
      </c>
      <c r="P7" s="131">
        <v>4.2999999999999997E-2</v>
      </c>
      <c r="Q7" s="131">
        <v>0.1</v>
      </c>
      <c r="R7" s="131">
        <v>0</v>
      </c>
      <c r="S7" s="131">
        <v>0</v>
      </c>
      <c r="T7" s="131">
        <v>0</v>
      </c>
      <c r="U7" s="131">
        <v>0</v>
      </c>
      <c r="V7" s="131">
        <v>0</v>
      </c>
      <c r="W7" s="131">
        <v>0</v>
      </c>
      <c r="X7" s="131">
        <v>0</v>
      </c>
    </row>
    <row r="8" spans="1:34" customFormat="1" x14ac:dyDescent="0.15">
      <c r="A8" s="135" t="s">
        <v>198</v>
      </c>
      <c r="B8" s="131">
        <v>0</v>
      </c>
      <c r="C8" s="131">
        <v>0</v>
      </c>
      <c r="D8" s="131">
        <v>0</v>
      </c>
      <c r="E8" s="131">
        <v>0</v>
      </c>
      <c r="F8" s="131">
        <v>0</v>
      </c>
      <c r="G8" s="131">
        <v>0</v>
      </c>
      <c r="H8" s="131">
        <v>0</v>
      </c>
      <c r="I8" s="131">
        <v>0</v>
      </c>
      <c r="J8" s="131">
        <v>4.9999999999999989E-2</v>
      </c>
      <c r="K8" s="131">
        <v>0</v>
      </c>
      <c r="L8" s="131">
        <v>0</v>
      </c>
      <c r="M8" s="131">
        <v>0.19912035185925631</v>
      </c>
      <c r="N8" s="131">
        <v>0.307</v>
      </c>
      <c r="O8" s="131">
        <v>0.20747253341494504</v>
      </c>
      <c r="P8" s="131">
        <v>0.35599999999999998</v>
      </c>
      <c r="Q8" s="131">
        <v>0.8</v>
      </c>
      <c r="R8" s="131">
        <v>0</v>
      </c>
      <c r="S8" s="131">
        <v>0</v>
      </c>
      <c r="T8" s="131">
        <v>0</v>
      </c>
      <c r="U8" s="131">
        <v>0</v>
      </c>
      <c r="V8" s="131">
        <v>0</v>
      </c>
      <c r="W8" s="131">
        <v>0</v>
      </c>
      <c r="X8" s="131">
        <v>0</v>
      </c>
    </row>
    <row r="9" spans="1:34" customFormat="1" x14ac:dyDescent="0.15">
      <c r="A9" s="135" t="s">
        <v>199</v>
      </c>
      <c r="B9" s="131">
        <v>0</v>
      </c>
      <c r="C9" s="131">
        <v>0</v>
      </c>
      <c r="D9" s="131">
        <v>0</v>
      </c>
      <c r="E9" s="131">
        <v>0</v>
      </c>
      <c r="F9" s="131">
        <v>0</v>
      </c>
      <c r="G9" s="131">
        <v>0</v>
      </c>
      <c r="H9" s="131">
        <v>0</v>
      </c>
      <c r="I9" s="131">
        <v>0</v>
      </c>
      <c r="J9" s="131">
        <v>4.9999999999999989E-2</v>
      </c>
      <c r="K9" s="131">
        <v>0</v>
      </c>
      <c r="L9" s="131">
        <v>0</v>
      </c>
      <c r="M9" s="131">
        <v>0.17063174730107958</v>
      </c>
      <c r="N9" s="131">
        <v>0.2</v>
      </c>
      <c r="O9" s="131">
        <v>7.2768780145537559E-2</v>
      </c>
      <c r="P9" s="131">
        <v>4.7E-2</v>
      </c>
      <c r="Q9" s="131">
        <v>0</v>
      </c>
      <c r="R9" s="131">
        <v>0</v>
      </c>
      <c r="S9" s="131">
        <v>0</v>
      </c>
      <c r="T9" s="131">
        <v>0</v>
      </c>
      <c r="U9" s="131">
        <v>0</v>
      </c>
      <c r="V9" s="131">
        <v>0</v>
      </c>
      <c r="W9" s="131">
        <v>0</v>
      </c>
      <c r="X9" s="131">
        <v>0</v>
      </c>
    </row>
    <row r="10" spans="1:34" customFormat="1" x14ac:dyDescent="0.15">
      <c r="A10" s="135" t="s">
        <v>200</v>
      </c>
      <c r="B10" s="131">
        <v>0</v>
      </c>
      <c r="C10" s="131">
        <v>0</v>
      </c>
      <c r="D10" s="131">
        <v>0</v>
      </c>
      <c r="E10" s="131">
        <v>0</v>
      </c>
      <c r="F10" s="131">
        <v>0</v>
      </c>
      <c r="G10" s="131">
        <v>0</v>
      </c>
      <c r="H10" s="131">
        <v>0</v>
      </c>
      <c r="I10" s="131">
        <v>0</v>
      </c>
      <c r="J10" s="131">
        <v>0</v>
      </c>
      <c r="K10" s="131">
        <v>0</v>
      </c>
      <c r="L10" s="131">
        <v>0</v>
      </c>
      <c r="M10" s="131">
        <v>4.9980007996801279E-4</v>
      </c>
      <c r="N10" s="131">
        <v>1E-3</v>
      </c>
      <c r="O10" s="131">
        <v>0.27700000055400004</v>
      </c>
      <c r="P10" s="131">
        <v>0.33800000000000002</v>
      </c>
      <c r="Q10" s="131">
        <v>0</v>
      </c>
      <c r="R10" s="131">
        <v>0.36403367505287226</v>
      </c>
      <c r="S10" s="131">
        <v>0.15124463616099007</v>
      </c>
      <c r="T10" s="131">
        <v>3.2605627698724979E-2</v>
      </c>
      <c r="U10" s="131">
        <v>0</v>
      </c>
      <c r="V10" s="131">
        <v>0</v>
      </c>
      <c r="W10" s="131">
        <v>0</v>
      </c>
      <c r="X10" s="131">
        <v>0</v>
      </c>
    </row>
    <row r="11" spans="1:34" customFormat="1" x14ac:dyDescent="0.15">
      <c r="A11" s="135" t="s">
        <v>201</v>
      </c>
      <c r="B11" s="131">
        <v>0</v>
      </c>
      <c r="C11" s="131">
        <v>0</v>
      </c>
      <c r="D11" s="131">
        <v>0</v>
      </c>
      <c r="E11" s="131">
        <v>0</v>
      </c>
      <c r="F11" s="131">
        <v>0</v>
      </c>
      <c r="G11" s="131">
        <v>0</v>
      </c>
      <c r="H11" s="131">
        <v>0</v>
      </c>
      <c r="I11" s="131">
        <v>0</v>
      </c>
      <c r="J11" s="131">
        <v>0</v>
      </c>
      <c r="K11" s="131">
        <v>0</v>
      </c>
      <c r="L11" s="131">
        <v>6.5000000000000002E-2</v>
      </c>
      <c r="M11" s="131">
        <v>0</v>
      </c>
      <c r="N11" s="131">
        <v>0</v>
      </c>
      <c r="O11" s="131">
        <v>0</v>
      </c>
      <c r="P11" s="131">
        <v>0</v>
      </c>
      <c r="Q11" s="131">
        <v>0</v>
      </c>
      <c r="R11" s="131">
        <v>0</v>
      </c>
      <c r="S11" s="131">
        <v>0</v>
      </c>
      <c r="T11" s="131">
        <v>0</v>
      </c>
      <c r="U11" s="131">
        <v>0</v>
      </c>
      <c r="V11" s="131">
        <v>0</v>
      </c>
      <c r="W11" s="131">
        <v>0</v>
      </c>
      <c r="X11" s="131">
        <v>0</v>
      </c>
    </row>
    <row r="12" spans="1:34" customFormat="1" x14ac:dyDescent="0.15">
      <c r="A12" s="135" t="s">
        <v>202</v>
      </c>
      <c r="B12" s="131">
        <v>0</v>
      </c>
      <c r="C12" s="131">
        <v>0</v>
      </c>
      <c r="D12" s="131">
        <v>0</v>
      </c>
      <c r="E12" s="131">
        <v>0</v>
      </c>
      <c r="F12" s="131">
        <v>0</v>
      </c>
      <c r="G12" s="131">
        <v>0</v>
      </c>
      <c r="H12" s="131">
        <v>0</v>
      </c>
      <c r="I12" s="131">
        <v>0</v>
      </c>
      <c r="J12" s="131">
        <v>0</v>
      </c>
      <c r="K12" s="131">
        <v>0</v>
      </c>
      <c r="L12" s="131">
        <v>0.03</v>
      </c>
      <c r="M12" s="131">
        <v>0</v>
      </c>
      <c r="N12" s="131">
        <v>0</v>
      </c>
      <c r="O12" s="131">
        <v>8.0000000160000001E-3</v>
      </c>
      <c r="P12" s="131">
        <v>4.7E-2</v>
      </c>
      <c r="Q12" s="131">
        <v>0</v>
      </c>
      <c r="R12" s="131">
        <v>0.53597161976676178</v>
      </c>
      <c r="S12" s="131">
        <v>0.26513013514988626</v>
      </c>
      <c r="T12" s="131">
        <v>0.16828605031593488</v>
      </c>
      <c r="U12" s="131">
        <v>0</v>
      </c>
      <c r="V12" s="131">
        <v>0</v>
      </c>
      <c r="W12" s="131">
        <v>0</v>
      </c>
      <c r="X12" s="131">
        <v>0</v>
      </c>
    </row>
    <row r="13" spans="1:34" customFormat="1" x14ac:dyDescent="0.15">
      <c r="A13" s="135" t="s">
        <v>203</v>
      </c>
      <c r="B13" s="131">
        <v>0</v>
      </c>
      <c r="C13" s="131">
        <v>0</v>
      </c>
      <c r="D13" s="131">
        <v>0</v>
      </c>
      <c r="E13" s="131">
        <v>0</v>
      </c>
      <c r="F13" s="131">
        <v>0</v>
      </c>
      <c r="G13" s="131">
        <v>0</v>
      </c>
      <c r="H13" s="131">
        <v>0</v>
      </c>
      <c r="I13" s="131">
        <v>0</v>
      </c>
      <c r="J13" s="131">
        <v>0</v>
      </c>
      <c r="K13" s="131">
        <v>0</v>
      </c>
      <c r="L13" s="131">
        <v>0</v>
      </c>
      <c r="M13" s="131">
        <v>0</v>
      </c>
      <c r="N13" s="131">
        <v>0</v>
      </c>
      <c r="O13" s="131">
        <v>0</v>
      </c>
      <c r="P13" s="131">
        <v>3.0000000000000001E-3</v>
      </c>
      <c r="Q13" s="131">
        <v>0</v>
      </c>
      <c r="R13" s="131">
        <v>7.9995764144292804E-3</v>
      </c>
      <c r="S13" s="131">
        <v>0.15074177633978972</v>
      </c>
      <c r="T13" s="131">
        <v>9.2945295697546629E-2</v>
      </c>
      <c r="U13" s="131">
        <v>0</v>
      </c>
      <c r="V13" s="131">
        <v>0</v>
      </c>
      <c r="W13" s="131">
        <v>0</v>
      </c>
      <c r="X13" s="131">
        <v>0</v>
      </c>
    </row>
    <row r="14" spans="1:34" customFormat="1" x14ac:dyDescent="0.15">
      <c r="A14" s="135" t="s">
        <v>204</v>
      </c>
      <c r="B14" s="131">
        <v>0</v>
      </c>
      <c r="C14" s="131">
        <v>0</v>
      </c>
      <c r="D14" s="131">
        <v>0</v>
      </c>
      <c r="E14" s="131">
        <v>0</v>
      </c>
      <c r="F14" s="131">
        <v>0</v>
      </c>
      <c r="G14" s="131">
        <v>0</v>
      </c>
      <c r="H14" s="131">
        <v>0</v>
      </c>
      <c r="I14" s="131">
        <v>0</v>
      </c>
      <c r="J14" s="131">
        <v>0</v>
      </c>
      <c r="K14" s="131">
        <v>0</v>
      </c>
      <c r="L14" s="131">
        <v>0</v>
      </c>
      <c r="M14" s="131">
        <v>0</v>
      </c>
      <c r="N14" s="131">
        <v>0</v>
      </c>
      <c r="O14" s="131">
        <v>0</v>
      </c>
      <c r="P14" s="131">
        <v>0</v>
      </c>
      <c r="Q14" s="131">
        <v>0</v>
      </c>
      <c r="R14" s="131">
        <v>3.6998040916735413E-2</v>
      </c>
      <c r="S14" s="131">
        <v>0.13620287813969167</v>
      </c>
      <c r="T14" s="131">
        <v>0.15087563724867656</v>
      </c>
      <c r="U14" s="131">
        <v>4.2000000000000003E-2</v>
      </c>
      <c r="V14" s="131">
        <v>0</v>
      </c>
      <c r="W14" s="131">
        <v>0</v>
      </c>
      <c r="X14" s="131">
        <v>0</v>
      </c>
    </row>
    <row r="15" spans="1:34" customFormat="1" x14ac:dyDescent="0.15">
      <c r="A15" s="135" t="s">
        <v>205</v>
      </c>
      <c r="B15" s="131">
        <v>0</v>
      </c>
      <c r="C15" s="131">
        <v>0</v>
      </c>
      <c r="D15" s="131">
        <v>0</v>
      </c>
      <c r="E15" s="131">
        <v>0</v>
      </c>
      <c r="F15" s="131">
        <v>0</v>
      </c>
      <c r="G15" s="131">
        <v>0</v>
      </c>
      <c r="H15" s="131">
        <v>0</v>
      </c>
      <c r="I15" s="131">
        <v>0</v>
      </c>
      <c r="J15" s="131">
        <v>0</v>
      </c>
      <c r="K15" s="131">
        <v>0</v>
      </c>
      <c r="L15" s="131">
        <v>0</v>
      </c>
      <c r="M15" s="131">
        <v>0</v>
      </c>
      <c r="N15" s="131">
        <v>0</v>
      </c>
      <c r="O15" s="131">
        <v>0</v>
      </c>
      <c r="P15" s="131">
        <v>0</v>
      </c>
      <c r="Q15" s="131">
        <v>0</v>
      </c>
      <c r="R15" s="131">
        <v>4.8997405538379335E-2</v>
      </c>
      <c r="S15" s="131">
        <v>0.21316368119545956</v>
      </c>
      <c r="T15" s="131">
        <v>0.26706098137083811</v>
      </c>
      <c r="U15" s="131">
        <v>2E-3</v>
      </c>
      <c r="V15" s="131">
        <v>0</v>
      </c>
      <c r="W15" s="131">
        <v>0</v>
      </c>
      <c r="X15" s="131">
        <v>0</v>
      </c>
    </row>
    <row r="16" spans="1:34" customFormat="1" x14ac:dyDescent="0.15">
      <c r="A16" s="135" t="s">
        <v>206</v>
      </c>
      <c r="B16" s="131">
        <v>0</v>
      </c>
      <c r="C16" s="131">
        <v>0</v>
      </c>
      <c r="D16" s="131">
        <v>0</v>
      </c>
      <c r="E16" s="131">
        <v>0</v>
      </c>
      <c r="F16" s="131">
        <v>0</v>
      </c>
      <c r="G16" s="131">
        <v>0</v>
      </c>
      <c r="H16" s="131">
        <v>0</v>
      </c>
      <c r="I16" s="131">
        <v>0</v>
      </c>
      <c r="J16" s="131">
        <v>0</v>
      </c>
      <c r="K16" s="131">
        <v>0</v>
      </c>
      <c r="L16" s="131">
        <v>0</v>
      </c>
      <c r="M16" s="131">
        <v>0</v>
      </c>
      <c r="N16" s="131">
        <v>0</v>
      </c>
      <c r="O16" s="131">
        <v>0</v>
      </c>
      <c r="P16" s="131">
        <v>0</v>
      </c>
      <c r="Q16" s="131">
        <v>0</v>
      </c>
      <c r="R16" s="131">
        <v>5.9996823108219594E-3</v>
      </c>
      <c r="S16" s="131">
        <v>5.1501178580988793E-2</v>
      </c>
      <c r="T16" s="131">
        <v>0.14346981879469989</v>
      </c>
      <c r="U16" s="131">
        <v>0.28999999999999998</v>
      </c>
      <c r="V16" s="131">
        <v>0</v>
      </c>
      <c r="W16" s="131">
        <v>0</v>
      </c>
      <c r="X16" s="131">
        <v>0</v>
      </c>
    </row>
    <row r="17" spans="1:24" customFormat="1" x14ac:dyDescent="0.15">
      <c r="A17" s="135" t="s">
        <v>207</v>
      </c>
      <c r="B17" s="131">
        <v>0</v>
      </c>
      <c r="C17" s="131">
        <v>0</v>
      </c>
      <c r="D17" s="131">
        <v>0</v>
      </c>
      <c r="E17" s="131">
        <v>0</v>
      </c>
      <c r="F17" s="131">
        <v>0</v>
      </c>
      <c r="G17" s="131">
        <v>0</v>
      </c>
      <c r="H17" s="131">
        <v>0</v>
      </c>
      <c r="I17" s="131">
        <v>0</v>
      </c>
      <c r="J17" s="131">
        <v>0</v>
      </c>
      <c r="K17" s="131">
        <v>0</v>
      </c>
      <c r="L17" s="131">
        <v>0</v>
      </c>
      <c r="M17" s="131">
        <v>0</v>
      </c>
      <c r="N17" s="131">
        <v>1E-3</v>
      </c>
      <c r="O17" s="131">
        <v>0</v>
      </c>
      <c r="P17" s="131">
        <v>0</v>
      </c>
      <c r="Q17" s="131">
        <v>0</v>
      </c>
      <c r="R17" s="131">
        <v>0</v>
      </c>
      <c r="S17" s="131">
        <v>0</v>
      </c>
      <c r="T17" s="131">
        <v>0</v>
      </c>
      <c r="U17" s="131">
        <v>0</v>
      </c>
      <c r="V17" s="131">
        <v>0</v>
      </c>
      <c r="W17" s="131">
        <v>0</v>
      </c>
      <c r="X17" s="131">
        <v>0</v>
      </c>
    </row>
    <row r="18" spans="1:24" customFormat="1" x14ac:dyDescent="0.15">
      <c r="A18" s="135" t="s">
        <v>208</v>
      </c>
      <c r="B18" s="131">
        <v>0</v>
      </c>
      <c r="C18" s="131">
        <v>0</v>
      </c>
      <c r="D18" s="131">
        <v>0</v>
      </c>
      <c r="E18" s="131">
        <v>0</v>
      </c>
      <c r="F18" s="131">
        <v>0</v>
      </c>
      <c r="G18" s="131">
        <v>0</v>
      </c>
      <c r="H18" s="131">
        <v>0</v>
      </c>
      <c r="I18" s="131">
        <v>0</v>
      </c>
      <c r="J18" s="131">
        <v>0</v>
      </c>
      <c r="K18" s="131">
        <v>0</v>
      </c>
      <c r="L18" s="131">
        <v>0</v>
      </c>
      <c r="M18" s="131">
        <v>0</v>
      </c>
      <c r="N18" s="131">
        <v>0</v>
      </c>
      <c r="O18" s="131">
        <v>0</v>
      </c>
      <c r="P18" s="131">
        <v>0</v>
      </c>
      <c r="Q18" s="131">
        <v>0</v>
      </c>
      <c r="R18" s="131">
        <v>0</v>
      </c>
      <c r="S18" s="131">
        <v>3.2015714433193815E-2</v>
      </c>
      <c r="T18" s="131">
        <v>1.9939391222284681E-2</v>
      </c>
      <c r="U18" s="131">
        <v>1.0999999999999999E-2</v>
      </c>
      <c r="V18" s="131">
        <v>0</v>
      </c>
      <c r="W18" s="131">
        <v>0</v>
      </c>
      <c r="X18" s="131">
        <v>0</v>
      </c>
    </row>
    <row r="19" spans="1:24" customFormat="1" x14ac:dyDescent="0.15">
      <c r="A19" s="135" t="s">
        <v>209</v>
      </c>
      <c r="B19" s="131">
        <v>0</v>
      </c>
      <c r="C19" s="131">
        <v>0</v>
      </c>
      <c r="D19" s="131">
        <v>0</v>
      </c>
      <c r="E19" s="131">
        <v>0</v>
      </c>
      <c r="F19" s="131">
        <v>0</v>
      </c>
      <c r="G19" s="131">
        <v>0</v>
      </c>
      <c r="H19" s="131">
        <v>0</v>
      </c>
      <c r="I19" s="131">
        <v>0</v>
      </c>
      <c r="J19" s="131">
        <v>0</v>
      </c>
      <c r="K19" s="131">
        <v>0</v>
      </c>
      <c r="L19" s="131">
        <v>0</v>
      </c>
      <c r="M19" s="131">
        <v>0</v>
      </c>
      <c r="N19" s="131">
        <v>0</v>
      </c>
      <c r="O19" s="131">
        <v>0</v>
      </c>
      <c r="P19" s="131">
        <v>0</v>
      </c>
      <c r="Q19" s="131">
        <v>0</v>
      </c>
      <c r="R19" s="131">
        <v>0</v>
      </c>
      <c r="S19" s="131">
        <v>0</v>
      </c>
      <c r="T19" s="131">
        <v>4.1151522522588323E-2</v>
      </c>
      <c r="U19" s="131">
        <v>0.17899999999999999</v>
      </c>
      <c r="V19" s="131">
        <v>0</v>
      </c>
      <c r="W19" s="131">
        <v>0</v>
      </c>
      <c r="X19" s="131">
        <v>0</v>
      </c>
    </row>
    <row r="20" spans="1:24" customFormat="1" x14ac:dyDescent="0.15">
      <c r="A20" s="135" t="s">
        <v>210</v>
      </c>
      <c r="B20" s="131">
        <v>0</v>
      </c>
      <c r="C20" s="131">
        <v>0</v>
      </c>
      <c r="D20" s="131">
        <v>0</v>
      </c>
      <c r="E20" s="131">
        <v>0</v>
      </c>
      <c r="F20" s="131">
        <v>0</v>
      </c>
      <c r="G20" s="131">
        <v>0</v>
      </c>
      <c r="H20" s="131">
        <v>0</v>
      </c>
      <c r="I20" s="131">
        <v>0</v>
      </c>
      <c r="J20" s="131">
        <v>0</v>
      </c>
      <c r="K20" s="131">
        <v>0</v>
      </c>
      <c r="L20" s="131">
        <v>0</v>
      </c>
      <c r="M20" s="131">
        <v>0</v>
      </c>
      <c r="N20" s="131">
        <v>0</v>
      </c>
      <c r="O20" s="131">
        <v>0</v>
      </c>
      <c r="P20" s="131">
        <v>0</v>
      </c>
      <c r="Q20" s="131">
        <v>0</v>
      </c>
      <c r="R20" s="131">
        <v>0</v>
      </c>
      <c r="S20" s="131">
        <v>0</v>
      </c>
      <c r="T20" s="131">
        <v>0</v>
      </c>
      <c r="U20" s="131">
        <v>7.6999999999999999E-2</v>
      </c>
      <c r="V20" s="131">
        <v>0</v>
      </c>
      <c r="W20" s="131">
        <v>0</v>
      </c>
      <c r="X20" s="131">
        <v>0</v>
      </c>
    </row>
    <row r="21" spans="1:24" customFormat="1" x14ac:dyDescent="0.15">
      <c r="A21" s="135" t="s">
        <v>211</v>
      </c>
      <c r="B21" s="131">
        <v>0</v>
      </c>
      <c r="C21" s="131">
        <v>0</v>
      </c>
      <c r="D21" s="131">
        <v>0</v>
      </c>
      <c r="E21" s="131">
        <v>0</v>
      </c>
      <c r="F21" s="131">
        <v>0</v>
      </c>
      <c r="G21" s="131">
        <v>0</v>
      </c>
      <c r="H21" s="131">
        <v>0</v>
      </c>
      <c r="I21" s="131">
        <v>0</v>
      </c>
      <c r="J21" s="131">
        <v>0</v>
      </c>
      <c r="K21" s="131">
        <v>0</v>
      </c>
      <c r="L21" s="131">
        <v>0</v>
      </c>
      <c r="M21" s="131">
        <v>0</v>
      </c>
      <c r="N21" s="131">
        <v>0</v>
      </c>
      <c r="O21" s="131">
        <v>0</v>
      </c>
      <c r="P21" s="131">
        <v>0</v>
      </c>
      <c r="Q21" s="131">
        <v>0</v>
      </c>
      <c r="R21" s="131">
        <v>0</v>
      </c>
      <c r="S21" s="131">
        <v>0</v>
      </c>
      <c r="T21" s="131">
        <v>0</v>
      </c>
      <c r="U21" s="131">
        <v>0</v>
      </c>
      <c r="V21" s="131">
        <v>0</v>
      </c>
      <c r="W21" s="131">
        <v>0</v>
      </c>
      <c r="X21" s="131">
        <v>0</v>
      </c>
    </row>
    <row r="22" spans="1:24" customFormat="1" x14ac:dyDescent="0.15">
      <c r="A22" s="135" t="s">
        <v>212</v>
      </c>
      <c r="B22" s="131">
        <v>0</v>
      </c>
      <c r="C22" s="131">
        <v>0</v>
      </c>
      <c r="D22" s="131">
        <v>0</v>
      </c>
      <c r="E22" s="131">
        <v>0.54900000000000004</v>
      </c>
      <c r="F22" s="131">
        <v>0.2</v>
      </c>
      <c r="G22" s="131">
        <v>0.35000000000000003</v>
      </c>
      <c r="H22" s="131">
        <v>0.25</v>
      </c>
      <c r="I22" s="131">
        <v>0.25</v>
      </c>
      <c r="J22" s="131">
        <v>0</v>
      </c>
      <c r="K22" s="131">
        <v>0</v>
      </c>
      <c r="L22" s="131">
        <v>0</v>
      </c>
      <c r="M22" s="131">
        <v>0</v>
      </c>
      <c r="N22" s="131">
        <v>0</v>
      </c>
      <c r="O22" s="131">
        <v>0</v>
      </c>
      <c r="P22" s="131">
        <v>0</v>
      </c>
      <c r="Q22" s="131">
        <v>0</v>
      </c>
      <c r="R22" s="131">
        <v>0</v>
      </c>
      <c r="S22" s="131">
        <v>0</v>
      </c>
      <c r="T22" s="131">
        <v>0</v>
      </c>
      <c r="U22" s="131">
        <v>0</v>
      </c>
      <c r="V22" s="131">
        <v>0</v>
      </c>
      <c r="W22" s="131">
        <v>0</v>
      </c>
      <c r="X22" s="131">
        <v>0</v>
      </c>
    </row>
    <row r="23" spans="1:24" customFormat="1" x14ac:dyDescent="0.15">
      <c r="A23" s="135" t="s">
        <v>213</v>
      </c>
      <c r="B23" s="131">
        <v>0</v>
      </c>
      <c r="C23" s="131">
        <v>0</v>
      </c>
      <c r="D23" s="131">
        <v>0</v>
      </c>
      <c r="E23" s="131">
        <v>0</v>
      </c>
      <c r="F23" s="131">
        <v>0</v>
      </c>
      <c r="G23" s="131">
        <v>0</v>
      </c>
      <c r="H23" s="131">
        <v>0</v>
      </c>
      <c r="I23" s="131">
        <v>0</v>
      </c>
      <c r="J23" s="131">
        <v>0.19999999999999996</v>
      </c>
      <c r="K23" s="131">
        <v>1</v>
      </c>
      <c r="L23" s="131">
        <v>0.90500000000000003</v>
      </c>
      <c r="M23" s="131">
        <v>0</v>
      </c>
      <c r="N23" s="131">
        <v>0</v>
      </c>
      <c r="O23" s="131">
        <v>0</v>
      </c>
      <c r="P23" s="131">
        <v>0</v>
      </c>
      <c r="Q23" s="131">
        <v>0</v>
      </c>
      <c r="R23" s="131">
        <v>0</v>
      </c>
      <c r="S23" s="131">
        <v>0</v>
      </c>
      <c r="T23" s="131">
        <v>0</v>
      </c>
      <c r="U23" s="131">
        <v>0</v>
      </c>
      <c r="V23" s="131">
        <v>0</v>
      </c>
      <c r="W23" s="131">
        <v>0</v>
      </c>
      <c r="X23" s="131">
        <v>0</v>
      </c>
    </row>
    <row r="24" spans="1:24" customFormat="1" x14ac:dyDescent="0.15">
      <c r="A24" s="135" t="s">
        <v>214</v>
      </c>
      <c r="B24" s="131">
        <v>0</v>
      </c>
      <c r="C24" s="131">
        <v>0</v>
      </c>
      <c r="D24" s="131">
        <v>0</v>
      </c>
      <c r="E24" s="131">
        <v>0</v>
      </c>
      <c r="F24" s="131">
        <v>0</v>
      </c>
      <c r="G24" s="131">
        <v>0</v>
      </c>
      <c r="H24" s="131">
        <v>0</v>
      </c>
      <c r="I24" s="131">
        <v>0</v>
      </c>
      <c r="J24" s="131">
        <v>0</v>
      </c>
      <c r="K24" s="131">
        <v>0</v>
      </c>
      <c r="L24" s="131">
        <v>0</v>
      </c>
      <c r="M24" s="131">
        <v>0</v>
      </c>
      <c r="N24" s="131">
        <v>0</v>
      </c>
      <c r="O24" s="131">
        <v>0</v>
      </c>
      <c r="P24" s="131">
        <v>0</v>
      </c>
      <c r="Q24" s="131">
        <v>0</v>
      </c>
      <c r="R24" s="131">
        <v>0</v>
      </c>
      <c r="S24" s="131">
        <v>0</v>
      </c>
      <c r="T24" s="131">
        <v>0</v>
      </c>
      <c r="U24" s="131">
        <v>0</v>
      </c>
      <c r="V24" s="131">
        <v>0</v>
      </c>
      <c r="W24" s="131">
        <v>0</v>
      </c>
      <c r="X24" s="131">
        <v>0</v>
      </c>
    </row>
    <row r="25" spans="1:24" customFormat="1" x14ac:dyDescent="0.15">
      <c r="A25" s="135" t="s">
        <v>218</v>
      </c>
      <c r="B25" s="131">
        <v>0</v>
      </c>
      <c r="C25" s="131">
        <v>0</v>
      </c>
      <c r="D25" s="131">
        <v>0</v>
      </c>
      <c r="E25" s="131">
        <v>0</v>
      </c>
      <c r="F25" s="131">
        <v>0</v>
      </c>
      <c r="G25" s="131">
        <v>0</v>
      </c>
      <c r="H25" s="131">
        <v>0</v>
      </c>
      <c r="I25" s="131">
        <v>0</v>
      </c>
      <c r="J25" s="131">
        <v>9.9999999999999978E-2</v>
      </c>
      <c r="K25" s="131">
        <v>0</v>
      </c>
      <c r="L25" s="131">
        <v>0</v>
      </c>
      <c r="M25" s="131">
        <v>0</v>
      </c>
      <c r="N25" s="131">
        <v>0</v>
      </c>
      <c r="O25" s="131">
        <v>6.318482012636964E-2</v>
      </c>
      <c r="P25" s="131">
        <v>7.0000000000000001E-3</v>
      </c>
      <c r="Q25" s="131">
        <v>0</v>
      </c>
      <c r="R25" s="131">
        <v>0</v>
      </c>
      <c r="S25" s="131">
        <v>0</v>
      </c>
      <c r="T25" s="131">
        <v>8.3665675128705874E-2</v>
      </c>
      <c r="U25" s="131">
        <v>0.39900000000000002</v>
      </c>
      <c r="V25" s="131">
        <v>0</v>
      </c>
      <c r="W25" s="131">
        <v>0</v>
      </c>
      <c r="X25" s="131">
        <v>0</v>
      </c>
    </row>
    <row r="26" spans="1:24" customFormat="1" x14ac:dyDescent="0.15"/>
    <row r="27" spans="1:24" customFormat="1" x14ac:dyDescent="0.15"/>
    <row r="28" spans="1:24" customFormat="1" x14ac:dyDescent="0.15">
      <c r="A28" s="194" t="s">
        <v>225</v>
      </c>
      <c r="B28">
        <f>SUM(B2:B25)</f>
        <v>0</v>
      </c>
      <c r="C28">
        <f t="shared" ref="C28:X28" si="0">SUM(C2:C25)</f>
        <v>0</v>
      </c>
      <c r="D28">
        <f t="shared" si="0"/>
        <v>0</v>
      </c>
      <c r="E28">
        <f t="shared" si="0"/>
        <v>1</v>
      </c>
      <c r="F28">
        <f t="shared" si="0"/>
        <v>1</v>
      </c>
      <c r="G28">
        <f t="shared" si="0"/>
        <v>1.0000000000000002</v>
      </c>
      <c r="H28">
        <f t="shared" si="0"/>
        <v>1</v>
      </c>
      <c r="I28">
        <f t="shared" si="0"/>
        <v>1</v>
      </c>
      <c r="J28">
        <f t="shared" si="0"/>
        <v>0.99999999999999989</v>
      </c>
      <c r="K28">
        <f t="shared" si="0"/>
        <v>1</v>
      </c>
      <c r="L28">
        <f t="shared" si="0"/>
        <v>1</v>
      </c>
      <c r="M28">
        <f t="shared" si="0"/>
        <v>1</v>
      </c>
      <c r="N28">
        <f t="shared" si="0"/>
        <v>1</v>
      </c>
      <c r="O28">
        <f t="shared" si="0"/>
        <v>0.99999999999999989</v>
      </c>
      <c r="P28">
        <f t="shared" si="0"/>
        <v>1</v>
      </c>
      <c r="Q28">
        <f t="shared" si="0"/>
        <v>1</v>
      </c>
      <c r="R28">
        <f t="shared" si="0"/>
        <v>1</v>
      </c>
      <c r="S28">
        <f t="shared" si="0"/>
        <v>0.99999999999999989</v>
      </c>
      <c r="T28">
        <f t="shared" si="0"/>
        <v>1</v>
      </c>
      <c r="U28">
        <f t="shared" si="0"/>
        <v>1</v>
      </c>
      <c r="V28">
        <f t="shared" si="0"/>
        <v>0</v>
      </c>
      <c r="W28">
        <f t="shared" si="0"/>
        <v>0</v>
      </c>
      <c r="X28">
        <f t="shared" si="0"/>
        <v>0</v>
      </c>
    </row>
    <row r="29" spans="1:24" customFormat="1" x14ac:dyDescent="0.15"/>
    <row r="30" spans="1:24" customFormat="1" x14ac:dyDescent="0.15"/>
    <row r="31" spans="1:24" customFormat="1" x14ac:dyDescent="0.15"/>
    <row r="32" spans="1:24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9" sqref="C29"/>
    </sheetView>
  </sheetViews>
  <sheetFormatPr baseColWidth="10" defaultColWidth="8.83203125" defaultRowHeight="13" x14ac:dyDescent="0.15"/>
  <cols>
    <col min="1" max="1" width="3.33203125" customWidth="1"/>
    <col min="2" max="2" width="25.5" customWidth="1"/>
    <col min="3" max="4" width="22" style="102" customWidth="1"/>
    <col min="5" max="6" width="22" style="101" customWidth="1"/>
    <col min="7" max="7" width="22" style="102" customWidth="1"/>
    <col min="8" max="8" width="8.83203125" style="102"/>
  </cols>
  <sheetData>
    <row r="1" spans="1:8" ht="70" x14ac:dyDescent="0.15">
      <c r="A1" s="5" t="s">
        <v>20</v>
      </c>
      <c r="B1" s="1" t="s">
        <v>0</v>
      </c>
      <c r="C1" s="138" t="s">
        <v>212</v>
      </c>
      <c r="D1" s="138" t="s">
        <v>213</v>
      </c>
      <c r="E1" s="138" t="s">
        <v>214</v>
      </c>
      <c r="F1" s="138" t="s">
        <v>219</v>
      </c>
      <c r="G1" s="138" t="s">
        <v>220</v>
      </c>
      <c r="H1"/>
    </row>
    <row r="2" spans="1:8" x14ac:dyDescent="0.15">
      <c r="A2">
        <v>1</v>
      </c>
      <c r="B2" s="137" t="s">
        <v>192</v>
      </c>
      <c r="C2" s="102">
        <v>1</v>
      </c>
      <c r="D2" s="102">
        <v>0</v>
      </c>
      <c r="E2" s="101">
        <v>0</v>
      </c>
      <c r="F2" s="101">
        <v>0</v>
      </c>
      <c r="G2" s="102">
        <f>SUM(C2:F2)</f>
        <v>1</v>
      </c>
      <c r="H2"/>
    </row>
    <row r="3" spans="1:8" x14ac:dyDescent="0.15">
      <c r="A3">
        <v>2</v>
      </c>
      <c r="B3" s="137" t="s">
        <v>193</v>
      </c>
      <c r="C3" s="102">
        <v>0</v>
      </c>
      <c r="D3" s="102">
        <v>1</v>
      </c>
      <c r="E3" s="101">
        <v>0</v>
      </c>
      <c r="F3" s="101">
        <v>0</v>
      </c>
      <c r="G3" s="102">
        <f t="shared" ref="G3:G27" si="0">SUM(C3:F3)</f>
        <v>1</v>
      </c>
      <c r="H3"/>
    </row>
    <row r="4" spans="1:8" x14ac:dyDescent="0.15">
      <c r="A4">
        <v>3</v>
      </c>
      <c r="B4" s="137" t="s">
        <v>194</v>
      </c>
      <c r="C4" s="102">
        <v>1</v>
      </c>
      <c r="D4" s="102">
        <v>0</v>
      </c>
      <c r="E4" s="101">
        <v>0</v>
      </c>
      <c r="F4" s="101">
        <v>0</v>
      </c>
      <c r="G4" s="102">
        <f t="shared" si="0"/>
        <v>1</v>
      </c>
      <c r="H4"/>
    </row>
    <row r="5" spans="1:8" x14ac:dyDescent="0.15">
      <c r="A5">
        <v>4</v>
      </c>
      <c r="B5" s="137" t="s">
        <v>195</v>
      </c>
      <c r="C5" s="102">
        <v>1</v>
      </c>
      <c r="D5" s="102">
        <v>0</v>
      </c>
      <c r="E5" s="101">
        <v>0</v>
      </c>
      <c r="F5" s="101">
        <v>0</v>
      </c>
      <c r="G5" s="102">
        <f t="shared" si="0"/>
        <v>1</v>
      </c>
      <c r="H5"/>
    </row>
    <row r="6" spans="1:8" x14ac:dyDescent="0.15">
      <c r="A6">
        <v>5</v>
      </c>
      <c r="B6" s="137" t="s">
        <v>196</v>
      </c>
      <c r="C6" s="102">
        <v>0.5</v>
      </c>
      <c r="D6" s="102">
        <v>0.5</v>
      </c>
      <c r="E6" s="101">
        <v>0</v>
      </c>
      <c r="F6" s="101">
        <v>0</v>
      </c>
      <c r="G6" s="102">
        <f t="shared" si="0"/>
        <v>1</v>
      </c>
      <c r="H6"/>
    </row>
    <row r="7" spans="1:8" x14ac:dyDescent="0.15">
      <c r="A7">
        <v>6</v>
      </c>
      <c r="B7" s="137" t="s">
        <v>197</v>
      </c>
      <c r="C7" s="102">
        <v>0.5</v>
      </c>
      <c r="D7" s="102">
        <v>0.5</v>
      </c>
      <c r="E7" s="101">
        <v>0</v>
      </c>
      <c r="F7" s="101">
        <v>0</v>
      </c>
      <c r="G7" s="102">
        <f t="shared" si="0"/>
        <v>1</v>
      </c>
      <c r="H7"/>
    </row>
    <row r="8" spans="1:8" x14ac:dyDescent="0.15">
      <c r="A8">
        <v>7</v>
      </c>
      <c r="B8" s="137" t="s">
        <v>198</v>
      </c>
      <c r="C8" s="102">
        <v>0.5</v>
      </c>
      <c r="D8" s="102">
        <v>0.5</v>
      </c>
      <c r="E8" s="101">
        <v>0</v>
      </c>
      <c r="F8" s="101">
        <v>0</v>
      </c>
      <c r="G8" s="102">
        <f t="shared" si="0"/>
        <v>1</v>
      </c>
      <c r="H8"/>
    </row>
    <row r="9" spans="1:8" x14ac:dyDescent="0.15">
      <c r="A9">
        <v>8</v>
      </c>
      <c r="B9" s="137" t="s">
        <v>199</v>
      </c>
      <c r="C9" s="102">
        <v>0.5</v>
      </c>
      <c r="D9" s="102">
        <v>0.5</v>
      </c>
      <c r="E9" s="101">
        <v>0</v>
      </c>
      <c r="F9" s="101">
        <v>0</v>
      </c>
      <c r="G9" s="102">
        <f t="shared" si="0"/>
        <v>1</v>
      </c>
      <c r="H9"/>
    </row>
    <row r="10" spans="1:8" x14ac:dyDescent="0.15">
      <c r="A10">
        <v>9</v>
      </c>
      <c r="B10" s="137" t="s">
        <v>200</v>
      </c>
      <c r="C10" s="102">
        <v>0.5</v>
      </c>
      <c r="D10" s="102">
        <v>0.5</v>
      </c>
      <c r="E10" s="101">
        <v>0</v>
      </c>
      <c r="F10" s="101">
        <v>0</v>
      </c>
      <c r="G10" s="102">
        <f t="shared" si="0"/>
        <v>1</v>
      </c>
      <c r="H10"/>
    </row>
    <row r="11" spans="1:8" x14ac:dyDescent="0.15">
      <c r="A11">
        <v>10</v>
      </c>
      <c r="B11" s="137" t="s">
        <v>201</v>
      </c>
      <c r="C11" s="102">
        <v>0</v>
      </c>
      <c r="D11" s="102">
        <v>1</v>
      </c>
      <c r="E11" s="101">
        <v>0</v>
      </c>
      <c r="F11" s="101">
        <v>0</v>
      </c>
      <c r="G11" s="102">
        <f t="shared" si="0"/>
        <v>1</v>
      </c>
      <c r="H11"/>
    </row>
    <row r="12" spans="1:8" x14ac:dyDescent="0.15">
      <c r="A12">
        <v>11</v>
      </c>
      <c r="B12" s="137" t="s">
        <v>202</v>
      </c>
      <c r="C12" s="102">
        <v>0</v>
      </c>
      <c r="D12" s="102">
        <v>1</v>
      </c>
      <c r="E12" s="101">
        <v>0</v>
      </c>
      <c r="F12" s="101">
        <v>0</v>
      </c>
      <c r="G12" s="102">
        <f t="shared" si="0"/>
        <v>1</v>
      </c>
      <c r="H12"/>
    </row>
    <row r="13" spans="1:8" x14ac:dyDescent="0.15">
      <c r="A13">
        <v>12</v>
      </c>
      <c r="B13" s="137" t="s">
        <v>203</v>
      </c>
      <c r="C13" s="102">
        <v>0</v>
      </c>
      <c r="D13" s="102">
        <v>1</v>
      </c>
      <c r="E13" s="101">
        <v>0</v>
      </c>
      <c r="F13" s="101">
        <v>0</v>
      </c>
      <c r="G13" s="102">
        <f t="shared" si="0"/>
        <v>1</v>
      </c>
      <c r="H13"/>
    </row>
    <row r="14" spans="1:8" x14ac:dyDescent="0.15">
      <c r="A14">
        <v>13</v>
      </c>
      <c r="B14" s="137" t="s">
        <v>204</v>
      </c>
      <c r="C14" s="102">
        <v>0</v>
      </c>
      <c r="D14" s="102">
        <v>1</v>
      </c>
      <c r="E14" s="101">
        <v>0</v>
      </c>
      <c r="F14" s="101">
        <v>0</v>
      </c>
      <c r="G14" s="102">
        <f t="shared" si="0"/>
        <v>1</v>
      </c>
      <c r="H14"/>
    </row>
    <row r="15" spans="1:8" x14ac:dyDescent="0.15">
      <c r="A15">
        <v>14</v>
      </c>
      <c r="B15" s="137" t="s">
        <v>205</v>
      </c>
      <c r="C15" s="102">
        <v>0</v>
      </c>
      <c r="D15" s="102">
        <v>1</v>
      </c>
      <c r="E15" s="101">
        <v>0</v>
      </c>
      <c r="F15" s="101">
        <v>0</v>
      </c>
      <c r="G15" s="102">
        <f t="shared" si="0"/>
        <v>1</v>
      </c>
      <c r="H15"/>
    </row>
    <row r="16" spans="1:8" x14ac:dyDescent="0.15">
      <c r="A16">
        <v>15</v>
      </c>
      <c r="B16" s="137" t="s">
        <v>206</v>
      </c>
      <c r="C16" s="102">
        <v>0</v>
      </c>
      <c r="D16" s="102">
        <v>1</v>
      </c>
      <c r="E16" s="101">
        <v>0</v>
      </c>
      <c r="F16" s="101">
        <v>0</v>
      </c>
      <c r="G16" s="102">
        <f t="shared" si="0"/>
        <v>1</v>
      </c>
      <c r="H16"/>
    </row>
    <row r="17" spans="1:8" ht="15" customHeight="1" x14ac:dyDescent="0.15">
      <c r="A17">
        <v>16</v>
      </c>
      <c r="B17" s="137" t="s">
        <v>207</v>
      </c>
      <c r="C17" s="102">
        <v>0</v>
      </c>
      <c r="D17" s="102">
        <v>1</v>
      </c>
      <c r="E17" s="101">
        <v>0</v>
      </c>
      <c r="F17" s="101">
        <v>0</v>
      </c>
      <c r="G17" s="102">
        <f t="shared" si="0"/>
        <v>1</v>
      </c>
      <c r="H17"/>
    </row>
    <row r="18" spans="1:8" ht="15" customHeight="1" x14ac:dyDescent="0.15">
      <c r="A18">
        <v>17</v>
      </c>
      <c r="B18" s="137" t="s">
        <v>208</v>
      </c>
      <c r="C18" s="102">
        <v>0</v>
      </c>
      <c r="D18" s="102">
        <v>1</v>
      </c>
      <c r="E18" s="101">
        <v>0</v>
      </c>
      <c r="F18" s="101">
        <v>0</v>
      </c>
      <c r="G18" s="102">
        <f t="shared" si="0"/>
        <v>1</v>
      </c>
      <c r="H18"/>
    </row>
    <row r="19" spans="1:8" ht="15" customHeight="1" x14ac:dyDescent="0.15">
      <c r="A19">
        <v>18</v>
      </c>
      <c r="B19" s="137" t="s">
        <v>209</v>
      </c>
      <c r="C19" s="102">
        <v>0</v>
      </c>
      <c r="D19" s="102">
        <v>1</v>
      </c>
      <c r="E19" s="101">
        <v>0</v>
      </c>
      <c r="F19" s="101">
        <v>0</v>
      </c>
      <c r="G19" s="102">
        <f t="shared" si="0"/>
        <v>1</v>
      </c>
      <c r="H19"/>
    </row>
    <row r="20" spans="1:8" ht="15" customHeight="1" x14ac:dyDescent="0.15">
      <c r="A20">
        <v>19</v>
      </c>
      <c r="B20" s="137" t="s">
        <v>210</v>
      </c>
      <c r="C20" s="102">
        <v>0</v>
      </c>
      <c r="D20" s="102">
        <v>1</v>
      </c>
      <c r="E20" s="101">
        <v>0</v>
      </c>
      <c r="F20" s="101">
        <v>0</v>
      </c>
      <c r="G20" s="102">
        <f t="shared" si="0"/>
        <v>1</v>
      </c>
      <c r="H20"/>
    </row>
    <row r="21" spans="1:8" ht="15" customHeight="1" x14ac:dyDescent="0.15">
      <c r="A21">
        <v>20</v>
      </c>
      <c r="B21" s="137" t="s">
        <v>211</v>
      </c>
      <c r="C21" s="102">
        <v>0</v>
      </c>
      <c r="D21" s="102">
        <v>1</v>
      </c>
      <c r="E21" s="101">
        <v>0</v>
      </c>
      <c r="F21" s="101">
        <v>0</v>
      </c>
      <c r="G21" s="102">
        <f t="shared" si="0"/>
        <v>1</v>
      </c>
      <c r="H21"/>
    </row>
    <row r="22" spans="1:8" ht="15" customHeight="1" x14ac:dyDescent="0.15">
      <c r="A22">
        <v>21</v>
      </c>
      <c r="B22" s="137" t="s">
        <v>212</v>
      </c>
      <c r="C22" s="102">
        <v>0</v>
      </c>
      <c r="D22" s="195">
        <v>1</v>
      </c>
      <c r="E22" s="195">
        <v>0</v>
      </c>
      <c r="F22" s="101">
        <v>0</v>
      </c>
      <c r="G22" s="102">
        <f t="shared" si="0"/>
        <v>1</v>
      </c>
      <c r="H22"/>
    </row>
    <row r="23" spans="1:8" ht="15" customHeight="1" x14ac:dyDescent="0.15">
      <c r="A23">
        <v>22</v>
      </c>
      <c r="B23" s="137" t="s">
        <v>213</v>
      </c>
      <c r="C23" s="102">
        <v>0</v>
      </c>
      <c r="D23" s="102">
        <v>0</v>
      </c>
      <c r="E23" s="101">
        <v>1</v>
      </c>
      <c r="F23" s="101">
        <v>0</v>
      </c>
      <c r="G23" s="102">
        <f t="shared" si="0"/>
        <v>1</v>
      </c>
      <c r="H23"/>
    </row>
    <row r="24" spans="1:8" ht="15" customHeight="1" x14ac:dyDescent="0.15">
      <c r="A24">
        <v>23</v>
      </c>
      <c r="B24" s="137" t="s">
        <v>214</v>
      </c>
      <c r="C24" s="102">
        <v>0</v>
      </c>
      <c r="D24" s="102">
        <v>0</v>
      </c>
      <c r="E24" s="196">
        <v>0</v>
      </c>
      <c r="F24" s="196">
        <v>1</v>
      </c>
      <c r="G24" s="102">
        <f t="shared" si="0"/>
        <v>1</v>
      </c>
      <c r="H24"/>
    </row>
    <row r="25" spans="1:8" ht="15" customHeight="1" x14ac:dyDescent="0.15">
      <c r="A25">
        <v>24</v>
      </c>
      <c r="B25" s="137" t="s">
        <v>215</v>
      </c>
      <c r="C25" s="102">
        <v>0</v>
      </c>
      <c r="D25" s="102">
        <v>1</v>
      </c>
      <c r="E25" s="101">
        <v>0</v>
      </c>
      <c r="F25" s="101">
        <v>0</v>
      </c>
      <c r="G25" s="102">
        <f t="shared" si="0"/>
        <v>1</v>
      </c>
      <c r="H25"/>
    </row>
    <row r="26" spans="1:8" ht="15" customHeight="1" x14ac:dyDescent="0.15">
      <c r="A26">
        <v>25</v>
      </c>
      <c r="B26" s="137" t="s">
        <v>216</v>
      </c>
      <c r="C26" s="102">
        <v>0</v>
      </c>
      <c r="D26" s="102">
        <v>1</v>
      </c>
      <c r="E26" s="101">
        <v>0</v>
      </c>
      <c r="F26" s="101">
        <v>0</v>
      </c>
      <c r="G26" s="102">
        <f t="shared" si="0"/>
        <v>1</v>
      </c>
      <c r="H26"/>
    </row>
    <row r="27" spans="1:8" ht="15" customHeight="1" x14ac:dyDescent="0.15">
      <c r="A27">
        <v>26</v>
      </c>
      <c r="B27" s="137" t="s">
        <v>217</v>
      </c>
      <c r="C27" s="102">
        <v>0</v>
      </c>
      <c r="D27" s="102">
        <v>1</v>
      </c>
      <c r="E27" s="101">
        <v>0</v>
      </c>
      <c r="F27" s="101">
        <v>0</v>
      </c>
      <c r="G27" s="102">
        <f t="shared" si="0"/>
        <v>1</v>
      </c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102"/>
      <c r="F36" s="102"/>
      <c r="G36"/>
      <c r="H36"/>
    </row>
    <row r="37" spans="3:8" ht="15" customHeight="1" x14ac:dyDescent="0.15">
      <c r="C37"/>
      <c r="D37"/>
      <c r="E37" s="102"/>
      <c r="F37" s="102"/>
      <c r="G37"/>
      <c r="H37"/>
    </row>
    <row r="38" spans="3:8" ht="15" customHeight="1" x14ac:dyDescent="0.15">
      <c r="C38"/>
      <c r="D38"/>
      <c r="E38" s="102"/>
      <c r="F38" s="102"/>
      <c r="G38"/>
      <c r="H38"/>
    </row>
    <row r="39" spans="3:8" ht="15" customHeight="1" x14ac:dyDescent="0.15">
      <c r="C39"/>
      <c r="D39"/>
      <c r="E39" s="102"/>
      <c r="F39" s="102"/>
      <c r="G39"/>
      <c r="H39"/>
    </row>
    <row r="40" spans="3:8" ht="15" customHeight="1" x14ac:dyDescent="0.15">
      <c r="C40"/>
      <c r="D40"/>
      <c r="E40" s="102"/>
      <c r="F40" s="102"/>
      <c r="G40"/>
      <c r="H40"/>
    </row>
    <row r="41" spans="3:8" ht="15" customHeight="1" x14ac:dyDescent="0.15">
      <c r="C41"/>
      <c r="D41"/>
      <c r="E41" s="102"/>
      <c r="F41" s="102"/>
      <c r="G41"/>
      <c r="H41"/>
    </row>
    <row r="42" spans="3:8" ht="15" customHeight="1" x14ac:dyDescent="0.15">
      <c r="C42"/>
      <c r="D42"/>
      <c r="E42" s="102"/>
      <c r="F42" s="102"/>
      <c r="G42"/>
      <c r="H42"/>
    </row>
    <row r="43" spans="3:8" ht="15" customHeight="1" x14ac:dyDescent="0.15">
      <c r="C43"/>
      <c r="D43"/>
      <c r="E43" s="102"/>
      <c r="F43" s="102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102"/>
      <c r="F46" s="102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F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5" bestFit="1" customWidth="1"/>
    <col min="3" max="3" width="10.83203125" bestFit="1" customWidth="1"/>
    <col min="4" max="4" width="11.83203125" bestFit="1" customWidth="1"/>
    <col min="5" max="5" width="9.83203125" bestFit="1" customWidth="1"/>
    <col min="6" max="6" width="11.83203125" customWidth="1"/>
  </cols>
  <sheetData>
    <row r="1" spans="1:6" s="103" customFormat="1" ht="112" x14ac:dyDescent="0.15">
      <c r="A1" s="5" t="s">
        <v>21</v>
      </c>
      <c r="B1" s="3" t="s">
        <v>0</v>
      </c>
      <c r="C1" s="140" t="s">
        <v>215</v>
      </c>
      <c r="D1" s="140" t="s">
        <v>216</v>
      </c>
      <c r="E1" s="140" t="s">
        <v>217</v>
      </c>
      <c r="F1" s="140" t="s">
        <v>221</v>
      </c>
    </row>
    <row r="2" spans="1:6" ht="15" customHeight="1" x14ac:dyDescent="0.15">
      <c r="A2">
        <v>1</v>
      </c>
      <c r="B2" s="139" t="s">
        <v>192</v>
      </c>
      <c r="C2">
        <v>0</v>
      </c>
      <c r="D2">
        <v>0</v>
      </c>
      <c r="E2">
        <v>0</v>
      </c>
      <c r="F2">
        <v>0</v>
      </c>
    </row>
    <row r="3" spans="1:6" ht="15" customHeight="1" x14ac:dyDescent="0.15">
      <c r="A3">
        <v>2</v>
      </c>
      <c r="B3" s="139" t="s">
        <v>193</v>
      </c>
      <c r="C3">
        <v>0</v>
      </c>
      <c r="D3">
        <v>0</v>
      </c>
      <c r="E3">
        <v>0</v>
      </c>
      <c r="F3">
        <v>0</v>
      </c>
    </row>
    <row r="4" spans="1:6" ht="15" customHeight="1" x14ac:dyDescent="0.15">
      <c r="A4">
        <v>3</v>
      </c>
      <c r="B4" s="139" t="s">
        <v>194</v>
      </c>
      <c r="C4">
        <v>0</v>
      </c>
      <c r="D4">
        <v>0</v>
      </c>
      <c r="E4">
        <v>0</v>
      </c>
      <c r="F4">
        <v>0</v>
      </c>
    </row>
    <row r="5" spans="1:6" ht="15" customHeight="1" x14ac:dyDescent="0.15">
      <c r="A5">
        <v>4</v>
      </c>
      <c r="B5" s="139" t="s">
        <v>195</v>
      </c>
      <c r="C5">
        <v>0</v>
      </c>
      <c r="D5">
        <v>0</v>
      </c>
      <c r="E5">
        <v>0</v>
      </c>
      <c r="F5">
        <v>0</v>
      </c>
    </row>
    <row r="6" spans="1:6" ht="15" customHeight="1" x14ac:dyDescent="0.15">
      <c r="A6">
        <v>5</v>
      </c>
      <c r="B6" s="139" t="s">
        <v>196</v>
      </c>
      <c r="C6">
        <v>0</v>
      </c>
      <c r="D6">
        <v>0</v>
      </c>
      <c r="E6">
        <v>0</v>
      </c>
      <c r="F6">
        <v>0</v>
      </c>
    </row>
    <row r="7" spans="1:6" ht="15" customHeight="1" x14ac:dyDescent="0.15">
      <c r="A7">
        <v>6</v>
      </c>
      <c r="B7" s="139" t="s">
        <v>197</v>
      </c>
      <c r="C7">
        <v>0</v>
      </c>
      <c r="D7">
        <v>0</v>
      </c>
      <c r="E7">
        <v>0</v>
      </c>
      <c r="F7">
        <v>0</v>
      </c>
    </row>
    <row r="8" spans="1:6" ht="15" customHeight="1" x14ac:dyDescent="0.15">
      <c r="A8">
        <v>7</v>
      </c>
      <c r="B8" s="139" t="s">
        <v>198</v>
      </c>
      <c r="C8">
        <v>0</v>
      </c>
      <c r="D8">
        <v>0</v>
      </c>
      <c r="E8">
        <v>0</v>
      </c>
      <c r="F8">
        <v>0</v>
      </c>
    </row>
    <row r="9" spans="1:6" ht="15" customHeight="1" x14ac:dyDescent="0.15">
      <c r="A9">
        <v>8</v>
      </c>
      <c r="B9" s="139" t="s">
        <v>199</v>
      </c>
      <c r="C9">
        <v>0</v>
      </c>
      <c r="D9">
        <v>0</v>
      </c>
      <c r="E9">
        <v>0</v>
      </c>
      <c r="F9">
        <v>0</v>
      </c>
    </row>
    <row r="10" spans="1:6" ht="15" customHeight="1" x14ac:dyDescent="0.15">
      <c r="A10">
        <v>9</v>
      </c>
      <c r="B10" s="139" t="s">
        <v>200</v>
      </c>
      <c r="C10">
        <v>0</v>
      </c>
      <c r="D10">
        <v>0</v>
      </c>
      <c r="E10">
        <v>0</v>
      </c>
      <c r="F10">
        <v>0</v>
      </c>
    </row>
    <row r="11" spans="1:6" ht="15" customHeight="1" x14ac:dyDescent="0.15">
      <c r="A11">
        <v>10</v>
      </c>
      <c r="B11" s="139" t="s">
        <v>201</v>
      </c>
      <c r="C11">
        <v>0</v>
      </c>
      <c r="D11">
        <v>0</v>
      </c>
      <c r="E11">
        <v>0</v>
      </c>
      <c r="F11">
        <v>0</v>
      </c>
    </row>
    <row r="12" spans="1:6" ht="15" customHeight="1" x14ac:dyDescent="0.15">
      <c r="A12">
        <v>11</v>
      </c>
      <c r="B12" s="139" t="s">
        <v>202</v>
      </c>
      <c r="C12">
        <v>0</v>
      </c>
      <c r="D12">
        <v>0</v>
      </c>
      <c r="E12">
        <v>0</v>
      </c>
      <c r="F12">
        <v>0</v>
      </c>
    </row>
    <row r="13" spans="1:6" ht="15" customHeight="1" x14ac:dyDescent="0.15">
      <c r="A13">
        <v>12</v>
      </c>
      <c r="B13" s="139" t="s">
        <v>203</v>
      </c>
      <c r="C13">
        <v>0</v>
      </c>
      <c r="D13">
        <v>0</v>
      </c>
      <c r="E13">
        <v>7.1712600000000001E-2</v>
      </c>
      <c r="F13">
        <v>7.1712600000000001E-2</v>
      </c>
    </row>
    <row r="14" spans="1:6" ht="15" customHeight="1" x14ac:dyDescent="0.15">
      <c r="A14">
        <v>13</v>
      </c>
      <c r="B14" s="139" t="s">
        <v>204</v>
      </c>
      <c r="C14">
        <v>0</v>
      </c>
      <c r="D14">
        <v>0</v>
      </c>
      <c r="E14">
        <v>0.81899999999999995</v>
      </c>
      <c r="F14">
        <v>0.81899999999999995</v>
      </c>
    </row>
    <row r="15" spans="1:6" ht="15" customHeight="1" x14ac:dyDescent="0.15">
      <c r="A15">
        <v>14</v>
      </c>
      <c r="B15" s="139" t="s">
        <v>205</v>
      </c>
      <c r="C15">
        <v>0</v>
      </c>
      <c r="D15">
        <v>0.52996593700000005</v>
      </c>
      <c r="E15">
        <v>0</v>
      </c>
      <c r="F15">
        <v>0.52996593700000005</v>
      </c>
    </row>
    <row r="16" spans="1:6" ht="15" customHeight="1" x14ac:dyDescent="0.15">
      <c r="A16">
        <v>15</v>
      </c>
      <c r="B16" s="139" t="s">
        <v>206</v>
      </c>
      <c r="C16">
        <v>0</v>
      </c>
      <c r="D16">
        <v>1.01</v>
      </c>
      <c r="E16">
        <v>0</v>
      </c>
      <c r="F16">
        <v>1.01</v>
      </c>
    </row>
    <row r="17" spans="1:6" ht="15" customHeight="1" x14ac:dyDescent="0.15">
      <c r="A17">
        <v>16</v>
      </c>
      <c r="B17" s="139" t="s">
        <v>207</v>
      </c>
      <c r="C17">
        <v>0</v>
      </c>
      <c r="D17">
        <v>0</v>
      </c>
      <c r="E17">
        <v>0</v>
      </c>
      <c r="F17">
        <v>0</v>
      </c>
    </row>
    <row r="18" spans="1:6" ht="15" customHeight="1" x14ac:dyDescent="0.15">
      <c r="A18">
        <v>17</v>
      </c>
      <c r="B18" s="139" t="s">
        <v>208</v>
      </c>
      <c r="C18">
        <v>0</v>
      </c>
      <c r="D18">
        <v>0</v>
      </c>
      <c r="E18">
        <v>0</v>
      </c>
      <c r="F18">
        <v>0</v>
      </c>
    </row>
    <row r="19" spans="1:6" ht="15" customHeight="1" x14ac:dyDescent="0.15">
      <c r="A19">
        <v>18</v>
      </c>
      <c r="B19" s="139" t="s">
        <v>209</v>
      </c>
      <c r="C19">
        <v>0.20446299000000001</v>
      </c>
      <c r="D19">
        <v>0</v>
      </c>
      <c r="E19">
        <v>0</v>
      </c>
      <c r="F19">
        <v>0.20446299000000001</v>
      </c>
    </row>
    <row r="20" spans="1:6" ht="15" customHeight="1" x14ac:dyDescent="0.15">
      <c r="A20">
        <v>19</v>
      </c>
      <c r="B20" s="139" t="s">
        <v>210</v>
      </c>
      <c r="C20">
        <v>0.373</v>
      </c>
      <c r="D20">
        <v>0</v>
      </c>
      <c r="E20">
        <v>0</v>
      </c>
      <c r="F20">
        <v>0.373</v>
      </c>
    </row>
    <row r="21" spans="1:6" ht="15" customHeight="1" x14ac:dyDescent="0.15">
      <c r="A21">
        <v>20</v>
      </c>
      <c r="B21" s="139" t="s">
        <v>211</v>
      </c>
      <c r="C21">
        <v>0</v>
      </c>
      <c r="D21">
        <v>0</v>
      </c>
      <c r="E21">
        <v>0</v>
      </c>
      <c r="F21">
        <v>0</v>
      </c>
    </row>
    <row r="22" spans="1:6" ht="15" customHeight="1" x14ac:dyDescent="0.15">
      <c r="A22">
        <v>21</v>
      </c>
      <c r="B22" s="139" t="s">
        <v>212</v>
      </c>
      <c r="C22">
        <v>0</v>
      </c>
      <c r="D22">
        <v>0</v>
      </c>
      <c r="E22">
        <v>0</v>
      </c>
      <c r="F22">
        <v>0</v>
      </c>
    </row>
    <row r="23" spans="1:6" ht="15" customHeight="1" x14ac:dyDescent="0.15">
      <c r="A23">
        <v>22</v>
      </c>
      <c r="B23" s="139" t="s">
        <v>213</v>
      </c>
      <c r="C23">
        <v>0</v>
      </c>
      <c r="D23">
        <v>0</v>
      </c>
      <c r="E23">
        <v>0</v>
      </c>
      <c r="F23">
        <v>0</v>
      </c>
    </row>
    <row r="24" spans="1:6" ht="15" customHeight="1" x14ac:dyDescent="0.15">
      <c r="A24">
        <v>23</v>
      </c>
      <c r="B24" s="139" t="s">
        <v>214</v>
      </c>
      <c r="C24">
        <v>0</v>
      </c>
      <c r="D24">
        <v>0</v>
      </c>
      <c r="E24">
        <v>0</v>
      </c>
      <c r="F24">
        <v>0</v>
      </c>
    </row>
    <row r="25" spans="1:6" ht="15" customHeight="1" x14ac:dyDescent="0.15"/>
    <row r="26" spans="1:6" ht="15" customHeight="1" x14ac:dyDescent="0.15"/>
    <row r="27" spans="1:6" ht="15" customHeight="1" x14ac:dyDescent="0.15"/>
    <row r="28" spans="1:6" ht="15" customHeight="1" x14ac:dyDescent="0.15"/>
    <row r="29" spans="1:6" ht="15" customHeight="1" x14ac:dyDescent="0.15"/>
    <row r="30" spans="1:6" ht="15" customHeight="1" x14ac:dyDescent="0.15"/>
    <row r="31" spans="1:6" ht="15" customHeight="1" x14ac:dyDescent="0.15"/>
    <row r="32" spans="1:6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F2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5.5" bestFit="1" customWidth="1"/>
    <col min="3" max="5" width="2.33203125" bestFit="1" customWidth="1"/>
    <col min="6" max="6" width="2.33203125" customWidth="1"/>
  </cols>
  <sheetData>
    <row r="1" spans="1:6" s="103" customFormat="1" ht="112" x14ac:dyDescent="0.15">
      <c r="A1" s="5" t="s">
        <v>22</v>
      </c>
      <c r="B1" s="3" t="s">
        <v>0</v>
      </c>
      <c r="C1" s="142" t="s">
        <v>215</v>
      </c>
      <c r="D1" s="142" t="s">
        <v>216</v>
      </c>
      <c r="E1" s="142" t="s">
        <v>217</v>
      </c>
      <c r="F1" s="142" t="s">
        <v>221</v>
      </c>
    </row>
    <row r="2" spans="1:6" x14ac:dyDescent="0.15">
      <c r="A2">
        <v>1</v>
      </c>
      <c r="B2" s="141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41" t="s">
        <v>193</v>
      </c>
      <c r="C3">
        <v>0</v>
      </c>
      <c r="D3">
        <v>0</v>
      </c>
      <c r="E3">
        <v>0</v>
      </c>
      <c r="F3">
        <v>0</v>
      </c>
    </row>
    <row r="4" spans="1:6" x14ac:dyDescent="0.15">
      <c r="A4">
        <v>3</v>
      </c>
      <c r="B4" s="141" t="s">
        <v>194</v>
      </c>
      <c r="C4">
        <v>0</v>
      </c>
      <c r="D4">
        <v>0</v>
      </c>
      <c r="E4">
        <v>0</v>
      </c>
      <c r="F4">
        <v>0</v>
      </c>
    </row>
    <row r="5" spans="1:6" x14ac:dyDescent="0.15">
      <c r="A5">
        <v>4</v>
      </c>
      <c r="B5" s="141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41" t="s">
        <v>196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41" t="s">
        <v>197</v>
      </c>
      <c r="C7">
        <v>0</v>
      </c>
      <c r="D7">
        <v>0</v>
      </c>
      <c r="E7">
        <v>0</v>
      </c>
      <c r="F7">
        <v>0</v>
      </c>
    </row>
    <row r="8" spans="1:6" x14ac:dyDescent="0.15">
      <c r="A8">
        <v>7</v>
      </c>
      <c r="B8" s="141" t="s">
        <v>198</v>
      </c>
      <c r="C8">
        <v>0</v>
      </c>
      <c r="D8">
        <v>0</v>
      </c>
      <c r="E8">
        <v>0</v>
      </c>
      <c r="F8">
        <v>0</v>
      </c>
    </row>
    <row r="9" spans="1:6" x14ac:dyDescent="0.15">
      <c r="A9">
        <v>8</v>
      </c>
      <c r="B9" s="141" t="s">
        <v>199</v>
      </c>
      <c r="C9">
        <v>0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41" t="s">
        <v>200</v>
      </c>
      <c r="C10">
        <v>0</v>
      </c>
      <c r="D10">
        <v>0</v>
      </c>
      <c r="E10">
        <v>0</v>
      </c>
      <c r="F10">
        <v>0</v>
      </c>
    </row>
    <row r="11" spans="1:6" x14ac:dyDescent="0.15">
      <c r="A11">
        <v>10</v>
      </c>
      <c r="B11" s="141" t="s">
        <v>201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41" t="s">
        <v>202</v>
      </c>
      <c r="C12">
        <v>0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41" t="s">
        <v>203</v>
      </c>
      <c r="C13">
        <v>0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41" t="s">
        <v>204</v>
      </c>
      <c r="C14">
        <v>0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41" t="s">
        <v>205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41" t="s">
        <v>206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41" t="s">
        <v>207</v>
      </c>
      <c r="C17">
        <v>0</v>
      </c>
      <c r="D17">
        <v>0</v>
      </c>
      <c r="E17">
        <v>0</v>
      </c>
      <c r="F17">
        <v>0</v>
      </c>
    </row>
    <row r="18" spans="1:6" x14ac:dyDescent="0.15">
      <c r="A18">
        <v>17</v>
      </c>
      <c r="B18" s="141" t="s">
        <v>208</v>
      </c>
      <c r="C18">
        <v>0</v>
      </c>
      <c r="D18">
        <v>0</v>
      </c>
      <c r="E18">
        <v>0</v>
      </c>
      <c r="F18">
        <v>0</v>
      </c>
    </row>
    <row r="19" spans="1:6" x14ac:dyDescent="0.15">
      <c r="A19">
        <v>18</v>
      </c>
      <c r="B19" s="141" t="s">
        <v>209</v>
      </c>
      <c r="C19">
        <v>0</v>
      </c>
      <c r="D19">
        <v>0</v>
      </c>
      <c r="E19">
        <v>0</v>
      </c>
      <c r="F19">
        <v>0</v>
      </c>
    </row>
    <row r="20" spans="1:6" x14ac:dyDescent="0.15">
      <c r="A20">
        <v>19</v>
      </c>
      <c r="B20" s="141" t="s">
        <v>210</v>
      </c>
      <c r="C20">
        <v>0</v>
      </c>
      <c r="D20">
        <v>0</v>
      </c>
      <c r="E20">
        <v>0</v>
      </c>
      <c r="F20">
        <v>0</v>
      </c>
    </row>
    <row r="21" spans="1:6" x14ac:dyDescent="0.15">
      <c r="A21">
        <v>20</v>
      </c>
      <c r="B21" s="141" t="s">
        <v>211</v>
      </c>
      <c r="C21">
        <v>0</v>
      </c>
      <c r="D21">
        <v>0</v>
      </c>
      <c r="E21">
        <v>0</v>
      </c>
      <c r="F21">
        <v>0</v>
      </c>
    </row>
    <row r="22" spans="1:6" x14ac:dyDescent="0.15">
      <c r="A22">
        <v>21</v>
      </c>
      <c r="B22" s="141" t="s">
        <v>212</v>
      </c>
      <c r="C22">
        <v>0</v>
      </c>
      <c r="D22">
        <v>0</v>
      </c>
      <c r="E22">
        <v>0</v>
      </c>
      <c r="F22">
        <v>0</v>
      </c>
    </row>
    <row r="23" spans="1:6" x14ac:dyDescent="0.15">
      <c r="A23">
        <v>22</v>
      </c>
      <c r="B23" s="141" t="s">
        <v>213</v>
      </c>
      <c r="C23">
        <v>0</v>
      </c>
      <c r="D23">
        <v>0</v>
      </c>
      <c r="E23">
        <v>0</v>
      </c>
      <c r="F23">
        <v>0</v>
      </c>
    </row>
    <row r="24" spans="1:6" x14ac:dyDescent="0.15">
      <c r="A24">
        <v>23</v>
      </c>
      <c r="B24" s="141" t="s">
        <v>214</v>
      </c>
      <c r="C24">
        <v>0</v>
      </c>
      <c r="D24">
        <v>0</v>
      </c>
      <c r="E24">
        <v>0</v>
      </c>
      <c r="F24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5.5" bestFit="1" customWidth="1"/>
    <col min="6" max="6" width="4.83203125" bestFit="1" customWidth="1"/>
    <col min="7" max="9" width="3.83203125" bestFit="1" customWidth="1"/>
    <col min="10" max="11" width="4.83203125" style="102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4" customFormat="1" ht="14" thickBot="1" x14ac:dyDescent="0.2">
      <c r="D1" s="105" t="s">
        <v>8</v>
      </c>
      <c r="E1" s="105" t="s">
        <v>0</v>
      </c>
      <c r="F1" s="106" t="s">
        <v>99</v>
      </c>
      <c r="G1" s="107" t="s">
        <v>84</v>
      </c>
      <c r="H1" s="107" t="s">
        <v>85</v>
      </c>
      <c r="I1" s="107" t="s">
        <v>86</v>
      </c>
      <c r="J1" s="107" t="s">
        <v>87</v>
      </c>
      <c r="K1" s="107" t="s">
        <v>88</v>
      </c>
      <c r="L1" s="108" t="s">
        <v>89</v>
      </c>
      <c r="M1" s="108" t="s">
        <v>93</v>
      </c>
      <c r="N1" s="108" t="s">
        <v>92</v>
      </c>
      <c r="O1" s="108" t="s">
        <v>90</v>
      </c>
      <c r="P1" s="108" t="s">
        <v>91</v>
      </c>
      <c r="Q1" s="109" t="s">
        <v>94</v>
      </c>
      <c r="R1" s="109" t="s">
        <v>95</v>
      </c>
      <c r="S1" s="109" t="s">
        <v>96</v>
      </c>
      <c r="T1" s="109" t="s">
        <v>97</v>
      </c>
      <c r="U1" s="109" t="s">
        <v>98</v>
      </c>
      <c r="V1" s="107" t="s">
        <v>100</v>
      </c>
      <c r="W1" s="107" t="s">
        <v>101</v>
      </c>
      <c r="X1" s="107" t="s">
        <v>102</v>
      </c>
      <c r="Y1" s="107" t="s">
        <v>134</v>
      </c>
      <c r="Z1" s="108" t="s">
        <v>103</v>
      </c>
      <c r="AA1" s="108" t="s">
        <v>104</v>
      </c>
      <c r="AB1" s="108" t="s">
        <v>105</v>
      </c>
      <c r="AC1" s="110" t="s">
        <v>135</v>
      </c>
      <c r="AD1" s="109" t="s">
        <v>106</v>
      </c>
      <c r="AE1" s="109" t="s">
        <v>107</v>
      </c>
      <c r="AF1" s="109" t="s">
        <v>108</v>
      </c>
      <c r="AG1" s="109" t="s">
        <v>136</v>
      </c>
      <c r="AH1" s="107" t="s">
        <v>109</v>
      </c>
      <c r="AI1" s="107" t="s">
        <v>111</v>
      </c>
      <c r="AJ1" s="107" t="s">
        <v>110</v>
      </c>
      <c r="AK1" s="108" t="s">
        <v>115</v>
      </c>
      <c r="AL1" s="108" t="s">
        <v>116</v>
      </c>
      <c r="AM1" s="108" t="s">
        <v>117</v>
      </c>
      <c r="AN1" s="109" t="s">
        <v>112</v>
      </c>
      <c r="AO1" s="109" t="s">
        <v>113</v>
      </c>
      <c r="AP1" s="109" t="s">
        <v>114</v>
      </c>
    </row>
    <row r="2" spans="1:42" x14ac:dyDescent="0.15">
      <c r="A2" s="111" t="s">
        <v>74</v>
      </c>
      <c r="B2" s="112">
        <v>1</v>
      </c>
      <c r="D2">
        <v>1</v>
      </c>
      <c r="E2" s="143" t="s">
        <v>192</v>
      </c>
      <c r="F2">
        <v>0.98</v>
      </c>
      <c r="G2">
        <v>0.8</v>
      </c>
      <c r="H2">
        <v>0.8</v>
      </c>
      <c r="I2">
        <v>0</v>
      </c>
      <c r="J2" s="102">
        <v>0</v>
      </c>
      <c r="K2" s="102">
        <v>0</v>
      </c>
    </row>
    <row r="3" spans="1:42" x14ac:dyDescent="0.15">
      <c r="A3" s="111" t="s">
        <v>75</v>
      </c>
      <c r="B3" s="113">
        <v>1</v>
      </c>
      <c r="D3">
        <v>2</v>
      </c>
      <c r="E3" s="143" t="s">
        <v>193</v>
      </c>
      <c r="F3">
        <v>0.98</v>
      </c>
      <c r="G3">
        <v>0.8</v>
      </c>
      <c r="H3">
        <v>0.8</v>
      </c>
      <c r="I3">
        <v>0</v>
      </c>
      <c r="J3" s="102">
        <v>0</v>
      </c>
      <c r="K3" s="102">
        <v>0</v>
      </c>
    </row>
    <row r="4" spans="1:42" x14ac:dyDescent="0.15">
      <c r="A4" s="111" t="s">
        <v>76</v>
      </c>
      <c r="B4" s="113">
        <v>1</v>
      </c>
      <c r="D4">
        <v>3</v>
      </c>
      <c r="E4" s="143" t="s">
        <v>194</v>
      </c>
      <c r="F4">
        <v>0.98</v>
      </c>
      <c r="G4">
        <v>0.8</v>
      </c>
      <c r="H4">
        <v>0.8</v>
      </c>
      <c r="I4">
        <v>0</v>
      </c>
      <c r="J4" s="102">
        <v>0</v>
      </c>
      <c r="K4" s="102">
        <v>0</v>
      </c>
    </row>
    <row r="5" spans="1:42" x14ac:dyDescent="0.15">
      <c r="A5" s="111" t="s">
        <v>77</v>
      </c>
      <c r="B5" s="113">
        <v>1</v>
      </c>
      <c r="D5">
        <v>4</v>
      </c>
      <c r="E5" s="143" t="s">
        <v>195</v>
      </c>
      <c r="F5">
        <v>0.98</v>
      </c>
      <c r="G5">
        <v>0.8</v>
      </c>
      <c r="H5">
        <v>0.8</v>
      </c>
      <c r="I5">
        <v>0.8</v>
      </c>
      <c r="J5" s="102">
        <v>0.25</v>
      </c>
      <c r="K5" s="102">
        <v>0.05</v>
      </c>
    </row>
    <row r="6" spans="1:42" x14ac:dyDescent="0.15">
      <c r="A6" s="111" t="s">
        <v>78</v>
      </c>
      <c r="B6" s="113">
        <v>1</v>
      </c>
      <c r="D6">
        <v>5</v>
      </c>
      <c r="E6" s="143" t="s">
        <v>196</v>
      </c>
      <c r="F6">
        <v>0.98</v>
      </c>
      <c r="G6">
        <v>0.8</v>
      </c>
      <c r="H6">
        <v>0.8</v>
      </c>
      <c r="I6">
        <v>0.8</v>
      </c>
      <c r="J6" s="102">
        <v>0.25</v>
      </c>
      <c r="K6" s="102">
        <v>0.05</v>
      </c>
    </row>
    <row r="7" spans="1:42" x14ac:dyDescent="0.15">
      <c r="A7" s="111" t="s">
        <v>79</v>
      </c>
      <c r="B7" s="113">
        <v>1</v>
      </c>
      <c r="D7">
        <v>6</v>
      </c>
      <c r="E7" s="143" t="s">
        <v>197</v>
      </c>
      <c r="F7">
        <v>0.98</v>
      </c>
      <c r="G7">
        <v>0.8</v>
      </c>
      <c r="H7">
        <v>0.8</v>
      </c>
      <c r="I7">
        <v>0.8</v>
      </c>
      <c r="J7" s="102">
        <v>0.25</v>
      </c>
      <c r="K7" s="102">
        <v>0.05</v>
      </c>
    </row>
    <row r="8" spans="1:42" x14ac:dyDescent="0.15">
      <c r="A8" s="111" t="s">
        <v>80</v>
      </c>
      <c r="B8" s="113">
        <v>1</v>
      </c>
      <c r="D8">
        <v>7</v>
      </c>
      <c r="E8" s="143" t="s">
        <v>198</v>
      </c>
      <c r="F8">
        <v>0.98</v>
      </c>
      <c r="G8">
        <v>0.8</v>
      </c>
      <c r="H8">
        <v>0.8</v>
      </c>
      <c r="I8">
        <v>0.8</v>
      </c>
      <c r="J8" s="102">
        <v>0.25</v>
      </c>
      <c r="K8" s="102">
        <v>0.05</v>
      </c>
    </row>
    <row r="9" spans="1:42" x14ac:dyDescent="0.15">
      <c r="A9" s="111" t="s">
        <v>81</v>
      </c>
      <c r="B9" s="113">
        <v>0.1</v>
      </c>
      <c r="C9" s="57" t="s">
        <v>150</v>
      </c>
      <c r="D9">
        <v>8</v>
      </c>
      <c r="E9" s="143" t="s">
        <v>199</v>
      </c>
      <c r="F9">
        <v>0.98</v>
      </c>
      <c r="G9">
        <v>0.8</v>
      </c>
      <c r="H9">
        <v>0.8</v>
      </c>
      <c r="I9">
        <v>0.8</v>
      </c>
      <c r="J9" s="102">
        <v>0.25</v>
      </c>
      <c r="K9" s="102">
        <v>0.05</v>
      </c>
    </row>
    <row r="10" spans="1:42" ht="14" thickBot="1" x14ac:dyDescent="0.2">
      <c r="A10" s="111" t="s">
        <v>149</v>
      </c>
      <c r="B10" s="114">
        <f>1/3</f>
        <v>0.33333333333333331</v>
      </c>
      <c r="C10" s="57" t="s">
        <v>150</v>
      </c>
      <c r="D10">
        <v>9</v>
      </c>
      <c r="E10" s="143" t="s">
        <v>200</v>
      </c>
      <c r="F10">
        <v>0.98</v>
      </c>
      <c r="G10">
        <v>0.8</v>
      </c>
      <c r="H10">
        <v>0.8</v>
      </c>
      <c r="I10">
        <v>0.8</v>
      </c>
      <c r="J10" s="102">
        <v>0.25</v>
      </c>
      <c r="K10" s="102">
        <v>0.05</v>
      </c>
    </row>
    <row r="11" spans="1:42" x14ac:dyDescent="0.15">
      <c r="D11">
        <v>10</v>
      </c>
      <c r="E11" s="143" t="s">
        <v>201</v>
      </c>
      <c r="F11">
        <v>0.98</v>
      </c>
      <c r="G11">
        <v>0.8</v>
      </c>
      <c r="H11">
        <v>0.8</v>
      </c>
      <c r="I11">
        <v>0.8</v>
      </c>
      <c r="J11" s="102">
        <v>0.25</v>
      </c>
      <c r="K11" s="102">
        <v>0.05</v>
      </c>
    </row>
    <row r="12" spans="1:42" x14ac:dyDescent="0.15">
      <c r="D12">
        <v>11</v>
      </c>
      <c r="E12" s="143" t="s">
        <v>202</v>
      </c>
      <c r="F12">
        <v>0.98</v>
      </c>
      <c r="G12">
        <v>0.8</v>
      </c>
      <c r="H12">
        <v>0.8</v>
      </c>
      <c r="I12">
        <v>0.8</v>
      </c>
      <c r="J12" s="102">
        <v>0.25</v>
      </c>
      <c r="K12" s="102">
        <v>0.05</v>
      </c>
    </row>
    <row r="13" spans="1:42" x14ac:dyDescent="0.15">
      <c r="D13">
        <v>12</v>
      </c>
      <c r="E13" s="143" t="s">
        <v>203</v>
      </c>
      <c r="F13">
        <v>0.98</v>
      </c>
      <c r="G13">
        <v>0.8</v>
      </c>
      <c r="H13">
        <v>0.8</v>
      </c>
      <c r="I13">
        <v>0.8</v>
      </c>
      <c r="J13" s="102">
        <v>0.25</v>
      </c>
      <c r="K13" s="102">
        <v>0.05</v>
      </c>
    </row>
    <row r="14" spans="1:42" x14ac:dyDescent="0.15">
      <c r="D14">
        <v>13</v>
      </c>
      <c r="E14" s="143" t="s">
        <v>204</v>
      </c>
      <c r="F14">
        <v>0.98</v>
      </c>
      <c r="G14">
        <v>0.8</v>
      </c>
      <c r="H14">
        <v>0.8</v>
      </c>
      <c r="I14">
        <v>0.8</v>
      </c>
      <c r="J14" s="102">
        <v>0.25</v>
      </c>
      <c r="K14" s="102">
        <v>0.05</v>
      </c>
    </row>
    <row r="15" spans="1:42" x14ac:dyDescent="0.15">
      <c r="D15">
        <v>14</v>
      </c>
      <c r="E15" s="143" t="s">
        <v>205</v>
      </c>
      <c r="F15">
        <v>0.98</v>
      </c>
      <c r="G15">
        <v>0.8</v>
      </c>
      <c r="H15">
        <v>0.8</v>
      </c>
      <c r="I15">
        <v>0.8</v>
      </c>
      <c r="J15" s="102">
        <v>0.25</v>
      </c>
      <c r="K15" s="102">
        <v>0.05</v>
      </c>
    </row>
    <row r="16" spans="1:42" x14ac:dyDescent="0.15">
      <c r="D16">
        <v>15</v>
      </c>
      <c r="E16" s="143" t="s">
        <v>206</v>
      </c>
      <c r="F16">
        <v>0.98</v>
      </c>
      <c r="G16">
        <v>0.8</v>
      </c>
      <c r="H16">
        <v>0.8</v>
      </c>
      <c r="I16">
        <v>0.8</v>
      </c>
      <c r="J16" s="102">
        <v>0.25</v>
      </c>
      <c r="K16" s="102">
        <v>0.05</v>
      </c>
    </row>
    <row r="17" spans="4:33" ht="15" customHeight="1" x14ac:dyDescent="0.15">
      <c r="D17">
        <v>16</v>
      </c>
      <c r="E17" s="143" t="s">
        <v>207</v>
      </c>
      <c r="F17">
        <v>0.98</v>
      </c>
      <c r="G17">
        <v>0.8</v>
      </c>
      <c r="H17">
        <v>0.8</v>
      </c>
      <c r="I17">
        <v>0.8</v>
      </c>
      <c r="J17" s="102">
        <v>0.25</v>
      </c>
      <c r="K17" s="102">
        <v>0.05</v>
      </c>
    </row>
    <row r="18" spans="4:33" ht="15" customHeight="1" x14ac:dyDescent="0.15">
      <c r="D18">
        <v>17</v>
      </c>
      <c r="E18" s="143" t="s">
        <v>208</v>
      </c>
      <c r="F18">
        <v>0.98</v>
      </c>
      <c r="G18">
        <v>0.8</v>
      </c>
      <c r="H18">
        <v>0.8</v>
      </c>
      <c r="I18">
        <v>0.8</v>
      </c>
      <c r="J18" s="102">
        <v>0.25</v>
      </c>
      <c r="K18" s="102">
        <v>0.05</v>
      </c>
    </row>
    <row r="19" spans="4:33" ht="15" customHeight="1" x14ac:dyDescent="0.15">
      <c r="D19">
        <v>18</v>
      </c>
      <c r="E19" s="143" t="s">
        <v>209</v>
      </c>
      <c r="F19">
        <v>0.98</v>
      </c>
      <c r="G19">
        <v>0.8</v>
      </c>
      <c r="H19">
        <v>0.8</v>
      </c>
      <c r="I19">
        <v>0.8</v>
      </c>
      <c r="J19" s="102">
        <v>0.25</v>
      </c>
      <c r="K19" s="102">
        <v>0.05</v>
      </c>
    </row>
    <row r="20" spans="4:33" ht="15" customHeight="1" x14ac:dyDescent="0.15">
      <c r="D20">
        <v>19</v>
      </c>
      <c r="E20" s="143" t="s">
        <v>210</v>
      </c>
      <c r="F20">
        <v>0.98</v>
      </c>
      <c r="G20">
        <v>0.8</v>
      </c>
      <c r="H20">
        <v>0.8</v>
      </c>
      <c r="I20">
        <v>0.8</v>
      </c>
      <c r="J20" s="102">
        <v>0.25</v>
      </c>
      <c r="K20" s="102">
        <v>0.05</v>
      </c>
    </row>
    <row r="21" spans="4:33" ht="15" customHeight="1" x14ac:dyDescent="0.15">
      <c r="D21">
        <v>20</v>
      </c>
      <c r="E21" s="143" t="s">
        <v>211</v>
      </c>
      <c r="F21">
        <v>0.98</v>
      </c>
      <c r="G21">
        <v>0.8</v>
      </c>
      <c r="H21">
        <v>0.8</v>
      </c>
      <c r="I21">
        <v>0.8</v>
      </c>
      <c r="J21" s="102">
        <v>0.25</v>
      </c>
      <c r="K21" s="102">
        <v>0.05</v>
      </c>
    </row>
    <row r="22" spans="4:33" ht="15" customHeight="1" x14ac:dyDescent="0.15">
      <c r="D22">
        <v>21</v>
      </c>
      <c r="E22" s="143" t="s">
        <v>212</v>
      </c>
      <c r="F22">
        <v>0.98</v>
      </c>
      <c r="G22">
        <v>0.8</v>
      </c>
      <c r="H22">
        <v>0</v>
      </c>
      <c r="I22">
        <v>0</v>
      </c>
      <c r="J22" s="102">
        <v>0</v>
      </c>
      <c r="K22" s="102">
        <v>0</v>
      </c>
    </row>
    <row r="23" spans="4:33" ht="15" customHeight="1" x14ac:dyDescent="0.15">
      <c r="D23">
        <v>22</v>
      </c>
      <c r="E23" s="143" t="s">
        <v>213</v>
      </c>
      <c r="F23">
        <v>0.98</v>
      </c>
      <c r="G23">
        <v>0.8</v>
      </c>
      <c r="H23">
        <v>0</v>
      </c>
      <c r="I23">
        <v>0</v>
      </c>
      <c r="J23" s="102">
        <v>0</v>
      </c>
      <c r="K23" s="102">
        <v>0</v>
      </c>
    </row>
    <row r="24" spans="4:33" ht="15" customHeight="1" x14ac:dyDescent="0.15">
      <c r="D24">
        <v>23</v>
      </c>
      <c r="E24" s="143" t="s">
        <v>214</v>
      </c>
      <c r="F24">
        <v>0.98</v>
      </c>
      <c r="G24">
        <v>0.8</v>
      </c>
      <c r="H24">
        <v>0</v>
      </c>
      <c r="I24">
        <v>0</v>
      </c>
      <c r="J24" s="102">
        <v>0</v>
      </c>
      <c r="K24" s="102">
        <v>0</v>
      </c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5.5" style="100" bestFit="1" customWidth="1"/>
    <col min="2" max="4" width="2.33203125" style="100" customWidth="1"/>
    <col min="5" max="21" width="3.83203125" style="100" customWidth="1"/>
    <col min="22" max="24" width="2.33203125" style="100" customWidth="1"/>
    <col min="25" max="16384" width="10.83203125" style="100"/>
  </cols>
  <sheetData>
    <row r="1" spans="1:30" x14ac:dyDescent="0.15">
      <c r="A1" s="59" t="s">
        <v>118</v>
      </c>
      <c r="B1" s="145" t="s">
        <v>192</v>
      </c>
      <c r="C1" s="145" t="s">
        <v>193</v>
      </c>
      <c r="D1" s="145" t="s">
        <v>194</v>
      </c>
      <c r="E1" s="145" t="s">
        <v>195</v>
      </c>
      <c r="F1" s="145" t="s">
        <v>196</v>
      </c>
      <c r="G1" s="145" t="s">
        <v>197</v>
      </c>
      <c r="H1" s="145" t="s">
        <v>198</v>
      </c>
      <c r="I1" s="145" t="s">
        <v>199</v>
      </c>
      <c r="J1" s="145" t="s">
        <v>200</v>
      </c>
      <c r="K1" s="145" t="s">
        <v>201</v>
      </c>
      <c r="L1" s="145" t="s">
        <v>202</v>
      </c>
      <c r="M1" s="145" t="s">
        <v>203</v>
      </c>
      <c r="N1" s="145" t="s">
        <v>204</v>
      </c>
      <c r="O1" s="145" t="s">
        <v>205</v>
      </c>
      <c r="P1" s="145" t="s">
        <v>206</v>
      </c>
      <c r="Q1" s="145" t="s">
        <v>207</v>
      </c>
      <c r="R1" s="145" t="s">
        <v>208</v>
      </c>
      <c r="S1" s="145" t="s">
        <v>209</v>
      </c>
      <c r="T1" s="145" t="s">
        <v>210</v>
      </c>
      <c r="U1" s="145" t="s">
        <v>211</v>
      </c>
      <c r="V1" s="145" t="s">
        <v>212</v>
      </c>
      <c r="W1" s="145" t="s">
        <v>213</v>
      </c>
      <c r="X1" s="145" t="s">
        <v>214</v>
      </c>
      <c r="Y1"/>
      <c r="Z1"/>
      <c r="AA1"/>
      <c r="AB1"/>
      <c r="AC1"/>
      <c r="AD1"/>
    </row>
    <row r="2" spans="1:30" customFormat="1" x14ac:dyDescent="0.15">
      <c r="A2" s="144" t="s">
        <v>192</v>
      </c>
      <c r="B2" s="100">
        <v>0</v>
      </c>
      <c r="C2" s="100">
        <v>0</v>
      </c>
      <c r="D2" s="100">
        <v>0</v>
      </c>
      <c r="E2" s="100">
        <v>0.8</v>
      </c>
      <c r="F2" s="100">
        <v>0.8</v>
      </c>
      <c r="G2" s="100">
        <v>0.8</v>
      </c>
      <c r="H2" s="100">
        <v>0.8</v>
      </c>
      <c r="I2" s="100">
        <v>0.8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  <c r="W2" s="100">
        <v>0</v>
      </c>
      <c r="X2" s="100">
        <v>0</v>
      </c>
    </row>
    <row r="3" spans="1:30" customFormat="1" x14ac:dyDescent="0.15">
      <c r="A3" s="144" t="s">
        <v>193</v>
      </c>
      <c r="B3" s="100">
        <v>0</v>
      </c>
      <c r="C3" s="100">
        <v>0</v>
      </c>
      <c r="D3" s="100">
        <v>0</v>
      </c>
      <c r="E3" s="100">
        <v>0.8</v>
      </c>
      <c r="F3" s="100">
        <v>0.8</v>
      </c>
      <c r="G3" s="100">
        <v>0.8</v>
      </c>
      <c r="H3" s="100">
        <v>0.8</v>
      </c>
      <c r="I3" s="100">
        <v>0.8</v>
      </c>
      <c r="J3" s="100">
        <v>0.8</v>
      </c>
      <c r="K3" s="100">
        <v>0</v>
      </c>
      <c r="L3" s="100">
        <v>0</v>
      </c>
      <c r="M3" s="100">
        <v>0</v>
      </c>
      <c r="N3" s="100">
        <v>0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  <c r="U3" s="100">
        <v>0</v>
      </c>
      <c r="V3" s="100">
        <v>0</v>
      </c>
      <c r="W3" s="100">
        <v>0</v>
      </c>
      <c r="X3" s="100">
        <v>0</v>
      </c>
    </row>
    <row r="4" spans="1:30" customFormat="1" x14ac:dyDescent="0.15">
      <c r="A4" s="144" t="s">
        <v>194</v>
      </c>
      <c r="B4" s="100">
        <v>0</v>
      </c>
      <c r="C4" s="100">
        <v>0</v>
      </c>
      <c r="D4" s="100">
        <v>0</v>
      </c>
      <c r="E4" s="100">
        <v>0.8</v>
      </c>
      <c r="F4" s="100">
        <v>0.8</v>
      </c>
      <c r="G4" s="100">
        <v>0.8</v>
      </c>
      <c r="H4" s="100">
        <v>0.8</v>
      </c>
      <c r="I4" s="100">
        <v>0.8</v>
      </c>
      <c r="J4" s="100">
        <v>0.8</v>
      </c>
      <c r="K4" s="100">
        <v>0</v>
      </c>
      <c r="L4" s="100">
        <v>0</v>
      </c>
      <c r="M4" s="100">
        <v>0</v>
      </c>
      <c r="N4" s="100">
        <v>0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  <c r="U4" s="100">
        <v>0</v>
      </c>
      <c r="V4" s="100">
        <v>0</v>
      </c>
      <c r="W4" s="100">
        <v>0</v>
      </c>
      <c r="X4" s="100">
        <v>0</v>
      </c>
    </row>
    <row r="5" spans="1:30" customFormat="1" x14ac:dyDescent="0.15">
      <c r="A5" s="144" t="s">
        <v>195</v>
      </c>
      <c r="B5" s="100">
        <v>0</v>
      </c>
      <c r="C5" s="100">
        <v>0</v>
      </c>
      <c r="D5" s="100">
        <v>0</v>
      </c>
      <c r="E5" s="100">
        <v>0</v>
      </c>
      <c r="F5" s="100">
        <v>0.8</v>
      </c>
      <c r="G5" s="100">
        <v>0.8</v>
      </c>
      <c r="H5" s="100">
        <v>0.8</v>
      </c>
      <c r="I5" s="100">
        <v>0.8</v>
      </c>
      <c r="J5" s="100">
        <v>0</v>
      </c>
      <c r="K5" s="100">
        <v>0</v>
      </c>
      <c r="L5" s="100">
        <v>0</v>
      </c>
      <c r="M5" s="100">
        <v>0</v>
      </c>
      <c r="N5" s="100">
        <v>0</v>
      </c>
      <c r="O5" s="100">
        <v>0</v>
      </c>
      <c r="P5" s="100">
        <v>0</v>
      </c>
      <c r="Q5" s="100">
        <v>0</v>
      </c>
      <c r="R5" s="100">
        <v>0</v>
      </c>
      <c r="S5" s="100">
        <v>0</v>
      </c>
      <c r="T5" s="100">
        <v>0</v>
      </c>
      <c r="U5" s="100">
        <v>0</v>
      </c>
      <c r="V5" s="100">
        <v>0</v>
      </c>
      <c r="W5" s="100">
        <v>0</v>
      </c>
      <c r="X5" s="100">
        <v>0</v>
      </c>
    </row>
    <row r="6" spans="1:30" customFormat="1" x14ac:dyDescent="0.15">
      <c r="A6" s="144" t="s">
        <v>196</v>
      </c>
      <c r="B6" s="100">
        <v>0</v>
      </c>
      <c r="C6" s="100">
        <v>0</v>
      </c>
      <c r="D6" s="100">
        <v>0</v>
      </c>
      <c r="E6" s="100">
        <v>0</v>
      </c>
      <c r="F6" s="100">
        <v>0</v>
      </c>
      <c r="G6" s="100">
        <v>0</v>
      </c>
      <c r="H6" s="100">
        <v>0</v>
      </c>
      <c r="I6" s="100">
        <v>0</v>
      </c>
      <c r="J6" s="100">
        <v>0.8</v>
      </c>
      <c r="K6" s="100">
        <v>0</v>
      </c>
      <c r="L6" s="100">
        <v>0</v>
      </c>
      <c r="M6" s="100">
        <v>0.8</v>
      </c>
      <c r="N6" s="100">
        <v>0.8</v>
      </c>
      <c r="O6" s="100">
        <v>0.8</v>
      </c>
      <c r="P6" s="100">
        <v>0.8</v>
      </c>
      <c r="Q6" s="100">
        <v>0.8</v>
      </c>
      <c r="R6" s="100">
        <v>0</v>
      </c>
      <c r="S6" s="100">
        <v>0</v>
      </c>
      <c r="T6" s="100">
        <v>0</v>
      </c>
      <c r="U6" s="100">
        <v>0</v>
      </c>
      <c r="V6" s="100">
        <v>0</v>
      </c>
      <c r="W6" s="100">
        <v>0</v>
      </c>
      <c r="X6" s="100">
        <v>0</v>
      </c>
    </row>
    <row r="7" spans="1:30" customFormat="1" x14ac:dyDescent="0.15">
      <c r="A7" s="144" t="s">
        <v>197</v>
      </c>
      <c r="B7" s="100">
        <v>0</v>
      </c>
      <c r="C7" s="100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0.8</v>
      </c>
      <c r="K7" s="100">
        <v>0</v>
      </c>
      <c r="L7" s="100">
        <v>0</v>
      </c>
      <c r="M7" s="100">
        <v>0.8</v>
      </c>
      <c r="N7" s="100">
        <v>0.8</v>
      </c>
      <c r="O7" s="100">
        <v>0.8</v>
      </c>
      <c r="P7" s="100">
        <v>0.8</v>
      </c>
      <c r="Q7" s="100">
        <v>0.8</v>
      </c>
      <c r="R7" s="100">
        <v>0</v>
      </c>
      <c r="S7" s="100">
        <v>0</v>
      </c>
      <c r="T7" s="100">
        <v>0</v>
      </c>
      <c r="U7" s="100">
        <v>0</v>
      </c>
      <c r="V7" s="100">
        <v>0</v>
      </c>
      <c r="W7" s="100">
        <v>0</v>
      </c>
      <c r="X7" s="100">
        <v>0</v>
      </c>
    </row>
    <row r="8" spans="1:30" customFormat="1" x14ac:dyDescent="0.15">
      <c r="A8" s="144" t="s">
        <v>198</v>
      </c>
      <c r="B8" s="100">
        <v>0</v>
      </c>
      <c r="C8" s="100">
        <v>0</v>
      </c>
      <c r="D8" s="100">
        <v>0</v>
      </c>
      <c r="E8" s="100">
        <v>0</v>
      </c>
      <c r="F8" s="100">
        <v>0</v>
      </c>
      <c r="G8" s="100">
        <v>0</v>
      </c>
      <c r="H8" s="100">
        <v>0</v>
      </c>
      <c r="I8" s="100">
        <v>0</v>
      </c>
      <c r="J8" s="100">
        <v>0.8</v>
      </c>
      <c r="K8" s="100">
        <v>0</v>
      </c>
      <c r="L8" s="100">
        <v>0</v>
      </c>
      <c r="M8" s="100">
        <v>0.8</v>
      </c>
      <c r="N8" s="100">
        <v>0.8</v>
      </c>
      <c r="O8" s="100">
        <v>0.8</v>
      </c>
      <c r="P8" s="100">
        <v>0.8</v>
      </c>
      <c r="Q8" s="100">
        <v>0.8</v>
      </c>
      <c r="R8" s="100">
        <v>0</v>
      </c>
      <c r="S8" s="100">
        <v>0</v>
      </c>
      <c r="T8" s="100">
        <v>0</v>
      </c>
      <c r="U8" s="100">
        <v>0</v>
      </c>
      <c r="V8" s="100">
        <v>0</v>
      </c>
      <c r="W8" s="100">
        <v>0</v>
      </c>
      <c r="X8" s="100">
        <v>0</v>
      </c>
    </row>
    <row r="9" spans="1:30" customFormat="1" x14ac:dyDescent="0.15">
      <c r="A9" s="144" t="s">
        <v>199</v>
      </c>
      <c r="B9" s="100">
        <v>0</v>
      </c>
      <c r="C9" s="100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0.8</v>
      </c>
      <c r="K9" s="100">
        <v>0</v>
      </c>
      <c r="L9" s="100">
        <v>0</v>
      </c>
      <c r="M9" s="100">
        <v>0.8</v>
      </c>
      <c r="N9" s="100">
        <v>0.8</v>
      </c>
      <c r="O9" s="100">
        <v>0.8</v>
      </c>
      <c r="P9" s="100">
        <v>0.8</v>
      </c>
      <c r="Q9" s="100">
        <v>0</v>
      </c>
      <c r="R9" s="100">
        <v>0</v>
      </c>
      <c r="S9" s="100">
        <v>0</v>
      </c>
      <c r="T9" s="100">
        <v>0</v>
      </c>
      <c r="U9" s="100">
        <v>0</v>
      </c>
      <c r="V9" s="100">
        <v>0</v>
      </c>
      <c r="W9" s="100">
        <v>0</v>
      </c>
      <c r="X9" s="100">
        <v>0</v>
      </c>
    </row>
    <row r="10" spans="1:30" customFormat="1" x14ac:dyDescent="0.15">
      <c r="A10" s="144" t="s">
        <v>200</v>
      </c>
      <c r="B10" s="100">
        <v>0</v>
      </c>
      <c r="C10" s="100">
        <v>0</v>
      </c>
      <c r="D10" s="100">
        <v>0</v>
      </c>
      <c r="E10" s="100">
        <v>0</v>
      </c>
      <c r="F10" s="100">
        <v>0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0.8</v>
      </c>
      <c r="N10" s="100">
        <v>0.8</v>
      </c>
      <c r="O10" s="100">
        <v>0.8</v>
      </c>
      <c r="P10" s="100">
        <v>0.8</v>
      </c>
      <c r="Q10" s="100">
        <v>0</v>
      </c>
      <c r="R10" s="100">
        <v>0.8</v>
      </c>
      <c r="S10" s="100">
        <v>0.8</v>
      </c>
      <c r="T10" s="100">
        <v>0.8</v>
      </c>
      <c r="U10" s="100">
        <v>0</v>
      </c>
      <c r="V10" s="100">
        <v>0</v>
      </c>
      <c r="W10" s="100">
        <v>0</v>
      </c>
      <c r="X10" s="100">
        <v>0</v>
      </c>
    </row>
    <row r="11" spans="1:30" customFormat="1" x14ac:dyDescent="0.15">
      <c r="A11" s="144" t="s">
        <v>201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0.8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</row>
    <row r="12" spans="1:30" customFormat="1" x14ac:dyDescent="0.15">
      <c r="A12" s="144" t="s">
        <v>202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0.8</v>
      </c>
      <c r="M12" s="100">
        <v>0</v>
      </c>
      <c r="N12" s="100">
        <v>0</v>
      </c>
      <c r="O12" s="100">
        <v>0.8</v>
      </c>
      <c r="P12" s="100">
        <v>0.8</v>
      </c>
      <c r="Q12" s="100">
        <v>0</v>
      </c>
      <c r="R12" s="100">
        <v>0.8</v>
      </c>
      <c r="S12" s="100">
        <v>0.8</v>
      </c>
      <c r="T12" s="100">
        <v>0.8</v>
      </c>
      <c r="U12" s="100">
        <v>0</v>
      </c>
      <c r="V12" s="100">
        <v>0</v>
      </c>
      <c r="W12" s="100">
        <v>0</v>
      </c>
      <c r="X12" s="100">
        <v>0</v>
      </c>
    </row>
    <row r="13" spans="1:30" customFormat="1" x14ac:dyDescent="0.15">
      <c r="A13" s="144" t="s">
        <v>203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0.8</v>
      </c>
      <c r="Q13" s="100">
        <v>0</v>
      </c>
      <c r="R13" s="100">
        <v>0.8</v>
      </c>
      <c r="S13" s="100">
        <v>0.8</v>
      </c>
      <c r="T13" s="100">
        <v>0.8</v>
      </c>
      <c r="U13" s="100">
        <v>0</v>
      </c>
      <c r="V13" s="100">
        <v>0</v>
      </c>
      <c r="W13" s="100">
        <v>0</v>
      </c>
      <c r="X13" s="100">
        <v>0</v>
      </c>
    </row>
    <row r="14" spans="1:30" customFormat="1" x14ac:dyDescent="0.15">
      <c r="A14" s="144" t="s">
        <v>204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0.8</v>
      </c>
      <c r="S14" s="100">
        <v>0.8</v>
      </c>
      <c r="T14" s="100">
        <v>0.8</v>
      </c>
      <c r="U14" s="100">
        <v>0.8</v>
      </c>
      <c r="V14" s="100">
        <v>0</v>
      </c>
      <c r="W14" s="100">
        <v>0</v>
      </c>
      <c r="X14" s="100">
        <v>0</v>
      </c>
    </row>
    <row r="15" spans="1:30" customFormat="1" x14ac:dyDescent="0.15">
      <c r="A15" s="144" t="s">
        <v>205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0.8</v>
      </c>
      <c r="S15" s="100">
        <v>0.8</v>
      </c>
      <c r="T15" s="100">
        <v>0.8</v>
      </c>
      <c r="U15" s="100">
        <v>0.8</v>
      </c>
      <c r="V15" s="100">
        <v>0</v>
      </c>
      <c r="W15" s="100">
        <v>0</v>
      </c>
      <c r="X15" s="100">
        <v>0</v>
      </c>
    </row>
    <row r="16" spans="1:30" customFormat="1" x14ac:dyDescent="0.15">
      <c r="A16" s="144" t="s">
        <v>206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0</v>
      </c>
      <c r="R16" s="100">
        <v>0.8</v>
      </c>
      <c r="S16" s="100">
        <v>0.8</v>
      </c>
      <c r="T16" s="100">
        <v>0.8</v>
      </c>
      <c r="U16" s="100">
        <v>0.8</v>
      </c>
      <c r="V16" s="100">
        <v>0</v>
      </c>
      <c r="W16" s="100">
        <v>0</v>
      </c>
      <c r="X16" s="100">
        <v>0</v>
      </c>
    </row>
    <row r="17" spans="1:24" customFormat="1" x14ac:dyDescent="0.15">
      <c r="A17" s="144" t="s">
        <v>207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0.8</v>
      </c>
      <c r="O17" s="100">
        <v>0</v>
      </c>
      <c r="P17" s="100">
        <v>0</v>
      </c>
      <c r="Q17" s="100">
        <v>0</v>
      </c>
      <c r="R17" s="100">
        <v>0</v>
      </c>
      <c r="S17" s="100">
        <v>0</v>
      </c>
      <c r="T17" s="100">
        <v>0</v>
      </c>
      <c r="U17" s="100">
        <v>0</v>
      </c>
      <c r="V17" s="100">
        <v>0</v>
      </c>
      <c r="W17" s="100">
        <v>0</v>
      </c>
      <c r="X17" s="100">
        <v>0</v>
      </c>
    </row>
    <row r="18" spans="1:24" customFormat="1" x14ac:dyDescent="0.15">
      <c r="A18" s="144" t="s">
        <v>208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0</v>
      </c>
      <c r="R18" s="100">
        <v>0</v>
      </c>
      <c r="S18" s="100">
        <v>0.8</v>
      </c>
      <c r="T18" s="100">
        <v>0.8</v>
      </c>
      <c r="U18" s="100">
        <v>0.8</v>
      </c>
      <c r="V18" s="100">
        <v>0</v>
      </c>
      <c r="W18" s="100">
        <v>0</v>
      </c>
      <c r="X18" s="100">
        <v>0</v>
      </c>
    </row>
    <row r="19" spans="1:24" customFormat="1" x14ac:dyDescent="0.15">
      <c r="A19" s="144" t="s">
        <v>209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0.8</v>
      </c>
      <c r="U19" s="100">
        <v>0.8</v>
      </c>
      <c r="V19" s="100">
        <v>0</v>
      </c>
      <c r="W19" s="100">
        <v>0</v>
      </c>
      <c r="X19" s="100">
        <v>0</v>
      </c>
    </row>
    <row r="20" spans="1:24" customFormat="1" x14ac:dyDescent="0.15">
      <c r="A20" s="144" t="s">
        <v>210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0.8</v>
      </c>
      <c r="V20" s="100">
        <v>0</v>
      </c>
      <c r="W20" s="100">
        <v>0</v>
      </c>
      <c r="X20" s="100">
        <v>0</v>
      </c>
    </row>
    <row r="21" spans="1:24" customFormat="1" x14ac:dyDescent="0.15">
      <c r="A21" s="144" t="s">
        <v>211</v>
      </c>
      <c r="B21" s="100">
        <v>0</v>
      </c>
      <c r="C21" s="100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0">
        <v>0</v>
      </c>
      <c r="L21" s="100">
        <v>0</v>
      </c>
      <c r="M21" s="100">
        <v>0</v>
      </c>
      <c r="N21" s="100">
        <v>0</v>
      </c>
      <c r="O21" s="100">
        <v>0</v>
      </c>
      <c r="P21" s="100">
        <v>0</v>
      </c>
      <c r="Q21" s="100">
        <v>0</v>
      </c>
      <c r="R21" s="100">
        <v>0</v>
      </c>
      <c r="S21" s="100">
        <v>0</v>
      </c>
      <c r="T21" s="100">
        <v>0</v>
      </c>
      <c r="U21" s="100">
        <v>0</v>
      </c>
      <c r="V21" s="100">
        <v>0</v>
      </c>
      <c r="W21" s="100">
        <v>0</v>
      </c>
      <c r="X21" s="100">
        <v>0</v>
      </c>
    </row>
    <row r="22" spans="1:24" customFormat="1" x14ac:dyDescent="0.15">
      <c r="A22" s="144" t="s">
        <v>212</v>
      </c>
      <c r="B22" s="100">
        <v>0</v>
      </c>
      <c r="C22" s="100">
        <v>0</v>
      </c>
      <c r="D22" s="100">
        <v>0</v>
      </c>
      <c r="E22" s="100">
        <v>0.8</v>
      </c>
      <c r="F22" s="100">
        <v>0.8</v>
      </c>
      <c r="G22" s="100">
        <v>0.8</v>
      </c>
      <c r="H22" s="100">
        <v>0.8</v>
      </c>
      <c r="I22" s="100">
        <v>0.8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  <c r="V22" s="100">
        <v>0</v>
      </c>
      <c r="W22" s="100">
        <v>0</v>
      </c>
      <c r="X22" s="100">
        <v>0</v>
      </c>
    </row>
    <row r="23" spans="1:24" customFormat="1" x14ac:dyDescent="0.15">
      <c r="A23" s="144" t="s">
        <v>213</v>
      </c>
      <c r="B23" s="100">
        <v>0</v>
      </c>
      <c r="C23" s="100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0.8</v>
      </c>
      <c r="K23" s="100">
        <v>0.8</v>
      </c>
      <c r="L23" s="100">
        <v>0.8</v>
      </c>
      <c r="M23" s="100">
        <v>0</v>
      </c>
      <c r="N23" s="100">
        <v>0</v>
      </c>
      <c r="O23" s="100">
        <v>0</v>
      </c>
      <c r="P23" s="100">
        <v>0</v>
      </c>
      <c r="Q23" s="100">
        <v>0</v>
      </c>
      <c r="R23" s="100">
        <v>0</v>
      </c>
      <c r="S23" s="100">
        <v>0</v>
      </c>
      <c r="T23" s="100">
        <v>0</v>
      </c>
      <c r="U23" s="100">
        <v>0</v>
      </c>
      <c r="V23" s="100">
        <v>0</v>
      </c>
      <c r="W23" s="100">
        <v>0</v>
      </c>
      <c r="X23" s="100">
        <v>0</v>
      </c>
    </row>
    <row r="24" spans="1:24" customFormat="1" x14ac:dyDescent="0.15">
      <c r="A24" s="144" t="s">
        <v>214</v>
      </c>
      <c r="B24" s="100">
        <v>0</v>
      </c>
      <c r="C24" s="100">
        <v>0</v>
      </c>
      <c r="D24" s="100">
        <v>0</v>
      </c>
      <c r="E24" s="100">
        <v>0</v>
      </c>
      <c r="F24" s="100">
        <v>0</v>
      </c>
      <c r="G24" s="100">
        <v>0</v>
      </c>
      <c r="H24" s="100">
        <v>0</v>
      </c>
      <c r="I24" s="100">
        <v>0</v>
      </c>
      <c r="J24" s="100">
        <v>0</v>
      </c>
      <c r="K24" s="100">
        <v>0</v>
      </c>
      <c r="L24" s="100">
        <v>0</v>
      </c>
      <c r="M24" s="100">
        <v>0</v>
      </c>
      <c r="N24" s="100">
        <v>0</v>
      </c>
      <c r="O24" s="100">
        <v>0</v>
      </c>
      <c r="P24" s="100">
        <v>0</v>
      </c>
      <c r="Q24" s="100">
        <v>0</v>
      </c>
      <c r="R24" s="100">
        <v>0</v>
      </c>
      <c r="S24" s="100">
        <v>0</v>
      </c>
      <c r="T24" s="100">
        <v>0</v>
      </c>
      <c r="U24" s="100">
        <v>0</v>
      </c>
      <c r="V24" s="100">
        <v>0</v>
      </c>
      <c r="W24" s="100">
        <v>0</v>
      </c>
      <c r="X24" s="100">
        <v>0</v>
      </c>
    </row>
    <row r="25" spans="1:24" customFormat="1" x14ac:dyDescent="0.15">
      <c r="A25" s="144" t="s">
        <v>218</v>
      </c>
      <c r="B25" s="100">
        <v>0</v>
      </c>
      <c r="C25" s="100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0.8</v>
      </c>
      <c r="K25" s="100">
        <v>0</v>
      </c>
      <c r="L25" s="100">
        <v>0</v>
      </c>
      <c r="M25" s="100">
        <v>0</v>
      </c>
      <c r="N25" s="100">
        <v>0</v>
      </c>
      <c r="O25" s="100">
        <v>0.8</v>
      </c>
      <c r="P25" s="100">
        <v>0.8</v>
      </c>
      <c r="Q25" s="100">
        <v>0</v>
      </c>
      <c r="R25" s="100">
        <v>0</v>
      </c>
      <c r="S25" s="100">
        <v>0</v>
      </c>
      <c r="T25" s="100">
        <v>0.8</v>
      </c>
      <c r="U25" s="100">
        <v>0.8</v>
      </c>
      <c r="V25" s="100">
        <v>0</v>
      </c>
      <c r="W25" s="100">
        <v>0</v>
      </c>
      <c r="X25" s="100">
        <v>0</v>
      </c>
    </row>
    <row r="26" spans="1:24" customFormat="1" x14ac:dyDescent="0.15"/>
    <row r="27" spans="1:24" customFormat="1" x14ac:dyDescent="0.15"/>
    <row r="28" spans="1:24" customFormat="1" x14ac:dyDescent="0.15"/>
    <row r="29" spans="1:24" customFormat="1" x14ac:dyDescent="0.15"/>
    <row r="30" spans="1:24" customFormat="1" x14ac:dyDescent="0.15"/>
    <row r="31" spans="1:24" customFormat="1" x14ac:dyDescent="0.15"/>
    <row r="32" spans="1:24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5.5" style="100" bestFit="1" customWidth="1"/>
    <col min="2" max="24" width="2.33203125" style="100" customWidth="1"/>
    <col min="25" max="16384" width="10.83203125" style="100"/>
  </cols>
  <sheetData>
    <row r="1" spans="1:31" x14ac:dyDescent="0.15">
      <c r="A1" s="59" t="s">
        <v>139</v>
      </c>
      <c r="B1" s="147" t="s">
        <v>192</v>
      </c>
      <c r="C1" s="147" t="s">
        <v>193</v>
      </c>
      <c r="D1" s="147" t="s">
        <v>194</v>
      </c>
      <c r="E1" s="147" t="s">
        <v>195</v>
      </c>
      <c r="F1" s="147" t="s">
        <v>196</v>
      </c>
      <c r="G1" s="147" t="s">
        <v>197</v>
      </c>
      <c r="H1" s="147" t="s">
        <v>198</v>
      </c>
      <c r="I1" s="147" t="s">
        <v>199</v>
      </c>
      <c r="J1" s="147" t="s">
        <v>200</v>
      </c>
      <c r="K1" s="147" t="s">
        <v>201</v>
      </c>
      <c r="L1" s="147" t="s">
        <v>202</v>
      </c>
      <c r="M1" s="147" t="s">
        <v>203</v>
      </c>
      <c r="N1" s="147" t="s">
        <v>204</v>
      </c>
      <c r="O1" s="147" t="s">
        <v>205</v>
      </c>
      <c r="P1" s="147" t="s">
        <v>206</v>
      </c>
      <c r="Q1" s="147" t="s">
        <v>207</v>
      </c>
      <c r="R1" s="147" t="s">
        <v>208</v>
      </c>
      <c r="S1" s="147" t="s">
        <v>209</v>
      </c>
      <c r="T1" s="147" t="s">
        <v>210</v>
      </c>
      <c r="U1" s="147" t="s">
        <v>211</v>
      </c>
      <c r="V1" s="147" t="s">
        <v>212</v>
      </c>
      <c r="W1" s="147" t="s">
        <v>213</v>
      </c>
      <c r="X1" s="147" t="s">
        <v>214</v>
      </c>
      <c r="Y1"/>
      <c r="Z1"/>
      <c r="AA1"/>
      <c r="AB1"/>
      <c r="AC1"/>
      <c r="AD1"/>
      <c r="AE1"/>
    </row>
    <row r="2" spans="1:31" customFormat="1" x14ac:dyDescent="0.15">
      <c r="A2" s="146" t="s">
        <v>192</v>
      </c>
      <c r="B2" s="100">
        <v>0</v>
      </c>
      <c r="C2" s="100">
        <v>0</v>
      </c>
      <c r="D2" s="100">
        <v>0</v>
      </c>
      <c r="E2" s="100">
        <v>1</v>
      </c>
      <c r="F2" s="100">
        <v>1</v>
      </c>
      <c r="G2" s="100">
        <v>1</v>
      </c>
      <c r="H2" s="100">
        <v>1</v>
      </c>
      <c r="I2" s="100">
        <v>1</v>
      </c>
      <c r="J2" s="100">
        <v>0</v>
      </c>
      <c r="K2" s="100">
        <v>0</v>
      </c>
      <c r="L2" s="100">
        <v>0</v>
      </c>
      <c r="M2" s="100">
        <v>0</v>
      </c>
      <c r="N2" s="100">
        <v>0</v>
      </c>
      <c r="O2" s="100">
        <v>0</v>
      </c>
      <c r="P2" s="100">
        <v>0</v>
      </c>
      <c r="Q2" s="100">
        <v>0</v>
      </c>
      <c r="R2" s="100">
        <v>0</v>
      </c>
      <c r="S2" s="100">
        <v>0</v>
      </c>
      <c r="T2" s="100">
        <v>0</v>
      </c>
      <c r="U2" s="100">
        <v>0</v>
      </c>
      <c r="V2" s="100">
        <v>0</v>
      </c>
      <c r="W2" s="100">
        <v>0</v>
      </c>
      <c r="X2" s="100">
        <v>0</v>
      </c>
    </row>
    <row r="3" spans="1:31" customFormat="1" x14ac:dyDescent="0.15">
      <c r="A3" s="146" t="s">
        <v>193</v>
      </c>
      <c r="B3" s="100">
        <v>0</v>
      </c>
      <c r="C3" s="100">
        <v>0</v>
      </c>
      <c r="D3" s="100">
        <v>0</v>
      </c>
      <c r="E3" s="100">
        <v>1</v>
      </c>
      <c r="F3" s="100">
        <v>1</v>
      </c>
      <c r="G3" s="100">
        <v>1</v>
      </c>
      <c r="H3" s="100">
        <v>1</v>
      </c>
      <c r="I3" s="100">
        <v>1</v>
      </c>
      <c r="J3" s="100">
        <v>1</v>
      </c>
      <c r="K3" s="100">
        <v>0</v>
      </c>
      <c r="L3" s="100">
        <v>0</v>
      </c>
      <c r="M3" s="100">
        <v>0</v>
      </c>
      <c r="N3" s="100">
        <v>0</v>
      </c>
      <c r="O3" s="100">
        <v>0</v>
      </c>
      <c r="P3" s="100">
        <v>0</v>
      </c>
      <c r="Q3" s="100">
        <v>0</v>
      </c>
      <c r="R3" s="100">
        <v>0</v>
      </c>
      <c r="S3" s="100">
        <v>0</v>
      </c>
      <c r="T3" s="100">
        <v>0</v>
      </c>
      <c r="U3" s="100">
        <v>0</v>
      </c>
      <c r="V3" s="100">
        <v>0</v>
      </c>
      <c r="W3" s="100">
        <v>0</v>
      </c>
      <c r="X3" s="100">
        <v>0</v>
      </c>
    </row>
    <row r="4" spans="1:31" customFormat="1" x14ac:dyDescent="0.15">
      <c r="A4" s="146" t="s">
        <v>194</v>
      </c>
      <c r="B4" s="100">
        <v>0</v>
      </c>
      <c r="C4" s="100">
        <v>0</v>
      </c>
      <c r="D4" s="100">
        <v>0</v>
      </c>
      <c r="E4" s="100">
        <v>1</v>
      </c>
      <c r="F4" s="100">
        <v>1</v>
      </c>
      <c r="G4" s="100">
        <v>1</v>
      </c>
      <c r="H4" s="100">
        <v>1</v>
      </c>
      <c r="I4" s="100">
        <v>1</v>
      </c>
      <c r="J4" s="100">
        <v>1</v>
      </c>
      <c r="K4" s="100">
        <v>0</v>
      </c>
      <c r="L4" s="100">
        <v>0</v>
      </c>
      <c r="M4" s="100">
        <v>0</v>
      </c>
      <c r="N4" s="100">
        <v>0</v>
      </c>
      <c r="O4" s="100">
        <v>0</v>
      </c>
      <c r="P4" s="100">
        <v>0</v>
      </c>
      <c r="Q4" s="100">
        <v>0</v>
      </c>
      <c r="R4" s="100">
        <v>0</v>
      </c>
      <c r="S4" s="100">
        <v>0</v>
      </c>
      <c r="T4" s="100">
        <v>0</v>
      </c>
      <c r="U4" s="100">
        <v>0</v>
      </c>
      <c r="V4" s="100">
        <v>0</v>
      </c>
      <c r="W4" s="100">
        <v>0</v>
      </c>
      <c r="X4" s="100">
        <v>0</v>
      </c>
    </row>
    <row r="5" spans="1:31" customFormat="1" x14ac:dyDescent="0.15">
      <c r="A5" s="146" t="s">
        <v>195</v>
      </c>
      <c r="B5" s="100">
        <v>0</v>
      </c>
      <c r="C5" s="100">
        <v>0</v>
      </c>
      <c r="D5" s="100">
        <v>0</v>
      </c>
      <c r="E5" s="100">
        <v>0</v>
      </c>
      <c r="F5" s="100">
        <v>1</v>
      </c>
      <c r="G5" s="100">
        <v>1</v>
      </c>
      <c r="H5" s="100">
        <v>1</v>
      </c>
      <c r="I5" s="100">
        <v>1</v>
      </c>
      <c r="J5" s="100">
        <v>0</v>
      </c>
      <c r="K5" s="100">
        <v>0</v>
      </c>
      <c r="L5" s="100">
        <v>0</v>
      </c>
      <c r="M5" s="100">
        <v>0</v>
      </c>
      <c r="N5" s="100">
        <v>0</v>
      </c>
      <c r="O5" s="100">
        <v>0</v>
      </c>
      <c r="P5" s="100">
        <v>0</v>
      </c>
      <c r="Q5" s="100">
        <v>0</v>
      </c>
      <c r="R5" s="100">
        <v>0</v>
      </c>
      <c r="S5" s="100">
        <v>0</v>
      </c>
      <c r="T5" s="100">
        <v>0</v>
      </c>
      <c r="U5" s="100">
        <v>0</v>
      </c>
      <c r="V5" s="100">
        <v>0</v>
      </c>
      <c r="W5" s="100">
        <v>0</v>
      </c>
      <c r="X5" s="100">
        <v>0</v>
      </c>
    </row>
    <row r="6" spans="1:31" customFormat="1" x14ac:dyDescent="0.15">
      <c r="A6" s="146" t="s">
        <v>196</v>
      </c>
      <c r="B6" s="100">
        <v>0</v>
      </c>
      <c r="C6" s="100">
        <v>0</v>
      </c>
      <c r="D6" s="100">
        <v>0</v>
      </c>
      <c r="E6" s="100">
        <v>0</v>
      </c>
      <c r="F6" s="100">
        <v>0</v>
      </c>
      <c r="G6" s="100">
        <v>0</v>
      </c>
      <c r="H6" s="100">
        <v>0</v>
      </c>
      <c r="I6" s="100">
        <v>0</v>
      </c>
      <c r="J6" s="100">
        <v>1</v>
      </c>
      <c r="K6" s="100">
        <v>0</v>
      </c>
      <c r="L6" s="100">
        <v>0</v>
      </c>
      <c r="M6" s="100">
        <v>1</v>
      </c>
      <c r="N6" s="100">
        <v>1</v>
      </c>
      <c r="O6" s="100">
        <v>1</v>
      </c>
      <c r="P6" s="100">
        <v>1</v>
      </c>
      <c r="Q6" s="100">
        <v>1</v>
      </c>
      <c r="R6" s="100">
        <v>0</v>
      </c>
      <c r="S6" s="100">
        <v>0</v>
      </c>
      <c r="T6" s="100">
        <v>0</v>
      </c>
      <c r="U6" s="100">
        <v>0</v>
      </c>
      <c r="V6" s="100">
        <v>0</v>
      </c>
      <c r="W6" s="100">
        <v>0</v>
      </c>
      <c r="X6" s="100">
        <v>0</v>
      </c>
    </row>
    <row r="7" spans="1:31" customFormat="1" x14ac:dyDescent="0.15">
      <c r="A7" s="146" t="s">
        <v>197</v>
      </c>
      <c r="B7" s="100">
        <v>0</v>
      </c>
      <c r="C7" s="100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1</v>
      </c>
      <c r="K7" s="100">
        <v>0</v>
      </c>
      <c r="L7" s="100">
        <v>0</v>
      </c>
      <c r="M7" s="100">
        <v>1</v>
      </c>
      <c r="N7" s="100">
        <v>1</v>
      </c>
      <c r="O7" s="100">
        <v>1</v>
      </c>
      <c r="P7" s="100">
        <v>1</v>
      </c>
      <c r="Q7" s="100">
        <v>1</v>
      </c>
      <c r="R7" s="100">
        <v>0</v>
      </c>
      <c r="S7" s="100">
        <v>0</v>
      </c>
      <c r="T7" s="100">
        <v>0</v>
      </c>
      <c r="U7" s="100">
        <v>0</v>
      </c>
      <c r="V7" s="100">
        <v>0</v>
      </c>
      <c r="W7" s="100">
        <v>0</v>
      </c>
      <c r="X7" s="100">
        <v>0</v>
      </c>
    </row>
    <row r="8" spans="1:31" customFormat="1" x14ac:dyDescent="0.15">
      <c r="A8" s="146" t="s">
        <v>198</v>
      </c>
      <c r="B8" s="100">
        <v>0</v>
      </c>
      <c r="C8" s="100">
        <v>0</v>
      </c>
      <c r="D8" s="100">
        <v>0</v>
      </c>
      <c r="E8" s="100">
        <v>0</v>
      </c>
      <c r="F8" s="100">
        <v>0</v>
      </c>
      <c r="G8" s="100">
        <v>0</v>
      </c>
      <c r="H8" s="100">
        <v>0</v>
      </c>
      <c r="I8" s="100">
        <v>0</v>
      </c>
      <c r="J8" s="100">
        <v>1</v>
      </c>
      <c r="K8" s="100">
        <v>0</v>
      </c>
      <c r="L8" s="100">
        <v>0</v>
      </c>
      <c r="M8" s="100">
        <v>1</v>
      </c>
      <c r="N8" s="100">
        <v>1</v>
      </c>
      <c r="O8" s="100">
        <v>1</v>
      </c>
      <c r="P8" s="100">
        <v>1</v>
      </c>
      <c r="Q8" s="100">
        <v>1</v>
      </c>
      <c r="R8" s="100">
        <v>0</v>
      </c>
      <c r="S8" s="100">
        <v>0</v>
      </c>
      <c r="T8" s="100">
        <v>0</v>
      </c>
      <c r="U8" s="100">
        <v>0</v>
      </c>
      <c r="V8" s="100">
        <v>0</v>
      </c>
      <c r="W8" s="100">
        <v>0</v>
      </c>
      <c r="X8" s="100">
        <v>0</v>
      </c>
    </row>
    <row r="9" spans="1:31" customFormat="1" x14ac:dyDescent="0.15">
      <c r="A9" s="146" t="s">
        <v>199</v>
      </c>
      <c r="B9" s="100">
        <v>0</v>
      </c>
      <c r="C9" s="100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1</v>
      </c>
      <c r="K9" s="100">
        <v>0</v>
      </c>
      <c r="L9" s="100">
        <v>0</v>
      </c>
      <c r="M9" s="100">
        <v>1</v>
      </c>
      <c r="N9" s="100">
        <v>1</v>
      </c>
      <c r="O9" s="100">
        <v>1</v>
      </c>
      <c r="P9" s="100">
        <v>1</v>
      </c>
      <c r="Q9" s="100">
        <v>0</v>
      </c>
      <c r="R9" s="100">
        <v>0</v>
      </c>
      <c r="S9" s="100">
        <v>0</v>
      </c>
      <c r="T9" s="100">
        <v>0</v>
      </c>
      <c r="U9" s="100">
        <v>0</v>
      </c>
      <c r="V9" s="100">
        <v>0</v>
      </c>
      <c r="W9" s="100">
        <v>0</v>
      </c>
      <c r="X9" s="100">
        <v>0</v>
      </c>
    </row>
    <row r="10" spans="1:31" customFormat="1" x14ac:dyDescent="0.15">
      <c r="A10" s="146" t="s">
        <v>200</v>
      </c>
      <c r="B10" s="100">
        <v>0</v>
      </c>
      <c r="C10" s="100">
        <v>0</v>
      </c>
      <c r="D10" s="100">
        <v>0</v>
      </c>
      <c r="E10" s="100">
        <v>0</v>
      </c>
      <c r="F10" s="100">
        <v>0</v>
      </c>
      <c r="G10" s="100">
        <v>0</v>
      </c>
      <c r="H10" s="100">
        <v>0</v>
      </c>
      <c r="I10" s="100">
        <v>0</v>
      </c>
      <c r="J10" s="100">
        <v>0</v>
      </c>
      <c r="K10" s="100">
        <v>0</v>
      </c>
      <c r="L10" s="100">
        <v>0</v>
      </c>
      <c r="M10" s="100">
        <v>1</v>
      </c>
      <c r="N10" s="100">
        <v>1</v>
      </c>
      <c r="O10" s="100">
        <v>1</v>
      </c>
      <c r="P10" s="100">
        <v>1</v>
      </c>
      <c r="Q10" s="100">
        <v>0</v>
      </c>
      <c r="R10" s="100">
        <v>1</v>
      </c>
      <c r="S10" s="100">
        <v>1</v>
      </c>
      <c r="T10" s="100">
        <v>1</v>
      </c>
      <c r="U10" s="100">
        <v>0</v>
      </c>
      <c r="V10" s="100">
        <v>0</v>
      </c>
      <c r="W10" s="100">
        <v>0</v>
      </c>
      <c r="X10" s="100">
        <v>0</v>
      </c>
    </row>
    <row r="11" spans="1:31" customFormat="1" x14ac:dyDescent="0.15">
      <c r="A11" s="146" t="s">
        <v>201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1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</row>
    <row r="12" spans="1:31" customFormat="1" x14ac:dyDescent="0.15">
      <c r="A12" s="146" t="s">
        <v>202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1</v>
      </c>
      <c r="M12" s="100">
        <v>0</v>
      </c>
      <c r="N12" s="100">
        <v>0</v>
      </c>
      <c r="O12" s="100">
        <v>1</v>
      </c>
      <c r="P12" s="100">
        <v>1</v>
      </c>
      <c r="Q12" s="100">
        <v>0</v>
      </c>
      <c r="R12" s="100">
        <v>1</v>
      </c>
      <c r="S12" s="100">
        <v>1</v>
      </c>
      <c r="T12" s="100">
        <v>1</v>
      </c>
      <c r="U12" s="100">
        <v>0</v>
      </c>
      <c r="V12" s="100">
        <v>0</v>
      </c>
      <c r="W12" s="100">
        <v>0</v>
      </c>
      <c r="X12" s="100">
        <v>0</v>
      </c>
    </row>
    <row r="13" spans="1:31" customFormat="1" x14ac:dyDescent="0.15">
      <c r="A13" s="146" t="s">
        <v>203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1</v>
      </c>
      <c r="Q13" s="100">
        <v>0</v>
      </c>
      <c r="R13" s="100">
        <v>1</v>
      </c>
      <c r="S13" s="100">
        <v>1</v>
      </c>
      <c r="T13" s="100">
        <v>1</v>
      </c>
      <c r="U13" s="100">
        <v>0</v>
      </c>
      <c r="V13" s="100">
        <v>0</v>
      </c>
      <c r="W13" s="100">
        <v>0</v>
      </c>
      <c r="X13" s="100">
        <v>0</v>
      </c>
    </row>
    <row r="14" spans="1:31" customFormat="1" x14ac:dyDescent="0.15">
      <c r="A14" s="146" t="s">
        <v>204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1</v>
      </c>
      <c r="S14" s="100">
        <v>1</v>
      </c>
      <c r="T14" s="100">
        <v>1</v>
      </c>
      <c r="U14" s="100">
        <v>1</v>
      </c>
      <c r="V14" s="100">
        <v>0</v>
      </c>
      <c r="W14" s="100">
        <v>0</v>
      </c>
      <c r="X14" s="100">
        <v>0</v>
      </c>
    </row>
    <row r="15" spans="1:31" customFormat="1" x14ac:dyDescent="0.15">
      <c r="A15" s="146" t="s">
        <v>205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1</v>
      </c>
      <c r="S15" s="100">
        <v>1</v>
      </c>
      <c r="T15" s="100">
        <v>1</v>
      </c>
      <c r="U15" s="100">
        <v>1</v>
      </c>
      <c r="V15" s="100">
        <v>0</v>
      </c>
      <c r="W15" s="100">
        <v>0</v>
      </c>
      <c r="X15" s="100">
        <v>0</v>
      </c>
    </row>
    <row r="16" spans="1:31" customFormat="1" x14ac:dyDescent="0.15">
      <c r="A16" s="146" t="s">
        <v>206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0</v>
      </c>
      <c r="R16" s="100">
        <v>1</v>
      </c>
      <c r="S16" s="100">
        <v>1</v>
      </c>
      <c r="T16" s="100">
        <v>1</v>
      </c>
      <c r="U16" s="100">
        <v>1</v>
      </c>
      <c r="V16" s="100">
        <v>0</v>
      </c>
      <c r="W16" s="100">
        <v>0</v>
      </c>
      <c r="X16" s="100">
        <v>0</v>
      </c>
    </row>
    <row r="17" spans="1:24" customFormat="1" x14ac:dyDescent="0.15">
      <c r="A17" s="146" t="s">
        <v>207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1</v>
      </c>
      <c r="O17" s="100">
        <v>0</v>
      </c>
      <c r="P17" s="100">
        <v>0</v>
      </c>
      <c r="Q17" s="100">
        <v>0</v>
      </c>
      <c r="R17" s="100">
        <v>0</v>
      </c>
      <c r="S17" s="100">
        <v>0</v>
      </c>
      <c r="T17" s="100">
        <v>0</v>
      </c>
      <c r="U17" s="100">
        <v>0</v>
      </c>
      <c r="V17" s="100">
        <v>0</v>
      </c>
      <c r="W17" s="100">
        <v>0</v>
      </c>
      <c r="X17" s="100">
        <v>0</v>
      </c>
    </row>
    <row r="18" spans="1:24" customFormat="1" x14ac:dyDescent="0.15">
      <c r="A18" s="146" t="s">
        <v>208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0</v>
      </c>
      <c r="R18" s="100">
        <v>0</v>
      </c>
      <c r="S18" s="100">
        <v>1</v>
      </c>
      <c r="T18" s="100">
        <v>1</v>
      </c>
      <c r="U18" s="100">
        <v>1</v>
      </c>
      <c r="V18" s="100">
        <v>0</v>
      </c>
      <c r="W18" s="100">
        <v>0</v>
      </c>
      <c r="X18" s="100">
        <v>0</v>
      </c>
    </row>
    <row r="19" spans="1:24" customFormat="1" x14ac:dyDescent="0.15">
      <c r="A19" s="146" t="s">
        <v>209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</v>
      </c>
      <c r="U19" s="100">
        <v>1</v>
      </c>
      <c r="V19" s="100">
        <v>0</v>
      </c>
      <c r="W19" s="100">
        <v>0</v>
      </c>
      <c r="X19" s="100">
        <v>0</v>
      </c>
    </row>
    <row r="20" spans="1:24" customFormat="1" x14ac:dyDescent="0.15">
      <c r="A20" s="146" t="s">
        <v>210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1</v>
      </c>
      <c r="V20" s="100">
        <v>0</v>
      </c>
      <c r="W20" s="100">
        <v>0</v>
      </c>
      <c r="X20" s="100">
        <v>0</v>
      </c>
    </row>
    <row r="21" spans="1:24" customFormat="1" x14ac:dyDescent="0.15">
      <c r="A21" s="146" t="s">
        <v>211</v>
      </c>
      <c r="B21" s="100">
        <v>0</v>
      </c>
      <c r="C21" s="100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0">
        <v>0</v>
      </c>
      <c r="L21" s="100">
        <v>0</v>
      </c>
      <c r="M21" s="100">
        <v>0</v>
      </c>
      <c r="N21" s="100">
        <v>0</v>
      </c>
      <c r="O21" s="100">
        <v>0</v>
      </c>
      <c r="P21" s="100">
        <v>0</v>
      </c>
      <c r="Q21" s="100">
        <v>0</v>
      </c>
      <c r="R21" s="100">
        <v>0</v>
      </c>
      <c r="S21" s="100">
        <v>0</v>
      </c>
      <c r="T21" s="100">
        <v>0</v>
      </c>
      <c r="U21" s="100">
        <v>0</v>
      </c>
      <c r="V21" s="100">
        <v>0</v>
      </c>
      <c r="W21" s="100">
        <v>0</v>
      </c>
      <c r="X21" s="100">
        <v>0</v>
      </c>
    </row>
    <row r="22" spans="1:24" customFormat="1" x14ac:dyDescent="0.15">
      <c r="A22" s="146" t="s">
        <v>212</v>
      </c>
      <c r="B22" s="100">
        <v>0</v>
      </c>
      <c r="C22" s="100">
        <v>0</v>
      </c>
      <c r="D22" s="100">
        <v>0</v>
      </c>
      <c r="E22" s="100">
        <v>1</v>
      </c>
      <c r="F22" s="100">
        <v>1</v>
      </c>
      <c r="G22" s="100">
        <v>1</v>
      </c>
      <c r="H22" s="100">
        <v>1</v>
      </c>
      <c r="I22" s="100">
        <v>1</v>
      </c>
      <c r="J22" s="100">
        <v>0</v>
      </c>
      <c r="K22" s="100">
        <v>0</v>
      </c>
      <c r="L22" s="100">
        <v>0</v>
      </c>
      <c r="M22" s="100">
        <v>0</v>
      </c>
      <c r="N22" s="100">
        <v>0</v>
      </c>
      <c r="O22" s="100">
        <v>0</v>
      </c>
      <c r="P22" s="100">
        <v>0</v>
      </c>
      <c r="Q22" s="100">
        <v>0</v>
      </c>
      <c r="R22" s="100">
        <v>0</v>
      </c>
      <c r="S22" s="100">
        <v>0</v>
      </c>
      <c r="T22" s="100">
        <v>0</v>
      </c>
      <c r="U22" s="100">
        <v>0</v>
      </c>
      <c r="V22" s="100">
        <v>0</v>
      </c>
      <c r="W22" s="100">
        <v>0</v>
      </c>
      <c r="X22" s="100">
        <v>0</v>
      </c>
    </row>
    <row r="23" spans="1:24" customFormat="1" x14ac:dyDescent="0.15">
      <c r="A23" s="146" t="s">
        <v>213</v>
      </c>
      <c r="B23" s="100">
        <v>0</v>
      </c>
      <c r="C23" s="100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1</v>
      </c>
      <c r="K23" s="100">
        <v>1</v>
      </c>
      <c r="L23" s="100">
        <v>1</v>
      </c>
      <c r="M23" s="100">
        <v>0</v>
      </c>
      <c r="N23" s="100">
        <v>0</v>
      </c>
      <c r="O23" s="100">
        <v>0</v>
      </c>
      <c r="P23" s="100">
        <v>0</v>
      </c>
      <c r="Q23" s="100">
        <v>0</v>
      </c>
      <c r="R23" s="100">
        <v>0</v>
      </c>
      <c r="S23" s="100">
        <v>0</v>
      </c>
      <c r="T23" s="100">
        <v>0</v>
      </c>
      <c r="U23" s="100">
        <v>0</v>
      </c>
      <c r="V23" s="100">
        <v>0</v>
      </c>
      <c r="W23" s="100">
        <v>0</v>
      </c>
      <c r="X23" s="100">
        <v>0</v>
      </c>
    </row>
    <row r="24" spans="1:24" customFormat="1" x14ac:dyDescent="0.15">
      <c r="A24" s="146" t="s">
        <v>214</v>
      </c>
      <c r="B24" s="100">
        <v>0</v>
      </c>
      <c r="C24" s="100">
        <v>0</v>
      </c>
      <c r="D24" s="100">
        <v>0</v>
      </c>
      <c r="E24" s="100">
        <v>0</v>
      </c>
      <c r="F24" s="100">
        <v>0</v>
      </c>
      <c r="G24" s="100">
        <v>0</v>
      </c>
      <c r="H24" s="100">
        <v>0</v>
      </c>
      <c r="I24" s="100">
        <v>0</v>
      </c>
      <c r="J24" s="100">
        <v>0</v>
      </c>
      <c r="K24" s="100">
        <v>0</v>
      </c>
      <c r="L24" s="100">
        <v>0</v>
      </c>
      <c r="M24" s="100">
        <v>0</v>
      </c>
      <c r="N24" s="100">
        <v>0</v>
      </c>
      <c r="O24" s="100">
        <v>0</v>
      </c>
      <c r="P24" s="100">
        <v>0</v>
      </c>
      <c r="Q24" s="100">
        <v>0</v>
      </c>
      <c r="R24" s="100">
        <v>0</v>
      </c>
      <c r="S24" s="100">
        <v>0</v>
      </c>
      <c r="T24" s="100">
        <v>0</v>
      </c>
      <c r="U24" s="100">
        <v>0</v>
      </c>
      <c r="V24" s="100">
        <v>0</v>
      </c>
      <c r="W24" s="100">
        <v>0</v>
      </c>
      <c r="X24" s="100">
        <v>0</v>
      </c>
    </row>
    <row r="25" spans="1:24" customFormat="1" x14ac:dyDescent="0.15">
      <c r="A25" s="146" t="s">
        <v>218</v>
      </c>
      <c r="B25" s="100">
        <v>0</v>
      </c>
      <c r="C25" s="100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1</v>
      </c>
      <c r="K25" s="100">
        <v>0</v>
      </c>
      <c r="L25" s="100">
        <v>0</v>
      </c>
      <c r="M25" s="100">
        <v>0</v>
      </c>
      <c r="N25" s="100">
        <v>0</v>
      </c>
      <c r="O25" s="100">
        <v>1</v>
      </c>
      <c r="P25" s="100">
        <v>1</v>
      </c>
      <c r="Q25" s="100">
        <v>0</v>
      </c>
      <c r="R25" s="100">
        <v>0</v>
      </c>
      <c r="S25" s="100">
        <v>0</v>
      </c>
      <c r="T25" s="100">
        <v>1</v>
      </c>
      <c r="U25" s="100">
        <v>1</v>
      </c>
      <c r="V25" s="100">
        <v>0</v>
      </c>
      <c r="W25" s="100">
        <v>0</v>
      </c>
      <c r="X25" s="100">
        <v>0</v>
      </c>
    </row>
    <row r="26" spans="1:24" customFormat="1" x14ac:dyDescent="0.15"/>
    <row r="27" spans="1:24" customFormat="1" x14ac:dyDescent="0.15"/>
    <row r="28" spans="1:24" customFormat="1" x14ac:dyDescent="0.15"/>
    <row r="29" spans="1:24" customFormat="1" x14ac:dyDescent="0.15"/>
    <row r="30" spans="1:24" customFormat="1" x14ac:dyDescent="0.15"/>
    <row r="31" spans="1:24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E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.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83</v>
      </c>
      <c r="B1" s="3" t="s">
        <v>0</v>
      </c>
      <c r="C1" s="149" t="s">
        <v>215</v>
      </c>
      <c r="D1" s="149" t="s">
        <v>216</v>
      </c>
      <c r="E1" s="149" t="s">
        <v>217</v>
      </c>
    </row>
    <row r="2" spans="1:5" x14ac:dyDescent="0.15">
      <c r="A2">
        <v>1</v>
      </c>
      <c r="B2" s="148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48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48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148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48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48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48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48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48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48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48" t="s">
        <v>202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48" t="s">
        <v>203</v>
      </c>
      <c r="C13">
        <v>0</v>
      </c>
      <c r="D13">
        <v>0</v>
      </c>
      <c r="E13">
        <v>0.8</v>
      </c>
    </row>
    <row r="14" spans="1:5" x14ac:dyDescent="0.15">
      <c r="A14">
        <v>13</v>
      </c>
      <c r="B14" s="148" t="s">
        <v>204</v>
      </c>
      <c r="C14">
        <v>0</v>
      </c>
      <c r="D14">
        <v>0</v>
      </c>
      <c r="E14">
        <v>0.8</v>
      </c>
    </row>
    <row r="15" spans="1:5" x14ac:dyDescent="0.15">
      <c r="A15">
        <v>14</v>
      </c>
      <c r="B15" s="148" t="s">
        <v>205</v>
      </c>
      <c r="C15">
        <v>0</v>
      </c>
      <c r="D15">
        <v>0.8</v>
      </c>
      <c r="E15">
        <v>0</v>
      </c>
    </row>
    <row r="16" spans="1:5" x14ac:dyDescent="0.15">
      <c r="A16">
        <v>15</v>
      </c>
      <c r="B16" s="148" t="s">
        <v>206</v>
      </c>
      <c r="C16">
        <v>0</v>
      </c>
      <c r="D16">
        <v>0.8</v>
      </c>
      <c r="E16">
        <v>0</v>
      </c>
    </row>
    <row r="17" spans="1:5" x14ac:dyDescent="0.15">
      <c r="A17">
        <v>16</v>
      </c>
      <c r="B17" s="148" t="s">
        <v>207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48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48" t="s">
        <v>209</v>
      </c>
      <c r="C19">
        <v>0.8</v>
      </c>
      <c r="D19">
        <v>0</v>
      </c>
      <c r="E19">
        <v>0</v>
      </c>
    </row>
    <row r="20" spans="1:5" x14ac:dyDescent="0.15">
      <c r="A20">
        <v>19</v>
      </c>
      <c r="B20" s="148" t="s">
        <v>210</v>
      </c>
      <c r="C20">
        <v>0.8</v>
      </c>
      <c r="D20">
        <v>0</v>
      </c>
      <c r="E20">
        <v>0</v>
      </c>
    </row>
    <row r="21" spans="1:5" x14ac:dyDescent="0.15">
      <c r="A21">
        <v>20</v>
      </c>
      <c r="B21" s="148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48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48" t="s">
        <v>213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48" t="s">
        <v>214</v>
      </c>
      <c r="C24">
        <v>0</v>
      </c>
      <c r="D24">
        <v>0</v>
      </c>
      <c r="E24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E24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5.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82</v>
      </c>
      <c r="B1" s="3" t="s">
        <v>0</v>
      </c>
      <c r="C1" s="151" t="s">
        <v>215</v>
      </c>
      <c r="D1" s="151" t="s">
        <v>216</v>
      </c>
      <c r="E1" s="151" t="s">
        <v>217</v>
      </c>
    </row>
    <row r="2" spans="1:5" x14ac:dyDescent="0.15">
      <c r="A2">
        <v>1</v>
      </c>
      <c r="B2" s="150" t="s">
        <v>192</v>
      </c>
      <c r="C2">
        <v>0</v>
      </c>
      <c r="D2">
        <v>0</v>
      </c>
      <c r="E2">
        <v>0</v>
      </c>
    </row>
    <row r="3" spans="1:5" x14ac:dyDescent="0.15">
      <c r="A3">
        <v>2</v>
      </c>
      <c r="B3" s="150" t="s">
        <v>193</v>
      </c>
      <c r="C3">
        <v>0</v>
      </c>
      <c r="D3">
        <v>0</v>
      </c>
      <c r="E3">
        <v>0</v>
      </c>
    </row>
    <row r="4" spans="1:5" x14ac:dyDescent="0.15">
      <c r="A4">
        <v>3</v>
      </c>
      <c r="B4" s="150" t="s">
        <v>194</v>
      </c>
      <c r="C4">
        <v>0</v>
      </c>
      <c r="D4">
        <v>0</v>
      </c>
      <c r="E4">
        <v>0</v>
      </c>
    </row>
    <row r="5" spans="1:5" x14ac:dyDescent="0.15">
      <c r="A5">
        <v>4</v>
      </c>
      <c r="B5" s="150" t="s">
        <v>195</v>
      </c>
      <c r="C5">
        <v>0</v>
      </c>
      <c r="D5">
        <v>0</v>
      </c>
      <c r="E5">
        <v>0</v>
      </c>
    </row>
    <row r="6" spans="1:5" x14ac:dyDescent="0.15">
      <c r="A6">
        <v>5</v>
      </c>
      <c r="B6" s="150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50" t="s">
        <v>197</v>
      </c>
      <c r="C7">
        <v>0</v>
      </c>
      <c r="D7">
        <v>0</v>
      </c>
      <c r="E7">
        <v>0</v>
      </c>
    </row>
    <row r="8" spans="1:5" x14ac:dyDescent="0.15">
      <c r="A8">
        <v>7</v>
      </c>
      <c r="B8" s="150" t="s">
        <v>198</v>
      </c>
      <c r="C8">
        <v>0</v>
      </c>
      <c r="D8">
        <v>0</v>
      </c>
      <c r="E8">
        <v>0</v>
      </c>
    </row>
    <row r="9" spans="1:5" x14ac:dyDescent="0.15">
      <c r="A9">
        <v>8</v>
      </c>
      <c r="B9" s="150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50" t="s">
        <v>200</v>
      </c>
      <c r="C10">
        <v>0</v>
      </c>
      <c r="D10">
        <v>0</v>
      </c>
      <c r="E10">
        <v>0</v>
      </c>
    </row>
    <row r="11" spans="1:5" x14ac:dyDescent="0.15">
      <c r="A11">
        <v>10</v>
      </c>
      <c r="B11" s="150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50" t="s">
        <v>202</v>
      </c>
      <c r="C12">
        <v>0</v>
      </c>
      <c r="D12">
        <v>0</v>
      </c>
      <c r="E12">
        <v>0</v>
      </c>
    </row>
    <row r="13" spans="1:5" x14ac:dyDescent="0.15">
      <c r="A13">
        <v>12</v>
      </c>
      <c r="B13" s="150" t="s">
        <v>203</v>
      </c>
      <c r="C13">
        <v>0</v>
      </c>
      <c r="D13">
        <v>0</v>
      </c>
      <c r="E13">
        <v>0.8</v>
      </c>
    </row>
    <row r="14" spans="1:5" x14ac:dyDescent="0.15">
      <c r="A14">
        <v>13</v>
      </c>
      <c r="B14" s="150" t="s">
        <v>204</v>
      </c>
      <c r="C14">
        <v>0</v>
      </c>
      <c r="D14">
        <v>0</v>
      </c>
      <c r="E14">
        <v>0.8</v>
      </c>
    </row>
    <row r="15" spans="1:5" x14ac:dyDescent="0.15">
      <c r="A15">
        <v>14</v>
      </c>
      <c r="B15" s="150" t="s">
        <v>205</v>
      </c>
      <c r="C15">
        <v>0</v>
      </c>
      <c r="D15">
        <v>0.8</v>
      </c>
      <c r="E15">
        <v>0</v>
      </c>
    </row>
    <row r="16" spans="1:5" x14ac:dyDescent="0.15">
      <c r="A16">
        <v>15</v>
      </c>
      <c r="B16" s="150" t="s">
        <v>206</v>
      </c>
      <c r="C16">
        <v>0</v>
      </c>
      <c r="D16">
        <v>0.8</v>
      </c>
      <c r="E16">
        <v>0</v>
      </c>
    </row>
    <row r="17" spans="1:5" x14ac:dyDescent="0.15">
      <c r="A17">
        <v>16</v>
      </c>
      <c r="B17" s="150" t="s">
        <v>207</v>
      </c>
      <c r="C17">
        <v>0</v>
      </c>
      <c r="D17">
        <v>0</v>
      </c>
      <c r="E17">
        <v>0</v>
      </c>
    </row>
    <row r="18" spans="1:5" x14ac:dyDescent="0.15">
      <c r="A18">
        <v>17</v>
      </c>
      <c r="B18" s="150" t="s">
        <v>208</v>
      </c>
      <c r="C18">
        <v>0</v>
      </c>
      <c r="D18">
        <v>0</v>
      </c>
      <c r="E18">
        <v>0</v>
      </c>
    </row>
    <row r="19" spans="1:5" x14ac:dyDescent="0.15">
      <c r="A19">
        <v>18</v>
      </c>
      <c r="B19" s="150" t="s">
        <v>209</v>
      </c>
      <c r="C19">
        <v>0.8</v>
      </c>
      <c r="D19">
        <v>0</v>
      </c>
      <c r="E19">
        <v>0</v>
      </c>
    </row>
    <row r="20" spans="1:5" x14ac:dyDescent="0.15">
      <c r="A20">
        <v>19</v>
      </c>
      <c r="B20" s="150" t="s">
        <v>210</v>
      </c>
      <c r="C20">
        <v>0.8</v>
      </c>
      <c r="D20">
        <v>0</v>
      </c>
      <c r="E20">
        <v>0</v>
      </c>
    </row>
    <row r="21" spans="1:5" x14ac:dyDescent="0.15">
      <c r="A21">
        <v>20</v>
      </c>
      <c r="B21" s="150" t="s">
        <v>211</v>
      </c>
      <c r="C21">
        <v>0</v>
      </c>
      <c r="D21">
        <v>0</v>
      </c>
      <c r="E21">
        <v>0</v>
      </c>
    </row>
    <row r="22" spans="1:5" x14ac:dyDescent="0.15">
      <c r="A22">
        <v>21</v>
      </c>
      <c r="B22" s="150" t="s">
        <v>212</v>
      </c>
      <c r="C22">
        <v>0</v>
      </c>
      <c r="D22">
        <v>0</v>
      </c>
      <c r="E22">
        <v>0</v>
      </c>
    </row>
    <row r="23" spans="1:5" x14ac:dyDescent="0.15">
      <c r="A23">
        <v>22</v>
      </c>
      <c r="B23" s="150" t="s">
        <v>213</v>
      </c>
      <c r="C23">
        <v>0</v>
      </c>
      <c r="D23">
        <v>0</v>
      </c>
      <c r="E23">
        <v>0</v>
      </c>
    </row>
    <row r="24" spans="1:5" x14ac:dyDescent="0.15">
      <c r="A24">
        <v>23</v>
      </c>
      <c r="B24" s="150" t="s">
        <v>214</v>
      </c>
      <c r="C24">
        <v>0</v>
      </c>
      <c r="D24">
        <v>0</v>
      </c>
      <c r="E24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28" sqref="G28"/>
    </sheetView>
  </sheetViews>
  <sheetFormatPr baseColWidth="10" defaultColWidth="8.83203125" defaultRowHeight="15" customHeight="1" x14ac:dyDescent="0.15"/>
  <cols>
    <col min="1" max="1" width="8.83203125" style="73"/>
    <col min="2" max="2" width="41.83203125" style="73" bestFit="1" customWidth="1"/>
    <col min="3" max="3" width="9.33203125" style="73" bestFit="1" customWidth="1"/>
    <col min="4" max="4" width="13" style="73" bestFit="1" customWidth="1"/>
    <col min="5" max="6" width="9.33203125" style="73" bestFit="1" customWidth="1"/>
    <col min="7" max="7" width="9.33203125" style="89" bestFit="1" customWidth="1"/>
    <col min="8" max="8" width="9.33203125" style="73" bestFit="1" customWidth="1"/>
    <col min="9" max="9" width="11" style="73" customWidth="1"/>
    <col min="10" max="10" width="8.83203125" style="73"/>
    <col min="15" max="16384" width="8.83203125" style="7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1" t="s">
        <v>14</v>
      </c>
      <c r="H1" s="1" t="s">
        <v>26</v>
      </c>
      <c r="I1" s="1" t="s">
        <v>24</v>
      </c>
    </row>
    <row r="2" spans="1:10" ht="15" customHeight="1" x14ac:dyDescent="0.15">
      <c r="A2" s="198">
        <v>1</v>
      </c>
      <c r="B2" s="198" t="s">
        <v>192</v>
      </c>
      <c r="C2" s="8">
        <v>1</v>
      </c>
      <c r="D2" s="9">
        <v>3.4000000953674316</v>
      </c>
      <c r="E2" s="9">
        <v>160</v>
      </c>
      <c r="F2" s="10"/>
      <c r="G2" s="9">
        <v>7.4019305408000946E-2</v>
      </c>
      <c r="H2" s="10"/>
      <c r="I2">
        <v>0</v>
      </c>
      <c r="J2"/>
    </row>
    <row r="3" spans="1:10" ht="15" customHeight="1" x14ac:dyDescent="0.15">
      <c r="A3" s="199">
        <v>2</v>
      </c>
      <c r="B3" s="199" t="s">
        <v>193</v>
      </c>
      <c r="C3" s="8">
        <v>1</v>
      </c>
      <c r="D3" s="9">
        <v>2.7999999523162842</v>
      </c>
      <c r="E3" s="9">
        <v>117</v>
      </c>
      <c r="F3" s="10"/>
      <c r="G3" s="9">
        <v>0.51577764749526978</v>
      </c>
      <c r="H3" s="10"/>
      <c r="I3">
        <v>0</v>
      </c>
      <c r="J3"/>
    </row>
    <row r="4" spans="1:10" ht="15" customHeight="1" x14ac:dyDescent="0.15">
      <c r="A4" s="200">
        <v>3</v>
      </c>
      <c r="B4" s="200" t="s">
        <v>194</v>
      </c>
      <c r="C4" s="8">
        <v>1</v>
      </c>
      <c r="D4" s="9">
        <v>4.5</v>
      </c>
      <c r="E4" s="9">
        <v>135</v>
      </c>
      <c r="F4" s="10"/>
      <c r="G4" s="9">
        <v>0.99223333597183228</v>
      </c>
      <c r="H4" s="10"/>
      <c r="I4">
        <v>0</v>
      </c>
      <c r="J4"/>
    </row>
    <row r="5" spans="1:10" ht="15" customHeight="1" x14ac:dyDescent="0.15">
      <c r="A5" s="201">
        <v>4</v>
      </c>
      <c r="B5" s="201" t="s">
        <v>195</v>
      </c>
      <c r="C5" s="8">
        <v>2</v>
      </c>
      <c r="D5" s="9">
        <v>3.0999999046325684</v>
      </c>
      <c r="E5" s="9">
        <v>110</v>
      </c>
      <c r="F5" s="9">
        <v>275</v>
      </c>
      <c r="G5" s="9">
        <v>0.49709385633468628</v>
      </c>
      <c r="H5" s="9">
        <v>0.40000000596046448</v>
      </c>
      <c r="I5">
        <v>0</v>
      </c>
      <c r="J5"/>
    </row>
    <row r="6" spans="1:10" ht="15" customHeight="1" x14ac:dyDescent="0.15">
      <c r="A6" s="202">
        <v>5</v>
      </c>
      <c r="B6" s="202" t="s">
        <v>196</v>
      </c>
      <c r="C6" s="8">
        <v>2.2000000476837158</v>
      </c>
      <c r="D6" s="9">
        <v>1.8999999761581421</v>
      </c>
      <c r="E6" s="9">
        <v>26</v>
      </c>
      <c r="F6" s="9">
        <v>83</v>
      </c>
      <c r="G6" s="9">
        <v>0.462553471326828</v>
      </c>
      <c r="H6" s="9">
        <v>0.3132530152797699</v>
      </c>
      <c r="I6">
        <v>0</v>
      </c>
      <c r="J6"/>
    </row>
    <row r="7" spans="1:10" ht="15" customHeight="1" x14ac:dyDescent="0.15">
      <c r="A7" s="203">
        <v>6</v>
      </c>
      <c r="B7" s="203" t="s">
        <v>197</v>
      </c>
      <c r="C7" s="8">
        <v>2.2000000476837158</v>
      </c>
      <c r="D7" s="9">
        <v>1.3500000238418579</v>
      </c>
      <c r="E7" s="9">
        <v>25</v>
      </c>
      <c r="F7" s="9">
        <v>83</v>
      </c>
      <c r="G7" s="9">
        <v>0.35483705997467041</v>
      </c>
      <c r="H7" s="9">
        <v>0.30120483040809631</v>
      </c>
      <c r="I7">
        <v>0</v>
      </c>
      <c r="J7"/>
    </row>
    <row r="8" spans="1:10" ht="15" customHeight="1" x14ac:dyDescent="0.15">
      <c r="A8" s="204">
        <v>7</v>
      </c>
      <c r="B8" s="204" t="s">
        <v>198</v>
      </c>
      <c r="C8" s="8">
        <v>2.3000001907348633</v>
      </c>
      <c r="D8" s="9">
        <v>4.3899998664855957</v>
      </c>
      <c r="E8" s="9">
        <v>8</v>
      </c>
      <c r="F8" s="9">
        <v>27</v>
      </c>
      <c r="G8" s="9">
        <v>0.50640690326690674</v>
      </c>
      <c r="H8" s="9">
        <v>0.29629629850387573</v>
      </c>
      <c r="I8">
        <v>0</v>
      </c>
      <c r="J8"/>
    </row>
    <row r="9" spans="1:10" ht="15" customHeight="1" x14ac:dyDescent="0.15">
      <c r="A9" s="205">
        <v>8</v>
      </c>
      <c r="B9" s="205" t="s">
        <v>199</v>
      </c>
      <c r="C9" s="8">
        <v>2.2000000476837158</v>
      </c>
      <c r="D9" s="9">
        <v>4</v>
      </c>
      <c r="E9" s="9">
        <v>30</v>
      </c>
      <c r="F9" s="9">
        <v>100</v>
      </c>
      <c r="G9" s="9">
        <v>7.6581798493862152E-2</v>
      </c>
      <c r="H9" s="9">
        <v>0.30000001192092896</v>
      </c>
      <c r="I9">
        <v>0</v>
      </c>
      <c r="J9"/>
    </row>
    <row r="10" spans="1:10" ht="15" customHeight="1" x14ac:dyDescent="0.15">
      <c r="A10" s="206">
        <v>9</v>
      </c>
      <c r="B10" s="206" t="s">
        <v>200</v>
      </c>
      <c r="C10" s="8">
        <v>2.538888692855835</v>
      </c>
      <c r="D10" s="9">
        <v>2.0352180004119873</v>
      </c>
      <c r="E10" s="9">
        <v>7.3000001907348633</v>
      </c>
      <c r="F10" s="9">
        <v>15</v>
      </c>
      <c r="G10" s="9">
        <v>0.75002306699752808</v>
      </c>
      <c r="H10" s="9">
        <v>0.48666667938232422</v>
      </c>
      <c r="I10">
        <v>0</v>
      </c>
      <c r="J10"/>
    </row>
    <row r="11" spans="1:10" ht="15" customHeight="1" x14ac:dyDescent="0.15">
      <c r="A11" s="207">
        <v>10</v>
      </c>
      <c r="B11" s="207" t="s">
        <v>201</v>
      </c>
      <c r="C11" s="8">
        <v>2</v>
      </c>
      <c r="D11" s="9">
        <v>4.8000001907348633</v>
      </c>
      <c r="E11" s="9">
        <v>6.1700000762939453</v>
      </c>
      <c r="F11" s="9">
        <v>31.166669845581055</v>
      </c>
      <c r="G11" s="9">
        <v>0.66507792472839355</v>
      </c>
      <c r="H11" s="9">
        <v>0.19796790182590485</v>
      </c>
      <c r="I11">
        <v>0</v>
      </c>
      <c r="J11"/>
    </row>
    <row r="12" spans="1:10" ht="15" customHeight="1" x14ac:dyDescent="0.15">
      <c r="A12" s="208">
        <v>11</v>
      </c>
      <c r="B12" s="208" t="s">
        <v>202</v>
      </c>
      <c r="C12" s="8">
        <v>2.0979378223419189</v>
      </c>
      <c r="D12" s="9">
        <v>27.299999237060547</v>
      </c>
      <c r="E12" s="9">
        <v>1.9199999570846558</v>
      </c>
      <c r="F12" s="9">
        <v>11.100000381469727</v>
      </c>
      <c r="G12" s="9">
        <v>0.25043085217475891</v>
      </c>
      <c r="H12" s="9">
        <v>0.17297296226024628</v>
      </c>
      <c r="I12">
        <v>0</v>
      </c>
      <c r="J12"/>
    </row>
    <row r="13" spans="1:10" ht="15" customHeight="1" x14ac:dyDescent="0.15">
      <c r="A13" s="209">
        <v>12</v>
      </c>
      <c r="B13" s="209" t="s">
        <v>203</v>
      </c>
      <c r="C13" s="8">
        <v>3.2200815677642822</v>
      </c>
      <c r="D13" s="9">
        <v>0.92244851589202881</v>
      </c>
      <c r="E13" s="9">
        <v>1.9800000190734863</v>
      </c>
      <c r="F13" s="9">
        <v>10.992172241210938</v>
      </c>
      <c r="G13" s="9">
        <v>0.60731238126754761</v>
      </c>
      <c r="H13" s="9">
        <v>0.18012818694114685</v>
      </c>
      <c r="I13">
        <v>7.1712598204612732E-2</v>
      </c>
      <c r="J13"/>
    </row>
    <row r="14" spans="1:10" ht="15" customHeight="1" x14ac:dyDescent="0.15">
      <c r="A14" s="210">
        <v>13</v>
      </c>
      <c r="B14" s="210" t="s">
        <v>204</v>
      </c>
      <c r="C14" s="8">
        <v>3.2321193218231201</v>
      </c>
      <c r="D14" s="9">
        <v>4.2131614685058594</v>
      </c>
      <c r="E14" s="9">
        <v>0.60000002384185791</v>
      </c>
      <c r="F14" s="9">
        <v>4.7500004768371582</v>
      </c>
      <c r="G14" s="9">
        <v>0.76392513513565063</v>
      </c>
      <c r="H14" s="9">
        <v>0.12631578743457794</v>
      </c>
      <c r="I14">
        <v>0.8190000057220459</v>
      </c>
      <c r="J14"/>
    </row>
    <row r="15" spans="1:10" ht="15" customHeight="1" x14ac:dyDescent="0.15">
      <c r="A15" s="211">
        <v>14</v>
      </c>
      <c r="B15" s="211" t="s">
        <v>205</v>
      </c>
      <c r="C15" s="8">
        <v>3.3214786052703857</v>
      </c>
      <c r="D15" s="9">
        <v>3.9741361141204834</v>
      </c>
      <c r="E15" s="9">
        <v>1.9455000162124634</v>
      </c>
      <c r="F15" s="9">
        <v>4.8497567176818848</v>
      </c>
      <c r="G15" s="9">
        <v>0.2969728410243988</v>
      </c>
      <c r="H15" s="9">
        <v>0.40115416049957275</v>
      </c>
      <c r="I15">
        <v>0.52996593713760376</v>
      </c>
      <c r="J15"/>
    </row>
    <row r="16" spans="1:10" ht="15" customHeight="1" x14ac:dyDescent="0.15">
      <c r="A16" s="212">
        <v>15</v>
      </c>
      <c r="B16" s="212" t="s">
        <v>206</v>
      </c>
      <c r="C16" s="8">
        <v>3.3494539260864258</v>
      </c>
      <c r="D16" s="9">
        <v>5.6194205284118652</v>
      </c>
      <c r="E16" s="9">
        <v>0.41600000858306885</v>
      </c>
      <c r="F16" s="9">
        <v>2.0000007152557373</v>
      </c>
      <c r="G16" s="9">
        <v>0.66589450836181641</v>
      </c>
      <c r="H16" s="9">
        <v>0.20799992978572845</v>
      </c>
      <c r="I16">
        <v>1.0099999904632568</v>
      </c>
      <c r="J16"/>
    </row>
    <row r="17" spans="1:10" ht="15" customHeight="1" x14ac:dyDescent="0.15">
      <c r="A17" s="213">
        <v>16</v>
      </c>
      <c r="B17" s="213" t="s">
        <v>207</v>
      </c>
      <c r="C17" s="8">
        <v>3.2800002098083496</v>
      </c>
      <c r="D17" s="9">
        <v>1.6055622836574912E-3</v>
      </c>
      <c r="E17" s="9">
        <v>13</v>
      </c>
      <c r="F17" s="9">
        <v>74.707633972167969</v>
      </c>
      <c r="G17" s="9">
        <v>0.95880717039108276</v>
      </c>
      <c r="H17" s="9">
        <v>0.17401166260242462</v>
      </c>
      <c r="I17">
        <v>0</v>
      </c>
      <c r="J17"/>
    </row>
    <row r="18" spans="1:10" ht="15" customHeight="1" x14ac:dyDescent="0.15">
      <c r="A18" s="214">
        <v>17</v>
      </c>
      <c r="B18" s="214" t="s">
        <v>208</v>
      </c>
      <c r="C18" s="8">
        <v>3.3768570423126221</v>
      </c>
      <c r="D18" s="9">
        <v>0.27009376883506775</v>
      </c>
      <c r="E18" s="9">
        <v>0.89999997615814209</v>
      </c>
      <c r="F18" s="9">
        <v>11.205160140991211</v>
      </c>
      <c r="G18" s="9">
        <v>0.85763394832611084</v>
      </c>
      <c r="H18" s="9">
        <v>8.032013475894928E-2</v>
      </c>
      <c r="I18">
        <v>0</v>
      </c>
      <c r="J18"/>
    </row>
    <row r="19" spans="1:10" ht="15" customHeight="1" x14ac:dyDescent="0.15">
      <c r="A19" s="215">
        <v>18</v>
      </c>
      <c r="B19" s="215" t="s">
        <v>209</v>
      </c>
      <c r="C19" s="8">
        <v>3.8544762134552002</v>
      </c>
      <c r="D19" s="9">
        <v>1.0194989442825317</v>
      </c>
      <c r="E19" s="9">
        <v>0.62000000476837158</v>
      </c>
      <c r="F19" s="9">
        <v>5.3369226455688477</v>
      </c>
      <c r="G19" s="9">
        <v>0.43729472160339355</v>
      </c>
      <c r="H19" s="9">
        <v>0.11617181450128555</v>
      </c>
      <c r="I19">
        <v>0.20446299016475677</v>
      </c>
      <c r="J19"/>
    </row>
    <row r="20" spans="1:10" ht="15" customHeight="1" x14ac:dyDescent="0.15">
      <c r="A20" s="216">
        <v>19</v>
      </c>
      <c r="B20" s="216" t="s">
        <v>210</v>
      </c>
      <c r="C20" s="8">
        <v>4.0734505653381348</v>
      </c>
      <c r="D20" s="9">
        <v>0.49000036716461182</v>
      </c>
      <c r="E20" s="9">
        <v>0.92000001668930054</v>
      </c>
      <c r="F20" s="9">
        <v>3.499997615814209</v>
      </c>
      <c r="G20" s="9">
        <v>0.82872599363327026</v>
      </c>
      <c r="H20" s="9">
        <v>0.26285731792449951</v>
      </c>
      <c r="I20">
        <v>0.37299999594688416</v>
      </c>
      <c r="J20"/>
    </row>
    <row r="21" spans="1:10" ht="15" customHeight="1" x14ac:dyDescent="0.15">
      <c r="A21" s="217">
        <v>20</v>
      </c>
      <c r="B21" s="217" t="s">
        <v>211</v>
      </c>
      <c r="C21" s="8">
        <v>4.5848355293273926</v>
      </c>
      <c r="D21" s="9">
        <v>6.0000002849847078E-4</v>
      </c>
      <c r="E21" s="9">
        <v>0.10000000149011612</v>
      </c>
      <c r="F21" s="9">
        <v>12.770000457763672</v>
      </c>
      <c r="G21" s="7">
        <v>0</v>
      </c>
      <c r="H21" s="9">
        <v>7.8308535739779472E-3</v>
      </c>
      <c r="I21">
        <v>0</v>
      </c>
      <c r="J21"/>
    </row>
    <row r="22" spans="1:10" ht="15" customHeight="1" x14ac:dyDescent="0.15">
      <c r="A22" s="218">
        <v>21</v>
      </c>
      <c r="B22" s="218" t="s">
        <v>212</v>
      </c>
      <c r="C22" s="8">
        <v>1</v>
      </c>
      <c r="D22" s="9">
        <v>3255.81005859375</v>
      </c>
      <c r="E22" s="9">
        <v>0.93086051940917969</v>
      </c>
      <c r="F22" s="9">
        <v>0.72049999237060547</v>
      </c>
      <c r="G22" s="9">
        <v>0.65375840663909912</v>
      </c>
      <c r="H22" s="10"/>
      <c r="I22">
        <v>0</v>
      </c>
      <c r="J22"/>
    </row>
    <row r="23" spans="1:10" ht="15" customHeight="1" x14ac:dyDescent="0.15">
      <c r="A23" s="219">
        <v>22</v>
      </c>
      <c r="B23" s="219" t="s">
        <v>213</v>
      </c>
      <c r="C23" s="8">
        <v>1</v>
      </c>
      <c r="D23" s="9">
        <v>4651.169921875</v>
      </c>
      <c r="E23" s="10"/>
      <c r="F23" s="10"/>
      <c r="G23" s="7">
        <v>0.50967580080032349</v>
      </c>
      <c r="H23" s="10"/>
      <c r="I23">
        <v>0</v>
      </c>
      <c r="J23"/>
    </row>
    <row r="24" spans="1:10" ht="15" customHeight="1" x14ac:dyDescent="0.15">
      <c r="A24" s="220">
        <v>23</v>
      </c>
      <c r="B24" s="220" t="s">
        <v>214</v>
      </c>
      <c r="C24" s="8">
        <v>1</v>
      </c>
      <c r="D24" s="9">
        <v>5</v>
      </c>
      <c r="E24" s="10"/>
      <c r="F24" s="10"/>
      <c r="G24" s="7">
        <v>0</v>
      </c>
      <c r="H24" s="10"/>
      <c r="I24">
        <v>0</v>
      </c>
      <c r="J24"/>
    </row>
    <row r="25" spans="1:10" ht="15" customHeight="1" x14ac:dyDescent="0.15">
      <c r="A25" s="221">
        <v>24</v>
      </c>
      <c r="B25" s="221" t="s">
        <v>215</v>
      </c>
      <c r="C25" s="8">
        <v>4.9959182739257812</v>
      </c>
      <c r="D25" s="10"/>
      <c r="E25" s="10"/>
      <c r="F25" s="10"/>
      <c r="G25" s="10"/>
      <c r="H25" s="10"/>
      <c r="I25">
        <v>0.57746297121047974</v>
      </c>
      <c r="J25"/>
    </row>
    <row r="26" spans="1:10" ht="15" customHeight="1" x14ac:dyDescent="0.15">
      <c r="A26" s="222">
        <v>25</v>
      </c>
      <c r="B26" s="222" t="s">
        <v>216</v>
      </c>
      <c r="C26" s="8">
        <v>4.3398265838623047</v>
      </c>
      <c r="D26" s="10"/>
      <c r="E26" s="10"/>
      <c r="F26" s="10"/>
      <c r="G26" s="10"/>
      <c r="H26" s="10"/>
      <c r="I26">
        <v>1.5399658679962158</v>
      </c>
      <c r="J26"/>
    </row>
    <row r="27" spans="1:10" ht="15" customHeight="1" x14ac:dyDescent="0.15">
      <c r="A27" s="223">
        <v>26</v>
      </c>
      <c r="B27" s="223" t="s">
        <v>217</v>
      </c>
      <c r="C27" s="8">
        <v>4.2311496734619141</v>
      </c>
      <c r="D27" s="10"/>
      <c r="E27" s="10"/>
      <c r="F27" s="10"/>
      <c r="G27" s="10"/>
      <c r="H27" s="10"/>
      <c r="I27">
        <v>0.89071261882781982</v>
      </c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3" bestFit="1" customWidth="1"/>
    <col min="2" max="4" width="9.5" style="73" bestFit="1" customWidth="1"/>
    <col min="5" max="7" width="9" style="73" bestFit="1" customWidth="1"/>
    <col min="8" max="16" width="12.6640625" style="73" bestFit="1" customWidth="1"/>
    <col min="17" max="17" width="12.33203125" style="73" bestFit="1" customWidth="1"/>
    <col min="18" max="18" width="8.83203125" style="73"/>
    <col min="19" max="21" width="9.33203125" style="73" bestFit="1" customWidth="1"/>
    <col min="22" max="23" width="8.83203125" style="73"/>
    <col min="24" max="24" width="9.33203125" style="73" bestFit="1" customWidth="1"/>
    <col min="25" max="27" width="8.83203125" style="73"/>
    <col min="28" max="58" width="9" style="73" bestFit="1" customWidth="1"/>
    <col min="59" max="59" width="12.33203125" style="73" bestFit="1" customWidth="1"/>
    <col min="60" max="60" width="9" style="73" bestFit="1" customWidth="1"/>
    <col min="61" max="61" width="11.33203125" style="73" bestFit="1" customWidth="1"/>
    <col min="62" max="77" width="9" style="73" bestFit="1" customWidth="1"/>
    <col min="78" max="78" width="12.33203125" style="73" bestFit="1" customWidth="1"/>
    <col min="79" max="79" width="9" style="73" bestFit="1" customWidth="1"/>
    <col min="80" max="80" width="12.33203125" style="73" bestFit="1" customWidth="1"/>
    <col min="81" max="107" width="9" style="73" bestFit="1" customWidth="1"/>
    <col min="108" max="108" width="11.33203125" style="73" bestFit="1" customWidth="1"/>
    <col min="109" max="124" width="9" style="73" bestFit="1" customWidth="1"/>
    <col min="125" max="125" width="10.33203125" style="73" bestFit="1" customWidth="1"/>
    <col min="126" max="129" width="9.33203125" style="73" bestFit="1" customWidth="1"/>
    <col min="130" max="130" width="9" style="73" bestFit="1" customWidth="1"/>
    <col min="131" max="134" width="9.33203125" style="73" bestFit="1" customWidth="1"/>
    <col min="135" max="165" width="9" style="73" bestFit="1" customWidth="1"/>
    <col min="166" max="166" width="12.33203125" style="73" bestFit="1" customWidth="1"/>
    <col min="167" max="170" width="9" style="73" bestFit="1" customWidth="1"/>
    <col min="171" max="176" width="8.83203125" style="73"/>
    <col min="177" max="177" width="13.83203125" style="73" bestFit="1" customWidth="1"/>
    <col min="178" max="16384" width="8.83203125" style="7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222</v>
      </c>
      <c r="E1" t="s">
        <v>223</v>
      </c>
      <c r="F1" t="s">
        <v>224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 t="s">
        <v>206</v>
      </c>
      <c r="V1" t="s">
        <v>207</v>
      </c>
      <c r="W1" t="s">
        <v>208</v>
      </c>
      <c r="X1" t="s">
        <v>209</v>
      </c>
      <c r="Y1" t="s">
        <v>210</v>
      </c>
      <c r="Z1" t="s">
        <v>211</v>
      </c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160</v>
      </c>
      <c r="C2">
        <v>148.15690612792969</v>
      </c>
      <c r="D2"/>
      <c r="E2"/>
      <c r="F2"/>
      <c r="G2"/>
      <c r="H2"/>
      <c r="I2"/>
      <c r="J2" s="14">
        <v>0.25073528289794922</v>
      </c>
      <c r="K2" s="16">
        <v>2.319117546081543</v>
      </c>
      <c r="L2" s="15">
        <v>1.6477940082550049</v>
      </c>
      <c r="M2" s="17">
        <v>1.7430881261825562</v>
      </c>
      <c r="N2" s="13">
        <v>5.8823528289794922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117</v>
      </c>
      <c r="C3">
        <v>56.654014587402344</v>
      </c>
      <c r="D3"/>
      <c r="E3"/>
      <c r="F3"/>
      <c r="G3"/>
      <c r="H3"/>
      <c r="I3"/>
      <c r="J3" s="128">
        <v>15.223214149475098</v>
      </c>
      <c r="K3" s="190">
        <v>16.333213806152344</v>
      </c>
      <c r="L3" s="13">
        <v>4.4019646644592285</v>
      </c>
      <c r="M3" s="186">
        <v>8.4664287567138672</v>
      </c>
      <c r="N3" s="189">
        <v>14.285714149475098</v>
      </c>
      <c r="O3" s="16">
        <v>1.6354432106018066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135</v>
      </c>
      <c r="C4">
        <v>1.048499584197998</v>
      </c>
      <c r="D4"/>
      <c r="E4"/>
      <c r="F4"/>
      <c r="G4"/>
      <c r="H4"/>
      <c r="I4"/>
      <c r="J4" s="193">
        <v>75.777778625488281</v>
      </c>
      <c r="K4" s="98">
        <v>9.1115550994873047</v>
      </c>
      <c r="L4" s="187">
        <v>7.2209997177124023</v>
      </c>
      <c r="M4" s="165">
        <v>5.2679996490478516</v>
      </c>
      <c r="N4" s="192">
        <v>35.555557250976562</v>
      </c>
      <c r="O4" s="21">
        <v>1.0176091194152832</v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110</v>
      </c>
      <c r="C5">
        <v>55.319675445556641</v>
      </c>
      <c r="D5"/>
      <c r="E5"/>
      <c r="F5"/>
      <c r="G5"/>
      <c r="H5"/>
      <c r="I5"/>
      <c r="J5"/>
      <c r="K5" s="62">
        <v>10.1741943359375</v>
      </c>
      <c r="L5" s="98">
        <v>7.2290325164794922</v>
      </c>
      <c r="M5" s="188">
        <v>11.470645904541016</v>
      </c>
      <c r="N5" s="191">
        <v>25.806451797485352</v>
      </c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26</v>
      </c>
      <c r="C6">
        <v>13.973609924316406</v>
      </c>
      <c r="D6"/>
      <c r="E6"/>
      <c r="F6"/>
      <c r="G6"/>
      <c r="H6"/>
      <c r="I6"/>
      <c r="J6"/>
      <c r="K6"/>
      <c r="L6"/>
      <c r="M6"/>
      <c r="N6"/>
      <c r="O6" s="97">
        <v>3.2135021686553955</v>
      </c>
      <c r="P6"/>
      <c r="Q6"/>
      <c r="R6" s="163">
        <v>1.7604038715362549</v>
      </c>
      <c r="S6" s="184">
        <v>3.7181150913238525</v>
      </c>
      <c r="T6" s="62">
        <v>2.3875422477722168</v>
      </c>
      <c r="U6" s="25">
        <v>0.94051384925842285</v>
      </c>
      <c r="V6" s="11">
        <v>6.3130403868854046E-3</v>
      </c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25</v>
      </c>
      <c r="C7">
        <v>16.129074096679688</v>
      </c>
      <c r="D7"/>
      <c r="E7"/>
      <c r="F7"/>
      <c r="G7"/>
      <c r="H7"/>
      <c r="I7"/>
      <c r="J7"/>
      <c r="K7"/>
      <c r="L7"/>
      <c r="M7"/>
      <c r="N7"/>
      <c r="O7" s="179">
        <v>2.2613534927368164</v>
      </c>
      <c r="P7"/>
      <c r="Q7"/>
      <c r="R7" s="179">
        <v>2.252368688583374</v>
      </c>
      <c r="S7" s="178">
        <v>2.0457241535186768</v>
      </c>
      <c r="T7" s="66">
        <v>1.9446172714233398</v>
      </c>
      <c r="U7" s="16">
        <v>0.35797801613807678</v>
      </c>
      <c r="V7" s="11">
        <v>8.8850194588303566E-3</v>
      </c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8</v>
      </c>
      <c r="C8">
        <v>3.9487447738647461</v>
      </c>
      <c r="D8"/>
      <c r="E8"/>
      <c r="F8"/>
      <c r="G8"/>
      <c r="H8"/>
      <c r="I8"/>
      <c r="J8"/>
      <c r="K8"/>
      <c r="L8"/>
      <c r="M8"/>
      <c r="N8"/>
      <c r="O8" s="19">
        <v>0.34770241379737854</v>
      </c>
      <c r="P8"/>
      <c r="Q8"/>
      <c r="R8" s="177">
        <v>0.45991417765617371</v>
      </c>
      <c r="S8" s="183">
        <v>1.3995088338851929</v>
      </c>
      <c r="T8" s="180">
        <v>0.91087502241134644</v>
      </c>
      <c r="U8" s="180">
        <v>0.91139614582061768</v>
      </c>
      <c r="V8" s="14">
        <v>2.1858362480998039E-2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30</v>
      </c>
      <c r="C9">
        <v>27.702545166015625</v>
      </c>
      <c r="D9"/>
      <c r="E9"/>
      <c r="F9"/>
      <c r="G9"/>
      <c r="H9"/>
      <c r="I9"/>
      <c r="J9"/>
      <c r="K9"/>
      <c r="L9"/>
      <c r="M9"/>
      <c r="N9"/>
      <c r="O9" s="17">
        <v>0.38160338997840881</v>
      </c>
      <c r="P9"/>
      <c r="Q9"/>
      <c r="R9" s="16">
        <v>0.43253925442695618</v>
      </c>
      <c r="S9" s="181">
        <v>1.0006258487701416</v>
      </c>
      <c r="T9" s="17">
        <v>0.35062894225120544</v>
      </c>
      <c r="U9" s="12">
        <v>0.13205642998218536</v>
      </c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7.3000001907348633</v>
      </c>
      <c r="C10">
        <v>1.8248316049575806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 s="11">
        <v>2.4900671560317278E-3</v>
      </c>
      <c r="S10" s="14">
        <v>9.8331086337566376E-3</v>
      </c>
      <c r="T10" s="182">
        <v>2.6232008934020996</v>
      </c>
      <c r="U10" s="132">
        <v>1.8664976358413696</v>
      </c>
      <c r="V10"/>
      <c r="W10" s="175">
        <v>0.54133141040802002</v>
      </c>
      <c r="X10" s="60">
        <v>0.40434005856513977</v>
      </c>
      <c r="Y10" s="12">
        <v>2.7475509792566299E-2</v>
      </c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6.1700000762939453</v>
      </c>
      <c r="C11">
        <v>2.0664691925048828</v>
      </c>
      <c r="D11"/>
      <c r="E11"/>
      <c r="F11"/>
      <c r="G11"/>
      <c r="H11"/>
      <c r="I11"/>
      <c r="J11"/>
      <c r="K11"/>
      <c r="L11"/>
      <c r="M11"/>
      <c r="N11"/>
      <c r="O11"/>
      <c r="P11"/>
      <c r="Q11" s="185">
        <v>4.1035308837890625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1.9199999570846558</v>
      </c>
      <c r="C12">
        <v>1.4391727447509766</v>
      </c>
      <c r="D12"/>
      <c r="E12"/>
      <c r="F12"/>
      <c r="G12"/>
      <c r="H12"/>
      <c r="I12"/>
      <c r="J12"/>
      <c r="K12"/>
      <c r="L12"/>
      <c r="M12"/>
      <c r="N12"/>
      <c r="O12"/>
      <c r="P12"/>
      <c r="Q12" s="99">
        <v>0.33300000429153442</v>
      </c>
      <c r="R12"/>
      <c r="S12"/>
      <c r="T12" s="12">
        <v>5.6479396298527718E-3</v>
      </c>
      <c r="U12" s="15">
        <v>1.9348928704857826E-2</v>
      </c>
      <c r="V12"/>
      <c r="W12" s="24">
        <v>5.9417147189378738E-2</v>
      </c>
      <c r="X12" s="23">
        <v>5.284138023853302E-2</v>
      </c>
      <c r="Y12" s="22">
        <v>1.0571815073490143E-2</v>
      </c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1.9800000190734863</v>
      </c>
      <c r="C13">
        <v>0.77752149105072021</v>
      </c>
      <c r="D13"/>
      <c r="E13"/>
      <c r="F13" s="165">
        <v>7.7741570770740509E-2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 s="18">
        <v>3.6551132798194885E-2</v>
      </c>
      <c r="V13"/>
      <c r="W13" s="16">
        <v>2.6245661079883575E-2</v>
      </c>
      <c r="X13" s="174">
        <v>0.88913798332214355</v>
      </c>
      <c r="Y13" s="169">
        <v>0.17280223965644836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0.60000002384185791</v>
      </c>
      <c r="C14">
        <v>0.1416449248790741</v>
      </c>
      <c r="D14"/>
      <c r="E14"/>
      <c r="F14" s="161">
        <v>0.19439084827899933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 s="168">
        <v>2.6576833799481392E-2</v>
      </c>
      <c r="X14" s="173">
        <v>0.17589595913887024</v>
      </c>
      <c r="Y14" s="172">
        <v>6.1415098607540131E-2</v>
      </c>
      <c r="Z14" s="11">
        <v>7.6380652899388224E-5</v>
      </c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1.9455000162124634</v>
      </c>
      <c r="C15">
        <v>1.3677393198013306</v>
      </c>
      <c r="D15"/>
      <c r="E15" s="163">
        <v>0.13335373997688293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 s="20">
        <v>3.7313241511583328E-2</v>
      </c>
      <c r="X15" s="176">
        <v>0.2918422520160675</v>
      </c>
      <c r="Y15" s="61">
        <v>0.11524758487939835</v>
      </c>
      <c r="Z15" s="11">
        <v>3.8559328459086828E-6</v>
      </c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0.41600000858306885</v>
      </c>
      <c r="C16">
        <v>0.13898788392543793</v>
      </c>
      <c r="D16"/>
      <c r="E16" s="164">
        <v>0.17973382771015167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 s="21">
        <v>3.2312409020960331E-3</v>
      </c>
      <c r="X16" s="129">
        <v>4.9865860491991043E-2</v>
      </c>
      <c r="Y16" s="171">
        <v>4.3785784393548965E-2</v>
      </c>
      <c r="Z16" s="11">
        <v>3.954108979087323E-4</v>
      </c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13</v>
      </c>
      <c r="C17">
        <v>0.53550678491592407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 s="166">
        <v>12.464492797851562</v>
      </c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0.89999997615814209</v>
      </c>
      <c r="C18">
        <v>0.12812943756580353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 s="170">
        <v>0.64495044946670532</v>
      </c>
      <c r="Y18" s="68">
        <v>0.12660807371139526</v>
      </c>
      <c r="Z18" s="11">
        <v>3.1204722472466528E-4</v>
      </c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0.62000000476837158</v>
      </c>
      <c r="C19">
        <v>0.34887728095054626</v>
      </c>
      <c r="D19" s="161">
        <v>0.20055243372917175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167">
        <v>6.9225043058395386E-2</v>
      </c>
      <c r="Z19" s="14">
        <v>1.3452668208628893E-3</v>
      </c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0.92000001668930054</v>
      </c>
      <c r="C20">
        <v>0.15757209062576294</v>
      </c>
      <c r="D20" s="162">
        <v>0.76122391223907471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 s="14">
        <v>1.2040277943015099E-3</v>
      </c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0.10000000149011612</v>
      </c>
      <c r="C21">
        <v>0.10000000149011612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0.65375840663909912</v>
      </c>
      <c r="D22"/>
      <c r="E22"/>
      <c r="F22"/>
      <c r="G22"/>
      <c r="H22"/>
      <c r="I22"/>
      <c r="J22" s="160">
        <v>468.02252197265625</v>
      </c>
      <c r="K22" s="160">
        <v>31.540000915527344</v>
      </c>
      <c r="L22" s="160">
        <v>39.217498779296875</v>
      </c>
      <c r="M22" s="160">
        <v>29.632499694824219</v>
      </c>
      <c r="N22" s="160">
        <v>100</v>
      </c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/>
      <c r="C23">
        <v>0.50967580080032349</v>
      </c>
      <c r="D23"/>
      <c r="E23"/>
      <c r="F23"/>
      <c r="G23"/>
      <c r="H23"/>
      <c r="I23"/>
      <c r="J23"/>
      <c r="K23"/>
      <c r="L23"/>
      <c r="M23"/>
      <c r="N23"/>
      <c r="O23" s="9">
        <v>6.105654239654541</v>
      </c>
      <c r="P23" s="9">
        <v>149.60002136230469</v>
      </c>
      <c r="Q23" s="9">
        <v>274.24215698242188</v>
      </c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/>
      <c r="C24">
        <v>0</v>
      </c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abSelected="1" workbookViewId="0">
      <selection activeCell="D35" sqref="D3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5.5" bestFit="1" customWidth="1"/>
    <col min="5" max="5" width="3.33203125" bestFit="1" customWidth="1"/>
    <col min="6" max="6" width="5.83203125" bestFit="1" customWidth="1"/>
    <col min="7" max="7" width="3.33203125" bestFit="1" customWidth="1"/>
    <col min="8" max="8" width="25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0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8" t="s">
        <v>166</v>
      </c>
    </row>
    <row r="2" spans="1:12" x14ac:dyDescent="0.15">
      <c r="A2" s="1" t="s">
        <v>37</v>
      </c>
      <c r="B2" s="35">
        <v>3</v>
      </c>
      <c r="C2" s="33"/>
      <c r="D2" t="s">
        <v>38</v>
      </c>
      <c r="E2">
        <v>1</v>
      </c>
      <c r="F2">
        <v>1</v>
      </c>
      <c r="G2">
        <v>1</v>
      </c>
      <c r="H2" t="s">
        <v>38</v>
      </c>
      <c r="J2" s="51"/>
      <c r="K2" s="52"/>
      <c r="L2" s="58" t="s">
        <v>167</v>
      </c>
    </row>
    <row r="3" spans="1:12" ht="14" thickBot="1" x14ac:dyDescent="0.2">
      <c r="A3" s="1" t="s">
        <v>39</v>
      </c>
      <c r="B3" s="36">
        <v>0</v>
      </c>
      <c r="C3" s="33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3"/>
      <c r="K3" s="54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3"/>
      <c r="K4" s="54"/>
    </row>
    <row r="5" spans="1:12" x14ac:dyDescent="0.15">
      <c r="D5" s="152" t="s">
        <v>192</v>
      </c>
      <c r="E5">
        <v>4</v>
      </c>
      <c r="F5">
        <v>2.1</v>
      </c>
      <c r="G5">
        <v>4</v>
      </c>
      <c r="H5" s="153" t="s">
        <v>192</v>
      </c>
      <c r="J5" s="53"/>
      <c r="K5" s="54"/>
    </row>
    <row r="6" spans="1:12" ht="14" thickBot="1" x14ac:dyDescent="0.2">
      <c r="A6" s="37" t="s">
        <v>121</v>
      </c>
      <c r="D6" s="152" t="s">
        <v>193</v>
      </c>
      <c r="E6">
        <v>5</v>
      </c>
      <c r="F6">
        <v>2.1</v>
      </c>
      <c r="G6">
        <v>5</v>
      </c>
      <c r="H6" s="153" t="s">
        <v>193</v>
      </c>
      <c r="J6" s="53"/>
      <c r="K6" s="54"/>
    </row>
    <row r="7" spans="1:12" x14ac:dyDescent="0.15">
      <c r="A7" s="32" t="s">
        <v>126</v>
      </c>
      <c r="B7" s="39">
        <v>1</v>
      </c>
      <c r="C7" s="34"/>
      <c r="D7" s="152" t="s">
        <v>194</v>
      </c>
      <c r="E7">
        <v>6</v>
      </c>
      <c r="F7">
        <v>2.1</v>
      </c>
      <c r="G7">
        <v>6</v>
      </c>
      <c r="H7" s="153" t="s">
        <v>194</v>
      </c>
      <c r="J7" s="53"/>
      <c r="K7" s="54"/>
    </row>
    <row r="8" spans="1:12" x14ac:dyDescent="0.15">
      <c r="A8" s="32" t="s">
        <v>38</v>
      </c>
      <c r="B8" s="40">
        <v>1</v>
      </c>
      <c r="C8" s="34"/>
      <c r="D8" s="152" t="s">
        <v>195</v>
      </c>
      <c r="E8">
        <v>7</v>
      </c>
      <c r="F8">
        <v>3.1110000000000002</v>
      </c>
      <c r="G8">
        <v>7</v>
      </c>
      <c r="H8" s="153" t="s">
        <v>195</v>
      </c>
      <c r="J8" s="53"/>
      <c r="K8" s="54"/>
    </row>
    <row r="9" spans="1:12" x14ac:dyDescent="0.15">
      <c r="A9" s="32" t="s">
        <v>40</v>
      </c>
      <c r="B9" s="40">
        <v>1.1000000000000001</v>
      </c>
      <c r="C9" s="34"/>
      <c r="D9" s="152" t="s">
        <v>196</v>
      </c>
      <c r="E9">
        <v>8</v>
      </c>
      <c r="F9">
        <v>3.11</v>
      </c>
      <c r="G9">
        <v>8</v>
      </c>
      <c r="H9" s="153" t="s">
        <v>196</v>
      </c>
      <c r="J9" s="53"/>
      <c r="K9" s="54"/>
    </row>
    <row r="10" spans="1:12" x14ac:dyDescent="0.15">
      <c r="A10" s="32" t="s">
        <v>41</v>
      </c>
      <c r="B10" s="40">
        <v>1.2</v>
      </c>
      <c r="C10" s="34"/>
      <c r="D10" s="152" t="s">
        <v>197</v>
      </c>
      <c r="E10">
        <v>9</v>
      </c>
      <c r="F10">
        <v>3.11</v>
      </c>
      <c r="G10">
        <v>9</v>
      </c>
      <c r="H10" s="153" t="s">
        <v>197</v>
      </c>
      <c r="J10" s="53"/>
      <c r="K10" s="54"/>
    </row>
    <row r="11" spans="1:12" ht="12" customHeight="1" x14ac:dyDescent="0.15">
      <c r="A11" s="38" t="s">
        <v>127</v>
      </c>
      <c r="B11" s="40">
        <v>2</v>
      </c>
      <c r="C11" s="34"/>
      <c r="D11" s="152" t="s">
        <v>198</v>
      </c>
      <c r="E11">
        <v>10</v>
      </c>
      <c r="F11">
        <v>3.11</v>
      </c>
      <c r="G11">
        <v>10</v>
      </c>
      <c r="H11" s="153" t="s">
        <v>198</v>
      </c>
      <c r="J11" s="53"/>
      <c r="K11" s="54"/>
    </row>
    <row r="12" spans="1:12" x14ac:dyDescent="0.15">
      <c r="A12" s="32" t="s">
        <v>42</v>
      </c>
      <c r="B12" s="40">
        <v>2.1</v>
      </c>
      <c r="C12" s="34"/>
      <c r="D12" s="152" t="s">
        <v>199</v>
      </c>
      <c r="E12">
        <v>11</v>
      </c>
      <c r="F12">
        <v>3.11</v>
      </c>
      <c r="G12">
        <v>11</v>
      </c>
      <c r="H12" s="153" t="s">
        <v>199</v>
      </c>
      <c r="J12" s="53"/>
      <c r="K12" s="54"/>
    </row>
    <row r="13" spans="1:12" x14ac:dyDescent="0.15">
      <c r="A13" s="32" t="s">
        <v>43</v>
      </c>
      <c r="B13" s="40">
        <v>2.2000000000000002</v>
      </c>
      <c r="C13" s="34"/>
      <c r="D13" s="152" t="s">
        <v>200</v>
      </c>
      <c r="E13">
        <v>12</v>
      </c>
      <c r="F13">
        <v>3.21</v>
      </c>
      <c r="G13">
        <v>12</v>
      </c>
      <c r="H13" s="153" t="s">
        <v>200</v>
      </c>
      <c r="J13" s="53"/>
      <c r="K13" s="54"/>
    </row>
    <row r="14" spans="1:12" x14ac:dyDescent="0.15">
      <c r="A14" s="32" t="s">
        <v>67</v>
      </c>
      <c r="B14" s="40">
        <v>2.2999999999999998</v>
      </c>
      <c r="C14" s="34"/>
      <c r="D14" s="152" t="s">
        <v>201</v>
      </c>
      <c r="E14">
        <v>13</v>
      </c>
      <c r="F14">
        <v>3.21</v>
      </c>
      <c r="G14">
        <v>13</v>
      </c>
      <c r="H14" s="153" t="s">
        <v>201</v>
      </c>
      <c r="J14" s="53"/>
      <c r="K14" s="54"/>
    </row>
    <row r="15" spans="1:12" x14ac:dyDescent="0.15">
      <c r="A15" s="38" t="s">
        <v>128</v>
      </c>
      <c r="B15" s="40">
        <v>3</v>
      </c>
      <c r="C15" s="34"/>
      <c r="D15" s="152" t="s">
        <v>202</v>
      </c>
      <c r="E15">
        <v>14</v>
      </c>
      <c r="F15">
        <v>3.21</v>
      </c>
      <c r="G15">
        <v>14</v>
      </c>
      <c r="H15" s="153" t="s">
        <v>202</v>
      </c>
      <c r="J15" s="53"/>
      <c r="K15" s="54"/>
    </row>
    <row r="16" spans="1:12" x14ac:dyDescent="0.15">
      <c r="A16" s="32" t="s">
        <v>62</v>
      </c>
      <c r="B16" s="40">
        <v>3.11</v>
      </c>
      <c r="C16" s="34"/>
      <c r="D16" s="152" t="s">
        <v>203</v>
      </c>
      <c r="E16">
        <v>15</v>
      </c>
      <c r="F16">
        <v>3.14</v>
      </c>
      <c r="G16">
        <v>15</v>
      </c>
      <c r="H16" s="153" t="s">
        <v>203</v>
      </c>
      <c r="J16" s="53"/>
      <c r="K16" s="54"/>
    </row>
    <row r="17" spans="1:12" x14ac:dyDescent="0.15">
      <c r="A17" s="32" t="s">
        <v>61</v>
      </c>
      <c r="B17" s="40">
        <v>3.12</v>
      </c>
      <c r="C17" s="34"/>
      <c r="D17" s="152" t="s">
        <v>204</v>
      </c>
      <c r="E17">
        <v>16</v>
      </c>
      <c r="F17">
        <v>3.14</v>
      </c>
      <c r="G17">
        <v>16</v>
      </c>
      <c r="H17" s="153" t="s">
        <v>204</v>
      </c>
      <c r="J17" s="53"/>
      <c r="K17" s="54"/>
    </row>
    <row r="18" spans="1:12" x14ac:dyDescent="0.15">
      <c r="A18" s="32" t="s">
        <v>68</v>
      </c>
      <c r="B18" s="40">
        <v>3.13</v>
      </c>
      <c r="C18" s="34"/>
      <c r="D18" s="152" t="s">
        <v>205</v>
      </c>
      <c r="E18">
        <v>17</v>
      </c>
      <c r="F18">
        <v>3.14</v>
      </c>
      <c r="G18">
        <v>17</v>
      </c>
      <c r="H18" s="153" t="s">
        <v>205</v>
      </c>
      <c r="J18" s="53"/>
      <c r="K18" s="54"/>
    </row>
    <row r="19" spans="1:12" x14ac:dyDescent="0.15">
      <c r="A19" s="32" t="s">
        <v>66</v>
      </c>
      <c r="B19" s="40">
        <v>3.21</v>
      </c>
      <c r="C19" s="34"/>
      <c r="D19" s="152" t="s">
        <v>206</v>
      </c>
      <c r="E19">
        <v>18</v>
      </c>
      <c r="F19">
        <v>3.14</v>
      </c>
      <c r="G19">
        <v>18</v>
      </c>
      <c r="H19" s="153" t="s">
        <v>206</v>
      </c>
      <c r="J19" s="53"/>
      <c r="K19" s="54"/>
    </row>
    <row r="20" spans="1:12" x14ac:dyDescent="0.15">
      <c r="A20" s="32" t="s">
        <v>63</v>
      </c>
      <c r="B20" s="40">
        <v>3.22</v>
      </c>
      <c r="C20" s="34"/>
      <c r="D20" s="152" t="s">
        <v>207</v>
      </c>
      <c r="E20">
        <v>19</v>
      </c>
      <c r="F20">
        <v>3.11</v>
      </c>
      <c r="G20">
        <v>19</v>
      </c>
      <c r="H20" s="153" t="s">
        <v>207</v>
      </c>
      <c r="J20" s="53"/>
      <c r="K20" s="54"/>
    </row>
    <row r="21" spans="1:12" ht="14" thickBot="1" x14ac:dyDescent="0.2">
      <c r="A21" s="32" t="s">
        <v>69</v>
      </c>
      <c r="B21" s="40">
        <v>3.23</v>
      </c>
      <c r="C21" s="34"/>
      <c r="D21" s="152" t="s">
        <v>208</v>
      </c>
      <c r="E21">
        <v>20</v>
      </c>
      <c r="F21">
        <v>3.24</v>
      </c>
      <c r="G21">
        <v>20</v>
      </c>
      <c r="H21" s="153" t="s">
        <v>208</v>
      </c>
      <c r="J21" s="55"/>
      <c r="K21" s="56"/>
      <c r="L21" s="58" t="s">
        <v>152</v>
      </c>
    </row>
    <row r="22" spans="1:12" x14ac:dyDescent="0.15">
      <c r="A22" s="32" t="s">
        <v>64</v>
      </c>
      <c r="B22" s="40">
        <v>8</v>
      </c>
      <c r="C22" s="34"/>
      <c r="D22" s="152" t="s">
        <v>209</v>
      </c>
      <c r="E22">
        <v>21</v>
      </c>
      <c r="F22">
        <v>3.24</v>
      </c>
      <c r="G22">
        <v>21</v>
      </c>
      <c r="H22" s="153" t="s">
        <v>209</v>
      </c>
    </row>
    <row r="23" spans="1:12" x14ac:dyDescent="0.15">
      <c r="A23" s="32" t="s">
        <v>129</v>
      </c>
      <c r="B23" s="40">
        <v>4</v>
      </c>
      <c r="C23" s="34"/>
      <c r="D23" s="152" t="s">
        <v>210</v>
      </c>
      <c r="E23">
        <v>22</v>
      </c>
      <c r="F23">
        <v>3.24</v>
      </c>
      <c r="G23">
        <v>22</v>
      </c>
      <c r="H23" s="153" t="s">
        <v>210</v>
      </c>
    </row>
    <row r="24" spans="1:12" x14ac:dyDescent="0.15">
      <c r="A24" s="32" t="s">
        <v>122</v>
      </c>
      <c r="B24" s="40">
        <v>4.0999999999999996</v>
      </c>
      <c r="C24" s="34"/>
      <c r="D24" s="152" t="s">
        <v>211</v>
      </c>
      <c r="E24">
        <v>23</v>
      </c>
      <c r="F24">
        <v>3.16</v>
      </c>
      <c r="G24">
        <v>23</v>
      </c>
      <c r="H24" s="153" t="s">
        <v>211</v>
      </c>
    </row>
    <row r="25" spans="1:12" x14ac:dyDescent="0.15">
      <c r="A25" s="32" t="s">
        <v>70</v>
      </c>
      <c r="B25" s="40">
        <v>4.2</v>
      </c>
      <c r="C25" s="34"/>
      <c r="D25" s="152" t="s">
        <v>212</v>
      </c>
      <c r="E25">
        <v>24</v>
      </c>
      <c r="F25">
        <v>4.0999999999999996</v>
      </c>
      <c r="G25">
        <v>24</v>
      </c>
      <c r="H25" s="153" t="s">
        <v>212</v>
      </c>
    </row>
    <row r="26" spans="1:12" x14ac:dyDescent="0.15">
      <c r="A26" s="32" t="s">
        <v>123</v>
      </c>
      <c r="B26" s="40">
        <v>4.3</v>
      </c>
      <c r="C26" s="34"/>
      <c r="D26" s="152" t="s">
        <v>213</v>
      </c>
      <c r="E26">
        <v>25</v>
      </c>
      <c r="F26">
        <v>4.2</v>
      </c>
      <c r="G26">
        <v>25</v>
      </c>
      <c r="H26" s="153" t="s">
        <v>213</v>
      </c>
    </row>
    <row r="27" spans="1:12" x14ac:dyDescent="0.15">
      <c r="A27" s="32" t="s">
        <v>125</v>
      </c>
      <c r="B27" s="40">
        <v>6.1</v>
      </c>
      <c r="D27" s="152" t="s">
        <v>214</v>
      </c>
      <c r="E27">
        <v>26</v>
      </c>
      <c r="F27">
        <v>4.3</v>
      </c>
      <c r="G27">
        <v>26</v>
      </c>
      <c r="H27" s="153" t="s">
        <v>214</v>
      </c>
    </row>
    <row r="28" spans="1:12" x14ac:dyDescent="0.15">
      <c r="A28" s="32" t="s">
        <v>124</v>
      </c>
      <c r="B28" s="40">
        <v>6.2</v>
      </c>
      <c r="D28" s="152" t="s">
        <v>215</v>
      </c>
      <c r="E28">
        <v>27</v>
      </c>
      <c r="F28">
        <v>5</v>
      </c>
      <c r="G28">
        <v>27</v>
      </c>
      <c r="H28" s="153" t="s">
        <v>215</v>
      </c>
    </row>
    <row r="29" spans="1:12" x14ac:dyDescent="0.15">
      <c r="A29" s="32" t="s">
        <v>44</v>
      </c>
      <c r="B29" s="40">
        <v>5</v>
      </c>
      <c r="D29" s="152" t="s">
        <v>216</v>
      </c>
      <c r="E29">
        <v>28</v>
      </c>
      <c r="F29">
        <v>5</v>
      </c>
      <c r="G29">
        <v>28</v>
      </c>
      <c r="H29" s="153" t="s">
        <v>216</v>
      </c>
    </row>
    <row r="30" spans="1:12" x14ac:dyDescent="0.15">
      <c r="A30" s="32" t="s">
        <v>73</v>
      </c>
      <c r="B30" s="40">
        <v>7</v>
      </c>
      <c r="D30" s="152" t="s">
        <v>217</v>
      </c>
      <c r="E30">
        <v>29</v>
      </c>
      <c r="F30">
        <v>5</v>
      </c>
      <c r="G30">
        <v>29</v>
      </c>
      <c r="H30" s="153" t="s">
        <v>217</v>
      </c>
    </row>
    <row r="31" spans="1:12" x14ac:dyDescent="0.15">
      <c r="A31" s="32" t="s">
        <v>169</v>
      </c>
      <c r="B31" s="40">
        <v>3.14</v>
      </c>
      <c r="D31" s="152" t="s">
        <v>138</v>
      </c>
      <c r="E31">
        <v>30</v>
      </c>
      <c r="F31">
        <v>6.1</v>
      </c>
      <c r="G31">
        <v>30</v>
      </c>
      <c r="H31" s="153" t="s">
        <v>138</v>
      </c>
    </row>
    <row r="32" spans="1:12" ht="12" customHeight="1" thickBot="1" x14ac:dyDescent="0.2">
      <c r="A32" s="38" t="s">
        <v>170</v>
      </c>
      <c r="B32" s="41">
        <v>9</v>
      </c>
      <c r="D32" s="152" t="s">
        <v>45</v>
      </c>
      <c r="E32">
        <v>31</v>
      </c>
      <c r="F32">
        <v>6.2</v>
      </c>
      <c r="G32">
        <v>31</v>
      </c>
      <c r="H32" s="153" t="s">
        <v>45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U21" sqref="U21"/>
    </sheetView>
  </sheetViews>
  <sheetFormatPr baseColWidth="10" defaultColWidth="11.5" defaultRowHeight="15" customHeight="1" x14ac:dyDescent="0.15"/>
  <cols>
    <col min="1" max="1" width="18.5" style="74" bestFit="1" customWidth="1"/>
    <col min="2" max="2" width="12.83203125" style="73" customWidth="1"/>
    <col min="3" max="3" width="18.5" style="73" customWidth="1"/>
    <col min="4" max="4" width="5.83203125" style="73" customWidth="1"/>
    <col min="5" max="5" width="12.83203125" style="73" customWidth="1"/>
    <col min="6" max="6" width="25.5" style="73" bestFit="1" customWidth="1"/>
    <col min="7" max="9" width="2.33203125" style="73" customWidth="1"/>
    <col min="10" max="10" width="2.33203125" style="73" bestFit="1" customWidth="1"/>
    <col min="11" max="15" width="3.83203125" style="73" customWidth="1"/>
    <col min="16" max="16" width="3.83203125" style="64" customWidth="1"/>
    <col min="17" max="17" width="2.33203125" style="73" customWidth="1"/>
    <col min="18" max="18" width="2.33203125" style="65" customWidth="1"/>
    <col min="19" max="16384" width="11.5" style="73"/>
  </cols>
  <sheetData>
    <row r="1" spans="1:23" ht="15" customHeight="1" thickBot="1" x14ac:dyDescent="0.2">
      <c r="F1" s="1"/>
      <c r="G1" s="63" t="s">
        <v>46</v>
      </c>
      <c r="H1" s="63" t="s">
        <v>47</v>
      </c>
      <c r="I1" s="63" t="s">
        <v>120</v>
      </c>
      <c r="J1" s="63" t="s">
        <v>132</v>
      </c>
      <c r="K1" s="75" t="s">
        <v>48</v>
      </c>
      <c r="L1" s="65"/>
      <c r="M1" s="75" t="s">
        <v>119</v>
      </c>
      <c r="N1" s="65"/>
      <c r="O1" s="75" t="s">
        <v>49</v>
      </c>
      <c r="P1" s="67"/>
      <c r="Q1" s="75" t="s">
        <v>50</v>
      </c>
      <c r="R1" s="63" t="s">
        <v>154</v>
      </c>
    </row>
    <row r="2" spans="1:23" ht="15" customHeight="1" x14ac:dyDescent="0.15">
      <c r="A2" s="75" t="s">
        <v>51</v>
      </c>
      <c r="B2" s="76">
        <v>0.5</v>
      </c>
      <c r="C2" s="74" t="s">
        <v>52</v>
      </c>
      <c r="D2" s="77"/>
      <c r="F2" s="1"/>
      <c r="G2" s="78"/>
      <c r="H2" s="78"/>
      <c r="I2" s="78" t="s">
        <v>133</v>
      </c>
      <c r="J2" s="78" t="s">
        <v>133</v>
      </c>
      <c r="K2" s="78" t="s">
        <v>52</v>
      </c>
      <c r="L2" s="78" t="s">
        <v>53</v>
      </c>
      <c r="M2" s="78" t="s">
        <v>52</v>
      </c>
      <c r="N2" s="78" t="s">
        <v>53</v>
      </c>
      <c r="O2" s="78" t="s">
        <v>52</v>
      </c>
      <c r="P2" s="79" t="s">
        <v>53</v>
      </c>
      <c r="Q2" s="78"/>
      <c r="R2" s="80" t="s">
        <v>155</v>
      </c>
    </row>
    <row r="3" spans="1:23" ht="15" customHeight="1" thickBot="1" x14ac:dyDescent="0.2">
      <c r="A3" s="75" t="s">
        <v>54</v>
      </c>
      <c r="B3" s="81">
        <v>0.5</v>
      </c>
      <c r="C3" s="74" t="s">
        <v>53</v>
      </c>
      <c r="D3" s="7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7">
        <v>0</v>
      </c>
      <c r="R3" s="3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7">
        <v>0</v>
      </c>
      <c r="R4" s="101">
        <v>0</v>
      </c>
    </row>
    <row r="5" spans="1:23" ht="15" customHeight="1" x14ac:dyDescent="0.15">
      <c r="A5" s="75" t="s">
        <v>55</v>
      </c>
      <c r="B5" s="82">
        <v>0.5</v>
      </c>
      <c r="C5" s="74" t="s">
        <v>52</v>
      </c>
      <c r="D5" s="7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7">
        <v>0</v>
      </c>
      <c r="R5" s="101">
        <v>0</v>
      </c>
    </row>
    <row r="6" spans="1:23" ht="15" customHeight="1" thickBot="1" x14ac:dyDescent="0.2">
      <c r="A6" s="75"/>
      <c r="B6" s="83">
        <v>0.5</v>
      </c>
      <c r="C6" s="74" t="s">
        <v>53</v>
      </c>
      <c r="D6" s="77"/>
      <c r="F6" s="154" t="s">
        <v>192</v>
      </c>
      <c r="G6" s="73">
        <v>0</v>
      </c>
      <c r="H6" s="73">
        <v>0</v>
      </c>
      <c r="I6" s="73">
        <v>0</v>
      </c>
      <c r="J6" s="73">
        <v>0</v>
      </c>
      <c r="K6" s="73">
        <v>0</v>
      </c>
      <c r="L6" s="73">
        <v>0</v>
      </c>
      <c r="M6" s="73">
        <v>1</v>
      </c>
      <c r="N6" s="73">
        <v>0</v>
      </c>
      <c r="O6" s="73">
        <v>0</v>
      </c>
      <c r="P6" s="64">
        <v>0</v>
      </c>
      <c r="Q6" s="73">
        <v>0</v>
      </c>
      <c r="R6" s="65">
        <v>1</v>
      </c>
      <c r="S6"/>
      <c r="T6"/>
    </row>
    <row r="7" spans="1:23" ht="15" customHeight="1" thickBot="1" x14ac:dyDescent="0.2">
      <c r="F7" s="154" t="s">
        <v>193</v>
      </c>
      <c r="G7" s="73">
        <v>0</v>
      </c>
      <c r="H7" s="73">
        <v>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1</v>
      </c>
      <c r="O7" s="73">
        <v>0</v>
      </c>
      <c r="P7" s="64">
        <v>0</v>
      </c>
      <c r="Q7" s="73">
        <v>0</v>
      </c>
      <c r="R7" s="65">
        <v>1</v>
      </c>
      <c r="S7"/>
      <c r="T7"/>
    </row>
    <row r="8" spans="1:23" ht="15" customHeight="1" x14ac:dyDescent="0.15">
      <c r="A8" s="75" t="s">
        <v>56</v>
      </c>
      <c r="B8" s="82">
        <v>0.3677912243932121</v>
      </c>
      <c r="C8" s="155" t="s">
        <v>192</v>
      </c>
      <c r="D8" s="77" t="s">
        <v>160</v>
      </c>
      <c r="F8" s="154" t="s">
        <v>194</v>
      </c>
      <c r="G8" s="73">
        <v>0</v>
      </c>
      <c r="H8" s="73">
        <v>0</v>
      </c>
      <c r="I8" s="73">
        <v>0</v>
      </c>
      <c r="J8" s="73">
        <v>0</v>
      </c>
      <c r="K8" s="73">
        <v>0</v>
      </c>
      <c r="L8" s="73">
        <v>0</v>
      </c>
      <c r="M8" s="73">
        <v>1</v>
      </c>
      <c r="N8" s="73">
        <v>0</v>
      </c>
      <c r="O8" s="73">
        <v>0</v>
      </c>
      <c r="P8" s="64">
        <v>0</v>
      </c>
      <c r="Q8" s="73">
        <v>0</v>
      </c>
      <c r="R8" s="65">
        <v>1</v>
      </c>
      <c r="S8"/>
      <c r="T8"/>
      <c r="W8"/>
    </row>
    <row r="9" spans="1:23" ht="15" customHeight="1" x14ac:dyDescent="0.15">
      <c r="A9" s="115" t="s">
        <v>168</v>
      </c>
      <c r="B9" s="84">
        <v>0.22148603880738285</v>
      </c>
      <c r="C9" s="155" t="s">
        <v>193</v>
      </c>
      <c r="D9" s="77" t="s">
        <v>160</v>
      </c>
      <c r="F9" s="154" t="s">
        <v>195</v>
      </c>
      <c r="G9" s="73">
        <v>0</v>
      </c>
      <c r="H9" s="73">
        <v>0</v>
      </c>
      <c r="I9" s="73">
        <v>0</v>
      </c>
      <c r="J9" s="73">
        <v>0</v>
      </c>
      <c r="K9" s="73">
        <v>1</v>
      </c>
      <c r="L9" s="73">
        <v>0</v>
      </c>
      <c r="M9" s="73">
        <v>1</v>
      </c>
      <c r="N9" s="73">
        <v>0</v>
      </c>
      <c r="O9" s="73">
        <v>1</v>
      </c>
      <c r="P9" s="64">
        <v>0</v>
      </c>
      <c r="Q9" s="73">
        <v>0</v>
      </c>
      <c r="R9" s="65">
        <v>1</v>
      </c>
      <c r="S9"/>
      <c r="T9"/>
      <c r="W9"/>
    </row>
    <row r="10" spans="1:23" ht="15" customHeight="1" x14ac:dyDescent="0.15">
      <c r="B10" s="84">
        <v>0.41072273679940507</v>
      </c>
      <c r="C10" s="155" t="s">
        <v>194</v>
      </c>
      <c r="D10" s="77" t="s">
        <v>160</v>
      </c>
      <c r="F10" s="154" t="s">
        <v>196</v>
      </c>
      <c r="G10" s="73">
        <v>0</v>
      </c>
      <c r="H10" s="73">
        <v>0</v>
      </c>
      <c r="I10" s="73">
        <v>0</v>
      </c>
      <c r="J10" s="73">
        <v>0</v>
      </c>
      <c r="K10" s="73">
        <v>0.5</v>
      </c>
      <c r="L10" s="73">
        <v>0.5</v>
      </c>
      <c r="M10" s="73">
        <v>0.5</v>
      </c>
      <c r="N10" s="73">
        <v>0.5</v>
      </c>
      <c r="O10" s="73">
        <v>0.5</v>
      </c>
      <c r="P10" s="64">
        <v>0.5</v>
      </c>
      <c r="Q10" s="73">
        <v>0</v>
      </c>
      <c r="R10" s="65">
        <v>1</v>
      </c>
      <c r="S10"/>
      <c r="T10"/>
      <c r="W10"/>
    </row>
    <row r="11" spans="1:23" ht="15" customHeight="1" x14ac:dyDescent="0.15">
      <c r="A11" s="75"/>
      <c r="B11" s="84"/>
      <c r="C11" s="87"/>
      <c r="D11" s="77" t="s">
        <v>160</v>
      </c>
      <c r="F11" s="154" t="s">
        <v>197</v>
      </c>
      <c r="G11" s="73">
        <v>0</v>
      </c>
      <c r="H11" s="73">
        <v>0</v>
      </c>
      <c r="I11" s="73">
        <v>0</v>
      </c>
      <c r="J11" s="73">
        <v>0</v>
      </c>
      <c r="K11" s="73">
        <v>0.5</v>
      </c>
      <c r="L11" s="73">
        <v>0.5</v>
      </c>
      <c r="M11" s="73">
        <v>0.5</v>
      </c>
      <c r="N11" s="73">
        <v>0.5</v>
      </c>
      <c r="O11" s="73">
        <v>0.5</v>
      </c>
      <c r="P11" s="64">
        <v>0.5</v>
      </c>
      <c r="Q11" s="73">
        <v>0</v>
      </c>
      <c r="R11" s="65">
        <v>1</v>
      </c>
      <c r="S11"/>
      <c r="T11"/>
      <c r="W11"/>
    </row>
    <row r="12" spans="1:23" ht="15" customHeight="1" x14ac:dyDescent="0.15">
      <c r="B12" s="84"/>
      <c r="C12" s="88"/>
      <c r="D12" s="77" t="s">
        <v>160</v>
      </c>
      <c r="F12" s="154" t="s">
        <v>198</v>
      </c>
      <c r="G12" s="73">
        <v>0</v>
      </c>
      <c r="H12" s="73">
        <v>0</v>
      </c>
      <c r="I12" s="73">
        <v>0</v>
      </c>
      <c r="J12" s="73">
        <v>0</v>
      </c>
      <c r="K12" s="73">
        <v>0.5</v>
      </c>
      <c r="L12" s="73">
        <v>0.5</v>
      </c>
      <c r="M12" s="73">
        <v>0.5</v>
      </c>
      <c r="N12" s="73">
        <v>0.5</v>
      </c>
      <c r="O12" s="73">
        <v>0.5</v>
      </c>
      <c r="P12" s="64">
        <v>0.5</v>
      </c>
      <c r="Q12" s="73">
        <v>0</v>
      </c>
      <c r="R12" s="65">
        <v>1</v>
      </c>
      <c r="S12"/>
      <c r="T12"/>
      <c r="W12"/>
    </row>
    <row r="13" spans="1:23" ht="15" customHeight="1" x14ac:dyDescent="0.15">
      <c r="B13" s="84"/>
      <c r="C13" s="88"/>
      <c r="D13" s="77" t="s">
        <v>160</v>
      </c>
      <c r="F13" s="154" t="s">
        <v>199</v>
      </c>
      <c r="G13" s="73">
        <v>0</v>
      </c>
      <c r="H13" s="73">
        <v>0</v>
      </c>
      <c r="I13" s="73">
        <v>0</v>
      </c>
      <c r="J13" s="73">
        <v>0</v>
      </c>
      <c r="K13" s="73">
        <v>0.5</v>
      </c>
      <c r="L13" s="73">
        <v>0.5</v>
      </c>
      <c r="M13" s="73">
        <v>0.5</v>
      </c>
      <c r="N13" s="73">
        <v>0.5</v>
      </c>
      <c r="O13" s="73">
        <v>0.5</v>
      </c>
      <c r="P13" s="64">
        <v>0.5</v>
      </c>
      <c r="Q13" s="73">
        <v>0</v>
      </c>
      <c r="R13" s="65">
        <v>1</v>
      </c>
      <c r="S13"/>
      <c r="T13"/>
      <c r="W13"/>
    </row>
    <row r="14" spans="1:23" ht="15" customHeight="1" x14ac:dyDescent="0.15">
      <c r="B14" s="84"/>
      <c r="C14" s="72"/>
      <c r="D14" s="77" t="s">
        <v>160</v>
      </c>
      <c r="F14" s="154" t="s">
        <v>200</v>
      </c>
      <c r="G14" s="73">
        <v>0</v>
      </c>
      <c r="H14" s="73">
        <v>0</v>
      </c>
      <c r="I14" s="73">
        <v>0</v>
      </c>
      <c r="J14" s="73">
        <v>0</v>
      </c>
      <c r="K14" s="73">
        <v>0.5</v>
      </c>
      <c r="L14" s="73">
        <v>0.5</v>
      </c>
      <c r="M14" s="73">
        <v>0.5</v>
      </c>
      <c r="N14" s="73">
        <v>0.5</v>
      </c>
      <c r="O14" s="73">
        <v>0.5</v>
      </c>
      <c r="P14" s="64">
        <v>0.5</v>
      </c>
      <c r="Q14" s="73">
        <v>0</v>
      </c>
      <c r="R14" s="65">
        <v>1</v>
      </c>
      <c r="S14"/>
      <c r="T14"/>
      <c r="W14"/>
    </row>
    <row r="15" spans="1:23" ht="15" customHeight="1" x14ac:dyDescent="0.15">
      <c r="B15" s="84"/>
      <c r="C15" s="72"/>
      <c r="D15" s="77" t="s">
        <v>160</v>
      </c>
      <c r="F15" s="154" t="s">
        <v>201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1</v>
      </c>
      <c r="M15" s="73">
        <v>0</v>
      </c>
      <c r="N15" s="73">
        <v>1</v>
      </c>
      <c r="O15" s="73">
        <v>0</v>
      </c>
      <c r="P15" s="64">
        <v>1</v>
      </c>
      <c r="Q15" s="73">
        <v>0</v>
      </c>
      <c r="R15" s="65">
        <v>1</v>
      </c>
      <c r="S15"/>
      <c r="T15"/>
      <c r="W15"/>
    </row>
    <row r="16" spans="1:23" ht="15" customHeight="1" x14ac:dyDescent="0.15">
      <c r="B16" s="84"/>
      <c r="C16" s="72"/>
      <c r="D16" s="77" t="s">
        <v>160</v>
      </c>
      <c r="F16" s="154" t="s">
        <v>202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1</v>
      </c>
      <c r="M16" s="73">
        <v>0</v>
      </c>
      <c r="N16" s="73">
        <v>1</v>
      </c>
      <c r="O16" s="73">
        <v>0</v>
      </c>
      <c r="P16" s="64">
        <v>1</v>
      </c>
      <c r="Q16" s="73">
        <v>0</v>
      </c>
      <c r="R16" s="65">
        <v>1</v>
      </c>
      <c r="S16"/>
      <c r="T16"/>
    </row>
    <row r="17" spans="1:20" ht="15" customHeight="1" thickBot="1" x14ac:dyDescent="0.2">
      <c r="B17" s="83"/>
      <c r="C17" s="72"/>
      <c r="D17" s="77" t="s">
        <v>160</v>
      </c>
      <c r="F17" s="154" t="s">
        <v>203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1</v>
      </c>
      <c r="M17" s="73">
        <v>0</v>
      </c>
      <c r="N17" s="73">
        <v>1</v>
      </c>
      <c r="O17" s="73">
        <v>0</v>
      </c>
      <c r="P17" s="64">
        <v>1</v>
      </c>
      <c r="Q17" s="73">
        <v>0</v>
      </c>
      <c r="R17" s="65">
        <v>1</v>
      </c>
      <c r="S17"/>
      <c r="T17"/>
    </row>
    <row r="18" spans="1:20" ht="15" customHeight="1" thickBot="1" x14ac:dyDescent="0.2">
      <c r="B18" s="85"/>
      <c r="F18" s="154" t="s">
        <v>204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1</v>
      </c>
      <c r="M18" s="73">
        <v>0</v>
      </c>
      <c r="N18" s="73">
        <v>1</v>
      </c>
      <c r="O18" s="73">
        <v>0</v>
      </c>
      <c r="P18" s="64">
        <v>1</v>
      </c>
      <c r="Q18" s="73">
        <v>0</v>
      </c>
      <c r="R18" s="65">
        <v>1</v>
      </c>
      <c r="S18"/>
      <c r="T18"/>
    </row>
    <row r="19" spans="1:20" ht="15" customHeight="1" x14ac:dyDescent="0.15">
      <c r="A19" s="75" t="s">
        <v>57</v>
      </c>
      <c r="B19" s="82">
        <v>0.3677912243932121</v>
      </c>
      <c r="C19" s="156" t="s">
        <v>192</v>
      </c>
      <c r="D19" s="77" t="s">
        <v>160</v>
      </c>
      <c r="F19" s="154" t="s">
        <v>205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1</v>
      </c>
      <c r="M19" s="73">
        <v>0</v>
      </c>
      <c r="N19" s="73">
        <v>1</v>
      </c>
      <c r="O19" s="73">
        <v>0</v>
      </c>
      <c r="P19" s="64">
        <v>1</v>
      </c>
      <c r="Q19" s="73">
        <v>0</v>
      </c>
      <c r="R19" s="65">
        <v>1</v>
      </c>
      <c r="S19"/>
      <c r="T19"/>
    </row>
    <row r="20" spans="1:20" ht="15" customHeight="1" x14ac:dyDescent="0.15">
      <c r="A20" s="115" t="s">
        <v>168</v>
      </c>
      <c r="B20" s="84">
        <v>0.22148603880738285</v>
      </c>
      <c r="C20" s="156" t="s">
        <v>193</v>
      </c>
      <c r="D20" s="77" t="s">
        <v>160</v>
      </c>
      <c r="F20" s="154" t="s">
        <v>206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1</v>
      </c>
      <c r="M20" s="73">
        <v>0</v>
      </c>
      <c r="N20" s="73">
        <v>1</v>
      </c>
      <c r="O20" s="73">
        <v>0</v>
      </c>
      <c r="P20" s="64">
        <v>1</v>
      </c>
      <c r="Q20" s="73">
        <v>0</v>
      </c>
      <c r="R20" s="65">
        <v>1</v>
      </c>
      <c r="S20"/>
      <c r="T20"/>
    </row>
    <row r="21" spans="1:20" ht="15" customHeight="1" x14ac:dyDescent="0.15">
      <c r="B21" s="84">
        <v>0.41072273679940507</v>
      </c>
      <c r="C21" s="156" t="s">
        <v>194</v>
      </c>
      <c r="D21" s="77" t="s">
        <v>160</v>
      </c>
      <c r="F21" s="154" t="s">
        <v>207</v>
      </c>
      <c r="G21" s="73">
        <v>0</v>
      </c>
      <c r="H21" s="73">
        <v>0</v>
      </c>
      <c r="I21" s="73">
        <v>0</v>
      </c>
      <c r="J21" s="73">
        <v>0</v>
      </c>
      <c r="K21" s="73">
        <v>0</v>
      </c>
      <c r="L21" s="73">
        <v>1</v>
      </c>
      <c r="M21" s="73">
        <v>0</v>
      </c>
      <c r="N21" s="73">
        <v>1</v>
      </c>
      <c r="O21" s="73">
        <v>0</v>
      </c>
      <c r="P21" s="64">
        <v>1</v>
      </c>
      <c r="Q21" s="73">
        <v>0</v>
      </c>
      <c r="R21" s="65">
        <v>1</v>
      </c>
      <c r="S21"/>
      <c r="T21"/>
    </row>
    <row r="22" spans="1:20" ht="15" customHeight="1" x14ac:dyDescent="0.15">
      <c r="A22" s="73"/>
      <c r="B22" s="84"/>
      <c r="C22" s="87"/>
      <c r="D22" s="77" t="s">
        <v>160</v>
      </c>
      <c r="F22" s="154" t="s">
        <v>208</v>
      </c>
      <c r="G22" s="73">
        <v>0</v>
      </c>
      <c r="H22" s="73">
        <v>0</v>
      </c>
      <c r="I22" s="73">
        <v>0</v>
      </c>
      <c r="J22" s="73">
        <v>0</v>
      </c>
      <c r="K22" s="73">
        <v>0</v>
      </c>
      <c r="L22" s="73">
        <v>1</v>
      </c>
      <c r="M22" s="73">
        <v>0</v>
      </c>
      <c r="N22" s="73">
        <v>1</v>
      </c>
      <c r="O22" s="73">
        <v>0</v>
      </c>
      <c r="P22" s="64">
        <v>1</v>
      </c>
      <c r="Q22" s="73">
        <v>0</v>
      </c>
      <c r="R22" s="65">
        <v>1</v>
      </c>
      <c r="S22"/>
      <c r="T22"/>
    </row>
    <row r="23" spans="1:20" ht="15" customHeight="1" x14ac:dyDescent="0.15">
      <c r="A23" s="73"/>
      <c r="B23" s="84"/>
      <c r="C23" s="88"/>
      <c r="D23" s="77" t="s">
        <v>160</v>
      </c>
      <c r="F23" s="154" t="s">
        <v>209</v>
      </c>
      <c r="G23" s="73">
        <v>0</v>
      </c>
      <c r="H23" s="73">
        <v>0</v>
      </c>
      <c r="I23" s="73">
        <v>0</v>
      </c>
      <c r="J23" s="73">
        <v>0</v>
      </c>
      <c r="K23" s="73">
        <v>0</v>
      </c>
      <c r="L23" s="73">
        <v>1</v>
      </c>
      <c r="M23" s="73">
        <v>0</v>
      </c>
      <c r="N23" s="73">
        <v>1</v>
      </c>
      <c r="O23" s="73">
        <v>0</v>
      </c>
      <c r="P23" s="64">
        <v>1</v>
      </c>
      <c r="Q23" s="73">
        <v>0</v>
      </c>
      <c r="R23" s="65">
        <v>1</v>
      </c>
      <c r="S23"/>
      <c r="T23"/>
    </row>
    <row r="24" spans="1:20" ht="15" customHeight="1" x14ac:dyDescent="0.15">
      <c r="A24" s="73"/>
      <c r="B24" s="84"/>
      <c r="C24" s="88"/>
      <c r="D24" s="77" t="s">
        <v>160</v>
      </c>
      <c r="F24" s="154" t="s">
        <v>210</v>
      </c>
      <c r="G24" s="73">
        <v>0</v>
      </c>
      <c r="H24" s="73">
        <v>0</v>
      </c>
      <c r="I24" s="73">
        <v>0</v>
      </c>
      <c r="J24" s="73">
        <v>0</v>
      </c>
      <c r="K24" s="73">
        <v>0</v>
      </c>
      <c r="L24" s="73">
        <v>1</v>
      </c>
      <c r="M24" s="73">
        <v>0</v>
      </c>
      <c r="N24" s="73">
        <v>1</v>
      </c>
      <c r="O24" s="73">
        <v>0</v>
      </c>
      <c r="P24" s="64">
        <v>1</v>
      </c>
      <c r="Q24" s="73">
        <v>0</v>
      </c>
      <c r="R24" s="65">
        <v>1</v>
      </c>
      <c r="S24"/>
      <c r="T24"/>
    </row>
    <row r="25" spans="1:20" ht="15" customHeight="1" x14ac:dyDescent="0.15">
      <c r="A25" s="73"/>
      <c r="B25" s="84"/>
      <c r="C25" s="72"/>
      <c r="D25" s="77" t="s">
        <v>160</v>
      </c>
      <c r="F25" s="154" t="s">
        <v>211</v>
      </c>
      <c r="G25" s="73">
        <v>0</v>
      </c>
      <c r="H25" s="73">
        <v>0</v>
      </c>
      <c r="I25" s="73">
        <v>0</v>
      </c>
      <c r="J25" s="73">
        <v>0</v>
      </c>
      <c r="K25" s="73">
        <v>0</v>
      </c>
      <c r="L25" s="73">
        <v>1</v>
      </c>
      <c r="M25" s="73">
        <v>0</v>
      </c>
      <c r="N25" s="73">
        <v>1</v>
      </c>
      <c r="O25" s="73">
        <v>0</v>
      </c>
      <c r="P25" s="64">
        <v>1</v>
      </c>
      <c r="Q25" s="73">
        <v>0</v>
      </c>
      <c r="R25" s="65">
        <v>1</v>
      </c>
      <c r="S25"/>
      <c r="T25"/>
    </row>
    <row r="26" spans="1:20" ht="15" customHeight="1" x14ac:dyDescent="0.15">
      <c r="B26" s="84"/>
      <c r="C26" s="72"/>
      <c r="D26" s="77" t="s">
        <v>160</v>
      </c>
      <c r="F26" s="154" t="s">
        <v>212</v>
      </c>
      <c r="G26" s="73">
        <v>0</v>
      </c>
      <c r="H26" s="73">
        <v>0</v>
      </c>
      <c r="I26" s="73">
        <v>0</v>
      </c>
      <c r="J26" s="73">
        <v>0</v>
      </c>
      <c r="K26" s="73">
        <v>0</v>
      </c>
      <c r="L26" s="73">
        <v>1</v>
      </c>
      <c r="M26" s="73">
        <v>0</v>
      </c>
      <c r="N26" s="73">
        <v>1</v>
      </c>
      <c r="O26" s="73">
        <v>0</v>
      </c>
      <c r="P26" s="64">
        <v>1</v>
      </c>
      <c r="Q26" s="73">
        <v>0</v>
      </c>
      <c r="R26" s="65">
        <v>1</v>
      </c>
      <c r="S26"/>
      <c r="T26"/>
    </row>
    <row r="27" spans="1:20" ht="15" customHeight="1" x14ac:dyDescent="0.15">
      <c r="B27" s="84"/>
      <c r="C27" s="72"/>
      <c r="D27" s="77" t="s">
        <v>160</v>
      </c>
      <c r="F27" s="154" t="s">
        <v>213</v>
      </c>
      <c r="G27" s="73">
        <v>0</v>
      </c>
      <c r="H27" s="73">
        <v>0</v>
      </c>
      <c r="I27" s="73">
        <v>0</v>
      </c>
      <c r="J27" s="73">
        <v>0</v>
      </c>
      <c r="K27" s="73">
        <v>0</v>
      </c>
      <c r="L27" s="73">
        <v>1</v>
      </c>
      <c r="M27" s="73">
        <v>0</v>
      </c>
      <c r="N27" s="73">
        <v>1</v>
      </c>
      <c r="O27" s="73">
        <v>0</v>
      </c>
      <c r="P27" s="64">
        <v>1</v>
      </c>
      <c r="Q27" s="73">
        <v>0</v>
      </c>
      <c r="R27" s="65">
        <v>1</v>
      </c>
      <c r="S27"/>
      <c r="T27"/>
    </row>
    <row r="28" spans="1:20" ht="15" customHeight="1" thickBot="1" x14ac:dyDescent="0.2">
      <c r="B28" s="83"/>
      <c r="C28" s="72"/>
      <c r="D28" s="77" t="s">
        <v>160</v>
      </c>
      <c r="F28" s="154" t="s">
        <v>214</v>
      </c>
      <c r="G28" s="73">
        <v>0</v>
      </c>
      <c r="H28" s="73">
        <v>0</v>
      </c>
      <c r="I28" s="73">
        <v>0</v>
      </c>
      <c r="J28" s="73">
        <v>0</v>
      </c>
      <c r="K28" s="73">
        <v>0</v>
      </c>
      <c r="L28" s="73">
        <v>1</v>
      </c>
      <c r="M28" s="73">
        <v>0</v>
      </c>
      <c r="N28" s="73">
        <v>1</v>
      </c>
      <c r="O28" s="73">
        <v>0</v>
      </c>
      <c r="P28" s="64">
        <v>1</v>
      </c>
      <c r="Q28" s="73">
        <v>0</v>
      </c>
      <c r="R28" s="65">
        <v>1</v>
      </c>
      <c r="S28"/>
      <c r="T28"/>
    </row>
    <row r="29" spans="1:20" ht="15" customHeight="1" x14ac:dyDescent="0.15">
      <c r="F29" s="154" t="s">
        <v>215</v>
      </c>
      <c r="G29" s="73">
        <v>0</v>
      </c>
      <c r="H29" s="73">
        <v>0</v>
      </c>
      <c r="I29" s="73">
        <v>0</v>
      </c>
      <c r="J29" s="73">
        <v>0</v>
      </c>
      <c r="K29" s="73">
        <v>0</v>
      </c>
      <c r="L29" s="73">
        <v>1</v>
      </c>
      <c r="M29" s="73">
        <v>0</v>
      </c>
      <c r="N29" s="73">
        <v>0</v>
      </c>
      <c r="O29" s="73">
        <v>0</v>
      </c>
      <c r="P29" s="64">
        <v>0</v>
      </c>
      <c r="Q29" s="73">
        <v>0</v>
      </c>
      <c r="R29" s="65">
        <v>1</v>
      </c>
      <c r="S29"/>
      <c r="T29"/>
    </row>
    <row r="30" spans="1:20" ht="15" customHeight="1" x14ac:dyDescent="0.15">
      <c r="F30" s="154" t="s">
        <v>216</v>
      </c>
      <c r="G30" s="73">
        <v>0</v>
      </c>
      <c r="H30" s="73">
        <v>0</v>
      </c>
      <c r="I30" s="73">
        <v>0</v>
      </c>
      <c r="J30" s="73">
        <v>0</v>
      </c>
      <c r="K30" s="73">
        <v>0</v>
      </c>
      <c r="L30" s="73">
        <v>1</v>
      </c>
      <c r="M30" s="73">
        <v>0</v>
      </c>
      <c r="N30" s="73">
        <v>0</v>
      </c>
      <c r="O30" s="73">
        <v>0</v>
      </c>
      <c r="P30" s="64">
        <v>0</v>
      </c>
      <c r="Q30" s="73">
        <v>0</v>
      </c>
      <c r="R30" s="65">
        <v>1</v>
      </c>
      <c r="S30"/>
      <c r="T30"/>
    </row>
    <row r="31" spans="1:20" ht="15" customHeight="1" x14ac:dyDescent="0.15">
      <c r="A31" s="116"/>
      <c r="B31" s="125" t="s">
        <v>17</v>
      </c>
      <c r="C31" s="125" t="s">
        <v>1</v>
      </c>
      <c r="D31" s="125" t="s">
        <v>161</v>
      </c>
      <c r="E31" s="126" t="s">
        <v>163</v>
      </c>
      <c r="F31" s="154" t="s">
        <v>217</v>
      </c>
      <c r="G31" s="73">
        <v>0</v>
      </c>
      <c r="H31" s="73">
        <v>0</v>
      </c>
      <c r="I31" s="73">
        <v>0</v>
      </c>
      <c r="J31" s="73">
        <v>0</v>
      </c>
      <c r="K31" s="73">
        <v>0</v>
      </c>
      <c r="L31" s="73">
        <v>1</v>
      </c>
      <c r="M31" s="73">
        <v>0</v>
      </c>
      <c r="N31" s="73">
        <v>0</v>
      </c>
      <c r="O31" s="73">
        <v>0</v>
      </c>
      <c r="P31" s="64">
        <v>0</v>
      </c>
      <c r="Q31" s="73">
        <v>0</v>
      </c>
      <c r="R31" s="65">
        <v>1</v>
      </c>
      <c r="S31"/>
      <c r="T31"/>
    </row>
    <row r="32" spans="1:20" ht="15" customHeight="1" x14ac:dyDescent="0.15">
      <c r="A32" s="157" t="s">
        <v>192</v>
      </c>
      <c r="B32" s="85">
        <v>3.4</v>
      </c>
      <c r="C32" s="85">
        <v>160</v>
      </c>
      <c r="D32" s="85">
        <v>544</v>
      </c>
      <c r="E32" s="117">
        <v>0.3677912243932121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57" t="s">
        <v>193</v>
      </c>
      <c r="B33" s="85">
        <v>2.8</v>
      </c>
      <c r="C33" s="85">
        <v>117</v>
      </c>
      <c r="D33" s="85">
        <v>327.59999999999997</v>
      </c>
      <c r="E33" s="117">
        <v>0.22148603880738285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57" t="s">
        <v>194</v>
      </c>
      <c r="B34" s="85">
        <v>4.5</v>
      </c>
      <c r="C34" s="85">
        <v>135</v>
      </c>
      <c r="D34" s="85">
        <v>607.5</v>
      </c>
      <c r="E34" s="117">
        <v>0.41072273679940507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8"/>
      <c r="B35" s="85"/>
      <c r="C35" s="85"/>
      <c r="D35" s="85"/>
      <c r="E35" s="117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9"/>
      <c r="B36" s="85"/>
      <c r="C36" s="85"/>
      <c r="D36" s="85"/>
      <c r="E36" s="117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9"/>
      <c r="B37" s="85"/>
      <c r="C37" s="85"/>
      <c r="D37" s="85"/>
      <c r="E37" s="11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20"/>
      <c r="B38" s="85"/>
      <c r="C38" s="85"/>
      <c r="D38" s="85"/>
      <c r="E38" s="117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20"/>
      <c r="B39" s="85"/>
      <c r="C39" s="85"/>
      <c r="D39" s="85"/>
      <c r="E39" s="11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20"/>
      <c r="B40" s="85"/>
      <c r="C40" s="85"/>
      <c r="D40" s="85"/>
      <c r="E40" s="117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20"/>
      <c r="B41" s="85"/>
      <c r="C41" s="85"/>
      <c r="D41" s="86"/>
      <c r="E41" s="12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2"/>
      <c r="B42" s="123"/>
      <c r="C42" s="123" t="s">
        <v>162</v>
      </c>
      <c r="D42" s="123">
        <f>SUM(D32:D41)</f>
        <v>1479.1</v>
      </c>
      <c r="E42" s="124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3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3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5.5" bestFit="1" customWidth="1"/>
    <col min="2" max="2" width="2.33203125" style="101" customWidth="1"/>
    <col min="3" max="5" width="7.83203125" style="101" customWidth="1"/>
    <col min="6" max="8" width="8.83203125" style="6"/>
    <col min="9" max="9" width="13.1640625" style="6" customWidth="1"/>
    <col min="10" max="10" width="18.5" style="6" customWidth="1"/>
    <col min="11" max="11" width="17.5" style="6" customWidth="1"/>
    <col min="12" max="12" width="15.83203125" style="6" customWidth="1"/>
    <col min="13" max="13" width="10" style="6" customWidth="1"/>
    <col min="14" max="14" width="9.6640625" style="6" customWidth="1"/>
    <col min="15" max="15" width="17.1640625" style="6" customWidth="1"/>
    <col min="16" max="16" width="20.5" style="6" customWidth="1"/>
    <col min="17" max="17" width="7.33203125" style="6" customWidth="1"/>
    <col min="18" max="18" width="14.83203125" style="6" customWidth="1"/>
    <col min="19" max="19" width="16" style="6" customWidth="1"/>
    <col min="20" max="20" width="15" style="6" customWidth="1"/>
    <col min="21" max="21" width="9.1640625" style="6" customWidth="1"/>
    <col min="22" max="22" width="25.5" style="6" customWidth="1"/>
    <col min="23" max="23" width="10.5" style="6" customWidth="1"/>
    <col min="24" max="24" width="9.83203125" style="6" customWidth="1"/>
    <col min="25" max="26" width="12.6640625" style="6" customWidth="1"/>
    <col min="27" max="27" width="8" style="6" customWidth="1"/>
    <col min="28" max="28" width="6" style="6" customWidth="1"/>
    <col min="29" max="29" width="19.33203125" style="6" customWidth="1"/>
    <col min="30" max="30" width="15.83203125" style="6" customWidth="1"/>
    <col min="31" max="31" width="21.6640625" style="6" customWidth="1"/>
    <col min="32" max="32" width="10.1640625" style="6" customWidth="1"/>
    <col min="33" max="34" width="10" style="6" customWidth="1"/>
    <col min="35" max="38" width="8.83203125" style="6"/>
    <col min="81" max="81" width="22.1640625" bestFit="1" customWidth="1"/>
  </cols>
  <sheetData>
    <row r="1" spans="1:38" x14ac:dyDescent="0.15">
      <c r="A1" s="4" t="s">
        <v>156</v>
      </c>
      <c r="B1" s="33" t="s">
        <v>157</v>
      </c>
      <c r="C1" s="33" t="s">
        <v>17</v>
      </c>
      <c r="D1" s="33" t="s">
        <v>158</v>
      </c>
      <c r="E1" s="33" t="s">
        <v>159</v>
      </c>
      <c r="F1" t="s">
        <v>38</v>
      </c>
      <c r="G1" t="s">
        <v>40</v>
      </c>
      <c r="H1" t="s">
        <v>41</v>
      </c>
      <c r="I1" s="159" t="s">
        <v>192</v>
      </c>
      <c r="J1" s="159" t="s">
        <v>193</v>
      </c>
      <c r="K1" s="159" t="s">
        <v>194</v>
      </c>
      <c r="L1" s="159" t="s">
        <v>195</v>
      </c>
      <c r="M1" s="159" t="s">
        <v>196</v>
      </c>
      <c r="N1" s="159" t="s">
        <v>197</v>
      </c>
      <c r="O1" s="159" t="s">
        <v>198</v>
      </c>
      <c r="P1" s="159" t="s">
        <v>199</v>
      </c>
      <c r="Q1" s="159" t="s">
        <v>200</v>
      </c>
      <c r="R1" s="159" t="s">
        <v>201</v>
      </c>
      <c r="S1" s="159" t="s">
        <v>202</v>
      </c>
      <c r="T1" s="159" t="s">
        <v>203</v>
      </c>
      <c r="U1" s="159" t="s">
        <v>204</v>
      </c>
      <c r="V1" s="159" t="s">
        <v>205</v>
      </c>
      <c r="W1" s="159" t="s">
        <v>206</v>
      </c>
      <c r="X1" s="159" t="s">
        <v>207</v>
      </c>
      <c r="Y1" s="159" t="s">
        <v>208</v>
      </c>
      <c r="Z1" s="159" t="s">
        <v>209</v>
      </c>
      <c r="AA1" s="159" t="s">
        <v>210</v>
      </c>
      <c r="AB1" s="159" t="s">
        <v>211</v>
      </c>
      <c r="AC1" s="159" t="s">
        <v>212</v>
      </c>
      <c r="AD1" s="159" t="s">
        <v>213</v>
      </c>
      <c r="AE1" s="159" t="s">
        <v>214</v>
      </c>
      <c r="AF1" s="159" t="s">
        <v>215</v>
      </c>
      <c r="AG1" s="159" t="s">
        <v>216</v>
      </c>
      <c r="AH1" s="159" t="s">
        <v>217</v>
      </c>
      <c r="AI1"/>
      <c r="AJ1"/>
      <c r="AK1"/>
      <c r="AL1"/>
    </row>
    <row r="2" spans="1:38" x14ac:dyDescent="0.15">
      <c r="A2" t="s">
        <v>38</v>
      </c>
      <c r="B2" s="101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101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101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58" t="s">
        <v>192</v>
      </c>
      <c r="B5" s="101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58" t="s">
        <v>193</v>
      </c>
      <c r="B6" s="101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58" t="s">
        <v>194</v>
      </c>
      <c r="B7" s="101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58" t="s">
        <v>195</v>
      </c>
      <c r="B8" s="101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58" t="s">
        <v>196</v>
      </c>
      <c r="B9" s="101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58" t="s">
        <v>197</v>
      </c>
      <c r="B10" s="101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58" t="s">
        <v>198</v>
      </c>
      <c r="B11" s="101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58" t="s">
        <v>199</v>
      </c>
      <c r="B12" s="101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58" t="s">
        <v>200</v>
      </c>
      <c r="B13" s="101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58" t="s">
        <v>201</v>
      </c>
      <c r="B14" s="101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58" t="s">
        <v>202</v>
      </c>
      <c r="B15" s="101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58" t="s">
        <v>203</v>
      </c>
      <c r="B16" s="101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58" t="s">
        <v>204</v>
      </c>
      <c r="B17" s="101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58" t="s">
        <v>205</v>
      </c>
      <c r="B18" s="101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58" t="s">
        <v>206</v>
      </c>
      <c r="B19" s="101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58" t="s">
        <v>207</v>
      </c>
      <c r="B20" s="101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58" t="s">
        <v>208</v>
      </c>
      <c r="B21" s="101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58" t="s">
        <v>209</v>
      </c>
      <c r="B22" s="101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58" t="s">
        <v>210</v>
      </c>
      <c r="B23" s="101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58" t="s">
        <v>211</v>
      </c>
      <c r="B24" s="101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58" t="s">
        <v>212</v>
      </c>
      <c r="B25" s="101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58" t="s">
        <v>213</v>
      </c>
      <c r="B26" s="101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58" t="s">
        <v>214</v>
      </c>
      <c r="B27" s="101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58" t="s">
        <v>215</v>
      </c>
      <c r="B28" s="101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58" t="s">
        <v>216</v>
      </c>
      <c r="B29" s="101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58" t="s">
        <v>217</v>
      </c>
      <c r="B30" s="101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2023-08-14T23:41:19Z</dcterms:modified>
</cp:coreProperties>
</file>