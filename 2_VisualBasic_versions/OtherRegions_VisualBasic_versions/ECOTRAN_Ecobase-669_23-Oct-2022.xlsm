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OtherRegions/"/>
    </mc:Choice>
  </mc:AlternateContent>
  <xr:revisionPtr revIDLastSave="0" documentId="13_ncr:1_{7E067C0F-F243-3140-B926-DC3256ECB174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Main!$C$2:$N$24</definedName>
    <definedName name="matDetritus">Detritus!$C$2:$E$24</definedName>
    <definedName name="matDiet">Diets!$B$2:$R$21</definedName>
    <definedName name="matDiscards">Discards!$C$2:$F$20</definedName>
    <definedName name="matFishery">Fishing!$C$2:$F$20</definedName>
    <definedName name="matFishing">Fishing!#REF!</definedName>
    <definedName name="matMort">Mortalities!$A$1:$Z$20</definedName>
    <definedName name="matOut">MainOutputs!$A$2:$I$24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<sst xmlns="http://schemas.openxmlformats.org/spreadsheetml/2006/main" count="743" uniqueCount="223">
  <si>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</si>
  <si>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</si>
  <si>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</si>
  <si>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</si>
  <si>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</si>
  <si>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</si>
  <si>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</si>
  <si>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</si>
  <si>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</si>
  <si>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</si>
  <si>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</si>
  <si>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</si>
  <si>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</si>
  <si>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</si>
  <si>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</si>
  <si>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</si>
  <si>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</si>
  <si>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</si>
  <si>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</si>
  <si>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</si>
  <si>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</si>
  <si>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</si>
  <si>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</si>
  <si>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</si>
  <si>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</si>
  <si>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</si>
  <si>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</si>
  <si>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</si>
  <si>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</si>
  <si>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</si>
  <si>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</si>
  <si>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</si>
  <si>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</si>
  <si>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</si>
  <si>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</si>
  <si>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</si>
  <si>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</si>
  <si>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</si>
  <si>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</si>
  <si>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</si>
  <si>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</si>
  <si>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</si>
  <si>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</si>
  <si>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</si>
  <si>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</si>
  <si>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</si>
  <si>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</si>
  <si>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</si>
  <si>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</si>
  <si>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</si>
  <si>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</si>
  <si>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</si>
  <si>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</si>
  <si>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</si>
  <si>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</si>
  <si>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</si>
  <si>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</si>
  <si>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</si>
  <si>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</si>
  <si>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</si>
  <si>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</si>
  <si>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</si>
  <si>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</si>
  <si>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</si>
  <si>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</si>
  <si>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</si>
  <si>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</si>
  <si>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</si>
  <si>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</si>
  <si>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</si>
  <si>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</si>
  <si>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</si>
  <si>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</si>
  <si>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</si>
  <si>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</si>
  <si>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</si>
  <si>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</si>
  <si>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</si>
  <si>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</si>
  <si>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</si>
  <si>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</si>
  <si>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</si>
  <si>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</si>
  <si>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</si>
  <si>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</si>
  <si>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</si>
  <si>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</si>
  <si>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</si>
  <si>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</si>
  <si>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</si>
  <si>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</si>
  <si>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</si>
  <si>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</si>
  <si>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</si>
  <si>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</si>
  <si>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</si>
  <si>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</si>
  <si>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</si>
  <si>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</si>
  <si>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</si>
  <si>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</si>
  <si>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</si>
  <si>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</si>
  <si>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</si>
  <si>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</si>
  <si>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</si>
  <si>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</si>
  <si>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</si>
  <si>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</si>
  <si>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</si>
  <si>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</si>
  <si>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</si>
  <si>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</si>
  <si>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</si>
  <si>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</si>
  <si>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</si>
  <si>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</si>
  <si>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</si>
  <si>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</si>
  <si>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</si>
  <si>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</si>
  <si>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</si>
  <si>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</si>
  <si>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</si>
  <si>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</si>
  <si>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</si>
  <si>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</si>
  <si>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</si>
  <si>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</si>
  <si>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</si>
  <si>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</si>
  <si>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</si>
  <si>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</si>
  <si>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</si>
  <si>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</si>
  <si>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</si>
  <si>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</si>
  <si>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</si>
  <si>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</si>
  <si>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</si>
  <si>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</si>
  <si>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</si>
  <si>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</si>
  <si>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</si>
  <si>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</si>
  <si>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</si>
  <si>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</si>
  <si>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</si>
  <si>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</si>
  <si>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</si>
  <si>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</si>
  <si>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</si>
  <si>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</si>
  <si>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</si>
  <si>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</si>
  <si>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</si>
  <si>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</si>
  <si>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</si>
  <si>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</si>
  <si>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</si>
  <si>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</si>
  <si>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</si>
  <si>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</si>
  <si>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</si>
  <si>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</si>
  <si>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</si>
  <si>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</si>
  <si>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</si>
  <si>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</si>
  <si>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</si>
  <si>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</si>
  <si>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</si>
  <si>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</si>
  <si>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</si>
  <si>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</si>
  <si>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</si>
  <si>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</si>
  <si>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</si>
  <si>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</si>
  <si>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</si>
  <si>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</si>
  <si>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</si>
  <si>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</si>
  <si>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</si>
  <si>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</si>
  <si>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Gulf of Salamanca</t>
  </si>
  <si>
    <t>Colombia</t>
  </si>
  <si>
    <t>BOX(-74.5 10.9,-74 11.2)</t>
  </si>
  <si>
    <t>upwelling</t>
  </si>
  <si>
    <t>WetWeight</t>
  </si>
  <si>
    <t>Created: 21/04/2006 01:38:15 a.m.; 21/04/2006 01:38:44 a.m.; 22/04/2006 01:23:19 a.m.; 19/07/2006 12:50:16 a.m.</t>
  </si>
  <si>
    <t>Duarte L.O.,Garcı́a C.B.(2004). Trophic role of small pelagic fishes in a tropical upwelling ecosystem Ecological Modelling. pp 323-338</t>
  </si>
  <si>
    <t>Phytoplankton</t>
  </si>
  <si>
    <t>Macrophytes</t>
  </si>
  <si>
    <t>Zooplankton</t>
  </si>
  <si>
    <t>Infauna</t>
  </si>
  <si>
    <t>Epifauna</t>
  </si>
  <si>
    <t>Shrimps</t>
  </si>
  <si>
    <t>Small pelagic fish</t>
  </si>
  <si>
    <t>Mullets/catfish</t>
  </si>
  <si>
    <t>Crabs</t>
  </si>
  <si>
    <t>Triggerfish/filefish</t>
  </si>
  <si>
    <t>Porgies/spadefish</t>
  </si>
  <si>
    <t>Croaker/mojarra</t>
  </si>
  <si>
    <t>Small demersal fish</t>
  </si>
  <si>
    <t>Pelagic predatory fish</t>
  </si>
  <si>
    <t>Large demersal fish</t>
  </si>
  <si>
    <t>Snappers/grunts</t>
  </si>
  <si>
    <t>Ray/sharks</t>
  </si>
  <si>
    <t>Detritus</t>
  </si>
  <si>
    <t>detritus_TerminalBenthic</t>
  </si>
  <si>
    <t>Beach Seine</t>
  </si>
  <si>
    <t>Gill net</t>
  </si>
  <si>
    <t>Long line</t>
  </si>
  <si>
    <t>Fishing line</t>
  </si>
  <si>
    <t>Import</t>
  </si>
  <si>
    <t>export</t>
  </si>
  <si>
    <t>sum</t>
  </si>
  <si>
    <t>TOTAL</t>
  </si>
  <si>
    <t>F Beach Seine</t>
  </si>
  <si>
    <t>F Gill net</t>
  </si>
  <si>
    <t>F Long line</t>
  </si>
  <si>
    <t>F Fishing 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</si>
</sst>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07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97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C1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DFF00"/>
        <bgColor indexed="64"/>
      </patternFill>
    </fill>
    <fill>
      <patternFill patternType="solid">
        <fgColor rgb="FF8A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C8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7C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74FF00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6FFF00"/>
        <bgColor indexed="64"/>
      </patternFill>
    </fill>
    <fill>
      <patternFill patternType="solid">
        <fgColor rgb="FF83FF00"/>
        <bgColor indexed="64"/>
      </patternFill>
    </fill>
    <fill>
      <patternFill patternType="solid">
        <fgColor rgb="FFB2FF00"/>
        <bgColor indexed="64"/>
      </patternFill>
    </fill>
    <fill>
      <patternFill patternType="solid">
        <fgColor rgb="FFC6FF00"/>
        <bgColor indexed="64"/>
      </patternFill>
    </fill>
    <fill>
      <patternFill patternType="solid">
        <fgColor rgb="FFFFEC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FFFB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FFD3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9F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D5FF00"/>
        <bgColor indexed="64"/>
      </patternFill>
    </fill>
    <fill>
      <patternFill patternType="solid">
        <fgColor rgb="FF70FF00"/>
        <bgColor indexed="64"/>
      </patternFill>
    </fill>
    <fill>
      <patternFill patternType="solid">
        <fgColor rgb="FF85FF00"/>
        <bgColor indexed="64"/>
      </patternFill>
    </fill>
    <fill>
      <patternFill patternType="solid">
        <fgColor rgb="FFB0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A1FF00"/>
        <bgColor indexed="64"/>
      </patternFill>
    </fill>
    <fill>
      <patternFill patternType="solid">
        <fgColor rgb="FFAB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FFB3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29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3" borderId="2" xfId="0" applyFont="1" applyFill="1" applyBorder="1" applyAlignment="1">
      <alignment horizontal="center"/>
    </xf>
    <xf numFmtId="0" fontId="1" fillId="23" borderId="4" xfId="0" applyFont="1" applyFill="1" applyBorder="1" applyAlignment="1">
      <alignment horizontal="center"/>
    </xf>
    <xf numFmtId="0" fontId="1" fillId="23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3" borderId="5" xfId="0" applyFill="1" applyBorder="1"/>
    <xf numFmtId="0" fontId="0" fillId="23" borderId="6" xfId="0" applyFill="1" applyBorder="1"/>
    <xf numFmtId="0" fontId="0" fillId="23" borderId="7" xfId="0" applyFill="1" applyBorder="1"/>
    <xf numFmtId="0" fontId="0" fillId="23" borderId="8" xfId="0" applyFill="1" applyBorder="1"/>
    <xf numFmtId="0" fontId="0" fillId="23" borderId="9" xfId="0" applyFill="1" applyBorder="1"/>
    <xf numFmtId="0" fontId="0" fillId="23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0" borderId="0" xfId="0" applyFont="1" applyFill="1" applyAlignment="1">
      <alignment horizontal="center"/>
    </xf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4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4" borderId="3" xfId="0" applyNumberFormat="1" applyFont="1" applyFill="1" applyBorder="1"/>
    <xf numFmtId="0" fontId="0" fillId="34" borderId="2" xfId="0" applyFont="1" applyFill="1" applyBorder="1"/>
    <xf numFmtId="0" fontId="0" fillId="34" borderId="3" xfId="0" applyFont="1" applyFill="1" applyBorder="1"/>
    <xf numFmtId="0" fontId="0" fillId="34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3" borderId="2" xfId="0" applyFill="1" applyBorder="1" applyAlignment="1">
      <alignment horizontal="center"/>
    </xf>
    <xf numFmtId="0" fontId="0" fillId="23" borderId="4" xfId="0" applyFill="1" applyBorder="1" applyAlignment="1">
      <alignment horizontal="center"/>
    </xf>
    <xf numFmtId="0" fontId="0" fillId="23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38" borderId="0" xfId="0" applyFill="1"/>
    <xf numFmtId="0" fontId="0" fillId="39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11.6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0" t="s">
        <v>164</v>
      </c>
    </row>
    <row r="6" spans="2:4" ht="14" thickBot="1" x14ac:dyDescent="0.2">
      <c r="B6" s="44" t="s">
        <v>141</v>
      </c>
    </row>
    <row r="7" spans="2:4" x14ac:dyDescent="0.15">
      <c r="B7" s="60" t="s">
        <v>143</v>
      </c>
    </row>
    <row r="8" spans="2:4" x14ac:dyDescent="0.15">
      <c r="B8" s="60" t="s">
        <v>142</v>
      </c>
    </row>
    <row r="9" spans="2:4" x14ac:dyDescent="0.15">
      <c r="B9" s="60" t="s">
        <v>144</v>
      </c>
    </row>
    <row r="10" spans="2:4" x14ac:dyDescent="0.15">
      <c r="B10" s="60" t="s">
        <v>147</v>
      </c>
    </row>
    <row r="11" spans="2:4" x14ac:dyDescent="0.15">
      <c r="B11" s="60" t="s">
        <v>151</v>
      </c>
    </row>
    <row r="12" spans="2:4" x14ac:dyDescent="0.15">
      <c r="B12" s="60" t="s">
        <v>153</v>
      </c>
    </row>
    <row r="13" spans="2:4" x14ac:dyDescent="0.15">
      <c r="B13" s="60" t="s">
        <v>165</v>
      </c>
    </row>
    <row r="15" spans="2:4" ht="14" thickBot="1" x14ac:dyDescent="0.2"/>
    <row r="16" spans="2:4" ht="14" thickBot="1" x14ac:dyDescent="0.2">
      <c r="B16" s="45" t="s">
        <v>137</v>
      </c>
      <c r="C16" s="46"/>
      <c r="D16" s="28">
        <v>41373</v>
      </c>
    </row>
    <row r="17" spans="2:4" x14ac:dyDescent="0.15">
      <c r="B17" s="47" t="s">
        <v>58</v>
      </c>
      <c r="C17" s="31">
        <v>0</v>
      </c>
    </row>
    <row r="18" spans="2:4" x14ac:dyDescent="0.15">
      <c r="B18" s="47" t="s">
        <v>59</v>
      </c>
      <c r="C18" s="31">
        <v>1</v>
      </c>
    </row>
    <row r="19" spans="2:4" x14ac:dyDescent="0.15">
      <c r="B19" s="47" t="s">
        <v>60</v>
      </c>
      <c r="C19" s="31">
        <v>2</v>
      </c>
    </row>
    <row r="20" spans="2:4" ht="14" thickBot="1" x14ac:dyDescent="0.2">
      <c r="B20" s="48" t="s">
        <v>44</v>
      </c>
      <c r="C20" s="32">
        <v>3</v>
      </c>
    </row>
    <row r="21" spans="2:4" x14ac:dyDescent="0.15">
      <c r="B21" s="49" t="s">
        <v>140</v>
      </c>
    </row>
    <row r="22" spans="2:4" ht="14" thickBot="1" x14ac:dyDescent="0.2"/>
    <row r="23" spans="2:4" ht="14" thickBot="1" x14ac:dyDescent="0.2">
      <c r="B23" s="45" t="s">
        <v>65</v>
      </c>
      <c r="C23" s="46"/>
      <c r="D23" s="28" t="s">
        <v>148</v>
      </c>
    </row>
    <row r="24" spans="2:4" x14ac:dyDescent="0.15">
      <c r="B24" s="51" t="s">
        <v>38</v>
      </c>
      <c r="C24" s="29">
        <v>1</v>
      </c>
    </row>
    <row r="25" spans="2:4" x14ac:dyDescent="0.15">
      <c r="B25" s="47" t="s">
        <v>40</v>
      </c>
      <c r="C25" s="31">
        <v>1.1000000000000001</v>
      </c>
    </row>
    <row r="26" spans="2:4" x14ac:dyDescent="0.15">
      <c r="B26" s="47" t="s">
        <v>41</v>
      </c>
      <c r="C26" s="31">
        <v>1.2</v>
      </c>
    </row>
    <row r="27" spans="2:4" x14ac:dyDescent="0.15">
      <c r="B27" s="47"/>
      <c r="C27" s="31"/>
    </row>
    <row r="28" spans="2:4" x14ac:dyDescent="0.15">
      <c r="B28" s="47" t="s">
        <v>42</v>
      </c>
      <c r="C28" s="31">
        <v>2.1</v>
      </c>
    </row>
    <row r="29" spans="2:4" x14ac:dyDescent="0.15">
      <c r="B29" s="47" t="s">
        <v>43</v>
      </c>
      <c r="C29" s="31">
        <v>2.2000000000000002</v>
      </c>
    </row>
    <row r="30" spans="2:4" x14ac:dyDescent="0.15">
      <c r="B30" s="47" t="s">
        <v>67</v>
      </c>
      <c r="C30" s="31">
        <v>2.2999999999999998</v>
      </c>
    </row>
    <row r="31" spans="2:4" x14ac:dyDescent="0.15">
      <c r="B31" s="47"/>
      <c r="C31" s="31"/>
    </row>
    <row r="32" spans="2:4" x14ac:dyDescent="0.15">
      <c r="B32" s="47" t="s">
        <v>62</v>
      </c>
      <c r="C32" s="31">
        <v>3.11</v>
      </c>
    </row>
    <row r="33" spans="2:3" x14ac:dyDescent="0.15">
      <c r="B33" s="47" t="s">
        <v>61</v>
      </c>
      <c r="C33" s="31">
        <v>3.12</v>
      </c>
    </row>
    <row r="34" spans="2:3" x14ac:dyDescent="0.15">
      <c r="B34" s="47" t="s">
        <v>68</v>
      </c>
      <c r="C34" s="31">
        <v>3.13</v>
      </c>
    </row>
    <row r="35" spans="2:3" x14ac:dyDescent="0.15">
      <c r="B35" s="47"/>
      <c r="C35" s="31"/>
    </row>
    <row r="36" spans="2:3" x14ac:dyDescent="0.15">
      <c r="B36" s="47" t="s">
        <v>66</v>
      </c>
      <c r="C36" s="31">
        <v>3.21</v>
      </c>
    </row>
    <row r="37" spans="2:3" x14ac:dyDescent="0.15">
      <c r="B37" s="47" t="s">
        <v>63</v>
      </c>
      <c r="C37" s="31">
        <v>3.22</v>
      </c>
    </row>
    <row r="38" spans="2:3" x14ac:dyDescent="0.15">
      <c r="B38" s="47" t="s">
        <v>69</v>
      </c>
      <c r="C38" s="31">
        <v>3.23</v>
      </c>
    </row>
    <row r="39" spans="2:3" x14ac:dyDescent="0.15">
      <c r="B39" s="47"/>
      <c r="C39" s="31"/>
    </row>
    <row r="40" spans="2:3" x14ac:dyDescent="0.15">
      <c r="B40" s="47" t="s">
        <v>64</v>
      </c>
      <c r="C40" s="31">
        <v>8</v>
      </c>
    </row>
    <row r="41" spans="2:3" x14ac:dyDescent="0.15">
      <c r="B41" s="47"/>
      <c r="C41" s="31"/>
    </row>
    <row r="42" spans="2:3" x14ac:dyDescent="0.15">
      <c r="B42" s="47" t="s">
        <v>71</v>
      </c>
      <c r="C42" s="31">
        <v>4.0999999999999996</v>
      </c>
    </row>
    <row r="43" spans="2:3" x14ac:dyDescent="0.15">
      <c r="B43" s="47" t="s">
        <v>70</v>
      </c>
      <c r="C43" s="31">
        <v>4.2</v>
      </c>
    </row>
    <row r="44" spans="2:3" x14ac:dyDescent="0.15">
      <c r="B44" s="47" t="s">
        <v>72</v>
      </c>
      <c r="C44" s="31">
        <v>4.3</v>
      </c>
    </row>
    <row r="45" spans="2:3" x14ac:dyDescent="0.15">
      <c r="B45" s="30"/>
      <c r="C45" s="31"/>
    </row>
    <row r="46" spans="2:3" x14ac:dyDescent="0.15">
      <c r="B46" s="47" t="s">
        <v>138</v>
      </c>
      <c r="C46" s="31">
        <v>6.1</v>
      </c>
    </row>
    <row r="47" spans="2:3" x14ac:dyDescent="0.15">
      <c r="B47" s="47" t="s">
        <v>45</v>
      </c>
      <c r="C47" s="31">
        <v>6.2</v>
      </c>
    </row>
    <row r="48" spans="2:3" x14ac:dyDescent="0.15">
      <c r="B48" s="47"/>
      <c r="C48" s="31"/>
    </row>
    <row r="49" spans="2:4" x14ac:dyDescent="0.15">
      <c r="B49" s="47" t="s">
        <v>44</v>
      </c>
      <c r="C49" s="31">
        <v>5</v>
      </c>
    </row>
    <row r="50" spans="2:4" x14ac:dyDescent="0.15">
      <c r="B50" s="47"/>
      <c r="C50" s="31"/>
    </row>
    <row r="51" spans="2:4" ht="14" thickBot="1" x14ac:dyDescent="0.2">
      <c r="B51" s="48" t="s">
        <v>73</v>
      </c>
      <c r="C51" s="32">
        <v>7</v>
      </c>
    </row>
    <row r="53" spans="2:4" x14ac:dyDescent="0.15">
      <c r="B53" s="159" t="s">
        <v>171</v>
      </c>
      <c r="C53" s="102">
        <v>669</v>
      </c>
      <c r="D53" s="102"/>
    </row>
    <row r="54" spans="2:4" x14ac:dyDescent="0.15">
      <c r="B54" s="159" t="s">
        <v>172</v>
      </c>
      <c r="C54" s="159" t="s">
        <v>185</v>
      </c>
      <c r="D54" s="102"/>
    </row>
    <row r="55" spans="2:4" x14ac:dyDescent="0.15">
      <c r="B55" s="159" t="s">
        <v>173</v>
      </c>
      <c r="C55" s="159" t="s">
        <v>186</v>
      </c>
      <c r="D55" s="102"/>
    </row>
    <row r="56" spans="2:4" x14ac:dyDescent="0.15">
      <c r="B56" s="159" t="s">
        <v>174</v>
      </c>
      <c r="C56" s="102">
        <v>955</v>
      </c>
      <c r="D56" s="102"/>
    </row>
    <row r="57" spans="2:4" x14ac:dyDescent="0.15">
      <c r="B57" s="159" t="s">
        <v>175</v>
      </c>
      <c r="C57" s="159" t="s">
        <v>187</v>
      </c>
      <c r="D57" s="102"/>
    </row>
    <row r="58" spans="2:4" x14ac:dyDescent="0.15">
      <c r="B58" s="159" t="s">
        <v>176</v>
      </c>
      <c r="C58" s="159" t="s">
        <v>188</v>
      </c>
      <c r="D58" s="102"/>
    </row>
    <row r="59" spans="2:4" x14ac:dyDescent="0.15">
      <c r="B59" s="159" t="s">
        <v>177</v>
      </c>
      <c r="C59" s="159" t="s">
        <v>189</v>
      </c>
      <c r="D59" s="102"/>
    </row>
    <row r="60" spans="2:4" x14ac:dyDescent="0.15">
      <c r="B60" s="159" t="s">
        <v>178</v>
      </c>
      <c r="C60" s="159" t="s">
        <v>190</v>
      </c>
      <c r="D60" s="102"/>
    </row>
    <row r="61" spans="2:4" x14ac:dyDescent="0.15">
      <c r="B61" s="159" t="s">
        <v>179</v>
      </c>
      <c r="C61" s="102">
        <v>18</v>
      </c>
      <c r="D61" s="102"/>
    </row>
    <row r="62" spans="2:4" x14ac:dyDescent="0.15">
      <c r="B62" s="159" t="s">
        <v>180</v>
      </c>
      <c r="C62" s="102">
        <v>4</v>
      </c>
      <c r="D62" s="102"/>
    </row>
    <row r="63" spans="2:4" x14ac:dyDescent="0.15">
      <c r="B63" s="159" t="s">
        <v>181</v>
      </c>
      <c r="C63" s="102">
        <v>1997</v>
      </c>
      <c r="D63" s="102"/>
    </row>
    <row r="64" spans="2:4" x14ac:dyDescent="0.15">
      <c r="B64" s="159" t="s">
        <v>182</v>
      </c>
      <c r="C64" s="102">
        <v>1</v>
      </c>
      <c r="D64" s="102"/>
    </row>
    <row r="65" spans="2:4" x14ac:dyDescent="0.15">
      <c r="B65" s="159" t="s">
        <v>183</v>
      </c>
      <c r="C65" s="159" t="s">
        <v>191</v>
      </c>
      <c r="D65" s="102"/>
    </row>
    <row r="66" spans="2:4" x14ac:dyDescent="0.15">
      <c r="B66" s="159" t="s">
        <v>184</v>
      </c>
      <c r="D66" s="102"/>
    </row>
    <row r="67" spans="2:4" x14ac:dyDescent="0.15">
      <c r="B67" s="102"/>
      <c r="C67" s="102"/>
      <c r="D67" s="102"/>
    </row>
    <row r="68" spans="2:4" x14ac:dyDescent="0.15">
      <c r="B68" s="102"/>
      <c r="C68" s="102"/>
      <c r="D68" s="102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P6" sqref="P6"/>
    </sheetView>
  </sheetViews>
  <sheetFormatPr baseColWidth="10" defaultColWidth="8.83203125" defaultRowHeight="15" customHeight="1" x14ac:dyDescent="0.15"/>
  <cols>
    <col min="1" max="1" width="22.5" style="75" customWidth="1"/>
    <col min="2" max="3" width="3.33203125" style="75" customWidth="1"/>
    <col min="4" max="4" width="14.33203125" style="75" customWidth="1"/>
    <col min="5" max="5" width="21.6640625" style="75" bestFit="1" customWidth="1"/>
    <col min="6" max="6" width="2.33203125" style="75" bestFit="1" customWidth="1"/>
    <col min="7" max="7" width="5.83203125" style="75" bestFit="1" customWidth="1"/>
    <col min="8" max="9" width="6.83203125" style="75" customWidth="1"/>
    <col min="10" max="10" width="12.83203125" style="75" customWidth="1"/>
    <col min="11" max="11" width="11.83203125" style="75" customWidth="1"/>
    <col min="12" max="12" width="2.33203125" style="75" customWidth="1"/>
    <col min="13" max="13" width="3.83203125" style="75" customWidth="1"/>
    <col min="14" max="14" width="2.33203125" style="75" customWidth="1"/>
    <col min="16" max="25" width="8.83203125" style="75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5"/>
  </cols>
  <sheetData>
    <row r="1" spans="1:46" s="92" customFormat="1" ht="15" customHeight="1" x14ac:dyDescent="0.15">
      <c r="A1" s="71" t="s">
        <v>18</v>
      </c>
      <c r="C1" s="72" t="s">
        <v>8</v>
      </c>
      <c r="D1" s="71" t="s">
        <v>23</v>
      </c>
      <c r="E1" s="71" t="s">
        <v>0</v>
      </c>
      <c r="F1" s="71" t="s">
        <v>7</v>
      </c>
      <c r="G1" s="73" t="s">
        <v>13</v>
      </c>
      <c r="H1" s="71" t="s">
        <v>1</v>
      </c>
      <c r="I1" s="71" t="s">
        <v>2</v>
      </c>
      <c r="J1" s="71" t="s">
        <v>14</v>
      </c>
      <c r="K1" s="71" t="s">
        <v>3</v>
      </c>
      <c r="L1" s="71" t="s">
        <v>4</v>
      </c>
      <c r="M1" s="71" t="s">
        <v>5</v>
      </c>
      <c r="N1" s="71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2">
        <v>1</v>
      </c>
      <c r="D2"/>
      <c r="E2" s="160" t="s">
        <v>192</v>
      </c>
      <c r="F2" s="75">
        <v>1</v>
      </c>
      <c r="G2" s="75">
        <v>10.08</v>
      </c>
      <c r="H2" s="75">
        <v>102.56</v>
      </c>
      <c r="I2" s="6">
        <v>0</v>
      </c>
      <c r="J2" s="6">
        <v>0.7000149</v>
      </c>
      <c r="K2" s="6">
        <v>0</v>
      </c>
      <c r="L2" s="6">
        <v>0</v>
      </c>
      <c r="M2" s="75">
        <v>0</v>
      </c>
      <c r="N2" s="75">
        <v>0</v>
      </c>
    </row>
    <row r="3" spans="1:46" ht="15" customHeight="1" x14ac:dyDescent="0.15">
      <c r="A3" s="1" t="s">
        <v>9</v>
      </c>
      <c r="B3" s="4">
        <v>17</v>
      </c>
      <c r="C3" s="75">
        <v>2</v>
      </c>
      <c r="D3"/>
      <c r="E3" s="160" t="s">
        <v>193</v>
      </c>
      <c r="F3" s="75">
        <v>1</v>
      </c>
      <c r="G3" s="75">
        <v>5.2999999999999999E-2</v>
      </c>
      <c r="H3" s="75">
        <v>11</v>
      </c>
      <c r="I3" s="75">
        <v>0</v>
      </c>
      <c r="J3" s="75">
        <v>0.69770693800000005</v>
      </c>
      <c r="K3" s="75">
        <v>0</v>
      </c>
      <c r="L3" s="75">
        <v>0</v>
      </c>
      <c r="M3" s="75">
        <v>0</v>
      </c>
      <c r="N3" s="75">
        <v>0</v>
      </c>
    </row>
    <row r="4" spans="1:46" ht="15" customHeight="1" x14ac:dyDescent="0.15">
      <c r="A4" s="1" t="s">
        <v>10</v>
      </c>
      <c r="B4" s="4">
        <v>2</v>
      </c>
      <c r="C4" s="75">
        <v>3</v>
      </c>
      <c r="D4"/>
      <c r="E4" s="160" t="s">
        <v>194</v>
      </c>
      <c r="F4" s="75">
        <v>0</v>
      </c>
      <c r="G4" s="75">
        <v>6.29</v>
      </c>
      <c r="H4" s="75">
        <v>18.7</v>
      </c>
      <c r="I4" s="75">
        <v>125.41</v>
      </c>
      <c r="J4" s="75">
        <v>0.68721765300000004</v>
      </c>
      <c r="K4" s="75">
        <v>0.14911091300000001</v>
      </c>
      <c r="L4" s="75">
        <v>0</v>
      </c>
      <c r="M4" s="75">
        <v>0.2</v>
      </c>
      <c r="N4" s="75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4</v>
      </c>
      <c r="C5" s="75">
        <v>4</v>
      </c>
      <c r="D5"/>
      <c r="E5" s="160" t="s">
        <v>195</v>
      </c>
      <c r="F5" s="75">
        <v>0</v>
      </c>
      <c r="G5" s="75">
        <v>15</v>
      </c>
      <c r="H5" s="75">
        <v>7</v>
      </c>
      <c r="I5" s="75">
        <v>27</v>
      </c>
      <c r="J5" s="75">
        <v>0.97504985300000002</v>
      </c>
      <c r="K5" s="75">
        <v>0.25925925399999999</v>
      </c>
      <c r="L5" s="75">
        <v>0</v>
      </c>
      <c r="M5" s="75">
        <v>0.2</v>
      </c>
      <c r="N5" s="75">
        <v>0</v>
      </c>
      <c r="P5" s="68"/>
      <c r="Q5" s="68"/>
      <c r="R5" s="68"/>
    </row>
    <row r="6" spans="1:46" ht="15" customHeight="1" thickBot="1" x14ac:dyDescent="0.2">
      <c r="B6" s="1"/>
      <c r="C6" s="75">
        <v>5</v>
      </c>
      <c r="D6"/>
      <c r="E6" s="160" t="s">
        <v>196</v>
      </c>
      <c r="F6" s="75">
        <v>0</v>
      </c>
      <c r="G6" s="75">
        <v>5</v>
      </c>
      <c r="H6" s="75">
        <v>5</v>
      </c>
      <c r="I6" s="75">
        <v>19</v>
      </c>
      <c r="J6" s="75">
        <v>0.86806209999999995</v>
      </c>
      <c r="K6" s="75">
        <v>0.2631579</v>
      </c>
      <c r="L6" s="75">
        <v>0</v>
      </c>
      <c r="M6" s="75">
        <v>0.2</v>
      </c>
      <c r="N6" s="75">
        <v>0</v>
      </c>
      <c r="P6" s="68"/>
      <c r="Q6" s="68"/>
      <c r="R6" s="68"/>
      <c r="W6" s="34" t="s">
        <v>31</v>
      </c>
      <c r="X6" s="50">
        <f>MAX(MainOutputs!G:G)</f>
        <v>0.97504985332489014</v>
      </c>
    </row>
    <row r="7" spans="1:46" ht="15" customHeight="1" x14ac:dyDescent="0.15">
      <c r="A7" s="2" t="s">
        <v>27</v>
      </c>
      <c r="B7" s="75">
        <f ca="1">COUNTIF(OFFSET(cornerDiets,1,1,NumLiving+NumDead+1,NumLiving+NumDead),"&gt;0")+NumLiving+NumDead+1</f>
        <v>122</v>
      </c>
      <c r="C7" s="75">
        <v>6</v>
      </c>
      <c r="D7"/>
      <c r="E7" s="160" t="s">
        <v>197</v>
      </c>
      <c r="F7" s="75">
        <v>0</v>
      </c>
      <c r="G7" s="75">
        <v>0.70399999999999996</v>
      </c>
      <c r="H7" s="75">
        <v>7.57</v>
      </c>
      <c r="I7" s="75">
        <v>28</v>
      </c>
      <c r="J7" s="75">
        <v>0.90091290000000002</v>
      </c>
      <c r="K7" s="75">
        <v>0.27035716199999998</v>
      </c>
      <c r="L7" s="75">
        <v>0</v>
      </c>
      <c r="M7" s="75">
        <v>0.2</v>
      </c>
      <c r="N7" s="75">
        <v>0</v>
      </c>
      <c r="P7" s="68"/>
      <c r="Q7" s="68"/>
      <c r="R7" s="68"/>
    </row>
    <row r="8" spans="1:46" ht="15" customHeight="1" x14ac:dyDescent="0.15">
      <c r="A8" s="2" t="s">
        <v>28</v>
      </c>
      <c r="B8" s="75">
        <f ca="1">COUNTIF(OFFSET(cornerFishing,1,2,NumLiving+NumDead,NumGears),"&gt;0")+NumDead*COUNTIF(OFFSET(cornerDiscards,1,2,NumLiving+NumDead,NumGears),"&gt;0")+NumLiving+NumDead+1</f>
        <v>46</v>
      </c>
      <c r="C8" s="75">
        <v>7</v>
      </c>
      <c r="D8"/>
      <c r="E8" s="160" t="s">
        <v>198</v>
      </c>
      <c r="F8" s="75">
        <v>0</v>
      </c>
      <c r="G8" s="75">
        <v>0.83499999999999996</v>
      </c>
      <c r="H8" s="75">
        <v>3.37</v>
      </c>
      <c r="I8" s="75">
        <v>18.98</v>
      </c>
      <c r="J8" s="75">
        <v>0.89960450000000003</v>
      </c>
      <c r="K8" s="75">
        <v>0.17755532299999999</v>
      </c>
      <c r="L8" s="75">
        <v>0</v>
      </c>
      <c r="M8" s="75">
        <v>0.2</v>
      </c>
      <c r="N8" s="75">
        <v>0</v>
      </c>
      <c r="P8" s="68"/>
      <c r="Q8" s="68"/>
      <c r="R8" s="68"/>
    </row>
    <row r="9" spans="1:46" ht="15" customHeight="1" x14ac:dyDescent="0.15">
      <c r="B9" s="1"/>
      <c r="C9" s="75">
        <v>8</v>
      </c>
      <c r="D9"/>
      <c r="E9" s="160" t="s">
        <v>199</v>
      </c>
      <c r="F9" s="75">
        <v>0</v>
      </c>
      <c r="G9" s="75">
        <v>0.15</v>
      </c>
      <c r="H9" s="75">
        <v>1</v>
      </c>
      <c r="I9" s="75">
        <v>4.5</v>
      </c>
      <c r="J9" s="75">
        <v>0.85986995700000002</v>
      </c>
      <c r="K9" s="75">
        <v>0.222222224</v>
      </c>
      <c r="L9" s="75">
        <v>0</v>
      </c>
      <c r="M9" s="75">
        <v>0.2</v>
      </c>
      <c r="N9" s="75">
        <v>0</v>
      </c>
      <c r="P9" s="68"/>
      <c r="Q9" s="68"/>
      <c r="R9" s="68"/>
    </row>
    <row r="10" spans="1:46" ht="15" customHeight="1" x14ac:dyDescent="0.15">
      <c r="B10" s="1"/>
      <c r="C10" s="75">
        <v>9</v>
      </c>
      <c r="D10"/>
      <c r="E10" s="160" t="s">
        <v>200</v>
      </c>
      <c r="F10" s="75">
        <v>0</v>
      </c>
      <c r="G10" s="75">
        <v>1.3</v>
      </c>
      <c r="H10" s="75">
        <v>3.8</v>
      </c>
      <c r="I10" s="75">
        <v>14.16</v>
      </c>
      <c r="J10" s="75">
        <v>0.83651180000000003</v>
      </c>
      <c r="K10" s="75">
        <v>0.26836156799999999</v>
      </c>
      <c r="L10" s="75">
        <v>0</v>
      </c>
      <c r="M10" s="75">
        <v>0.2</v>
      </c>
      <c r="N10" s="75">
        <v>0</v>
      </c>
    </row>
    <row r="11" spans="1:46" ht="15" customHeight="1" x14ac:dyDescent="0.15">
      <c r="C11" s="75">
        <v>10</v>
      </c>
      <c r="D11"/>
      <c r="E11" s="160" t="s">
        <v>201</v>
      </c>
      <c r="F11" s="75">
        <v>0</v>
      </c>
      <c r="G11" s="75">
        <v>0.48</v>
      </c>
      <c r="H11" s="75">
        <v>0.8</v>
      </c>
      <c r="I11" s="75">
        <v>7.39</v>
      </c>
      <c r="J11" s="75">
        <v>0.53199730000000001</v>
      </c>
      <c r="K11" s="75">
        <v>0.1082544</v>
      </c>
      <c r="L11" s="75">
        <v>0</v>
      </c>
      <c r="M11" s="75">
        <v>0.2</v>
      </c>
      <c r="N11" s="75">
        <v>0</v>
      </c>
    </row>
    <row r="12" spans="1:46" ht="15" customHeight="1" x14ac:dyDescent="0.15">
      <c r="C12" s="75">
        <v>11</v>
      </c>
      <c r="D12"/>
      <c r="E12" s="160" t="s">
        <v>202</v>
      </c>
      <c r="F12" s="75">
        <v>0</v>
      </c>
      <c r="G12" s="75">
        <v>0.28000000000000003</v>
      </c>
      <c r="H12" s="75">
        <v>0.76</v>
      </c>
      <c r="I12" s="75">
        <v>11.85</v>
      </c>
      <c r="J12" s="75">
        <v>0.92165213800000001</v>
      </c>
      <c r="K12" s="75">
        <v>6.4135015000000004E-2</v>
      </c>
      <c r="L12" s="75">
        <v>0</v>
      </c>
      <c r="M12" s="75">
        <v>0.2</v>
      </c>
      <c r="N12" s="75">
        <v>0</v>
      </c>
    </row>
    <row r="13" spans="1:46" ht="15" customHeight="1" x14ac:dyDescent="0.15">
      <c r="C13" s="75">
        <v>12</v>
      </c>
      <c r="D13"/>
      <c r="E13" s="160" t="s">
        <v>203</v>
      </c>
      <c r="F13" s="75">
        <v>0</v>
      </c>
      <c r="G13" s="75">
        <v>0.12</v>
      </c>
      <c r="H13" s="75">
        <v>1.58</v>
      </c>
      <c r="I13" s="75">
        <v>15.3</v>
      </c>
      <c r="J13" s="75">
        <v>0.96736279999999997</v>
      </c>
      <c r="K13" s="75">
        <v>0.103267975</v>
      </c>
      <c r="L13" s="75">
        <v>0</v>
      </c>
      <c r="M13" s="75">
        <v>0.2</v>
      </c>
      <c r="N13" s="75">
        <v>0</v>
      </c>
    </row>
    <row r="14" spans="1:46" ht="15" customHeight="1" x14ac:dyDescent="0.15">
      <c r="C14" s="75">
        <v>13</v>
      </c>
      <c r="D14"/>
      <c r="E14" s="160" t="s">
        <v>204</v>
      </c>
      <c r="F14" s="75">
        <v>0</v>
      </c>
      <c r="G14" s="75">
        <v>0.8</v>
      </c>
      <c r="H14" s="75">
        <v>2.2999999999999998</v>
      </c>
      <c r="I14" s="75">
        <v>8.5500000000000007</v>
      </c>
      <c r="J14" s="75">
        <v>0.84701824199999998</v>
      </c>
      <c r="K14" s="75">
        <v>0.26900583500000003</v>
      </c>
      <c r="L14" s="75">
        <v>0</v>
      </c>
      <c r="M14" s="75">
        <v>0.2</v>
      </c>
      <c r="N14" s="75">
        <v>0</v>
      </c>
    </row>
    <row r="15" spans="1:46" ht="15" customHeight="1" x14ac:dyDescent="0.15">
      <c r="C15" s="75">
        <v>14</v>
      </c>
      <c r="D15"/>
      <c r="E15" s="160" t="s">
        <v>205</v>
      </c>
      <c r="F15" s="75">
        <v>0</v>
      </c>
      <c r="G15" s="75">
        <v>0.33</v>
      </c>
      <c r="H15" s="75">
        <v>0.91</v>
      </c>
      <c r="I15" s="75">
        <v>8.8000000000000007</v>
      </c>
      <c r="J15" s="75">
        <v>0.95850813400000001</v>
      </c>
      <c r="K15" s="75">
        <v>0.103409089</v>
      </c>
      <c r="L15" s="75">
        <v>0</v>
      </c>
      <c r="M15" s="75">
        <v>0.2</v>
      </c>
      <c r="N15" s="75">
        <v>0</v>
      </c>
    </row>
    <row r="16" spans="1:46" ht="15" customHeight="1" x14ac:dyDescent="0.15">
      <c r="C16" s="75">
        <v>15</v>
      </c>
      <c r="D16"/>
      <c r="E16" s="160" t="s">
        <v>206</v>
      </c>
      <c r="F16" s="75">
        <v>0</v>
      </c>
      <c r="G16" s="75">
        <v>0.27</v>
      </c>
      <c r="H16" s="75">
        <v>0.6</v>
      </c>
      <c r="I16" s="75">
        <v>6</v>
      </c>
      <c r="J16" s="75">
        <v>0.74437946099999996</v>
      </c>
      <c r="K16" s="75">
        <v>0.1</v>
      </c>
      <c r="L16" s="75">
        <v>0</v>
      </c>
      <c r="M16" s="75">
        <v>0.2</v>
      </c>
      <c r="N16" s="75">
        <v>0</v>
      </c>
    </row>
    <row r="17" spans="1:22" ht="15" customHeight="1" x14ac:dyDescent="0.15">
      <c r="C17" s="75">
        <v>16</v>
      </c>
      <c r="D17"/>
      <c r="E17" s="160" t="s">
        <v>207</v>
      </c>
      <c r="F17" s="75">
        <v>0</v>
      </c>
      <c r="G17" s="75">
        <v>0.45</v>
      </c>
      <c r="H17" s="75">
        <v>0.89</v>
      </c>
      <c r="I17" s="75">
        <v>6.99</v>
      </c>
      <c r="J17" s="75">
        <v>0.83709603499999996</v>
      </c>
      <c r="K17" s="75">
        <v>0.12732474499999999</v>
      </c>
      <c r="L17" s="75">
        <v>0</v>
      </c>
      <c r="M17" s="75">
        <v>0.2</v>
      </c>
      <c r="N17" s="75">
        <v>0</v>
      </c>
      <c r="V17" s="1" t="s">
        <v>30</v>
      </c>
    </row>
    <row r="18" spans="1:22" ht="15" customHeight="1" x14ac:dyDescent="0.15">
      <c r="C18" s="75">
        <v>17</v>
      </c>
      <c r="D18"/>
      <c r="E18" s="160" t="s">
        <v>208</v>
      </c>
      <c r="F18" s="75">
        <v>0</v>
      </c>
      <c r="G18" s="75">
        <v>0.04</v>
      </c>
      <c r="H18" s="75">
        <v>0.6</v>
      </c>
      <c r="I18" s="75">
        <v>5.3</v>
      </c>
      <c r="J18" s="75">
        <v>4.1666667900000003E-2</v>
      </c>
      <c r="K18" s="75">
        <v>0.113207549</v>
      </c>
      <c r="L18" s="75">
        <v>0</v>
      </c>
      <c r="M18" s="75">
        <v>0.2</v>
      </c>
      <c r="N18" s="75">
        <v>0</v>
      </c>
      <c r="V18" s="1"/>
    </row>
    <row r="19" spans="1:22" ht="15" customHeight="1" x14ac:dyDescent="0.15">
      <c r="C19" s="75">
        <v>18</v>
      </c>
      <c r="D19"/>
      <c r="E19" s="160" t="s">
        <v>209</v>
      </c>
      <c r="F19" s="75">
        <v>2</v>
      </c>
      <c r="G19" s="75">
        <v>0</v>
      </c>
      <c r="H19" s="75">
        <v>0</v>
      </c>
      <c r="I19" s="75">
        <v>0</v>
      </c>
      <c r="J19" s="75">
        <v>0</v>
      </c>
      <c r="K19" s="75">
        <v>0</v>
      </c>
      <c r="L19" s="75">
        <v>0</v>
      </c>
      <c r="M19" s="75">
        <v>0</v>
      </c>
      <c r="N19" s="75">
        <v>0</v>
      </c>
    </row>
    <row r="20" spans="1:22" ht="15" customHeight="1" thickBot="1" x14ac:dyDescent="0.2">
      <c r="C20" s="75">
        <v>19</v>
      </c>
      <c r="D20"/>
      <c r="E20" s="160" t="s">
        <v>210</v>
      </c>
      <c r="F20" s="75">
        <v>2</v>
      </c>
      <c r="G20" s="75">
        <v>5</v>
      </c>
      <c r="H20" s="75">
        <v>0</v>
      </c>
      <c r="I20" s="75">
        <v>0</v>
      </c>
      <c r="J20" s="75">
        <v>0</v>
      </c>
      <c r="K20" s="75">
        <v>0</v>
      </c>
      <c r="L20" s="75">
        <v>0</v>
      </c>
      <c r="M20" s="75">
        <v>0</v>
      </c>
      <c r="N20" s="75">
        <v>0</v>
      </c>
    </row>
    <row r="21" spans="1:22" ht="15" customHeight="1" thickBot="1" x14ac:dyDescent="0.2">
      <c r="A21" s="45" t="s">
        <v>137</v>
      </c>
      <c r="B21" s="93"/>
      <c r="C21" s="75">
        <v>20</v>
      </c>
      <c r="D21"/>
      <c r="E21" s="160" t="s">
        <v>211</v>
      </c>
      <c r="F21" s="75">
        <v>3</v>
      </c>
      <c r="G21" s="75">
        <v>0</v>
      </c>
      <c r="H21" s="75">
        <v>0</v>
      </c>
      <c r="I21" s="75">
        <v>0</v>
      </c>
      <c r="J21" s="75">
        <v>0</v>
      </c>
      <c r="K21" s="75">
        <v>0</v>
      </c>
      <c r="L21" s="75">
        <v>0</v>
      </c>
      <c r="M21" s="75">
        <v>0</v>
      </c>
      <c r="N21" s="75">
        <v>0</v>
      </c>
    </row>
    <row r="22" spans="1:22" ht="15" customHeight="1" x14ac:dyDescent="0.15">
      <c r="A22" s="94" t="s">
        <v>58</v>
      </c>
      <c r="B22" s="95">
        <v>0</v>
      </c>
      <c r="C22" s="75">
        <v>21</v>
      </c>
      <c r="D22"/>
      <c r="E22" s="160" t="s">
        <v>212</v>
      </c>
      <c r="F22" s="75">
        <v>3</v>
      </c>
      <c r="G22" s="75">
        <v>0</v>
      </c>
      <c r="H22" s="75">
        <v>0</v>
      </c>
      <c r="I22" s="75">
        <v>0</v>
      </c>
      <c r="J22" s="75">
        <v>0</v>
      </c>
      <c r="K22" s="75">
        <v>0</v>
      </c>
      <c r="L22" s="75">
        <v>0</v>
      </c>
      <c r="M22" s="75">
        <v>0</v>
      </c>
      <c r="N22" s="75">
        <v>0</v>
      </c>
    </row>
    <row r="23" spans="1:22" ht="15" customHeight="1" x14ac:dyDescent="0.15">
      <c r="A23" s="94" t="s">
        <v>59</v>
      </c>
      <c r="B23" s="95">
        <v>1</v>
      </c>
      <c r="C23" s="75">
        <v>22</v>
      </c>
      <c r="D23"/>
      <c r="E23" s="160" t="s">
        <v>213</v>
      </c>
      <c r="F23" s="75">
        <v>3</v>
      </c>
      <c r="G23" s="75">
        <v>0</v>
      </c>
      <c r="H23" s="75">
        <v>0</v>
      </c>
      <c r="I23" s="75">
        <v>0</v>
      </c>
      <c r="J23" s="75">
        <v>0</v>
      </c>
      <c r="K23" s="75">
        <v>0</v>
      </c>
      <c r="L23" s="75">
        <v>0</v>
      </c>
      <c r="M23" s="75">
        <v>0</v>
      </c>
      <c r="N23" s="75">
        <v>0</v>
      </c>
    </row>
    <row r="24" spans="1:22" ht="15" customHeight="1" x14ac:dyDescent="0.15">
      <c r="A24" s="94" t="s">
        <v>60</v>
      </c>
      <c r="B24" s="95">
        <v>2</v>
      </c>
      <c r="C24" s="75">
        <v>23</v>
      </c>
      <c r="D24"/>
      <c r="E24" s="160" t="s">
        <v>214</v>
      </c>
      <c r="F24" s="75">
        <v>3</v>
      </c>
      <c r="G24" s="75">
        <v>0</v>
      </c>
      <c r="H24" s="75">
        <v>0</v>
      </c>
      <c r="I24" s="75">
        <v>0</v>
      </c>
      <c r="J24" s="75">
        <v>0</v>
      </c>
      <c r="K24" s="75">
        <v>0</v>
      </c>
      <c r="L24" s="75">
        <v>0</v>
      </c>
      <c r="M24" s="75">
        <v>0</v>
      </c>
      <c r="N24" s="75">
        <v>0</v>
      </c>
    </row>
    <row r="25" spans="1:22" ht="15" customHeight="1" thickBot="1" x14ac:dyDescent="0.2">
      <c r="A25" s="96" t="s">
        <v>44</v>
      </c>
      <c r="B25" s="97">
        <v>3</v>
      </c>
      <c r="C25"/>
      <c r="D25"/>
      <c r="E25"/>
      <c r="F25"/>
      <c r="G25"/>
      <c r="H25"/>
      <c r="I25"/>
      <c r="J25"/>
      <c r="K25"/>
      <c r="L25"/>
      <c r="M25"/>
      <c r="N25"/>
    </row>
    <row r="26" spans="1:22" ht="15" customHeight="1" x14ac:dyDescent="0.15">
      <c r="A26" s="98" t="s">
        <v>140</v>
      </c>
      <c r="C26"/>
      <c r="D26"/>
      <c r="E26"/>
      <c r="F26"/>
      <c r="G26"/>
      <c r="H26"/>
      <c r="I26"/>
      <c r="J26"/>
      <c r="K26"/>
      <c r="L26"/>
      <c r="M26"/>
      <c r="N26"/>
    </row>
    <row r="27" spans="1:22" ht="15" customHeight="1" x14ac:dyDescent="0.15">
      <c r="C27"/>
      <c r="D27"/>
      <c r="E27"/>
      <c r="F27"/>
      <c r="G27"/>
      <c r="H27"/>
      <c r="I27"/>
      <c r="J27"/>
      <c r="K27"/>
      <c r="L27"/>
      <c r="M27"/>
      <c r="N27"/>
    </row>
    <row r="28" spans="1:22" ht="15" customHeight="1" x14ac:dyDescent="0.15">
      <c r="C28"/>
      <c r="D28"/>
      <c r="E28"/>
      <c r="F28"/>
      <c r="G28"/>
      <c r="H28"/>
      <c r="I28"/>
      <c r="J28"/>
      <c r="K28"/>
      <c r="L28"/>
      <c r="M28"/>
      <c r="N28"/>
    </row>
    <row r="29" spans="1:22" customFormat="1" ht="15" customHeight="1" x14ac:dyDescent="0.15"/>
    <row r="30" spans="1:22" customFormat="1" ht="15" customHeight="1" x14ac:dyDescent="0.15"/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34" bestFit="1" customWidth="1"/>
    <col min="2" max="3" width="2.33203125" style="134" bestFit="1" customWidth="1"/>
    <col min="4" max="7" width="4.83203125" style="134" bestFit="1" customWidth="1"/>
    <col min="8" max="8" width="3.83203125" style="134" bestFit="1" customWidth="1"/>
    <col min="9" max="9" width="5.83203125" style="134" bestFit="1" customWidth="1"/>
    <col min="10" max="10" width="4.83203125" style="134" bestFit="1" customWidth="1"/>
    <col min="11" max="11" width="5.83203125" style="134" bestFit="1" customWidth="1"/>
    <col min="12" max="12" width="14.83203125" style="134" bestFit="1" customWidth="1"/>
    <col min="13" max="15" width="13.83203125" style="134" bestFit="1" customWidth="1"/>
    <col min="16" max="17" width="5.83203125" style="134" bestFit="1" customWidth="1"/>
    <col min="18" max="18" width="14.83203125" style="134" bestFit="1" customWidth="1"/>
    <col min="19" max="20" width="2.33203125" style="134" bestFit="1" customWidth="1"/>
    <col min="21" max="29" width="9" style="134" bestFit="1" customWidth="1"/>
    <col min="30" max="16384" width="8.83203125" style="134"/>
  </cols>
  <sheetData>
    <row r="1" spans="1:34" x14ac:dyDescent="0.15">
      <c r="A1" s="133" t="s">
        <v>19</v>
      </c>
      <c r="B1" s="162" t="s">
        <v>192</v>
      </c>
      <c r="C1" s="162" t="s">
        <v>193</v>
      </c>
      <c r="D1" s="162" t="s">
        <v>194</v>
      </c>
      <c r="E1" s="162" t="s">
        <v>195</v>
      </c>
      <c r="F1" s="162" t="s">
        <v>196</v>
      </c>
      <c r="G1" s="162" t="s">
        <v>197</v>
      </c>
      <c r="H1" s="162" t="s">
        <v>198</v>
      </c>
      <c r="I1" s="162" t="s">
        <v>199</v>
      </c>
      <c r="J1" s="162" t="s">
        <v>200</v>
      </c>
      <c r="K1" s="162" t="s">
        <v>201</v>
      </c>
      <c r="L1" s="162" t="s">
        <v>202</v>
      </c>
      <c r="M1" s="162" t="s">
        <v>203</v>
      </c>
      <c r="N1" s="162" t="s">
        <v>204</v>
      </c>
      <c r="O1" s="162" t="s">
        <v>205</v>
      </c>
      <c r="P1" s="162" t="s">
        <v>206</v>
      </c>
      <c r="Q1" s="162" t="s">
        <v>207</v>
      </c>
      <c r="R1" s="162" t="s">
        <v>208</v>
      </c>
      <c r="S1" s="162" t="s">
        <v>209</v>
      </c>
      <c r="T1" s="162" t="s">
        <v>210</v>
      </c>
      <c r="U1"/>
      <c r="V1"/>
      <c r="W1"/>
      <c r="X1"/>
      <c r="Y1"/>
      <c r="Z1"/>
      <c r="AA1"/>
      <c r="AB1"/>
      <c r="AC1"/>
      <c r="AD1"/>
      <c r="AE1"/>
      <c r="AF1"/>
      <c r="AG1"/>
      <c r="AH1"/>
    </row>
    <row r="2" spans="1:34" customFormat="1" x14ac:dyDescent="0.15">
      <c r="A2" s="161" t="s">
        <v>192</v>
      </c>
      <c r="B2" s="134">
        <v>0</v>
      </c>
      <c r="C2" s="134">
        <v>0</v>
      </c>
      <c r="D2" s="134">
        <v>0.85</v>
      </c>
      <c r="E2" s="134">
        <v>0.1</v>
      </c>
      <c r="F2" s="134">
        <v>0.05</v>
      </c>
      <c r="G2" s="134">
        <v>0</v>
      </c>
      <c r="H2" s="134">
        <v>0.5</v>
      </c>
      <c r="I2" s="134">
        <v>0</v>
      </c>
      <c r="J2" s="134">
        <v>0</v>
      </c>
      <c r="K2" s="134">
        <v>0</v>
      </c>
      <c r="L2" s="134">
        <v>0</v>
      </c>
      <c r="M2" s="134">
        <v>0</v>
      </c>
      <c r="N2" s="134">
        <v>0</v>
      </c>
      <c r="O2" s="134">
        <v>0</v>
      </c>
      <c r="P2" s="134">
        <v>0</v>
      </c>
      <c r="Q2" s="134">
        <v>0</v>
      </c>
      <c r="R2" s="134">
        <v>0</v>
      </c>
      <c r="S2" s="134">
        <v>0</v>
      </c>
      <c r="T2" s="134">
        <v>0</v>
      </c>
    </row>
    <row r="3" spans="1:34" customFormat="1" x14ac:dyDescent="0.15">
      <c r="A3" s="161" t="s">
        <v>193</v>
      </c>
      <c r="B3" s="134">
        <v>0</v>
      </c>
      <c r="C3" s="134">
        <v>0</v>
      </c>
      <c r="D3" s="134">
        <v>0</v>
      </c>
      <c r="E3" s="134">
        <v>0</v>
      </c>
      <c r="F3" s="134">
        <v>0</v>
      </c>
      <c r="G3" s="134">
        <v>0</v>
      </c>
      <c r="H3" s="134">
        <v>0</v>
      </c>
      <c r="I3" s="134">
        <v>0</v>
      </c>
      <c r="J3" s="134">
        <v>0</v>
      </c>
      <c r="K3" s="134">
        <v>8.9999999999999993E-3</v>
      </c>
      <c r="L3" s="134">
        <v>9.9999997309999818E-3</v>
      </c>
      <c r="M3" s="134">
        <v>0</v>
      </c>
      <c r="N3" s="134">
        <v>4.9950052787212949E-2</v>
      </c>
      <c r="O3" s="134">
        <v>0</v>
      </c>
      <c r="P3" s="134">
        <v>0</v>
      </c>
      <c r="Q3" s="134">
        <v>0</v>
      </c>
      <c r="R3" s="134">
        <v>0</v>
      </c>
      <c r="S3" s="134">
        <v>0</v>
      </c>
      <c r="T3" s="134">
        <v>0</v>
      </c>
    </row>
    <row r="4" spans="1:34" customFormat="1" x14ac:dyDescent="0.15">
      <c r="A4" s="161" t="s">
        <v>194</v>
      </c>
      <c r="B4" s="134">
        <v>0</v>
      </c>
      <c r="C4" s="134">
        <v>0</v>
      </c>
      <c r="D4" s="134">
        <v>0.05</v>
      </c>
      <c r="E4" s="134">
        <v>0.05</v>
      </c>
      <c r="F4" s="134">
        <v>0.1</v>
      </c>
      <c r="G4" s="134">
        <v>0.25</v>
      </c>
      <c r="H4" s="134">
        <v>0.4</v>
      </c>
      <c r="I4" s="134">
        <v>0</v>
      </c>
      <c r="J4" s="134">
        <v>0</v>
      </c>
      <c r="K4" s="134">
        <v>0</v>
      </c>
      <c r="L4" s="134">
        <v>0</v>
      </c>
      <c r="M4" s="134">
        <v>0</v>
      </c>
      <c r="N4" s="134">
        <v>3.8961040174026046E-2</v>
      </c>
      <c r="O4" s="134">
        <v>3.6963038466133719E-2</v>
      </c>
      <c r="P4" s="134">
        <v>0</v>
      </c>
      <c r="Q4" s="134">
        <v>0</v>
      </c>
      <c r="R4" s="134">
        <v>0</v>
      </c>
      <c r="S4" s="134">
        <v>0</v>
      </c>
      <c r="T4" s="134">
        <v>0</v>
      </c>
    </row>
    <row r="5" spans="1:34" customFormat="1" x14ac:dyDescent="0.15">
      <c r="A5" s="161" t="s">
        <v>195</v>
      </c>
      <c r="B5" s="134">
        <v>0</v>
      </c>
      <c r="C5" s="134">
        <v>0</v>
      </c>
      <c r="D5" s="134">
        <v>0</v>
      </c>
      <c r="E5" s="134">
        <v>0.15</v>
      </c>
      <c r="F5" s="134">
        <v>0.35</v>
      </c>
      <c r="G5" s="134">
        <v>0.1</v>
      </c>
      <c r="H5" s="134">
        <v>0</v>
      </c>
      <c r="I5" s="134">
        <v>0.34399999999999997</v>
      </c>
      <c r="J5" s="134">
        <v>0.2</v>
      </c>
      <c r="K5" s="134">
        <v>0.33400000000000002</v>
      </c>
      <c r="L5" s="134">
        <v>0.10999999304099949</v>
      </c>
      <c r="M5" s="134">
        <v>0.28871129258781236</v>
      </c>
      <c r="N5" s="134">
        <v>3.9960040129770245E-2</v>
      </c>
      <c r="O5" s="134">
        <v>0</v>
      </c>
      <c r="P5" s="134">
        <v>2.8999999999999995E-2</v>
      </c>
      <c r="Q5" s="134">
        <v>2.7E-2</v>
      </c>
      <c r="R5" s="134">
        <v>4.8000001957599757E-2</v>
      </c>
      <c r="S5" s="134">
        <v>0</v>
      </c>
      <c r="T5" s="134">
        <v>0</v>
      </c>
    </row>
    <row r="6" spans="1:34" customFormat="1" x14ac:dyDescent="0.15">
      <c r="A6" s="161" t="s">
        <v>196</v>
      </c>
      <c r="B6" s="134">
        <v>0</v>
      </c>
      <c r="C6" s="134">
        <v>0</v>
      </c>
      <c r="D6" s="134">
        <v>0</v>
      </c>
      <c r="E6" s="134">
        <v>0</v>
      </c>
      <c r="F6" s="134">
        <v>0.05</v>
      </c>
      <c r="G6" s="134">
        <v>0.15</v>
      </c>
      <c r="H6" s="134">
        <v>0.1</v>
      </c>
      <c r="I6" s="134">
        <v>0.16200000000000001</v>
      </c>
      <c r="J6" s="134">
        <v>0.2</v>
      </c>
      <c r="K6" s="134">
        <v>0.29699999999999999</v>
      </c>
      <c r="L6" s="134">
        <v>0.6460000152226012</v>
      </c>
      <c r="M6" s="134">
        <v>0.12087911927032959</v>
      </c>
      <c r="N6" s="134">
        <v>0.49450549259340648</v>
      </c>
      <c r="O6" s="134">
        <v>0.14985014607892141</v>
      </c>
      <c r="P6" s="134">
        <v>0.34199999999999997</v>
      </c>
      <c r="Q6" s="134">
        <v>0.251</v>
      </c>
      <c r="R6" s="134">
        <v>0.17899999783980028</v>
      </c>
      <c r="S6" s="134">
        <v>0</v>
      </c>
      <c r="T6" s="134">
        <v>0</v>
      </c>
    </row>
    <row r="7" spans="1:34" customFormat="1" x14ac:dyDescent="0.15">
      <c r="A7" s="161" t="s">
        <v>197</v>
      </c>
      <c r="B7" s="134">
        <v>0</v>
      </c>
      <c r="C7" s="134">
        <v>0</v>
      </c>
      <c r="D7" s="134">
        <v>0</v>
      </c>
      <c r="E7" s="134">
        <v>0</v>
      </c>
      <c r="F7" s="134">
        <v>0</v>
      </c>
      <c r="G7" s="134">
        <v>0</v>
      </c>
      <c r="H7" s="134">
        <v>0</v>
      </c>
      <c r="I7" s="134">
        <v>0</v>
      </c>
      <c r="J7" s="134">
        <v>0.1</v>
      </c>
      <c r="K7" s="134">
        <v>4.0000000000000001E-3</v>
      </c>
      <c r="L7" s="134">
        <v>7.9000001974900161E-2</v>
      </c>
      <c r="M7" s="134">
        <v>0.15984015896903095</v>
      </c>
      <c r="N7" s="134">
        <v>0.17182817558801222</v>
      </c>
      <c r="O7" s="134">
        <v>0.19380619799540419</v>
      </c>
      <c r="P7" s="134">
        <v>0.13799999999999998</v>
      </c>
      <c r="Q7" s="134">
        <v>0.124</v>
      </c>
      <c r="R7" s="134">
        <v>0.15999999119200109</v>
      </c>
      <c r="S7" s="134">
        <v>0</v>
      </c>
      <c r="T7" s="134">
        <v>0</v>
      </c>
    </row>
    <row r="8" spans="1:34" customFormat="1" x14ac:dyDescent="0.15">
      <c r="A8" s="161" t="s">
        <v>198</v>
      </c>
      <c r="B8" s="134">
        <v>0</v>
      </c>
      <c r="C8" s="134">
        <v>0</v>
      </c>
      <c r="D8" s="134">
        <v>0</v>
      </c>
      <c r="E8" s="134">
        <v>0</v>
      </c>
      <c r="F8" s="134">
        <v>0</v>
      </c>
      <c r="G8" s="134">
        <v>0</v>
      </c>
      <c r="H8" s="134">
        <v>0</v>
      </c>
      <c r="I8" s="134">
        <v>0</v>
      </c>
      <c r="J8" s="134">
        <v>0</v>
      </c>
      <c r="K8" s="134">
        <v>0</v>
      </c>
      <c r="L8" s="134">
        <v>3.0999998066099859E-2</v>
      </c>
      <c r="M8" s="134">
        <v>0.11588411505254741</v>
      </c>
      <c r="N8" s="134">
        <v>0</v>
      </c>
      <c r="O8" s="134">
        <v>0.40459539741308753</v>
      </c>
      <c r="P8" s="134">
        <v>2.9999999999999992E-3</v>
      </c>
      <c r="Q8" s="134">
        <v>0.10100000000000001</v>
      </c>
      <c r="R8" s="134">
        <v>0.11000000038199995</v>
      </c>
      <c r="S8" s="134">
        <v>0</v>
      </c>
      <c r="T8" s="134">
        <v>0</v>
      </c>
    </row>
    <row r="9" spans="1:34" customFormat="1" x14ac:dyDescent="0.15">
      <c r="A9" s="161" t="s">
        <v>199</v>
      </c>
      <c r="B9" s="134">
        <v>0</v>
      </c>
      <c r="C9" s="134">
        <v>0</v>
      </c>
      <c r="D9" s="134">
        <v>0</v>
      </c>
      <c r="E9" s="134">
        <v>0</v>
      </c>
      <c r="F9" s="134">
        <v>0</v>
      </c>
      <c r="G9" s="134">
        <v>0</v>
      </c>
      <c r="H9" s="134">
        <v>0</v>
      </c>
      <c r="I9" s="134">
        <v>0</v>
      </c>
      <c r="J9" s="134">
        <v>0</v>
      </c>
      <c r="K9" s="134">
        <v>0</v>
      </c>
      <c r="L9" s="134">
        <v>0</v>
      </c>
      <c r="M9" s="134">
        <v>0</v>
      </c>
      <c r="N9" s="134">
        <v>0</v>
      </c>
      <c r="O9" s="134">
        <v>0</v>
      </c>
      <c r="P9" s="134">
        <v>2.0999999999999998E-2</v>
      </c>
      <c r="Q9" s="134">
        <v>1.0999999999999999E-2</v>
      </c>
      <c r="R9" s="134">
        <v>2.9999999386000075E-2</v>
      </c>
      <c r="S9" s="134">
        <v>0</v>
      </c>
      <c r="T9" s="134">
        <v>0</v>
      </c>
    </row>
    <row r="10" spans="1:34" customFormat="1" x14ac:dyDescent="0.15">
      <c r="A10" s="161" t="s">
        <v>200</v>
      </c>
      <c r="B10" s="134">
        <v>0</v>
      </c>
      <c r="C10" s="134">
        <v>0</v>
      </c>
      <c r="D10" s="134">
        <v>0</v>
      </c>
      <c r="E10" s="134">
        <v>0</v>
      </c>
      <c r="F10" s="134">
        <v>0</v>
      </c>
      <c r="G10" s="134">
        <v>0</v>
      </c>
      <c r="H10" s="134">
        <v>0</v>
      </c>
      <c r="I10" s="134">
        <v>0</v>
      </c>
      <c r="J10" s="134">
        <v>7.0000000000000007E-2</v>
      </c>
      <c r="K10" s="134">
        <v>0.21299999999999999</v>
      </c>
      <c r="L10" s="134">
        <v>2.0999999435099961E-2</v>
      </c>
      <c r="M10" s="134">
        <v>3.6963036011588367E-2</v>
      </c>
      <c r="N10" s="134">
        <v>0.12887112019100852</v>
      </c>
      <c r="O10" s="134">
        <v>0</v>
      </c>
      <c r="P10" s="134">
        <v>0.15099999999999997</v>
      </c>
      <c r="Q10" s="134">
        <v>0.26</v>
      </c>
      <c r="R10" s="134">
        <v>3.2000001238399849E-2</v>
      </c>
      <c r="S10" s="134">
        <v>0</v>
      </c>
      <c r="T10" s="134">
        <v>0</v>
      </c>
    </row>
    <row r="11" spans="1:34" customFormat="1" x14ac:dyDescent="0.15">
      <c r="A11" s="161" t="s">
        <v>201</v>
      </c>
      <c r="B11" s="134">
        <v>0</v>
      </c>
      <c r="C11" s="134">
        <v>0</v>
      </c>
      <c r="D11" s="134">
        <v>0</v>
      </c>
      <c r="E11" s="134">
        <v>0</v>
      </c>
      <c r="F11" s="134">
        <v>0</v>
      </c>
      <c r="G11" s="134">
        <v>0</v>
      </c>
      <c r="H11" s="134">
        <v>0</v>
      </c>
      <c r="I11" s="134">
        <v>0</v>
      </c>
      <c r="J11" s="134">
        <v>0</v>
      </c>
      <c r="K11" s="134">
        <v>0</v>
      </c>
      <c r="L11" s="134">
        <v>0</v>
      </c>
      <c r="M11" s="134">
        <v>0</v>
      </c>
      <c r="N11" s="134">
        <v>0</v>
      </c>
      <c r="O11" s="134">
        <v>4.9950051159640241E-2</v>
      </c>
      <c r="P11" s="134">
        <v>2.7999999999999994E-2</v>
      </c>
      <c r="Q11" s="134">
        <v>0</v>
      </c>
      <c r="R11" s="134">
        <v>5.600000306719962E-2</v>
      </c>
      <c r="S11" s="134">
        <v>0</v>
      </c>
      <c r="T11" s="134">
        <v>0</v>
      </c>
    </row>
    <row r="12" spans="1:34" customFormat="1" x14ac:dyDescent="0.15">
      <c r="A12" s="161" t="s">
        <v>202</v>
      </c>
      <c r="B12" s="134">
        <v>0</v>
      </c>
      <c r="C12" s="134">
        <v>0</v>
      </c>
      <c r="D12" s="134">
        <v>0</v>
      </c>
      <c r="E12" s="134">
        <v>0</v>
      </c>
      <c r="F12" s="134">
        <v>0</v>
      </c>
      <c r="G12" s="134">
        <v>0</v>
      </c>
      <c r="H12" s="134">
        <v>0</v>
      </c>
      <c r="I12" s="134">
        <v>0</v>
      </c>
      <c r="J12" s="134">
        <v>0</v>
      </c>
      <c r="K12" s="134">
        <v>0</v>
      </c>
      <c r="L12" s="134">
        <v>0</v>
      </c>
      <c r="M12" s="134">
        <v>0</v>
      </c>
      <c r="N12" s="134">
        <v>0</v>
      </c>
      <c r="O12" s="134">
        <v>1.5984015915084922E-2</v>
      </c>
      <c r="P12" s="134">
        <v>5.0999999999999983E-2</v>
      </c>
      <c r="Q12" s="134">
        <v>0.02</v>
      </c>
      <c r="R12" s="134">
        <v>1.4999999643000044E-2</v>
      </c>
      <c r="S12" s="134">
        <v>0</v>
      </c>
      <c r="T12" s="134">
        <v>0</v>
      </c>
    </row>
    <row r="13" spans="1:34" customFormat="1" x14ac:dyDescent="0.15">
      <c r="A13" s="161" t="s">
        <v>203</v>
      </c>
      <c r="B13" s="134">
        <v>0</v>
      </c>
      <c r="C13" s="134">
        <v>0</v>
      </c>
      <c r="D13" s="134">
        <v>0</v>
      </c>
      <c r="E13" s="134">
        <v>0</v>
      </c>
      <c r="F13" s="134">
        <v>0</v>
      </c>
      <c r="G13" s="134">
        <v>0</v>
      </c>
      <c r="H13" s="134">
        <v>0</v>
      </c>
      <c r="I13" s="134">
        <v>0</v>
      </c>
      <c r="J13" s="134">
        <v>0</v>
      </c>
      <c r="K13" s="134">
        <v>0</v>
      </c>
      <c r="L13" s="134">
        <v>0</v>
      </c>
      <c r="M13" s="134">
        <v>0</v>
      </c>
      <c r="N13" s="134">
        <v>0</v>
      </c>
      <c r="O13" s="134">
        <v>1.4985014207892179E-2</v>
      </c>
      <c r="P13" s="134">
        <v>2.9999999999999992E-2</v>
      </c>
      <c r="Q13" s="134">
        <v>2.1000000000000001E-2</v>
      </c>
      <c r="R13" s="134">
        <v>1.9999998924000131E-2</v>
      </c>
      <c r="S13" s="134">
        <v>0</v>
      </c>
      <c r="T13" s="134">
        <v>0</v>
      </c>
    </row>
    <row r="14" spans="1:34" customFormat="1" x14ac:dyDescent="0.15">
      <c r="A14" s="161" t="s">
        <v>204</v>
      </c>
      <c r="B14" s="134">
        <v>0</v>
      </c>
      <c r="C14" s="134">
        <v>0</v>
      </c>
      <c r="D14" s="134">
        <v>0</v>
      </c>
      <c r="E14" s="134">
        <v>0</v>
      </c>
      <c r="F14" s="134">
        <v>0</v>
      </c>
      <c r="G14" s="134">
        <v>0</v>
      </c>
      <c r="H14" s="134">
        <v>0</v>
      </c>
      <c r="I14" s="134">
        <v>1.7999999999999999E-2</v>
      </c>
      <c r="J14" s="134">
        <v>0</v>
      </c>
      <c r="K14" s="134">
        <v>1.2999999999999999E-2</v>
      </c>
      <c r="L14" s="134">
        <v>0</v>
      </c>
      <c r="M14" s="134">
        <v>0.17882118379660361</v>
      </c>
      <c r="N14" s="134">
        <v>2.3976023737862128E-2</v>
      </c>
      <c r="O14" s="134">
        <v>3.3966036844555174E-2</v>
      </c>
      <c r="P14" s="134">
        <v>0.17899999999999996</v>
      </c>
      <c r="Q14" s="134">
        <v>0.182</v>
      </c>
      <c r="R14" s="134">
        <v>0.22000000176399978</v>
      </c>
      <c r="S14" s="134">
        <v>0</v>
      </c>
      <c r="T14" s="134">
        <v>0</v>
      </c>
    </row>
    <row r="15" spans="1:34" customFormat="1" x14ac:dyDescent="0.15">
      <c r="A15" s="161" t="s">
        <v>205</v>
      </c>
      <c r="B15" s="134">
        <v>0</v>
      </c>
      <c r="C15" s="134">
        <v>0</v>
      </c>
      <c r="D15" s="134">
        <v>0</v>
      </c>
      <c r="E15" s="134">
        <v>0</v>
      </c>
      <c r="F15" s="134">
        <v>0</v>
      </c>
      <c r="G15" s="134">
        <v>0</v>
      </c>
      <c r="H15" s="134">
        <v>0</v>
      </c>
      <c r="I15" s="134">
        <v>0</v>
      </c>
      <c r="J15" s="134">
        <v>0</v>
      </c>
      <c r="K15" s="134">
        <v>0</v>
      </c>
      <c r="L15" s="134">
        <v>0</v>
      </c>
      <c r="M15" s="134">
        <v>0</v>
      </c>
      <c r="N15" s="134">
        <v>0</v>
      </c>
      <c r="O15" s="134">
        <v>0</v>
      </c>
      <c r="P15" s="134">
        <v>0</v>
      </c>
      <c r="Q15" s="134">
        <v>0</v>
      </c>
      <c r="R15" s="134">
        <v>7.0000001333999834E-2</v>
      </c>
      <c r="S15" s="134">
        <v>0</v>
      </c>
      <c r="T15" s="134">
        <v>0</v>
      </c>
    </row>
    <row r="16" spans="1:34" customFormat="1" x14ac:dyDescent="0.15">
      <c r="A16" s="161" t="s">
        <v>206</v>
      </c>
      <c r="B16" s="134">
        <v>0</v>
      </c>
      <c r="C16" s="134">
        <v>0</v>
      </c>
      <c r="D16" s="134">
        <v>0</v>
      </c>
      <c r="E16" s="134">
        <v>0</v>
      </c>
      <c r="F16" s="134">
        <v>0</v>
      </c>
      <c r="G16" s="134">
        <v>0</v>
      </c>
      <c r="H16" s="134">
        <v>0</v>
      </c>
      <c r="I16" s="134">
        <v>0</v>
      </c>
      <c r="J16" s="134">
        <v>0</v>
      </c>
      <c r="K16" s="134">
        <v>0</v>
      </c>
      <c r="L16" s="134">
        <v>0</v>
      </c>
      <c r="M16" s="134">
        <v>0</v>
      </c>
      <c r="N16" s="134">
        <v>0</v>
      </c>
      <c r="O16" s="134">
        <v>2.9970028415784358E-2</v>
      </c>
      <c r="P16" s="134">
        <v>0</v>
      </c>
      <c r="Q16" s="134">
        <v>3.0000000000000001E-3</v>
      </c>
      <c r="R16" s="134">
        <v>9.9999994620000657E-3</v>
      </c>
      <c r="S16" s="134">
        <v>0</v>
      </c>
      <c r="T16" s="134">
        <v>0</v>
      </c>
    </row>
    <row r="17" spans="1:20" customFormat="1" x14ac:dyDescent="0.15">
      <c r="A17" s="161" t="s">
        <v>207</v>
      </c>
      <c r="B17" s="134">
        <v>0</v>
      </c>
      <c r="C17" s="134">
        <v>0</v>
      </c>
      <c r="D17" s="134">
        <v>0</v>
      </c>
      <c r="E17" s="134">
        <v>0</v>
      </c>
      <c r="F17" s="134">
        <v>0</v>
      </c>
      <c r="G17" s="134">
        <v>0</v>
      </c>
      <c r="H17" s="134">
        <v>0</v>
      </c>
      <c r="I17" s="134">
        <v>0</v>
      </c>
      <c r="J17" s="134">
        <v>0</v>
      </c>
      <c r="K17" s="134">
        <v>0</v>
      </c>
      <c r="L17" s="134">
        <v>0</v>
      </c>
      <c r="M17" s="134">
        <v>0</v>
      </c>
      <c r="N17" s="134">
        <v>0</v>
      </c>
      <c r="O17" s="134">
        <v>6.9930073503496171E-2</v>
      </c>
      <c r="P17" s="134">
        <v>8.9999999999999976E-3</v>
      </c>
      <c r="Q17" s="134">
        <v>0</v>
      </c>
      <c r="R17" s="134">
        <v>5.0000003809999527E-2</v>
      </c>
      <c r="S17" s="134">
        <v>0</v>
      </c>
      <c r="T17" s="134">
        <v>0</v>
      </c>
    </row>
    <row r="18" spans="1:20" customFormat="1" x14ac:dyDescent="0.15">
      <c r="A18" s="161" t="s">
        <v>208</v>
      </c>
      <c r="B18" s="134">
        <v>0</v>
      </c>
      <c r="C18" s="134">
        <v>0</v>
      </c>
      <c r="D18" s="134">
        <v>0</v>
      </c>
      <c r="E18" s="134">
        <v>0</v>
      </c>
      <c r="F18" s="134">
        <v>0</v>
      </c>
      <c r="G18" s="134">
        <v>0</v>
      </c>
      <c r="H18" s="134">
        <v>0</v>
      </c>
      <c r="I18" s="134">
        <v>0</v>
      </c>
      <c r="J18" s="134">
        <v>0</v>
      </c>
      <c r="K18" s="134">
        <v>0</v>
      </c>
      <c r="L18" s="134">
        <v>0</v>
      </c>
      <c r="M18" s="134">
        <v>0</v>
      </c>
      <c r="N18" s="134">
        <v>0</v>
      </c>
      <c r="O18" s="134">
        <v>0</v>
      </c>
      <c r="P18" s="134">
        <v>0</v>
      </c>
      <c r="Q18" s="134">
        <v>0</v>
      </c>
      <c r="R18" s="134">
        <v>0</v>
      </c>
      <c r="S18" s="134">
        <v>0</v>
      </c>
      <c r="T18" s="134">
        <v>0</v>
      </c>
    </row>
    <row r="19" spans="1:20" customFormat="1" x14ac:dyDescent="0.15">
      <c r="A19" s="161" t="s">
        <v>209</v>
      </c>
      <c r="B19" s="134">
        <v>0</v>
      </c>
      <c r="C19" s="134">
        <v>0</v>
      </c>
      <c r="D19" s="134">
        <v>0.1</v>
      </c>
      <c r="E19" s="134">
        <v>0.7</v>
      </c>
      <c r="F19" s="134">
        <v>0.45</v>
      </c>
      <c r="G19" s="134">
        <v>0.5</v>
      </c>
      <c r="H19" s="134">
        <v>0</v>
      </c>
      <c r="I19" s="134">
        <v>0.47599999999999998</v>
      </c>
      <c r="J19" s="134">
        <v>0.43</v>
      </c>
      <c r="K19" s="134">
        <v>0.13</v>
      </c>
      <c r="L19" s="134">
        <v>0.10299999252929946</v>
      </c>
      <c r="M19" s="134">
        <v>9.8901094312087698E-2</v>
      </c>
      <c r="N19" s="134">
        <v>5.194805479870146E-2</v>
      </c>
      <c r="O19" s="134">
        <v>0</v>
      </c>
      <c r="P19" s="134">
        <v>1.8999999999999996E-2</v>
      </c>
      <c r="Q19" s="134">
        <v>0</v>
      </c>
      <c r="R19" s="134">
        <v>0</v>
      </c>
      <c r="S19" s="134">
        <v>0</v>
      </c>
      <c r="T19" s="134">
        <v>0</v>
      </c>
    </row>
    <row r="20" spans="1:20" customFormat="1" x14ac:dyDescent="0.15">
      <c r="A20" s="161" t="s">
        <v>210</v>
      </c>
      <c r="B20" s="134">
        <v>0</v>
      </c>
      <c r="C20" s="134">
        <v>0</v>
      </c>
      <c r="D20" s="134">
        <v>0</v>
      </c>
      <c r="E20" s="134">
        <v>0</v>
      </c>
      <c r="F20" s="134">
        <v>0</v>
      </c>
      <c r="G20" s="134">
        <v>0</v>
      </c>
      <c r="H20" s="134">
        <v>0</v>
      </c>
      <c r="I20" s="134">
        <v>0</v>
      </c>
      <c r="J20" s="134">
        <v>0</v>
      </c>
      <c r="K20" s="134">
        <v>0</v>
      </c>
      <c r="L20" s="134">
        <v>0</v>
      </c>
      <c r="M20" s="134">
        <v>0</v>
      </c>
      <c r="N20" s="134">
        <v>0</v>
      </c>
      <c r="O20" s="134">
        <v>0</v>
      </c>
      <c r="P20" s="134">
        <v>0</v>
      </c>
      <c r="Q20" s="134">
        <v>0</v>
      </c>
      <c r="R20" s="134">
        <v>0</v>
      </c>
      <c r="S20" s="134">
        <v>0</v>
      </c>
      <c r="T20" s="134">
        <v>0</v>
      </c>
    </row>
    <row r="21" spans="1:20" customFormat="1" x14ac:dyDescent="0.15">
      <c r="A21" s="161" t="s">
        <v>215</v>
      </c>
      <c r="B21" s="134">
        <v>0</v>
      </c>
      <c r="C21" s="134">
        <v>0</v>
      </c>
      <c r="D21" s="134">
        <v>0</v>
      </c>
      <c r="E21" s="134">
        <v>0</v>
      </c>
      <c r="F21" s="134">
        <v>0</v>
      </c>
      <c r="G21" s="134">
        <v>0</v>
      </c>
      <c r="H21" s="134">
        <v>0</v>
      </c>
      <c r="I21" s="134">
        <v>0</v>
      </c>
      <c r="J21" s="134">
        <v>0</v>
      </c>
      <c r="K21" s="134">
        <v>0</v>
      </c>
      <c r="L21" s="134">
        <v>0</v>
      </c>
      <c r="M21" s="134">
        <v>0</v>
      </c>
      <c r="N21" s="134">
        <v>0</v>
      </c>
      <c r="O21" s="134">
        <v>0</v>
      </c>
      <c r="P21" s="134">
        <v>0</v>
      </c>
      <c r="Q21" s="134">
        <v>0</v>
      </c>
      <c r="R21" s="134">
        <v>0</v>
      </c>
      <c r="S21" s="134">
        <v>0</v>
      </c>
      <c r="T21" s="134">
        <v>0</v>
      </c>
    </row>
    <row r="22" spans="1:20" customFormat="1" x14ac:dyDescent="0.15"/>
    <row r="23" spans="1:20" customFormat="1" x14ac:dyDescent="0.15"/>
    <row r="24" spans="1:20" customFormat="1" x14ac:dyDescent="0.15"/>
    <row r="25" spans="1:20" customFormat="1" x14ac:dyDescent="0.15"/>
    <row r="26" spans="1:20" customFormat="1" x14ac:dyDescent="0.15"/>
    <row r="27" spans="1:20" customFormat="1" x14ac:dyDescent="0.15"/>
    <row r="28" spans="1:20" customFormat="1" x14ac:dyDescent="0.15"/>
    <row r="29" spans="1:20" customFormat="1" x14ac:dyDescent="0.15"/>
    <row r="30" spans="1:20" customFormat="1" x14ac:dyDescent="0.15"/>
    <row r="31" spans="1:20" customFormat="1" x14ac:dyDescent="0.15"/>
    <row r="32" spans="1:20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2.33203125" style="104" customWidth="1"/>
    <col min="5" max="6" width="2.33203125" style="103" bestFit="1" customWidth="1"/>
    <col min="7" max="8" width="8.83203125" style="104"/>
  </cols>
  <sheetData>
    <row r="1" spans="1:8" ht="70" x14ac:dyDescent="0.15">
      <c r="A1" s="5" t="s">
        <v>20</v>
      </c>
      <c r="B1" s="1" t="s">
        <v>0</v>
      </c>
      <c r="C1" s="164" t="s">
        <v>209</v>
      </c>
      <c r="D1" s="164" t="s">
        <v>210</v>
      </c>
      <c r="E1" s="164" t="s">
        <v>216</v>
      </c>
      <c r="F1" s="164" t="s">
        <v>217</v>
      </c>
      <c r="G1"/>
      <c r="H1"/>
    </row>
    <row r="2" spans="1:8" x14ac:dyDescent="0.15">
      <c r="A2">
        <v>1</v>
      </c>
      <c r="B2" s="163" t="s">
        <v>192</v>
      </c>
      <c r="C2" s="104">
        <v>1</v>
      </c>
      <c r="D2" s="104">
        <v>0</v>
      </c>
      <c r="E2" s="103">
        <v>0</v>
      </c>
      <c r="F2" s="103">
        <v>1</v>
      </c>
      <c r="G2"/>
      <c r="H2"/>
    </row>
    <row r="3" spans="1:8" x14ac:dyDescent="0.15">
      <c r="A3">
        <v>2</v>
      </c>
      <c r="B3" s="163" t="s">
        <v>193</v>
      </c>
      <c r="C3" s="104">
        <v>1</v>
      </c>
      <c r="D3" s="104">
        <v>0</v>
      </c>
      <c r="E3" s="103">
        <v>0</v>
      </c>
      <c r="F3" s="103">
        <v>1</v>
      </c>
      <c r="G3"/>
      <c r="H3"/>
    </row>
    <row r="4" spans="1:8" x14ac:dyDescent="0.15">
      <c r="A4">
        <v>3</v>
      </c>
      <c r="B4" s="163" t="s">
        <v>194</v>
      </c>
      <c r="C4" s="104">
        <v>1</v>
      </c>
      <c r="D4" s="104">
        <v>0</v>
      </c>
      <c r="E4" s="103">
        <v>0</v>
      </c>
      <c r="F4" s="103">
        <v>1</v>
      </c>
      <c r="G4"/>
      <c r="H4"/>
    </row>
    <row r="5" spans="1:8" x14ac:dyDescent="0.15">
      <c r="A5">
        <v>4</v>
      </c>
      <c r="B5" s="163" t="s">
        <v>195</v>
      </c>
      <c r="C5" s="104">
        <v>1</v>
      </c>
      <c r="D5" s="104">
        <v>0</v>
      </c>
      <c r="E5" s="103">
        <v>0</v>
      </c>
      <c r="F5" s="103">
        <v>1</v>
      </c>
      <c r="G5"/>
      <c r="H5"/>
    </row>
    <row r="6" spans="1:8" x14ac:dyDescent="0.15">
      <c r="A6">
        <v>5</v>
      </c>
      <c r="B6" s="163" t="s">
        <v>196</v>
      </c>
      <c r="C6" s="104">
        <v>1</v>
      </c>
      <c r="D6" s="104">
        <v>0</v>
      </c>
      <c r="E6" s="103">
        <v>0</v>
      </c>
      <c r="F6" s="103">
        <v>1</v>
      </c>
      <c r="G6"/>
      <c r="H6"/>
    </row>
    <row r="7" spans="1:8" x14ac:dyDescent="0.15">
      <c r="A7">
        <v>6</v>
      </c>
      <c r="B7" s="163" t="s">
        <v>197</v>
      </c>
      <c r="C7" s="104">
        <v>1</v>
      </c>
      <c r="D7" s="104">
        <v>0</v>
      </c>
      <c r="E7" s="103">
        <v>0</v>
      </c>
      <c r="F7" s="103">
        <v>1</v>
      </c>
      <c r="G7"/>
      <c r="H7"/>
    </row>
    <row r="8" spans="1:8" x14ac:dyDescent="0.15">
      <c r="A8">
        <v>7</v>
      </c>
      <c r="B8" s="163" t="s">
        <v>198</v>
      </c>
      <c r="C8" s="104">
        <v>1</v>
      </c>
      <c r="D8" s="104">
        <v>0</v>
      </c>
      <c r="E8" s="103">
        <v>0</v>
      </c>
      <c r="F8" s="103">
        <v>1</v>
      </c>
      <c r="G8"/>
      <c r="H8"/>
    </row>
    <row r="9" spans="1:8" x14ac:dyDescent="0.15">
      <c r="A9">
        <v>8</v>
      </c>
      <c r="B9" s="163" t="s">
        <v>199</v>
      </c>
      <c r="C9" s="104">
        <v>1</v>
      </c>
      <c r="D9" s="104">
        <v>0</v>
      </c>
      <c r="E9" s="103">
        <v>0</v>
      </c>
      <c r="F9" s="103">
        <v>1</v>
      </c>
      <c r="G9"/>
      <c r="H9"/>
    </row>
    <row r="10" spans="1:8" x14ac:dyDescent="0.15">
      <c r="A10">
        <v>9</v>
      </c>
      <c r="B10" s="163" t="s">
        <v>200</v>
      </c>
      <c r="C10" s="104">
        <v>1</v>
      </c>
      <c r="D10" s="104">
        <v>0</v>
      </c>
      <c r="E10" s="103">
        <v>0</v>
      </c>
      <c r="F10" s="103">
        <v>1</v>
      </c>
      <c r="G10"/>
      <c r="H10"/>
    </row>
    <row r="11" spans="1:8" x14ac:dyDescent="0.15">
      <c r="A11">
        <v>10</v>
      </c>
      <c r="B11" s="163" t="s">
        <v>201</v>
      </c>
      <c r="C11" s="104">
        <v>1</v>
      </c>
      <c r="D11" s="104">
        <v>0</v>
      </c>
      <c r="E11" s="103">
        <v>0</v>
      </c>
      <c r="F11" s="103">
        <v>1</v>
      </c>
      <c r="G11"/>
      <c r="H11"/>
    </row>
    <row r="12" spans="1:8" x14ac:dyDescent="0.15">
      <c r="A12">
        <v>11</v>
      </c>
      <c r="B12" s="163" t="s">
        <v>202</v>
      </c>
      <c r="C12" s="104">
        <v>1</v>
      </c>
      <c r="D12" s="104">
        <v>0</v>
      </c>
      <c r="E12" s="103">
        <v>0</v>
      </c>
      <c r="F12" s="103">
        <v>1</v>
      </c>
      <c r="G12"/>
      <c r="H12"/>
    </row>
    <row r="13" spans="1:8" x14ac:dyDescent="0.15">
      <c r="A13">
        <v>12</v>
      </c>
      <c r="B13" s="163" t="s">
        <v>203</v>
      </c>
      <c r="C13" s="104">
        <v>1</v>
      </c>
      <c r="D13" s="104">
        <v>0</v>
      </c>
      <c r="E13" s="103">
        <v>0</v>
      </c>
      <c r="F13" s="103">
        <v>1</v>
      </c>
      <c r="G13"/>
      <c r="H13"/>
    </row>
    <row r="14" spans="1:8" x14ac:dyDescent="0.15">
      <c r="A14">
        <v>13</v>
      </c>
      <c r="B14" s="163" t="s">
        <v>204</v>
      </c>
      <c r="C14" s="104">
        <v>1</v>
      </c>
      <c r="D14" s="104">
        <v>0</v>
      </c>
      <c r="E14" s="103">
        <v>0</v>
      </c>
      <c r="F14" s="103">
        <v>1</v>
      </c>
      <c r="G14"/>
      <c r="H14"/>
    </row>
    <row r="15" spans="1:8" x14ac:dyDescent="0.15">
      <c r="A15">
        <v>14</v>
      </c>
      <c r="B15" s="163" t="s">
        <v>205</v>
      </c>
      <c r="C15" s="104">
        <v>1</v>
      </c>
      <c r="D15" s="104">
        <v>0</v>
      </c>
      <c r="E15" s="103">
        <v>0</v>
      </c>
      <c r="F15" s="103">
        <v>1</v>
      </c>
      <c r="G15"/>
      <c r="H15"/>
    </row>
    <row r="16" spans="1:8" x14ac:dyDescent="0.15">
      <c r="A16">
        <v>15</v>
      </c>
      <c r="B16" s="163" t="s">
        <v>206</v>
      </c>
      <c r="C16" s="104">
        <v>1</v>
      </c>
      <c r="D16" s="104">
        <v>0</v>
      </c>
      <c r="E16" s="103">
        <v>0</v>
      </c>
      <c r="F16" s="103">
        <v>1</v>
      </c>
      <c r="G16"/>
      <c r="H16"/>
    </row>
    <row r="17" spans="1:8" ht="15" customHeight="1" x14ac:dyDescent="0.15">
      <c r="A17">
        <v>16</v>
      </c>
      <c r="B17" s="163" t="s">
        <v>207</v>
      </c>
      <c r="C17" s="104">
        <v>1</v>
      </c>
      <c r="D17" s="104">
        <v>0</v>
      </c>
      <c r="E17" s="103">
        <v>0</v>
      </c>
      <c r="F17" s="103">
        <v>1</v>
      </c>
      <c r="G17"/>
      <c r="H17"/>
    </row>
    <row r="18" spans="1:8" ht="15" customHeight="1" x14ac:dyDescent="0.15">
      <c r="A18">
        <v>17</v>
      </c>
      <c r="B18" s="163" t="s">
        <v>208</v>
      </c>
      <c r="C18" s="104">
        <v>1</v>
      </c>
      <c r="D18" s="104">
        <v>0</v>
      </c>
      <c r="E18" s="103">
        <v>0</v>
      </c>
      <c r="F18" s="103">
        <v>1</v>
      </c>
      <c r="G18"/>
      <c r="H18"/>
    </row>
    <row r="19" spans="1:8" ht="15" customHeight="1" x14ac:dyDescent="0.15">
      <c r="A19">
        <v>18</v>
      </c>
      <c r="B19" s="163" t="s">
        <v>209</v>
      </c>
      <c r="C19" s="104">
        <v>0</v>
      </c>
      <c r="D19" s="104">
        <v>1</v>
      </c>
      <c r="E19" s="103">
        <v>0</v>
      </c>
      <c r="F19" s="103">
        <v>1</v>
      </c>
      <c r="G19"/>
      <c r="H19"/>
    </row>
    <row r="20" spans="1:8" ht="15" customHeight="1" x14ac:dyDescent="0.15">
      <c r="A20">
        <v>19</v>
      </c>
      <c r="B20" s="163" t="s">
        <v>210</v>
      </c>
      <c r="C20" s="104">
        <v>0</v>
      </c>
      <c r="D20" s="104">
        <v>0</v>
      </c>
      <c r="E20" s="103">
        <v>1</v>
      </c>
      <c r="F20" s="103">
        <v>1</v>
      </c>
      <c r="G20"/>
      <c r="H20"/>
    </row>
    <row r="21" spans="1:8" ht="15" customHeight="1" x14ac:dyDescent="0.15">
      <c r="A21">
        <v>20</v>
      </c>
      <c r="B21" s="163" t="s">
        <v>211</v>
      </c>
      <c r="C21" s="104">
        <v>0</v>
      </c>
      <c r="D21" s="104">
        <v>1</v>
      </c>
      <c r="E21" s="103">
        <v>0</v>
      </c>
      <c r="F21" s="103">
        <v>1</v>
      </c>
      <c r="G21"/>
      <c r="H21"/>
    </row>
    <row r="22" spans="1:8" ht="15" customHeight="1" x14ac:dyDescent="0.15">
      <c r="A22">
        <v>21</v>
      </c>
      <c r="B22" s="163" t="s">
        <v>212</v>
      </c>
      <c r="C22" s="104">
        <v>0</v>
      </c>
      <c r="D22" s="104">
        <v>1</v>
      </c>
      <c r="E22" s="103">
        <v>0</v>
      </c>
      <c r="F22" s="103">
        <v>1</v>
      </c>
      <c r="G22"/>
      <c r="H22"/>
    </row>
    <row r="23" spans="1:8" ht="15" customHeight="1" x14ac:dyDescent="0.15">
      <c r="A23">
        <v>22</v>
      </c>
      <c r="B23" s="163" t="s">
        <v>213</v>
      </c>
      <c r="C23" s="104">
        <v>0</v>
      </c>
      <c r="D23" s="104">
        <v>1</v>
      </c>
      <c r="E23" s="103">
        <v>0</v>
      </c>
      <c r="F23" s="103">
        <v>1</v>
      </c>
      <c r="G23"/>
      <c r="H23"/>
    </row>
    <row r="24" spans="1:8" ht="15" customHeight="1" x14ac:dyDescent="0.15">
      <c r="A24">
        <v>23</v>
      </c>
      <c r="B24" s="163" t="s">
        <v>214</v>
      </c>
      <c r="C24" s="104">
        <v>0</v>
      </c>
      <c r="D24" s="104">
        <v>1</v>
      </c>
      <c r="E24" s="103">
        <v>0</v>
      </c>
      <c r="F24" s="103">
        <v>1</v>
      </c>
      <c r="G24"/>
      <c r="H24"/>
    </row>
    <row r="25" spans="1:8" ht="15" customHeight="1" x14ac:dyDescent="0.15">
      <c r="C25"/>
      <c r="D25"/>
      <c r="E25"/>
      <c r="F25"/>
      <c r="G25"/>
      <c r="H25"/>
    </row>
    <row r="26" spans="1:8" ht="15" customHeight="1" x14ac:dyDescent="0.15">
      <c r="C26"/>
      <c r="D26"/>
      <c r="E26"/>
      <c r="F26"/>
      <c r="G26"/>
      <c r="H26"/>
    </row>
    <row r="27" spans="1:8" ht="15" customHeight="1" x14ac:dyDescent="0.15">
      <c r="C27"/>
      <c r="D27"/>
      <c r="E27"/>
      <c r="F27"/>
      <c r="G27"/>
      <c r="H27"/>
    </row>
    <row r="28" spans="1:8" ht="15" customHeight="1" x14ac:dyDescent="0.15">
      <c r="C28"/>
      <c r="D28"/>
      <c r="E28"/>
      <c r="F28"/>
      <c r="G28"/>
      <c r="H28"/>
    </row>
    <row r="29" spans="1:8" ht="15" customHeight="1" x14ac:dyDescent="0.15">
      <c r="C29"/>
      <c r="D29"/>
      <c r="E29"/>
      <c r="F29"/>
      <c r="G29"/>
      <c r="H29"/>
    </row>
    <row r="30" spans="1:8" ht="15" customHeight="1" x14ac:dyDescent="0.15">
      <c r="C30"/>
      <c r="D30"/>
      <c r="E30"/>
      <c r="F30"/>
      <c r="G30"/>
      <c r="H30"/>
    </row>
    <row r="31" spans="1:8" ht="15" customHeight="1" x14ac:dyDescent="0.15">
      <c r="C31"/>
      <c r="D31"/>
      <c r="E31"/>
      <c r="F31"/>
      <c r="G31"/>
      <c r="H31"/>
    </row>
    <row r="32" spans="1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104"/>
      <c r="F36" s="104"/>
      <c r="G36"/>
      <c r="H36"/>
    </row>
    <row r="37" spans="3:8" ht="15" customHeight="1" x14ac:dyDescent="0.15">
      <c r="C37"/>
      <c r="D37"/>
      <c r="E37" s="104"/>
      <c r="F37" s="104"/>
      <c r="G37"/>
      <c r="H37"/>
    </row>
    <row r="38" spans="3:8" ht="15" customHeight="1" x14ac:dyDescent="0.15">
      <c r="C38"/>
      <c r="D38"/>
      <c r="E38" s="104"/>
      <c r="F38" s="104"/>
      <c r="G38"/>
      <c r="H38"/>
    </row>
    <row r="39" spans="3:8" ht="15" customHeight="1" x14ac:dyDescent="0.15">
      <c r="C39"/>
      <c r="D39"/>
      <c r="E39" s="104"/>
      <c r="F39" s="104"/>
      <c r="G39"/>
      <c r="H39"/>
    </row>
    <row r="40" spans="3:8" ht="15" customHeight="1" x14ac:dyDescent="0.15">
      <c r="C40"/>
      <c r="D40"/>
      <c r="E40" s="104"/>
      <c r="F40" s="104"/>
      <c r="G40"/>
      <c r="H40"/>
    </row>
    <row r="41" spans="3:8" ht="15" customHeight="1" x14ac:dyDescent="0.15">
      <c r="C41"/>
      <c r="D41"/>
      <c r="E41" s="104"/>
      <c r="F41" s="104"/>
      <c r="G41"/>
      <c r="H41"/>
    </row>
    <row r="42" spans="3:8" ht="15" customHeight="1" x14ac:dyDescent="0.15">
      <c r="C42"/>
      <c r="D42"/>
      <c r="E42" s="104"/>
      <c r="F42" s="104"/>
      <c r="G42"/>
      <c r="H42"/>
    </row>
    <row r="43" spans="3:8" ht="15" customHeight="1" x14ac:dyDescent="0.15">
      <c r="C43"/>
      <c r="D43"/>
      <c r="E43" s="104"/>
      <c r="F43" s="104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104"/>
      <c r="F46" s="104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G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9.1640625" bestFit="1" customWidth="1"/>
    <col min="3" max="4" width="5.83203125" bestFit="1" customWidth="1"/>
    <col min="5" max="5" width="6.83203125" bestFit="1" customWidth="1"/>
    <col min="6" max="6" width="5.83203125" customWidth="1"/>
    <col min="7" max="7" width="6.83203125" customWidth="1"/>
  </cols>
  <sheetData>
    <row r="1" spans="1:7" s="105" customFormat="1" ht="112" x14ac:dyDescent="0.15">
      <c r="A1" s="5" t="s">
        <v>21</v>
      </c>
      <c r="B1" s="3" t="s">
        <v>0</v>
      </c>
      <c r="C1" s="166" t="s">
        <v>211</v>
      </c>
      <c r="D1" s="166" t="s">
        <v>212</v>
      </c>
      <c r="E1" s="166" t="s">
        <v>213</v>
      </c>
      <c r="F1" s="166" t="s">
        <v>214</v>
      </c>
      <c r="G1" s="166" t="s">
        <v>218</v>
      </c>
    </row>
    <row r="2" spans="1:7" ht="15" customHeight="1" x14ac:dyDescent="0.15">
      <c r="A2">
        <v>1</v>
      </c>
      <c r="B2" s="165" t="s">
        <v>192</v>
      </c>
      <c r="C2">
        <v>0</v>
      </c>
      <c r="D2">
        <v>0</v>
      </c>
      <c r="E2">
        <v>0</v>
      </c>
      <c r="F2">
        <v>0</v>
      </c>
      <c r="G2">
        <v>0</v>
      </c>
    </row>
    <row r="3" spans="1:7" ht="15" customHeight="1" x14ac:dyDescent="0.15">
      <c r="A3">
        <v>2</v>
      </c>
      <c r="B3" s="165" t="s">
        <v>193</v>
      </c>
      <c r="C3">
        <v>0</v>
      </c>
      <c r="D3">
        <v>0</v>
      </c>
      <c r="E3">
        <v>0</v>
      </c>
      <c r="F3">
        <v>0</v>
      </c>
      <c r="G3">
        <v>0</v>
      </c>
    </row>
    <row r="4" spans="1:7" ht="15" customHeight="1" x14ac:dyDescent="0.15">
      <c r="A4">
        <v>3</v>
      </c>
      <c r="B4" s="165" t="s">
        <v>194</v>
      </c>
      <c r="C4">
        <v>0</v>
      </c>
      <c r="D4">
        <v>0</v>
      </c>
      <c r="E4">
        <v>0</v>
      </c>
      <c r="F4">
        <v>0</v>
      </c>
      <c r="G4">
        <v>0</v>
      </c>
    </row>
    <row r="5" spans="1:7" ht="15" customHeight="1" x14ac:dyDescent="0.15">
      <c r="A5">
        <v>4</v>
      </c>
      <c r="B5" s="165" t="s">
        <v>195</v>
      </c>
      <c r="C5">
        <v>0</v>
      </c>
      <c r="D5">
        <v>0</v>
      </c>
      <c r="E5">
        <v>0</v>
      </c>
      <c r="F5">
        <v>0</v>
      </c>
      <c r="G5">
        <v>0</v>
      </c>
    </row>
    <row r="6" spans="1:7" ht="15" customHeight="1" x14ac:dyDescent="0.15">
      <c r="A6">
        <v>5</v>
      </c>
      <c r="B6" s="165" t="s">
        <v>196</v>
      </c>
      <c r="C6">
        <v>0</v>
      </c>
      <c r="D6">
        <v>1E-3</v>
      </c>
      <c r="E6">
        <v>0</v>
      </c>
      <c r="F6">
        <v>0</v>
      </c>
      <c r="G6">
        <v>1E-3</v>
      </c>
    </row>
    <row r="7" spans="1:7" ht="15" customHeight="1" x14ac:dyDescent="0.15">
      <c r="A7">
        <v>6</v>
      </c>
      <c r="B7" s="165" t="s">
        <v>197</v>
      </c>
      <c r="C7">
        <v>5.0000000000000001E-3</v>
      </c>
      <c r="D7">
        <v>0</v>
      </c>
      <c r="E7">
        <v>0</v>
      </c>
      <c r="F7">
        <v>0</v>
      </c>
      <c r="G7">
        <v>5.0000000000000001E-3</v>
      </c>
    </row>
    <row r="8" spans="1:7" ht="15" customHeight="1" x14ac:dyDescent="0.15">
      <c r="A8">
        <v>7</v>
      </c>
      <c r="B8" s="165" t="s">
        <v>198</v>
      </c>
      <c r="C8">
        <v>0.69</v>
      </c>
      <c r="D8">
        <v>5.0000000000000001E-3</v>
      </c>
      <c r="E8">
        <v>0</v>
      </c>
      <c r="F8">
        <v>0</v>
      </c>
      <c r="G8">
        <v>0.69499999999999995</v>
      </c>
    </row>
    <row r="9" spans="1:7" ht="15" customHeight="1" x14ac:dyDescent="0.15">
      <c r="A9">
        <v>8</v>
      </c>
      <c r="B9" s="165" t="s">
        <v>199</v>
      </c>
      <c r="C9">
        <v>2E-3</v>
      </c>
      <c r="D9">
        <v>2.5000000000000001E-2</v>
      </c>
      <c r="E9">
        <v>8.9999999999999993E-3</v>
      </c>
      <c r="F9">
        <v>1.7999999999999999E-2</v>
      </c>
      <c r="G9">
        <v>5.4000000000000006E-2</v>
      </c>
    </row>
    <row r="10" spans="1:7" ht="15" customHeight="1" x14ac:dyDescent="0.15">
      <c r="A10">
        <v>9</v>
      </c>
      <c r="B10" s="165" t="s">
        <v>200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7" ht="15" customHeight="1" x14ac:dyDescent="0.15">
      <c r="A11">
        <v>10</v>
      </c>
      <c r="B11" s="165" t="s">
        <v>201</v>
      </c>
      <c r="C11">
        <v>0</v>
      </c>
      <c r="D11">
        <v>0</v>
      </c>
      <c r="E11">
        <v>2E-3</v>
      </c>
      <c r="F11">
        <v>0</v>
      </c>
      <c r="G11">
        <v>2E-3</v>
      </c>
    </row>
    <row r="12" spans="1:7" ht="15" customHeight="1" x14ac:dyDescent="0.15">
      <c r="A12">
        <v>11</v>
      </c>
      <c r="B12" s="165" t="s">
        <v>202</v>
      </c>
      <c r="C12">
        <v>0</v>
      </c>
      <c r="D12">
        <v>0</v>
      </c>
      <c r="E12">
        <v>1E-3</v>
      </c>
      <c r="F12">
        <v>0</v>
      </c>
      <c r="G12">
        <v>1E-3</v>
      </c>
    </row>
    <row r="13" spans="1:7" ht="15" customHeight="1" x14ac:dyDescent="0.15">
      <c r="A13">
        <v>12</v>
      </c>
      <c r="B13" s="165" t="s">
        <v>203</v>
      </c>
      <c r="C13">
        <v>0</v>
      </c>
      <c r="D13">
        <v>1.7000000000000001E-2</v>
      </c>
      <c r="E13">
        <v>4.0000000000000001E-3</v>
      </c>
      <c r="F13">
        <v>0</v>
      </c>
      <c r="G13">
        <v>2.1000000000000001E-2</v>
      </c>
    </row>
    <row r="14" spans="1:7" ht="15" customHeight="1" x14ac:dyDescent="0.15">
      <c r="A14">
        <v>13</v>
      </c>
      <c r="B14" s="165" t="s">
        <v>204</v>
      </c>
      <c r="C14">
        <v>0</v>
      </c>
      <c r="D14">
        <v>0</v>
      </c>
      <c r="E14">
        <v>2.0000000000000001E-4</v>
      </c>
      <c r="F14">
        <v>0</v>
      </c>
      <c r="G14">
        <v>2.0000000000000001E-4</v>
      </c>
    </row>
    <row r="15" spans="1:7" ht="15" customHeight="1" x14ac:dyDescent="0.15">
      <c r="A15">
        <v>14</v>
      </c>
      <c r="B15" s="165" t="s">
        <v>205</v>
      </c>
      <c r="C15">
        <v>8.1000000000000003E-2</v>
      </c>
      <c r="D15">
        <v>0.11799999999999999</v>
      </c>
      <c r="E15">
        <v>1E-3</v>
      </c>
      <c r="F15">
        <v>7.2999999999999995E-2</v>
      </c>
      <c r="G15">
        <v>0.27300000000000002</v>
      </c>
    </row>
    <row r="16" spans="1:7" ht="15" customHeight="1" x14ac:dyDescent="0.15">
      <c r="A16">
        <v>15</v>
      </c>
      <c r="B16" s="165" t="s">
        <v>206</v>
      </c>
      <c r="C16">
        <v>1E-3</v>
      </c>
      <c r="D16">
        <v>1.0999999999999999E-2</v>
      </c>
      <c r="E16">
        <v>7.0000000000000001E-3</v>
      </c>
      <c r="F16">
        <v>3.0000000000000001E-3</v>
      </c>
      <c r="G16">
        <v>2.1999999999999999E-2</v>
      </c>
    </row>
    <row r="17" spans="1:7" ht="15" customHeight="1" x14ac:dyDescent="0.15">
      <c r="A17">
        <v>16</v>
      </c>
      <c r="B17" s="165" t="s">
        <v>207</v>
      </c>
      <c r="C17">
        <v>3.0000000000000001E-3</v>
      </c>
      <c r="D17">
        <v>3.0000000000000001E-3</v>
      </c>
      <c r="E17">
        <v>5.3999999999999999E-2</v>
      </c>
      <c r="F17">
        <v>4.7E-2</v>
      </c>
      <c r="G17">
        <v>0.107</v>
      </c>
    </row>
    <row r="18" spans="1:7" ht="15" customHeight="1" x14ac:dyDescent="0.15">
      <c r="A18">
        <v>17</v>
      </c>
      <c r="B18" s="165" t="s">
        <v>208</v>
      </c>
      <c r="C18">
        <v>0</v>
      </c>
      <c r="D18">
        <v>0</v>
      </c>
      <c r="E18">
        <v>1E-3</v>
      </c>
      <c r="F18">
        <v>0</v>
      </c>
      <c r="G18">
        <v>1E-3</v>
      </c>
    </row>
    <row r="19" spans="1:7" ht="15" customHeight="1" x14ac:dyDescent="0.15">
      <c r="A19">
        <v>18</v>
      </c>
      <c r="B19" s="165" t="s">
        <v>209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 ht="15" customHeight="1" x14ac:dyDescent="0.15">
      <c r="A20">
        <v>19</v>
      </c>
      <c r="B20" s="165" t="s">
        <v>210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ht="15" customHeight="1" x14ac:dyDescent="0.15"/>
    <row r="22" spans="1:7" ht="15" customHeight="1" x14ac:dyDescent="0.15"/>
    <row r="23" spans="1:7" ht="15" customHeight="1" x14ac:dyDescent="0.15"/>
    <row r="24" spans="1:7" ht="15" customHeight="1" x14ac:dyDescent="0.15"/>
    <row r="25" spans="1:7" ht="15" customHeight="1" x14ac:dyDescent="0.15"/>
    <row r="26" spans="1:7" ht="15" customHeight="1" x14ac:dyDescent="0.15"/>
    <row r="27" spans="1:7" ht="15" customHeight="1" x14ac:dyDescent="0.15"/>
    <row r="28" spans="1:7" ht="15" customHeight="1" x14ac:dyDescent="0.15"/>
    <row r="29" spans="1:7" ht="15" customHeight="1" x14ac:dyDescent="0.15"/>
    <row r="30" spans="1:7" ht="15" customHeight="1" x14ac:dyDescent="0.15"/>
    <row r="31" spans="1:7" ht="15" customHeight="1" x14ac:dyDescent="0.15"/>
    <row r="32" spans="1:7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G20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9.1640625" bestFit="1" customWidth="1"/>
    <col min="3" max="5" width="2.33203125" bestFit="1" customWidth="1"/>
    <col min="6" max="7" width="2.33203125" customWidth="1"/>
  </cols>
  <sheetData>
    <row r="1" spans="1:7" s="105" customFormat="1" ht="112" x14ac:dyDescent="0.15">
      <c r="A1" s="5" t="s">
        <v>22</v>
      </c>
      <c r="B1" s="3" t="s">
        <v>0</v>
      </c>
      <c r="C1" s="168" t="s">
        <v>211</v>
      </c>
      <c r="D1" s="168" t="s">
        <v>212</v>
      </c>
      <c r="E1" s="168" t="s">
        <v>213</v>
      </c>
      <c r="F1" s="168" t="s">
        <v>214</v>
      </c>
      <c r="G1" s="168" t="s">
        <v>218</v>
      </c>
    </row>
    <row r="2" spans="1:7" x14ac:dyDescent="0.15">
      <c r="A2">
        <v>1</v>
      </c>
      <c r="B2" s="167" t="s">
        <v>192</v>
      </c>
      <c r="C2">
        <v>0</v>
      </c>
      <c r="D2">
        <v>0</v>
      </c>
      <c r="E2">
        <v>0</v>
      </c>
      <c r="F2">
        <v>0</v>
      </c>
      <c r="G2">
        <v>0</v>
      </c>
    </row>
    <row r="3" spans="1:7" x14ac:dyDescent="0.15">
      <c r="A3">
        <v>2</v>
      </c>
      <c r="B3" s="167" t="s">
        <v>193</v>
      </c>
      <c r="C3">
        <v>0</v>
      </c>
      <c r="D3">
        <v>0</v>
      </c>
      <c r="E3">
        <v>0</v>
      </c>
      <c r="F3">
        <v>0</v>
      </c>
      <c r="G3">
        <v>0</v>
      </c>
    </row>
    <row r="4" spans="1:7" x14ac:dyDescent="0.15">
      <c r="A4">
        <v>3</v>
      </c>
      <c r="B4" s="167" t="s">
        <v>194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15">
      <c r="A5">
        <v>4</v>
      </c>
      <c r="B5" s="167" t="s">
        <v>195</v>
      </c>
      <c r="C5">
        <v>0</v>
      </c>
      <c r="D5">
        <v>0</v>
      </c>
      <c r="E5">
        <v>0</v>
      </c>
      <c r="F5">
        <v>0</v>
      </c>
      <c r="G5">
        <v>0</v>
      </c>
    </row>
    <row r="6" spans="1:7" x14ac:dyDescent="0.15">
      <c r="A6">
        <v>5</v>
      </c>
      <c r="B6" s="167" t="s">
        <v>196</v>
      </c>
      <c r="C6">
        <v>0</v>
      </c>
      <c r="D6">
        <v>0</v>
      </c>
      <c r="E6">
        <v>0</v>
      </c>
      <c r="F6">
        <v>0</v>
      </c>
      <c r="G6">
        <v>0</v>
      </c>
    </row>
    <row r="7" spans="1:7" x14ac:dyDescent="0.15">
      <c r="A7">
        <v>6</v>
      </c>
      <c r="B7" s="167" t="s">
        <v>197</v>
      </c>
      <c r="C7">
        <v>0</v>
      </c>
      <c r="D7">
        <v>0</v>
      </c>
      <c r="E7">
        <v>0</v>
      </c>
      <c r="F7">
        <v>0</v>
      </c>
      <c r="G7">
        <v>0</v>
      </c>
    </row>
    <row r="8" spans="1:7" x14ac:dyDescent="0.15">
      <c r="A8">
        <v>7</v>
      </c>
      <c r="B8" s="167" t="s">
        <v>198</v>
      </c>
      <c r="C8">
        <v>0</v>
      </c>
      <c r="D8">
        <v>0</v>
      </c>
      <c r="E8">
        <v>0</v>
      </c>
      <c r="F8">
        <v>0</v>
      </c>
      <c r="G8">
        <v>0</v>
      </c>
    </row>
    <row r="9" spans="1:7" x14ac:dyDescent="0.15">
      <c r="A9">
        <v>8</v>
      </c>
      <c r="B9" s="167" t="s">
        <v>199</v>
      </c>
      <c r="C9">
        <v>0</v>
      </c>
      <c r="D9">
        <v>0</v>
      </c>
      <c r="E9">
        <v>0</v>
      </c>
      <c r="F9">
        <v>0</v>
      </c>
      <c r="G9">
        <v>0</v>
      </c>
    </row>
    <row r="10" spans="1:7" x14ac:dyDescent="0.15">
      <c r="A10">
        <v>9</v>
      </c>
      <c r="B10" s="167" t="s">
        <v>200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7" x14ac:dyDescent="0.15">
      <c r="A11">
        <v>10</v>
      </c>
      <c r="B11" s="167" t="s">
        <v>201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15">
      <c r="A12">
        <v>11</v>
      </c>
      <c r="B12" s="167" t="s">
        <v>202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15">
      <c r="A13">
        <v>12</v>
      </c>
      <c r="B13" s="167" t="s">
        <v>203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15">
      <c r="A14">
        <v>13</v>
      </c>
      <c r="B14" s="167" t="s">
        <v>204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15">
      <c r="A15">
        <v>14</v>
      </c>
      <c r="B15" s="167" t="s">
        <v>205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7" x14ac:dyDescent="0.15">
      <c r="A16">
        <v>15</v>
      </c>
      <c r="B16" s="167" t="s">
        <v>206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15">
      <c r="A17">
        <v>16</v>
      </c>
      <c r="B17" s="167" t="s">
        <v>207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 x14ac:dyDescent="0.15">
      <c r="A18">
        <v>17</v>
      </c>
      <c r="B18" s="167" t="s">
        <v>208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 x14ac:dyDescent="0.15">
      <c r="A19">
        <v>18</v>
      </c>
      <c r="B19" s="167" t="s">
        <v>209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 x14ac:dyDescent="0.15">
      <c r="A20">
        <v>19</v>
      </c>
      <c r="B20" s="167" t="s">
        <v>210</v>
      </c>
      <c r="C20">
        <v>0</v>
      </c>
      <c r="D20">
        <v>0</v>
      </c>
      <c r="E20">
        <v>0</v>
      </c>
      <c r="F20">
        <v>0</v>
      </c>
      <c r="G20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9.1640625" bestFit="1" customWidth="1"/>
    <col min="6" max="6" width="4.83203125" bestFit="1" customWidth="1"/>
    <col min="7" max="9" width="3.83203125" bestFit="1" customWidth="1"/>
    <col min="10" max="11" width="4.83203125" style="104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06" customFormat="1" ht="14" thickBot="1" x14ac:dyDescent="0.2">
      <c r="D1" s="107" t="s">
        <v>8</v>
      </c>
      <c r="E1" s="107" t="s">
        <v>0</v>
      </c>
      <c r="F1" s="108" t="s">
        <v>99</v>
      </c>
      <c r="G1" s="109" t="s">
        <v>84</v>
      </c>
      <c r="H1" s="109" t="s">
        <v>85</v>
      </c>
      <c r="I1" s="109" t="s">
        <v>86</v>
      </c>
      <c r="J1" s="109" t="s">
        <v>87</v>
      </c>
      <c r="K1" s="109" t="s">
        <v>88</v>
      </c>
      <c r="L1" s="110" t="s">
        <v>89</v>
      </c>
      <c r="M1" s="110" t="s">
        <v>93</v>
      </c>
      <c r="N1" s="110" t="s">
        <v>92</v>
      </c>
      <c r="O1" s="110" t="s">
        <v>90</v>
      </c>
      <c r="P1" s="110" t="s">
        <v>91</v>
      </c>
      <c r="Q1" s="111" t="s">
        <v>94</v>
      </c>
      <c r="R1" s="111" t="s">
        <v>95</v>
      </c>
      <c r="S1" s="111" t="s">
        <v>96</v>
      </c>
      <c r="T1" s="111" t="s">
        <v>97</v>
      </c>
      <c r="U1" s="111" t="s">
        <v>98</v>
      </c>
      <c r="V1" s="109" t="s">
        <v>100</v>
      </c>
      <c r="W1" s="109" t="s">
        <v>101</v>
      </c>
      <c r="X1" s="109" t="s">
        <v>102</v>
      </c>
      <c r="Y1" s="109" t="s">
        <v>134</v>
      </c>
      <c r="Z1" s="110" t="s">
        <v>103</v>
      </c>
      <c r="AA1" s="110" t="s">
        <v>104</v>
      </c>
      <c r="AB1" s="110" t="s">
        <v>105</v>
      </c>
      <c r="AC1" s="112" t="s">
        <v>135</v>
      </c>
      <c r="AD1" s="111" t="s">
        <v>106</v>
      </c>
      <c r="AE1" s="111" t="s">
        <v>107</v>
      </c>
      <c r="AF1" s="111" t="s">
        <v>108</v>
      </c>
      <c r="AG1" s="111" t="s">
        <v>136</v>
      </c>
      <c r="AH1" s="109" t="s">
        <v>109</v>
      </c>
      <c r="AI1" s="109" t="s">
        <v>111</v>
      </c>
      <c r="AJ1" s="109" t="s">
        <v>110</v>
      </c>
      <c r="AK1" s="110" t="s">
        <v>115</v>
      </c>
      <c r="AL1" s="110" t="s">
        <v>116</v>
      </c>
      <c r="AM1" s="110" t="s">
        <v>117</v>
      </c>
      <c r="AN1" s="111" t="s">
        <v>112</v>
      </c>
      <c r="AO1" s="111" t="s">
        <v>113</v>
      </c>
      <c r="AP1" s="111" t="s">
        <v>114</v>
      </c>
    </row>
    <row r="2" spans="1:42" x14ac:dyDescent="0.15">
      <c r="A2" s="113" t="s">
        <v>74</v>
      </c>
      <c r="B2" s="114">
        <v>1</v>
      </c>
      <c r="D2">
        <v>1</v>
      </c>
      <c r="E2" s="169" t="s">
        <v>192</v>
      </c>
      <c r="F2">
        <v>0.98</v>
      </c>
      <c r="G2">
        <v>0.8</v>
      </c>
      <c r="H2">
        <v>0.8</v>
      </c>
      <c r="I2">
        <v>0</v>
      </c>
      <c r="J2" s="104">
        <v>0</v>
      </c>
      <c r="K2" s="104">
        <v>0</v>
      </c>
    </row>
    <row r="3" spans="1:42" x14ac:dyDescent="0.15">
      <c r="A3" s="113" t="s">
        <v>75</v>
      </c>
      <c r="B3" s="115">
        <v>1</v>
      </c>
      <c r="D3">
        <v>2</v>
      </c>
      <c r="E3" s="169" t="s">
        <v>193</v>
      </c>
      <c r="F3">
        <v>0.98</v>
      </c>
      <c r="G3">
        <v>0.8</v>
      </c>
      <c r="H3">
        <v>0.8</v>
      </c>
      <c r="I3">
        <v>0</v>
      </c>
      <c r="J3" s="104">
        <v>0</v>
      </c>
      <c r="K3" s="104">
        <v>0</v>
      </c>
    </row>
    <row r="4" spans="1:42" x14ac:dyDescent="0.15">
      <c r="A4" s="113" t="s">
        <v>76</v>
      </c>
      <c r="B4" s="115">
        <v>1</v>
      </c>
      <c r="D4">
        <v>3</v>
      </c>
      <c r="E4" s="169" t="s">
        <v>194</v>
      </c>
      <c r="F4">
        <v>0.98</v>
      </c>
      <c r="G4">
        <v>0.8</v>
      </c>
      <c r="H4">
        <v>0.8</v>
      </c>
      <c r="I4">
        <v>0.8</v>
      </c>
      <c r="J4" s="104">
        <v>0.25</v>
      </c>
      <c r="K4" s="104">
        <v>0.05</v>
      </c>
    </row>
    <row r="5" spans="1:42" x14ac:dyDescent="0.15">
      <c r="A5" s="113" t="s">
        <v>77</v>
      </c>
      <c r="B5" s="115">
        <v>1</v>
      </c>
      <c r="D5">
        <v>4</v>
      </c>
      <c r="E5" s="169" t="s">
        <v>195</v>
      </c>
      <c r="F5">
        <v>0.98</v>
      </c>
      <c r="G5">
        <v>0.8</v>
      </c>
      <c r="H5">
        <v>0.8</v>
      </c>
      <c r="I5">
        <v>0.8</v>
      </c>
      <c r="J5" s="104">
        <v>0.25</v>
      </c>
      <c r="K5" s="104">
        <v>0.05</v>
      </c>
    </row>
    <row r="6" spans="1:42" x14ac:dyDescent="0.15">
      <c r="A6" s="113" t="s">
        <v>78</v>
      </c>
      <c r="B6" s="115">
        <v>1</v>
      </c>
      <c r="D6">
        <v>5</v>
      </c>
      <c r="E6" s="169" t="s">
        <v>196</v>
      </c>
      <c r="F6">
        <v>0.98</v>
      </c>
      <c r="G6">
        <v>0.8</v>
      </c>
      <c r="H6">
        <v>0.8</v>
      </c>
      <c r="I6">
        <v>0.8</v>
      </c>
      <c r="J6" s="104">
        <v>0.25</v>
      </c>
      <c r="K6" s="104">
        <v>0.05</v>
      </c>
    </row>
    <row r="7" spans="1:42" x14ac:dyDescent="0.15">
      <c r="A7" s="113" t="s">
        <v>79</v>
      </c>
      <c r="B7" s="115">
        <v>1</v>
      </c>
      <c r="D7">
        <v>6</v>
      </c>
      <c r="E7" s="169" t="s">
        <v>197</v>
      </c>
      <c r="F7">
        <v>0.98</v>
      </c>
      <c r="G7">
        <v>0.8</v>
      </c>
      <c r="H7">
        <v>0.8</v>
      </c>
      <c r="I7">
        <v>0.8</v>
      </c>
      <c r="J7" s="104">
        <v>0.25</v>
      </c>
      <c r="K7" s="104">
        <v>0.05</v>
      </c>
    </row>
    <row r="8" spans="1:42" x14ac:dyDescent="0.15">
      <c r="A8" s="113" t="s">
        <v>80</v>
      </c>
      <c r="B8" s="115">
        <v>1</v>
      </c>
      <c r="D8">
        <v>7</v>
      </c>
      <c r="E8" s="169" t="s">
        <v>198</v>
      </c>
      <c r="F8">
        <v>0.98</v>
      </c>
      <c r="G8">
        <v>0.8</v>
      </c>
      <c r="H8">
        <v>0.8</v>
      </c>
      <c r="I8">
        <v>0.8</v>
      </c>
      <c r="J8" s="104">
        <v>0.25</v>
      </c>
      <c r="K8" s="104">
        <v>0.05</v>
      </c>
    </row>
    <row r="9" spans="1:42" x14ac:dyDescent="0.15">
      <c r="A9" s="113" t="s">
        <v>81</v>
      </c>
      <c r="B9" s="115">
        <v>0.1</v>
      </c>
      <c r="C9" s="59" t="s">
        <v>150</v>
      </c>
      <c r="D9">
        <v>8</v>
      </c>
      <c r="E9" s="169" t="s">
        <v>199</v>
      </c>
      <c r="F9">
        <v>0.98</v>
      </c>
      <c r="G9">
        <v>0.8</v>
      </c>
      <c r="H9">
        <v>0.8</v>
      </c>
      <c r="I9">
        <v>0.8</v>
      </c>
      <c r="J9" s="104">
        <v>0.25</v>
      </c>
      <c r="K9" s="104">
        <v>0.05</v>
      </c>
    </row>
    <row r="10" spans="1:42" ht="14" thickBot="1" x14ac:dyDescent="0.2">
      <c r="A10" s="113" t="s">
        <v>149</v>
      </c>
      <c r="B10" s="116">
        <f>1/3</f>
        <v>0.33333333333333331</v>
      </c>
      <c r="C10" s="59" t="s">
        <v>150</v>
      </c>
      <c r="D10">
        <v>9</v>
      </c>
      <c r="E10" s="169" t="s">
        <v>200</v>
      </c>
      <c r="F10">
        <v>0.98</v>
      </c>
      <c r="G10">
        <v>0.8</v>
      </c>
      <c r="H10">
        <v>0.8</v>
      </c>
      <c r="I10">
        <v>0.8</v>
      </c>
      <c r="J10" s="104">
        <v>0.25</v>
      </c>
      <c r="K10" s="104">
        <v>0.05</v>
      </c>
    </row>
    <row r="11" spans="1:42" x14ac:dyDescent="0.15">
      <c r="D11">
        <v>10</v>
      </c>
      <c r="E11" s="169" t="s">
        <v>201</v>
      </c>
      <c r="F11">
        <v>0.98</v>
      </c>
      <c r="G11">
        <v>0.8</v>
      </c>
      <c r="H11">
        <v>0.8</v>
      </c>
      <c r="I11">
        <v>0.8</v>
      </c>
      <c r="J11" s="104">
        <v>0.25</v>
      </c>
      <c r="K11" s="104">
        <v>0.05</v>
      </c>
    </row>
    <row r="12" spans="1:42" x14ac:dyDescent="0.15">
      <c r="D12">
        <v>11</v>
      </c>
      <c r="E12" s="169" t="s">
        <v>202</v>
      </c>
      <c r="F12">
        <v>0.98</v>
      </c>
      <c r="G12">
        <v>0.8</v>
      </c>
      <c r="H12">
        <v>0.8</v>
      </c>
      <c r="I12">
        <v>0.8</v>
      </c>
      <c r="J12" s="104">
        <v>0.25</v>
      </c>
      <c r="K12" s="104">
        <v>0.05</v>
      </c>
    </row>
    <row r="13" spans="1:42" x14ac:dyDescent="0.15">
      <c r="D13">
        <v>12</v>
      </c>
      <c r="E13" s="169" t="s">
        <v>203</v>
      </c>
      <c r="F13">
        <v>0.98</v>
      </c>
      <c r="G13">
        <v>0.8</v>
      </c>
      <c r="H13">
        <v>0.8</v>
      </c>
      <c r="I13">
        <v>0.8</v>
      </c>
      <c r="J13" s="104">
        <v>0.25</v>
      </c>
      <c r="K13" s="104">
        <v>0.05</v>
      </c>
    </row>
    <row r="14" spans="1:42" x14ac:dyDescent="0.15">
      <c r="D14">
        <v>13</v>
      </c>
      <c r="E14" s="169" t="s">
        <v>204</v>
      </c>
      <c r="F14">
        <v>0.98</v>
      </c>
      <c r="G14">
        <v>0.8</v>
      </c>
      <c r="H14">
        <v>0.8</v>
      </c>
      <c r="I14">
        <v>0.8</v>
      </c>
      <c r="J14" s="104">
        <v>0.25</v>
      </c>
      <c r="K14" s="104">
        <v>0.05</v>
      </c>
    </row>
    <row r="15" spans="1:42" x14ac:dyDescent="0.15">
      <c r="D15">
        <v>14</v>
      </c>
      <c r="E15" s="169" t="s">
        <v>205</v>
      </c>
      <c r="F15">
        <v>0.98</v>
      </c>
      <c r="G15">
        <v>0.8</v>
      </c>
      <c r="H15">
        <v>0.8</v>
      </c>
      <c r="I15">
        <v>0.8</v>
      </c>
      <c r="J15" s="104">
        <v>0.25</v>
      </c>
      <c r="K15" s="104">
        <v>0.05</v>
      </c>
    </row>
    <row r="16" spans="1:42" x14ac:dyDescent="0.15">
      <c r="D16">
        <v>15</v>
      </c>
      <c r="E16" s="169" t="s">
        <v>206</v>
      </c>
      <c r="F16">
        <v>0.98</v>
      </c>
      <c r="G16">
        <v>0.8</v>
      </c>
      <c r="H16">
        <v>0.8</v>
      </c>
      <c r="I16">
        <v>0.8</v>
      </c>
      <c r="J16" s="104">
        <v>0.25</v>
      </c>
      <c r="K16" s="104">
        <v>0.05</v>
      </c>
    </row>
    <row r="17" spans="4:33" ht="15" customHeight="1" x14ac:dyDescent="0.15">
      <c r="D17">
        <v>16</v>
      </c>
      <c r="E17" s="169" t="s">
        <v>207</v>
      </c>
      <c r="F17">
        <v>0.98</v>
      </c>
      <c r="G17">
        <v>0.8</v>
      </c>
      <c r="H17">
        <v>0.8</v>
      </c>
      <c r="I17">
        <v>0.8</v>
      </c>
      <c r="J17" s="104">
        <v>0.25</v>
      </c>
      <c r="K17" s="104">
        <v>0.05</v>
      </c>
    </row>
    <row r="18" spans="4:33" ht="15" customHeight="1" x14ac:dyDescent="0.15">
      <c r="D18">
        <v>17</v>
      </c>
      <c r="E18" s="169" t="s">
        <v>208</v>
      </c>
      <c r="F18">
        <v>0.98</v>
      </c>
      <c r="G18">
        <v>0.8</v>
      </c>
      <c r="H18">
        <v>0.8</v>
      </c>
      <c r="I18">
        <v>0.8</v>
      </c>
      <c r="J18" s="104">
        <v>0.25</v>
      </c>
      <c r="K18" s="104">
        <v>0.05</v>
      </c>
    </row>
    <row r="19" spans="4:33" ht="15" customHeight="1" x14ac:dyDescent="0.15">
      <c r="D19">
        <v>18</v>
      </c>
      <c r="E19" s="169" t="s">
        <v>209</v>
      </c>
      <c r="F19">
        <v>0.98</v>
      </c>
      <c r="G19">
        <v>0.8</v>
      </c>
      <c r="H19">
        <v>0</v>
      </c>
      <c r="I19">
        <v>0</v>
      </c>
      <c r="J19" s="104">
        <v>0</v>
      </c>
      <c r="K19" s="104">
        <v>0</v>
      </c>
    </row>
    <row r="20" spans="4:33" ht="15" customHeight="1" x14ac:dyDescent="0.15">
      <c r="D20">
        <v>19</v>
      </c>
      <c r="E20" s="169" t="s">
        <v>210</v>
      </c>
      <c r="F20">
        <v>0.98</v>
      </c>
      <c r="G20">
        <v>0.8</v>
      </c>
      <c r="H20">
        <v>0</v>
      </c>
      <c r="I20">
        <v>0</v>
      </c>
      <c r="J20" s="104">
        <v>0</v>
      </c>
      <c r="K20" s="104">
        <v>0</v>
      </c>
    </row>
    <row r="21" spans="4:33" ht="15" customHeight="1" x14ac:dyDescent="0.15">
      <c r="J21"/>
      <c r="K21"/>
    </row>
    <row r="22" spans="4:33" ht="15" customHeight="1" x14ac:dyDescent="0.15">
      <c r="J22"/>
      <c r="K22"/>
    </row>
    <row r="23" spans="4:33" ht="15" customHeight="1" x14ac:dyDescent="0.15">
      <c r="J23"/>
      <c r="K23"/>
    </row>
    <row r="24" spans="4:33" ht="15" customHeight="1" x14ac:dyDescent="0.15">
      <c r="J24"/>
      <c r="K24"/>
    </row>
    <row r="25" spans="4:33" ht="15" customHeight="1" x14ac:dyDescent="0.15">
      <c r="J25"/>
      <c r="K25"/>
    </row>
    <row r="26" spans="4:33" ht="15" customHeight="1" x14ac:dyDescent="0.15">
      <c r="J26"/>
      <c r="K26"/>
    </row>
    <row r="27" spans="4:33" ht="15" customHeight="1" x14ac:dyDescent="0.15">
      <c r="J27"/>
      <c r="K27"/>
    </row>
    <row r="28" spans="4:33" ht="15" customHeight="1" x14ac:dyDescent="0.15">
      <c r="J28"/>
      <c r="K28"/>
    </row>
    <row r="29" spans="4:33" ht="15" customHeight="1" x14ac:dyDescent="0.15">
      <c r="J29"/>
      <c r="K29"/>
      <c r="Y29"/>
      <c r="AC29"/>
      <c r="AG29"/>
    </row>
    <row r="30" spans="4:33" ht="15" customHeight="1" x14ac:dyDescent="0.15">
      <c r="J30"/>
      <c r="K30"/>
      <c r="Y30"/>
      <c r="AC30"/>
      <c r="AG30"/>
    </row>
    <row r="31" spans="4:33" ht="15" customHeight="1" x14ac:dyDescent="0.15">
      <c r="J31"/>
      <c r="K31"/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1.6640625" style="102" bestFit="1" customWidth="1"/>
    <col min="2" max="3" width="2.33203125" style="102" customWidth="1"/>
    <col min="4" max="18" width="3.83203125" style="102" customWidth="1"/>
    <col min="19" max="20" width="2.33203125" style="102" customWidth="1"/>
    <col min="21" max="16384" width="10.83203125" style="102"/>
  </cols>
  <sheetData>
    <row r="1" spans="1:30" x14ac:dyDescent="0.15">
      <c r="A1" s="61" t="s">
        <v>118</v>
      </c>
      <c r="B1" s="171" t="s">
        <v>192</v>
      </c>
      <c r="C1" s="171" t="s">
        <v>193</v>
      </c>
      <c r="D1" s="171" t="s">
        <v>194</v>
      </c>
      <c r="E1" s="171" t="s">
        <v>195</v>
      </c>
      <c r="F1" s="171" t="s">
        <v>196</v>
      </c>
      <c r="G1" s="171" t="s">
        <v>197</v>
      </c>
      <c r="H1" s="171" t="s">
        <v>198</v>
      </c>
      <c r="I1" s="171" t="s">
        <v>199</v>
      </c>
      <c r="J1" s="171" t="s">
        <v>200</v>
      </c>
      <c r="K1" s="171" t="s">
        <v>201</v>
      </c>
      <c r="L1" s="171" t="s">
        <v>202</v>
      </c>
      <c r="M1" s="171" t="s">
        <v>203</v>
      </c>
      <c r="N1" s="171" t="s">
        <v>204</v>
      </c>
      <c r="O1" s="171" t="s">
        <v>205</v>
      </c>
      <c r="P1" s="171" t="s">
        <v>206</v>
      </c>
      <c r="Q1" s="171" t="s">
        <v>207</v>
      </c>
      <c r="R1" s="171" t="s">
        <v>208</v>
      </c>
      <c r="S1" s="171" t="s">
        <v>209</v>
      </c>
      <c r="T1" s="171" t="s">
        <v>210</v>
      </c>
      <c r="U1"/>
      <c r="V1"/>
      <c r="W1"/>
      <c r="X1"/>
      <c r="Y1"/>
      <c r="Z1"/>
      <c r="AA1"/>
      <c r="AB1"/>
      <c r="AC1"/>
      <c r="AD1"/>
    </row>
    <row r="2" spans="1:30" customFormat="1" x14ac:dyDescent="0.15">
      <c r="A2" s="170" t="s">
        <v>192</v>
      </c>
      <c r="B2" s="102">
        <v>0</v>
      </c>
      <c r="C2" s="102">
        <v>0</v>
      </c>
      <c r="D2" s="102">
        <v>0.8</v>
      </c>
      <c r="E2" s="102">
        <v>0.8</v>
      </c>
      <c r="F2" s="102">
        <v>0.8</v>
      </c>
      <c r="G2" s="102">
        <v>0</v>
      </c>
      <c r="H2" s="102">
        <v>0.8</v>
      </c>
      <c r="I2" s="102">
        <v>0</v>
      </c>
      <c r="J2" s="102">
        <v>0</v>
      </c>
      <c r="K2" s="102">
        <v>0</v>
      </c>
      <c r="L2" s="102">
        <v>0</v>
      </c>
      <c r="M2" s="102">
        <v>0</v>
      </c>
      <c r="N2" s="102">
        <v>0</v>
      </c>
      <c r="O2" s="102">
        <v>0</v>
      </c>
      <c r="P2" s="102">
        <v>0</v>
      </c>
      <c r="Q2" s="102">
        <v>0</v>
      </c>
      <c r="R2" s="102">
        <v>0</v>
      </c>
      <c r="S2" s="102">
        <v>0</v>
      </c>
      <c r="T2" s="102">
        <v>0</v>
      </c>
    </row>
    <row r="3" spans="1:30" customFormat="1" x14ac:dyDescent="0.15">
      <c r="A3" s="170" t="s">
        <v>193</v>
      </c>
      <c r="B3" s="102">
        <v>0</v>
      </c>
      <c r="C3" s="102">
        <v>0</v>
      </c>
      <c r="D3" s="102">
        <v>0</v>
      </c>
      <c r="E3" s="102">
        <v>0</v>
      </c>
      <c r="F3" s="102">
        <v>0</v>
      </c>
      <c r="G3" s="102">
        <v>0</v>
      </c>
      <c r="H3" s="102">
        <v>0</v>
      </c>
      <c r="I3" s="102">
        <v>0</v>
      </c>
      <c r="J3" s="102">
        <v>0</v>
      </c>
      <c r="K3" s="102">
        <v>0.8</v>
      </c>
      <c r="L3" s="102">
        <v>0.8</v>
      </c>
      <c r="M3" s="102">
        <v>0</v>
      </c>
      <c r="N3" s="102">
        <v>0.8</v>
      </c>
      <c r="O3" s="102">
        <v>0</v>
      </c>
      <c r="P3" s="102">
        <v>0</v>
      </c>
      <c r="Q3" s="102">
        <v>0</v>
      </c>
      <c r="R3" s="102">
        <v>0</v>
      </c>
      <c r="S3" s="102">
        <v>0</v>
      </c>
      <c r="T3" s="102">
        <v>0</v>
      </c>
    </row>
    <row r="4" spans="1:30" customFormat="1" x14ac:dyDescent="0.15">
      <c r="A4" s="170" t="s">
        <v>194</v>
      </c>
      <c r="B4" s="102">
        <v>0</v>
      </c>
      <c r="C4" s="102">
        <v>0</v>
      </c>
      <c r="D4" s="102">
        <v>0.8</v>
      </c>
      <c r="E4" s="102">
        <v>0.8</v>
      </c>
      <c r="F4" s="102">
        <v>0.8</v>
      </c>
      <c r="G4" s="102">
        <v>0.8</v>
      </c>
      <c r="H4" s="102">
        <v>0.8</v>
      </c>
      <c r="I4" s="102">
        <v>0</v>
      </c>
      <c r="J4" s="102">
        <v>0</v>
      </c>
      <c r="K4" s="102">
        <v>0</v>
      </c>
      <c r="L4" s="102">
        <v>0</v>
      </c>
      <c r="M4" s="102">
        <v>0</v>
      </c>
      <c r="N4" s="102">
        <v>0.8</v>
      </c>
      <c r="O4" s="102">
        <v>0.8</v>
      </c>
      <c r="P4" s="102">
        <v>0</v>
      </c>
      <c r="Q4" s="102">
        <v>0</v>
      </c>
      <c r="R4" s="102">
        <v>0</v>
      </c>
      <c r="S4" s="102">
        <v>0</v>
      </c>
      <c r="T4" s="102">
        <v>0</v>
      </c>
    </row>
    <row r="5" spans="1:30" customFormat="1" x14ac:dyDescent="0.15">
      <c r="A5" s="170" t="s">
        <v>195</v>
      </c>
      <c r="B5" s="102">
        <v>0</v>
      </c>
      <c r="C5" s="102">
        <v>0</v>
      </c>
      <c r="D5" s="102">
        <v>0</v>
      </c>
      <c r="E5" s="102">
        <v>0.8</v>
      </c>
      <c r="F5" s="102">
        <v>0.8</v>
      </c>
      <c r="G5" s="102">
        <v>0.8</v>
      </c>
      <c r="H5" s="102">
        <v>0</v>
      </c>
      <c r="I5" s="102">
        <v>0.8</v>
      </c>
      <c r="J5" s="102">
        <v>0.8</v>
      </c>
      <c r="K5" s="102">
        <v>0.8</v>
      </c>
      <c r="L5" s="102">
        <v>0.8</v>
      </c>
      <c r="M5" s="102">
        <v>0.8</v>
      </c>
      <c r="N5" s="102">
        <v>0.8</v>
      </c>
      <c r="O5" s="102">
        <v>0</v>
      </c>
      <c r="P5" s="102">
        <v>0.8</v>
      </c>
      <c r="Q5" s="102">
        <v>0.8</v>
      </c>
      <c r="R5" s="102">
        <v>0.8</v>
      </c>
      <c r="S5" s="102">
        <v>0</v>
      </c>
      <c r="T5" s="102">
        <v>0</v>
      </c>
    </row>
    <row r="6" spans="1:30" customFormat="1" x14ac:dyDescent="0.15">
      <c r="A6" s="170" t="s">
        <v>196</v>
      </c>
      <c r="B6" s="102">
        <v>0</v>
      </c>
      <c r="C6" s="102">
        <v>0</v>
      </c>
      <c r="D6" s="102">
        <v>0</v>
      </c>
      <c r="E6" s="102">
        <v>0</v>
      </c>
      <c r="F6" s="102">
        <v>0.8</v>
      </c>
      <c r="G6" s="102">
        <v>0.8</v>
      </c>
      <c r="H6" s="102">
        <v>0.8</v>
      </c>
      <c r="I6" s="102">
        <v>0.8</v>
      </c>
      <c r="J6" s="102">
        <v>0.8</v>
      </c>
      <c r="K6" s="102">
        <v>0.8</v>
      </c>
      <c r="L6" s="102">
        <v>0.8</v>
      </c>
      <c r="M6" s="102">
        <v>0.8</v>
      </c>
      <c r="N6" s="102">
        <v>0.8</v>
      </c>
      <c r="O6" s="102">
        <v>0.8</v>
      </c>
      <c r="P6" s="102">
        <v>0.8</v>
      </c>
      <c r="Q6" s="102">
        <v>0.8</v>
      </c>
      <c r="R6" s="102">
        <v>0.8</v>
      </c>
      <c r="S6" s="102">
        <v>0</v>
      </c>
      <c r="T6" s="102">
        <v>0</v>
      </c>
    </row>
    <row r="7" spans="1:30" customFormat="1" x14ac:dyDescent="0.15">
      <c r="A7" s="170" t="s">
        <v>197</v>
      </c>
      <c r="B7" s="102">
        <v>0</v>
      </c>
      <c r="C7" s="102">
        <v>0</v>
      </c>
      <c r="D7" s="102">
        <v>0</v>
      </c>
      <c r="E7" s="102">
        <v>0</v>
      </c>
      <c r="F7" s="102">
        <v>0</v>
      </c>
      <c r="G7" s="102">
        <v>0</v>
      </c>
      <c r="H7" s="102">
        <v>0</v>
      </c>
      <c r="I7" s="102">
        <v>0</v>
      </c>
      <c r="J7" s="102">
        <v>0.8</v>
      </c>
      <c r="K7" s="102">
        <v>0.8</v>
      </c>
      <c r="L7" s="102">
        <v>0.8</v>
      </c>
      <c r="M7" s="102">
        <v>0.8</v>
      </c>
      <c r="N7" s="102">
        <v>0.8</v>
      </c>
      <c r="O7" s="102">
        <v>0.8</v>
      </c>
      <c r="P7" s="102">
        <v>0.8</v>
      </c>
      <c r="Q7" s="102">
        <v>0.8</v>
      </c>
      <c r="R7" s="102">
        <v>0.8</v>
      </c>
      <c r="S7" s="102">
        <v>0</v>
      </c>
      <c r="T7" s="102">
        <v>0</v>
      </c>
    </row>
    <row r="8" spans="1:30" customFormat="1" x14ac:dyDescent="0.15">
      <c r="A8" s="170" t="s">
        <v>198</v>
      </c>
      <c r="B8" s="102">
        <v>0</v>
      </c>
      <c r="C8" s="102">
        <v>0</v>
      </c>
      <c r="D8" s="102">
        <v>0</v>
      </c>
      <c r="E8" s="102">
        <v>0</v>
      </c>
      <c r="F8" s="102">
        <v>0</v>
      </c>
      <c r="G8" s="102">
        <v>0</v>
      </c>
      <c r="H8" s="102">
        <v>0</v>
      </c>
      <c r="I8" s="102">
        <v>0</v>
      </c>
      <c r="J8" s="102">
        <v>0</v>
      </c>
      <c r="K8" s="102">
        <v>0</v>
      </c>
      <c r="L8" s="102">
        <v>0.8</v>
      </c>
      <c r="M8" s="102">
        <v>0.8</v>
      </c>
      <c r="N8" s="102">
        <v>0</v>
      </c>
      <c r="O8" s="102">
        <v>0.8</v>
      </c>
      <c r="P8" s="102">
        <v>0.8</v>
      </c>
      <c r="Q8" s="102">
        <v>0.8</v>
      </c>
      <c r="R8" s="102">
        <v>0.8</v>
      </c>
      <c r="S8" s="102">
        <v>0</v>
      </c>
      <c r="T8" s="102">
        <v>0</v>
      </c>
    </row>
    <row r="9" spans="1:30" customFormat="1" x14ac:dyDescent="0.15">
      <c r="A9" s="170" t="s">
        <v>199</v>
      </c>
      <c r="B9" s="102">
        <v>0</v>
      </c>
      <c r="C9" s="102">
        <v>0</v>
      </c>
      <c r="D9" s="102">
        <v>0</v>
      </c>
      <c r="E9" s="102">
        <v>0</v>
      </c>
      <c r="F9" s="102">
        <v>0</v>
      </c>
      <c r="G9" s="102">
        <v>0</v>
      </c>
      <c r="H9" s="102">
        <v>0</v>
      </c>
      <c r="I9" s="102">
        <v>0</v>
      </c>
      <c r="J9" s="102">
        <v>0</v>
      </c>
      <c r="K9" s="102">
        <v>0</v>
      </c>
      <c r="L9" s="102">
        <v>0</v>
      </c>
      <c r="M9" s="102">
        <v>0</v>
      </c>
      <c r="N9" s="102">
        <v>0</v>
      </c>
      <c r="O9" s="102">
        <v>0</v>
      </c>
      <c r="P9" s="102">
        <v>0.8</v>
      </c>
      <c r="Q9" s="102">
        <v>0.8</v>
      </c>
      <c r="R9" s="102">
        <v>0.8</v>
      </c>
      <c r="S9" s="102">
        <v>0</v>
      </c>
      <c r="T9" s="102">
        <v>0</v>
      </c>
    </row>
    <row r="10" spans="1:30" customFormat="1" x14ac:dyDescent="0.15">
      <c r="A10" s="170" t="s">
        <v>200</v>
      </c>
      <c r="B10" s="102">
        <v>0</v>
      </c>
      <c r="C10" s="102">
        <v>0</v>
      </c>
      <c r="D10" s="102">
        <v>0</v>
      </c>
      <c r="E10" s="102">
        <v>0</v>
      </c>
      <c r="F10" s="102">
        <v>0</v>
      </c>
      <c r="G10" s="102">
        <v>0</v>
      </c>
      <c r="H10" s="102">
        <v>0</v>
      </c>
      <c r="I10" s="102">
        <v>0</v>
      </c>
      <c r="J10" s="102">
        <v>0.8</v>
      </c>
      <c r="K10" s="102">
        <v>0.8</v>
      </c>
      <c r="L10" s="102">
        <v>0.8</v>
      </c>
      <c r="M10" s="102">
        <v>0.8</v>
      </c>
      <c r="N10" s="102">
        <v>0.8</v>
      </c>
      <c r="O10" s="102">
        <v>0</v>
      </c>
      <c r="P10" s="102">
        <v>0.8</v>
      </c>
      <c r="Q10" s="102">
        <v>0.8</v>
      </c>
      <c r="R10" s="102">
        <v>0.8</v>
      </c>
      <c r="S10" s="102">
        <v>0</v>
      </c>
      <c r="T10" s="102">
        <v>0</v>
      </c>
    </row>
    <row r="11" spans="1:30" customFormat="1" x14ac:dyDescent="0.15">
      <c r="A11" s="170" t="s">
        <v>201</v>
      </c>
      <c r="B11" s="102">
        <v>0</v>
      </c>
      <c r="C11" s="102">
        <v>0</v>
      </c>
      <c r="D11" s="102">
        <v>0</v>
      </c>
      <c r="E11" s="102">
        <v>0</v>
      </c>
      <c r="F11" s="102">
        <v>0</v>
      </c>
      <c r="G11" s="102">
        <v>0</v>
      </c>
      <c r="H11" s="102">
        <v>0</v>
      </c>
      <c r="I11" s="102">
        <v>0</v>
      </c>
      <c r="J11" s="102">
        <v>0</v>
      </c>
      <c r="K11" s="102">
        <v>0</v>
      </c>
      <c r="L11" s="102">
        <v>0</v>
      </c>
      <c r="M11" s="102">
        <v>0</v>
      </c>
      <c r="N11" s="102">
        <v>0</v>
      </c>
      <c r="O11" s="102">
        <v>0.8</v>
      </c>
      <c r="P11" s="102">
        <v>0.8</v>
      </c>
      <c r="Q11" s="102">
        <v>0</v>
      </c>
      <c r="R11" s="102">
        <v>0.8</v>
      </c>
      <c r="S11" s="102">
        <v>0</v>
      </c>
      <c r="T11" s="102">
        <v>0</v>
      </c>
    </row>
    <row r="12" spans="1:30" customFormat="1" x14ac:dyDescent="0.15">
      <c r="A12" s="170" t="s">
        <v>202</v>
      </c>
      <c r="B12" s="102">
        <v>0</v>
      </c>
      <c r="C12" s="102">
        <v>0</v>
      </c>
      <c r="D12" s="102">
        <v>0</v>
      </c>
      <c r="E12" s="102">
        <v>0</v>
      </c>
      <c r="F12" s="102">
        <v>0</v>
      </c>
      <c r="G12" s="102">
        <v>0</v>
      </c>
      <c r="H12" s="102">
        <v>0</v>
      </c>
      <c r="I12" s="102">
        <v>0</v>
      </c>
      <c r="J12" s="102">
        <v>0</v>
      </c>
      <c r="K12" s="102">
        <v>0</v>
      </c>
      <c r="L12" s="102">
        <v>0</v>
      </c>
      <c r="M12" s="102">
        <v>0</v>
      </c>
      <c r="N12" s="102">
        <v>0</v>
      </c>
      <c r="O12" s="102">
        <v>0.8</v>
      </c>
      <c r="P12" s="102">
        <v>0.8</v>
      </c>
      <c r="Q12" s="102">
        <v>0.8</v>
      </c>
      <c r="R12" s="102">
        <v>0.8</v>
      </c>
      <c r="S12" s="102">
        <v>0</v>
      </c>
      <c r="T12" s="102">
        <v>0</v>
      </c>
    </row>
    <row r="13" spans="1:30" customFormat="1" x14ac:dyDescent="0.15">
      <c r="A13" s="170" t="s">
        <v>203</v>
      </c>
      <c r="B13" s="102">
        <v>0</v>
      </c>
      <c r="C13" s="102">
        <v>0</v>
      </c>
      <c r="D13" s="102">
        <v>0</v>
      </c>
      <c r="E13" s="102">
        <v>0</v>
      </c>
      <c r="F13" s="102">
        <v>0</v>
      </c>
      <c r="G13" s="102">
        <v>0</v>
      </c>
      <c r="H13" s="102">
        <v>0</v>
      </c>
      <c r="I13" s="102">
        <v>0</v>
      </c>
      <c r="J13" s="102">
        <v>0</v>
      </c>
      <c r="K13" s="102">
        <v>0</v>
      </c>
      <c r="L13" s="102">
        <v>0</v>
      </c>
      <c r="M13" s="102">
        <v>0</v>
      </c>
      <c r="N13" s="102">
        <v>0</v>
      </c>
      <c r="O13" s="102">
        <v>0.8</v>
      </c>
      <c r="P13" s="102">
        <v>0.8</v>
      </c>
      <c r="Q13" s="102">
        <v>0.8</v>
      </c>
      <c r="R13" s="102">
        <v>0.8</v>
      </c>
      <c r="S13" s="102">
        <v>0</v>
      </c>
      <c r="T13" s="102">
        <v>0</v>
      </c>
    </row>
    <row r="14" spans="1:30" customFormat="1" x14ac:dyDescent="0.15">
      <c r="A14" s="170" t="s">
        <v>204</v>
      </c>
      <c r="B14" s="102">
        <v>0</v>
      </c>
      <c r="C14" s="102">
        <v>0</v>
      </c>
      <c r="D14" s="102">
        <v>0</v>
      </c>
      <c r="E14" s="102">
        <v>0</v>
      </c>
      <c r="F14" s="102">
        <v>0</v>
      </c>
      <c r="G14" s="102">
        <v>0</v>
      </c>
      <c r="H14" s="102">
        <v>0</v>
      </c>
      <c r="I14" s="102">
        <v>0.8</v>
      </c>
      <c r="J14" s="102">
        <v>0</v>
      </c>
      <c r="K14" s="102">
        <v>0.8</v>
      </c>
      <c r="L14" s="102">
        <v>0</v>
      </c>
      <c r="M14" s="102">
        <v>0.8</v>
      </c>
      <c r="N14" s="102">
        <v>0.8</v>
      </c>
      <c r="O14" s="102">
        <v>0.8</v>
      </c>
      <c r="P14" s="102">
        <v>0.8</v>
      </c>
      <c r="Q14" s="102">
        <v>0.8</v>
      </c>
      <c r="R14" s="102">
        <v>0.8</v>
      </c>
      <c r="S14" s="102">
        <v>0</v>
      </c>
      <c r="T14" s="102">
        <v>0</v>
      </c>
    </row>
    <row r="15" spans="1:30" customFormat="1" x14ac:dyDescent="0.15">
      <c r="A15" s="170" t="s">
        <v>205</v>
      </c>
      <c r="B15" s="102">
        <v>0</v>
      </c>
      <c r="C15" s="102">
        <v>0</v>
      </c>
      <c r="D15" s="102">
        <v>0</v>
      </c>
      <c r="E15" s="102">
        <v>0</v>
      </c>
      <c r="F15" s="102">
        <v>0</v>
      </c>
      <c r="G15" s="102">
        <v>0</v>
      </c>
      <c r="H15" s="102">
        <v>0</v>
      </c>
      <c r="I15" s="102">
        <v>0</v>
      </c>
      <c r="J15" s="102">
        <v>0</v>
      </c>
      <c r="K15" s="102">
        <v>0</v>
      </c>
      <c r="L15" s="102">
        <v>0</v>
      </c>
      <c r="M15" s="102">
        <v>0</v>
      </c>
      <c r="N15" s="102">
        <v>0</v>
      </c>
      <c r="O15" s="102">
        <v>0</v>
      </c>
      <c r="P15" s="102">
        <v>0</v>
      </c>
      <c r="Q15" s="102">
        <v>0</v>
      </c>
      <c r="R15" s="102">
        <v>0.8</v>
      </c>
      <c r="S15" s="102">
        <v>0</v>
      </c>
      <c r="T15" s="102">
        <v>0</v>
      </c>
    </row>
    <row r="16" spans="1:30" customFormat="1" x14ac:dyDescent="0.15">
      <c r="A16" s="170" t="s">
        <v>206</v>
      </c>
      <c r="B16" s="102">
        <v>0</v>
      </c>
      <c r="C16" s="102">
        <v>0</v>
      </c>
      <c r="D16" s="102">
        <v>0</v>
      </c>
      <c r="E16" s="102">
        <v>0</v>
      </c>
      <c r="F16" s="102">
        <v>0</v>
      </c>
      <c r="G16" s="102">
        <v>0</v>
      </c>
      <c r="H16" s="102">
        <v>0</v>
      </c>
      <c r="I16" s="102">
        <v>0</v>
      </c>
      <c r="J16" s="102">
        <v>0</v>
      </c>
      <c r="K16" s="102">
        <v>0</v>
      </c>
      <c r="L16" s="102">
        <v>0</v>
      </c>
      <c r="M16" s="102">
        <v>0</v>
      </c>
      <c r="N16" s="102">
        <v>0</v>
      </c>
      <c r="O16" s="102">
        <v>0.8</v>
      </c>
      <c r="P16" s="102">
        <v>0</v>
      </c>
      <c r="Q16" s="102">
        <v>0.8</v>
      </c>
      <c r="R16" s="102">
        <v>0.8</v>
      </c>
      <c r="S16" s="102">
        <v>0</v>
      </c>
      <c r="T16" s="102">
        <v>0</v>
      </c>
    </row>
    <row r="17" spans="1:20" customFormat="1" x14ac:dyDescent="0.15">
      <c r="A17" s="170" t="s">
        <v>207</v>
      </c>
      <c r="B17" s="102">
        <v>0</v>
      </c>
      <c r="C17" s="102">
        <v>0</v>
      </c>
      <c r="D17" s="102">
        <v>0</v>
      </c>
      <c r="E17" s="102">
        <v>0</v>
      </c>
      <c r="F17" s="102">
        <v>0</v>
      </c>
      <c r="G17" s="102">
        <v>0</v>
      </c>
      <c r="H17" s="102">
        <v>0</v>
      </c>
      <c r="I17" s="102">
        <v>0</v>
      </c>
      <c r="J17" s="102">
        <v>0</v>
      </c>
      <c r="K17" s="102">
        <v>0</v>
      </c>
      <c r="L17" s="102">
        <v>0</v>
      </c>
      <c r="M17" s="102">
        <v>0</v>
      </c>
      <c r="N17" s="102">
        <v>0</v>
      </c>
      <c r="O17" s="102">
        <v>0.8</v>
      </c>
      <c r="P17" s="102">
        <v>0.8</v>
      </c>
      <c r="Q17" s="102">
        <v>0</v>
      </c>
      <c r="R17" s="102">
        <v>0.8</v>
      </c>
      <c r="S17" s="102">
        <v>0</v>
      </c>
      <c r="T17" s="102">
        <v>0</v>
      </c>
    </row>
    <row r="18" spans="1:20" customFormat="1" x14ac:dyDescent="0.15">
      <c r="A18" s="170" t="s">
        <v>208</v>
      </c>
      <c r="B18" s="102">
        <v>0</v>
      </c>
      <c r="C18" s="102">
        <v>0</v>
      </c>
      <c r="D18" s="102">
        <v>0</v>
      </c>
      <c r="E18" s="102">
        <v>0</v>
      </c>
      <c r="F18" s="102">
        <v>0</v>
      </c>
      <c r="G18" s="102">
        <v>0</v>
      </c>
      <c r="H18" s="102">
        <v>0</v>
      </c>
      <c r="I18" s="102">
        <v>0</v>
      </c>
      <c r="J18" s="102">
        <v>0</v>
      </c>
      <c r="K18" s="102">
        <v>0</v>
      </c>
      <c r="L18" s="102">
        <v>0</v>
      </c>
      <c r="M18" s="102">
        <v>0</v>
      </c>
      <c r="N18" s="102">
        <v>0</v>
      </c>
      <c r="O18" s="102">
        <v>0</v>
      </c>
      <c r="P18" s="102">
        <v>0</v>
      </c>
      <c r="Q18" s="102">
        <v>0</v>
      </c>
      <c r="R18" s="102">
        <v>0</v>
      </c>
      <c r="S18" s="102">
        <v>0</v>
      </c>
      <c r="T18" s="102">
        <v>0</v>
      </c>
    </row>
    <row r="19" spans="1:20" customFormat="1" x14ac:dyDescent="0.15">
      <c r="A19" s="170" t="s">
        <v>209</v>
      </c>
      <c r="B19" s="102">
        <v>0</v>
      </c>
      <c r="C19" s="102">
        <v>0</v>
      </c>
      <c r="D19" s="102">
        <v>0.8</v>
      </c>
      <c r="E19" s="102">
        <v>0.8</v>
      </c>
      <c r="F19" s="102">
        <v>0.8</v>
      </c>
      <c r="G19" s="102">
        <v>0.8</v>
      </c>
      <c r="H19" s="102">
        <v>0</v>
      </c>
      <c r="I19" s="102">
        <v>0.8</v>
      </c>
      <c r="J19" s="102">
        <v>0.8</v>
      </c>
      <c r="K19" s="102">
        <v>0.8</v>
      </c>
      <c r="L19" s="102">
        <v>0.8</v>
      </c>
      <c r="M19" s="102">
        <v>0.8</v>
      </c>
      <c r="N19" s="102">
        <v>0.8</v>
      </c>
      <c r="O19" s="102">
        <v>0</v>
      </c>
      <c r="P19" s="102">
        <v>0.8</v>
      </c>
      <c r="Q19" s="102">
        <v>0</v>
      </c>
      <c r="R19" s="102">
        <v>0</v>
      </c>
      <c r="S19" s="102">
        <v>0</v>
      </c>
      <c r="T19" s="102">
        <v>0</v>
      </c>
    </row>
    <row r="20" spans="1:20" customFormat="1" x14ac:dyDescent="0.15">
      <c r="A20" s="170" t="s">
        <v>210</v>
      </c>
      <c r="B20" s="102">
        <v>0</v>
      </c>
      <c r="C20" s="102">
        <v>0</v>
      </c>
      <c r="D20" s="102">
        <v>0</v>
      </c>
      <c r="E20" s="102">
        <v>0</v>
      </c>
      <c r="F20" s="102">
        <v>0</v>
      </c>
      <c r="G20" s="102">
        <v>0</v>
      </c>
      <c r="H20" s="102">
        <v>0</v>
      </c>
      <c r="I20" s="102">
        <v>0</v>
      </c>
      <c r="J20" s="102">
        <v>0</v>
      </c>
      <c r="K20" s="102">
        <v>0</v>
      </c>
      <c r="L20" s="102">
        <v>0</v>
      </c>
      <c r="M20" s="102">
        <v>0</v>
      </c>
      <c r="N20" s="102">
        <v>0</v>
      </c>
      <c r="O20" s="102">
        <v>0</v>
      </c>
      <c r="P20" s="102">
        <v>0</v>
      </c>
      <c r="Q20" s="102">
        <v>0</v>
      </c>
      <c r="R20" s="102">
        <v>0</v>
      </c>
      <c r="S20" s="102">
        <v>0</v>
      </c>
      <c r="T20" s="102">
        <v>0</v>
      </c>
    </row>
    <row r="21" spans="1:20" customFormat="1" x14ac:dyDescent="0.15">
      <c r="A21" s="170" t="s">
        <v>215</v>
      </c>
      <c r="B21" s="102">
        <v>0</v>
      </c>
      <c r="C21" s="102">
        <v>0</v>
      </c>
      <c r="D21" s="102">
        <v>0</v>
      </c>
      <c r="E21" s="102">
        <v>0</v>
      </c>
      <c r="F21" s="102">
        <v>0</v>
      </c>
      <c r="G21" s="102">
        <v>0</v>
      </c>
      <c r="H21" s="102">
        <v>0</v>
      </c>
      <c r="I21" s="102">
        <v>0</v>
      </c>
      <c r="J21" s="102">
        <v>0</v>
      </c>
      <c r="K21" s="102">
        <v>0</v>
      </c>
      <c r="L21" s="102">
        <v>0</v>
      </c>
      <c r="M21" s="102">
        <v>0</v>
      </c>
      <c r="N21" s="102">
        <v>0</v>
      </c>
      <c r="O21" s="102">
        <v>0</v>
      </c>
      <c r="P21" s="102">
        <v>0</v>
      </c>
      <c r="Q21" s="102">
        <v>0</v>
      </c>
      <c r="R21" s="102">
        <v>0</v>
      </c>
      <c r="S21" s="102">
        <v>0</v>
      </c>
      <c r="T21" s="102">
        <v>0</v>
      </c>
    </row>
    <row r="22" spans="1:20" customFormat="1" x14ac:dyDescent="0.15"/>
    <row r="23" spans="1:20" customFormat="1" x14ac:dyDescent="0.15"/>
    <row r="24" spans="1:20" customFormat="1" x14ac:dyDescent="0.15"/>
    <row r="25" spans="1:20" customFormat="1" x14ac:dyDescent="0.15"/>
    <row r="26" spans="1:20" customFormat="1" x14ac:dyDescent="0.15"/>
    <row r="27" spans="1:20" customFormat="1" x14ac:dyDescent="0.15"/>
    <row r="28" spans="1:20" customFormat="1" x14ac:dyDescent="0.15"/>
    <row r="29" spans="1:20" customFormat="1" x14ac:dyDescent="0.15"/>
    <row r="30" spans="1:20" customFormat="1" x14ac:dyDescent="0.15"/>
    <row r="31" spans="1:20" customFormat="1" x14ac:dyDescent="0.15"/>
    <row r="32" spans="1:20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1.6640625" style="102" bestFit="1" customWidth="1"/>
    <col min="2" max="20" width="2.33203125" style="102" customWidth="1"/>
    <col min="21" max="16384" width="10.83203125" style="102"/>
  </cols>
  <sheetData>
    <row r="1" spans="1:31" x14ac:dyDescent="0.15">
      <c r="A1" s="61" t="s">
        <v>139</v>
      </c>
      <c r="B1" s="173" t="s">
        <v>192</v>
      </c>
      <c r="C1" s="173" t="s">
        <v>193</v>
      </c>
      <c r="D1" s="173" t="s">
        <v>194</v>
      </c>
      <c r="E1" s="173" t="s">
        <v>195</v>
      </c>
      <c r="F1" s="173" t="s">
        <v>196</v>
      </c>
      <c r="G1" s="173" t="s">
        <v>197</v>
      </c>
      <c r="H1" s="173" t="s">
        <v>198</v>
      </c>
      <c r="I1" s="173" t="s">
        <v>199</v>
      </c>
      <c r="J1" s="173" t="s">
        <v>200</v>
      </c>
      <c r="K1" s="173" t="s">
        <v>201</v>
      </c>
      <c r="L1" s="173" t="s">
        <v>202</v>
      </c>
      <c r="M1" s="173" t="s">
        <v>203</v>
      </c>
      <c r="N1" s="173" t="s">
        <v>204</v>
      </c>
      <c r="O1" s="173" t="s">
        <v>205</v>
      </c>
      <c r="P1" s="173" t="s">
        <v>206</v>
      </c>
      <c r="Q1" s="173" t="s">
        <v>207</v>
      </c>
      <c r="R1" s="173" t="s">
        <v>208</v>
      </c>
      <c r="S1" s="173" t="s">
        <v>209</v>
      </c>
      <c r="T1" s="173" t="s">
        <v>210</v>
      </c>
      <c r="U1"/>
      <c r="V1"/>
      <c r="W1"/>
      <c r="X1"/>
      <c r="Y1"/>
      <c r="Z1"/>
      <c r="AA1"/>
      <c r="AB1"/>
      <c r="AC1"/>
      <c r="AD1"/>
      <c r="AE1"/>
    </row>
    <row r="2" spans="1:31" customFormat="1" x14ac:dyDescent="0.15">
      <c r="A2" s="172" t="s">
        <v>192</v>
      </c>
      <c r="B2" s="102">
        <v>0</v>
      </c>
      <c r="C2" s="102">
        <v>0</v>
      </c>
      <c r="D2" s="102">
        <v>1</v>
      </c>
      <c r="E2" s="102">
        <v>1</v>
      </c>
      <c r="F2" s="102">
        <v>1</v>
      </c>
      <c r="G2" s="102">
        <v>0</v>
      </c>
      <c r="H2" s="102">
        <v>1</v>
      </c>
      <c r="I2" s="102">
        <v>0</v>
      </c>
      <c r="J2" s="102">
        <v>0</v>
      </c>
      <c r="K2" s="102">
        <v>0</v>
      </c>
      <c r="L2" s="102">
        <v>0</v>
      </c>
      <c r="M2" s="102">
        <v>0</v>
      </c>
      <c r="N2" s="102">
        <v>0</v>
      </c>
      <c r="O2" s="102">
        <v>0</v>
      </c>
      <c r="P2" s="102">
        <v>0</v>
      </c>
      <c r="Q2" s="102">
        <v>0</v>
      </c>
      <c r="R2" s="102">
        <v>0</v>
      </c>
      <c r="S2" s="102">
        <v>0</v>
      </c>
      <c r="T2" s="102">
        <v>0</v>
      </c>
    </row>
    <row r="3" spans="1:31" customFormat="1" x14ac:dyDescent="0.15">
      <c r="A3" s="172" t="s">
        <v>193</v>
      </c>
      <c r="B3" s="102">
        <v>0</v>
      </c>
      <c r="C3" s="102">
        <v>0</v>
      </c>
      <c r="D3" s="102">
        <v>0</v>
      </c>
      <c r="E3" s="102">
        <v>0</v>
      </c>
      <c r="F3" s="102">
        <v>0</v>
      </c>
      <c r="G3" s="102">
        <v>0</v>
      </c>
      <c r="H3" s="102">
        <v>0</v>
      </c>
      <c r="I3" s="102">
        <v>0</v>
      </c>
      <c r="J3" s="102">
        <v>0</v>
      </c>
      <c r="K3" s="102">
        <v>1</v>
      </c>
      <c r="L3" s="102">
        <v>1</v>
      </c>
      <c r="M3" s="102">
        <v>0</v>
      </c>
      <c r="N3" s="102">
        <v>1</v>
      </c>
      <c r="O3" s="102">
        <v>0</v>
      </c>
      <c r="P3" s="102">
        <v>0</v>
      </c>
      <c r="Q3" s="102">
        <v>0</v>
      </c>
      <c r="R3" s="102">
        <v>0</v>
      </c>
      <c r="S3" s="102">
        <v>0</v>
      </c>
      <c r="T3" s="102">
        <v>0</v>
      </c>
    </row>
    <row r="4" spans="1:31" customFormat="1" x14ac:dyDescent="0.15">
      <c r="A4" s="172" t="s">
        <v>194</v>
      </c>
      <c r="B4" s="102">
        <v>0</v>
      </c>
      <c r="C4" s="102">
        <v>0</v>
      </c>
      <c r="D4" s="102">
        <v>1</v>
      </c>
      <c r="E4" s="102">
        <v>1</v>
      </c>
      <c r="F4" s="102">
        <v>1</v>
      </c>
      <c r="G4" s="102">
        <v>1</v>
      </c>
      <c r="H4" s="102">
        <v>1</v>
      </c>
      <c r="I4" s="102">
        <v>0</v>
      </c>
      <c r="J4" s="102">
        <v>0</v>
      </c>
      <c r="K4" s="102">
        <v>0</v>
      </c>
      <c r="L4" s="102">
        <v>0</v>
      </c>
      <c r="M4" s="102">
        <v>0</v>
      </c>
      <c r="N4" s="102">
        <v>1</v>
      </c>
      <c r="O4" s="102">
        <v>1</v>
      </c>
      <c r="P4" s="102">
        <v>0</v>
      </c>
      <c r="Q4" s="102">
        <v>0</v>
      </c>
      <c r="R4" s="102">
        <v>0</v>
      </c>
      <c r="S4" s="102">
        <v>0</v>
      </c>
      <c r="T4" s="102">
        <v>0</v>
      </c>
    </row>
    <row r="5" spans="1:31" customFormat="1" x14ac:dyDescent="0.15">
      <c r="A5" s="172" t="s">
        <v>195</v>
      </c>
      <c r="B5" s="102">
        <v>0</v>
      </c>
      <c r="C5" s="102">
        <v>0</v>
      </c>
      <c r="D5" s="102">
        <v>0</v>
      </c>
      <c r="E5" s="102">
        <v>1</v>
      </c>
      <c r="F5" s="102">
        <v>1</v>
      </c>
      <c r="G5" s="102">
        <v>1</v>
      </c>
      <c r="H5" s="102">
        <v>0</v>
      </c>
      <c r="I5" s="102">
        <v>1</v>
      </c>
      <c r="J5" s="102">
        <v>1</v>
      </c>
      <c r="K5" s="102">
        <v>1</v>
      </c>
      <c r="L5" s="102">
        <v>1</v>
      </c>
      <c r="M5" s="102">
        <v>1</v>
      </c>
      <c r="N5" s="102">
        <v>1</v>
      </c>
      <c r="O5" s="102">
        <v>0</v>
      </c>
      <c r="P5" s="102">
        <v>1</v>
      </c>
      <c r="Q5" s="102">
        <v>1</v>
      </c>
      <c r="R5" s="102">
        <v>1</v>
      </c>
      <c r="S5" s="102">
        <v>0</v>
      </c>
      <c r="T5" s="102">
        <v>0</v>
      </c>
    </row>
    <row r="6" spans="1:31" customFormat="1" x14ac:dyDescent="0.15">
      <c r="A6" s="172" t="s">
        <v>196</v>
      </c>
      <c r="B6" s="102">
        <v>0</v>
      </c>
      <c r="C6" s="102">
        <v>0</v>
      </c>
      <c r="D6" s="102">
        <v>0</v>
      </c>
      <c r="E6" s="102">
        <v>0</v>
      </c>
      <c r="F6" s="102">
        <v>1</v>
      </c>
      <c r="G6" s="102">
        <v>1</v>
      </c>
      <c r="H6" s="102">
        <v>1</v>
      </c>
      <c r="I6" s="102">
        <v>1</v>
      </c>
      <c r="J6" s="102">
        <v>1</v>
      </c>
      <c r="K6" s="102">
        <v>1</v>
      </c>
      <c r="L6" s="102">
        <v>1</v>
      </c>
      <c r="M6" s="102">
        <v>1</v>
      </c>
      <c r="N6" s="102">
        <v>1</v>
      </c>
      <c r="O6" s="102">
        <v>1</v>
      </c>
      <c r="P6" s="102">
        <v>1</v>
      </c>
      <c r="Q6" s="102">
        <v>1</v>
      </c>
      <c r="R6" s="102">
        <v>1</v>
      </c>
      <c r="S6" s="102">
        <v>0</v>
      </c>
      <c r="T6" s="102">
        <v>0</v>
      </c>
    </row>
    <row r="7" spans="1:31" customFormat="1" x14ac:dyDescent="0.15">
      <c r="A7" s="172" t="s">
        <v>197</v>
      </c>
      <c r="B7" s="102">
        <v>0</v>
      </c>
      <c r="C7" s="102">
        <v>0</v>
      </c>
      <c r="D7" s="102">
        <v>0</v>
      </c>
      <c r="E7" s="102">
        <v>0</v>
      </c>
      <c r="F7" s="102">
        <v>0</v>
      </c>
      <c r="G7" s="102">
        <v>0</v>
      </c>
      <c r="H7" s="102">
        <v>0</v>
      </c>
      <c r="I7" s="102">
        <v>0</v>
      </c>
      <c r="J7" s="102">
        <v>1</v>
      </c>
      <c r="K7" s="102">
        <v>1</v>
      </c>
      <c r="L7" s="102">
        <v>1</v>
      </c>
      <c r="M7" s="102">
        <v>1</v>
      </c>
      <c r="N7" s="102">
        <v>1</v>
      </c>
      <c r="O7" s="102">
        <v>1</v>
      </c>
      <c r="P7" s="102">
        <v>1</v>
      </c>
      <c r="Q7" s="102">
        <v>1</v>
      </c>
      <c r="R7" s="102">
        <v>1</v>
      </c>
      <c r="S7" s="102">
        <v>0</v>
      </c>
      <c r="T7" s="102">
        <v>0</v>
      </c>
    </row>
    <row r="8" spans="1:31" customFormat="1" x14ac:dyDescent="0.15">
      <c r="A8" s="172" t="s">
        <v>198</v>
      </c>
      <c r="B8" s="102">
        <v>0</v>
      </c>
      <c r="C8" s="102">
        <v>0</v>
      </c>
      <c r="D8" s="102">
        <v>0</v>
      </c>
      <c r="E8" s="102">
        <v>0</v>
      </c>
      <c r="F8" s="102">
        <v>0</v>
      </c>
      <c r="G8" s="102">
        <v>0</v>
      </c>
      <c r="H8" s="102">
        <v>0</v>
      </c>
      <c r="I8" s="102">
        <v>0</v>
      </c>
      <c r="J8" s="102">
        <v>0</v>
      </c>
      <c r="K8" s="102">
        <v>0</v>
      </c>
      <c r="L8" s="102">
        <v>1</v>
      </c>
      <c r="M8" s="102">
        <v>1</v>
      </c>
      <c r="N8" s="102">
        <v>0</v>
      </c>
      <c r="O8" s="102">
        <v>1</v>
      </c>
      <c r="P8" s="102">
        <v>1</v>
      </c>
      <c r="Q8" s="102">
        <v>1</v>
      </c>
      <c r="R8" s="102">
        <v>1</v>
      </c>
      <c r="S8" s="102">
        <v>0</v>
      </c>
      <c r="T8" s="102">
        <v>0</v>
      </c>
    </row>
    <row r="9" spans="1:31" customFormat="1" x14ac:dyDescent="0.15">
      <c r="A9" s="172" t="s">
        <v>199</v>
      </c>
      <c r="B9" s="102">
        <v>0</v>
      </c>
      <c r="C9" s="102">
        <v>0</v>
      </c>
      <c r="D9" s="102">
        <v>0</v>
      </c>
      <c r="E9" s="102">
        <v>0</v>
      </c>
      <c r="F9" s="102">
        <v>0</v>
      </c>
      <c r="G9" s="102">
        <v>0</v>
      </c>
      <c r="H9" s="102">
        <v>0</v>
      </c>
      <c r="I9" s="102">
        <v>0</v>
      </c>
      <c r="J9" s="102">
        <v>0</v>
      </c>
      <c r="K9" s="102">
        <v>0</v>
      </c>
      <c r="L9" s="102">
        <v>0</v>
      </c>
      <c r="M9" s="102">
        <v>0</v>
      </c>
      <c r="N9" s="102">
        <v>0</v>
      </c>
      <c r="O9" s="102">
        <v>0</v>
      </c>
      <c r="P9" s="102">
        <v>1</v>
      </c>
      <c r="Q9" s="102">
        <v>1</v>
      </c>
      <c r="R9" s="102">
        <v>1</v>
      </c>
      <c r="S9" s="102">
        <v>0</v>
      </c>
      <c r="T9" s="102">
        <v>0</v>
      </c>
    </row>
    <row r="10" spans="1:31" customFormat="1" x14ac:dyDescent="0.15">
      <c r="A10" s="172" t="s">
        <v>200</v>
      </c>
      <c r="B10" s="102">
        <v>0</v>
      </c>
      <c r="C10" s="102">
        <v>0</v>
      </c>
      <c r="D10" s="102">
        <v>0</v>
      </c>
      <c r="E10" s="102">
        <v>0</v>
      </c>
      <c r="F10" s="102">
        <v>0</v>
      </c>
      <c r="G10" s="102">
        <v>0</v>
      </c>
      <c r="H10" s="102">
        <v>0</v>
      </c>
      <c r="I10" s="102">
        <v>0</v>
      </c>
      <c r="J10" s="102">
        <v>1</v>
      </c>
      <c r="K10" s="102">
        <v>1</v>
      </c>
      <c r="L10" s="102">
        <v>1</v>
      </c>
      <c r="M10" s="102">
        <v>1</v>
      </c>
      <c r="N10" s="102">
        <v>1</v>
      </c>
      <c r="O10" s="102">
        <v>0</v>
      </c>
      <c r="P10" s="102">
        <v>1</v>
      </c>
      <c r="Q10" s="102">
        <v>1</v>
      </c>
      <c r="R10" s="102">
        <v>1</v>
      </c>
      <c r="S10" s="102">
        <v>0</v>
      </c>
      <c r="T10" s="102">
        <v>0</v>
      </c>
    </row>
    <row r="11" spans="1:31" customFormat="1" x14ac:dyDescent="0.15">
      <c r="A11" s="172" t="s">
        <v>201</v>
      </c>
      <c r="B11" s="102">
        <v>0</v>
      </c>
      <c r="C11" s="102">
        <v>0</v>
      </c>
      <c r="D11" s="102">
        <v>0</v>
      </c>
      <c r="E11" s="102">
        <v>0</v>
      </c>
      <c r="F11" s="102">
        <v>0</v>
      </c>
      <c r="G11" s="102">
        <v>0</v>
      </c>
      <c r="H11" s="102">
        <v>0</v>
      </c>
      <c r="I11" s="102">
        <v>0</v>
      </c>
      <c r="J11" s="102">
        <v>0</v>
      </c>
      <c r="K11" s="102">
        <v>0</v>
      </c>
      <c r="L11" s="102">
        <v>0</v>
      </c>
      <c r="M11" s="102">
        <v>0</v>
      </c>
      <c r="N11" s="102">
        <v>0</v>
      </c>
      <c r="O11" s="102">
        <v>1</v>
      </c>
      <c r="P11" s="102">
        <v>1</v>
      </c>
      <c r="Q11" s="102">
        <v>0</v>
      </c>
      <c r="R11" s="102">
        <v>1</v>
      </c>
      <c r="S11" s="102">
        <v>0</v>
      </c>
      <c r="T11" s="102">
        <v>0</v>
      </c>
    </row>
    <row r="12" spans="1:31" customFormat="1" x14ac:dyDescent="0.15">
      <c r="A12" s="172" t="s">
        <v>202</v>
      </c>
      <c r="B12" s="102">
        <v>0</v>
      </c>
      <c r="C12" s="102">
        <v>0</v>
      </c>
      <c r="D12" s="102">
        <v>0</v>
      </c>
      <c r="E12" s="102">
        <v>0</v>
      </c>
      <c r="F12" s="102">
        <v>0</v>
      </c>
      <c r="G12" s="102">
        <v>0</v>
      </c>
      <c r="H12" s="102">
        <v>0</v>
      </c>
      <c r="I12" s="102">
        <v>0</v>
      </c>
      <c r="J12" s="102">
        <v>0</v>
      </c>
      <c r="K12" s="102">
        <v>0</v>
      </c>
      <c r="L12" s="102">
        <v>0</v>
      </c>
      <c r="M12" s="102">
        <v>0</v>
      </c>
      <c r="N12" s="102">
        <v>0</v>
      </c>
      <c r="O12" s="102">
        <v>1</v>
      </c>
      <c r="P12" s="102">
        <v>1</v>
      </c>
      <c r="Q12" s="102">
        <v>1</v>
      </c>
      <c r="R12" s="102">
        <v>1</v>
      </c>
      <c r="S12" s="102">
        <v>0</v>
      </c>
      <c r="T12" s="102">
        <v>0</v>
      </c>
    </row>
    <row r="13" spans="1:31" customFormat="1" x14ac:dyDescent="0.15">
      <c r="A13" s="172" t="s">
        <v>203</v>
      </c>
      <c r="B13" s="102">
        <v>0</v>
      </c>
      <c r="C13" s="102">
        <v>0</v>
      </c>
      <c r="D13" s="102">
        <v>0</v>
      </c>
      <c r="E13" s="102">
        <v>0</v>
      </c>
      <c r="F13" s="102">
        <v>0</v>
      </c>
      <c r="G13" s="102">
        <v>0</v>
      </c>
      <c r="H13" s="102">
        <v>0</v>
      </c>
      <c r="I13" s="102">
        <v>0</v>
      </c>
      <c r="J13" s="102">
        <v>0</v>
      </c>
      <c r="K13" s="102">
        <v>0</v>
      </c>
      <c r="L13" s="102">
        <v>0</v>
      </c>
      <c r="M13" s="102">
        <v>0</v>
      </c>
      <c r="N13" s="102">
        <v>0</v>
      </c>
      <c r="O13" s="102">
        <v>1</v>
      </c>
      <c r="P13" s="102">
        <v>1</v>
      </c>
      <c r="Q13" s="102">
        <v>1</v>
      </c>
      <c r="R13" s="102">
        <v>1</v>
      </c>
      <c r="S13" s="102">
        <v>0</v>
      </c>
      <c r="T13" s="102">
        <v>0</v>
      </c>
    </row>
    <row r="14" spans="1:31" customFormat="1" x14ac:dyDescent="0.15">
      <c r="A14" s="172" t="s">
        <v>204</v>
      </c>
      <c r="B14" s="102">
        <v>0</v>
      </c>
      <c r="C14" s="102">
        <v>0</v>
      </c>
      <c r="D14" s="102">
        <v>0</v>
      </c>
      <c r="E14" s="102">
        <v>0</v>
      </c>
      <c r="F14" s="102">
        <v>0</v>
      </c>
      <c r="G14" s="102">
        <v>0</v>
      </c>
      <c r="H14" s="102">
        <v>0</v>
      </c>
      <c r="I14" s="102">
        <v>1</v>
      </c>
      <c r="J14" s="102">
        <v>0</v>
      </c>
      <c r="K14" s="102">
        <v>1</v>
      </c>
      <c r="L14" s="102">
        <v>0</v>
      </c>
      <c r="M14" s="102">
        <v>1</v>
      </c>
      <c r="N14" s="102">
        <v>1</v>
      </c>
      <c r="O14" s="102">
        <v>1</v>
      </c>
      <c r="P14" s="102">
        <v>1</v>
      </c>
      <c r="Q14" s="102">
        <v>1</v>
      </c>
      <c r="R14" s="102">
        <v>1</v>
      </c>
      <c r="S14" s="102">
        <v>0</v>
      </c>
      <c r="T14" s="102">
        <v>0</v>
      </c>
    </row>
    <row r="15" spans="1:31" customFormat="1" x14ac:dyDescent="0.15">
      <c r="A15" s="172" t="s">
        <v>205</v>
      </c>
      <c r="B15" s="102">
        <v>0</v>
      </c>
      <c r="C15" s="102">
        <v>0</v>
      </c>
      <c r="D15" s="102">
        <v>0</v>
      </c>
      <c r="E15" s="102">
        <v>0</v>
      </c>
      <c r="F15" s="102">
        <v>0</v>
      </c>
      <c r="G15" s="102">
        <v>0</v>
      </c>
      <c r="H15" s="102">
        <v>0</v>
      </c>
      <c r="I15" s="102">
        <v>0</v>
      </c>
      <c r="J15" s="102">
        <v>0</v>
      </c>
      <c r="K15" s="102">
        <v>0</v>
      </c>
      <c r="L15" s="102">
        <v>0</v>
      </c>
      <c r="M15" s="102">
        <v>0</v>
      </c>
      <c r="N15" s="102">
        <v>0</v>
      </c>
      <c r="O15" s="102">
        <v>0</v>
      </c>
      <c r="P15" s="102">
        <v>0</v>
      </c>
      <c r="Q15" s="102">
        <v>0</v>
      </c>
      <c r="R15" s="102">
        <v>1</v>
      </c>
      <c r="S15" s="102">
        <v>0</v>
      </c>
      <c r="T15" s="102">
        <v>0</v>
      </c>
    </row>
    <row r="16" spans="1:31" customFormat="1" x14ac:dyDescent="0.15">
      <c r="A16" s="172" t="s">
        <v>206</v>
      </c>
      <c r="B16" s="102">
        <v>0</v>
      </c>
      <c r="C16" s="102">
        <v>0</v>
      </c>
      <c r="D16" s="102">
        <v>0</v>
      </c>
      <c r="E16" s="102">
        <v>0</v>
      </c>
      <c r="F16" s="102">
        <v>0</v>
      </c>
      <c r="G16" s="102">
        <v>0</v>
      </c>
      <c r="H16" s="102">
        <v>0</v>
      </c>
      <c r="I16" s="102">
        <v>0</v>
      </c>
      <c r="J16" s="102">
        <v>0</v>
      </c>
      <c r="K16" s="102">
        <v>0</v>
      </c>
      <c r="L16" s="102">
        <v>0</v>
      </c>
      <c r="M16" s="102">
        <v>0</v>
      </c>
      <c r="N16" s="102">
        <v>0</v>
      </c>
      <c r="O16" s="102">
        <v>1</v>
      </c>
      <c r="P16" s="102">
        <v>0</v>
      </c>
      <c r="Q16" s="102">
        <v>1</v>
      </c>
      <c r="R16" s="102">
        <v>1</v>
      </c>
      <c r="S16" s="102">
        <v>0</v>
      </c>
      <c r="T16" s="102">
        <v>0</v>
      </c>
    </row>
    <row r="17" spans="1:20" customFormat="1" x14ac:dyDescent="0.15">
      <c r="A17" s="172" t="s">
        <v>207</v>
      </c>
      <c r="B17" s="102">
        <v>0</v>
      </c>
      <c r="C17" s="102">
        <v>0</v>
      </c>
      <c r="D17" s="102">
        <v>0</v>
      </c>
      <c r="E17" s="102">
        <v>0</v>
      </c>
      <c r="F17" s="102">
        <v>0</v>
      </c>
      <c r="G17" s="102">
        <v>0</v>
      </c>
      <c r="H17" s="102">
        <v>0</v>
      </c>
      <c r="I17" s="102">
        <v>0</v>
      </c>
      <c r="J17" s="102">
        <v>0</v>
      </c>
      <c r="K17" s="102">
        <v>0</v>
      </c>
      <c r="L17" s="102">
        <v>0</v>
      </c>
      <c r="M17" s="102">
        <v>0</v>
      </c>
      <c r="N17" s="102">
        <v>0</v>
      </c>
      <c r="O17" s="102">
        <v>1</v>
      </c>
      <c r="P17" s="102">
        <v>1</v>
      </c>
      <c r="Q17" s="102">
        <v>0</v>
      </c>
      <c r="R17" s="102">
        <v>1</v>
      </c>
      <c r="S17" s="102">
        <v>0</v>
      </c>
      <c r="T17" s="102">
        <v>0</v>
      </c>
    </row>
    <row r="18" spans="1:20" customFormat="1" x14ac:dyDescent="0.15">
      <c r="A18" s="172" t="s">
        <v>208</v>
      </c>
      <c r="B18" s="102">
        <v>0</v>
      </c>
      <c r="C18" s="102">
        <v>0</v>
      </c>
      <c r="D18" s="102">
        <v>0</v>
      </c>
      <c r="E18" s="102">
        <v>0</v>
      </c>
      <c r="F18" s="102">
        <v>0</v>
      </c>
      <c r="G18" s="102">
        <v>0</v>
      </c>
      <c r="H18" s="102">
        <v>0</v>
      </c>
      <c r="I18" s="102">
        <v>0</v>
      </c>
      <c r="J18" s="102">
        <v>0</v>
      </c>
      <c r="K18" s="102">
        <v>0</v>
      </c>
      <c r="L18" s="102">
        <v>0</v>
      </c>
      <c r="M18" s="102">
        <v>0</v>
      </c>
      <c r="N18" s="102">
        <v>0</v>
      </c>
      <c r="O18" s="102">
        <v>0</v>
      </c>
      <c r="P18" s="102">
        <v>0</v>
      </c>
      <c r="Q18" s="102">
        <v>0</v>
      </c>
      <c r="R18" s="102">
        <v>0</v>
      </c>
      <c r="S18" s="102">
        <v>0</v>
      </c>
      <c r="T18" s="102">
        <v>0</v>
      </c>
    </row>
    <row r="19" spans="1:20" customFormat="1" x14ac:dyDescent="0.15">
      <c r="A19" s="172" t="s">
        <v>209</v>
      </c>
      <c r="B19" s="102">
        <v>0</v>
      </c>
      <c r="C19" s="102">
        <v>0</v>
      </c>
      <c r="D19" s="102">
        <v>1</v>
      </c>
      <c r="E19" s="102">
        <v>1</v>
      </c>
      <c r="F19" s="102">
        <v>1</v>
      </c>
      <c r="G19" s="102">
        <v>1</v>
      </c>
      <c r="H19" s="102">
        <v>0</v>
      </c>
      <c r="I19" s="102">
        <v>1</v>
      </c>
      <c r="J19" s="102">
        <v>1</v>
      </c>
      <c r="K19" s="102">
        <v>1</v>
      </c>
      <c r="L19" s="102">
        <v>1</v>
      </c>
      <c r="M19" s="102">
        <v>1</v>
      </c>
      <c r="N19" s="102">
        <v>1</v>
      </c>
      <c r="O19" s="102">
        <v>0</v>
      </c>
      <c r="P19" s="102">
        <v>1</v>
      </c>
      <c r="Q19" s="102">
        <v>0</v>
      </c>
      <c r="R19" s="102">
        <v>0</v>
      </c>
      <c r="S19" s="102">
        <v>0</v>
      </c>
      <c r="T19" s="102">
        <v>0</v>
      </c>
    </row>
    <row r="20" spans="1:20" customFormat="1" x14ac:dyDescent="0.15">
      <c r="A20" s="172" t="s">
        <v>210</v>
      </c>
      <c r="B20" s="102">
        <v>0</v>
      </c>
      <c r="C20" s="102">
        <v>0</v>
      </c>
      <c r="D20" s="102">
        <v>0</v>
      </c>
      <c r="E20" s="102">
        <v>0</v>
      </c>
      <c r="F20" s="102">
        <v>0</v>
      </c>
      <c r="G20" s="102">
        <v>0</v>
      </c>
      <c r="H20" s="102">
        <v>0</v>
      </c>
      <c r="I20" s="102">
        <v>0</v>
      </c>
      <c r="J20" s="102">
        <v>0</v>
      </c>
      <c r="K20" s="102">
        <v>0</v>
      </c>
      <c r="L20" s="102">
        <v>0</v>
      </c>
      <c r="M20" s="102">
        <v>0</v>
      </c>
      <c r="N20" s="102">
        <v>0</v>
      </c>
      <c r="O20" s="102">
        <v>0</v>
      </c>
      <c r="P20" s="102">
        <v>0</v>
      </c>
      <c r="Q20" s="102">
        <v>0</v>
      </c>
      <c r="R20" s="102">
        <v>0</v>
      </c>
      <c r="S20" s="102">
        <v>0</v>
      </c>
      <c r="T20" s="102">
        <v>0</v>
      </c>
    </row>
    <row r="21" spans="1:20" customFormat="1" x14ac:dyDescent="0.15">
      <c r="A21" s="172" t="s">
        <v>215</v>
      </c>
      <c r="B21" s="102">
        <v>0</v>
      </c>
      <c r="C21" s="102">
        <v>0</v>
      </c>
      <c r="D21" s="102">
        <v>0</v>
      </c>
      <c r="E21" s="102">
        <v>0</v>
      </c>
      <c r="F21" s="102">
        <v>0</v>
      </c>
      <c r="G21" s="102">
        <v>0</v>
      </c>
      <c r="H21" s="102">
        <v>0</v>
      </c>
      <c r="I21" s="102">
        <v>0</v>
      </c>
      <c r="J21" s="102">
        <v>0</v>
      </c>
      <c r="K21" s="102">
        <v>0</v>
      </c>
      <c r="L21" s="102">
        <v>0</v>
      </c>
      <c r="M21" s="102">
        <v>0</v>
      </c>
      <c r="N21" s="102">
        <v>0</v>
      </c>
      <c r="O21" s="102">
        <v>0</v>
      </c>
      <c r="P21" s="102">
        <v>0</v>
      </c>
      <c r="Q21" s="102">
        <v>0</v>
      </c>
      <c r="R21" s="102">
        <v>0</v>
      </c>
      <c r="S21" s="102">
        <v>0</v>
      </c>
      <c r="T21" s="102">
        <v>0</v>
      </c>
    </row>
    <row r="22" spans="1:20" customFormat="1" x14ac:dyDescent="0.15"/>
    <row r="23" spans="1:20" customFormat="1" x14ac:dyDescent="0.15"/>
    <row r="24" spans="1:20" customFormat="1" x14ac:dyDescent="0.15"/>
    <row r="25" spans="1:20" customFormat="1" x14ac:dyDescent="0.15"/>
    <row r="26" spans="1:20" customFormat="1" x14ac:dyDescent="0.15"/>
    <row r="27" spans="1:20" customFormat="1" x14ac:dyDescent="0.15"/>
    <row r="28" spans="1:20" customFormat="1" x14ac:dyDescent="0.15"/>
    <row r="29" spans="1:20" customFormat="1" x14ac:dyDescent="0.15"/>
    <row r="30" spans="1:20" customFormat="1" x14ac:dyDescent="0.15"/>
    <row r="31" spans="1:20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F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9.1640625" bestFit="1" customWidth="1"/>
    <col min="3" max="4" width="3.83203125" bestFit="1" customWidth="1"/>
    <col min="5" max="6" width="3.83203125" customWidth="1"/>
  </cols>
  <sheetData>
    <row r="1" spans="1:6" ht="112" x14ac:dyDescent="0.15">
      <c r="A1" s="5" t="s">
        <v>83</v>
      </c>
      <c r="B1" s="3" t="s">
        <v>0</v>
      </c>
      <c r="C1" s="175" t="s">
        <v>211</v>
      </c>
      <c r="D1" s="175" t="s">
        <v>212</v>
      </c>
      <c r="E1" s="175" t="s">
        <v>213</v>
      </c>
      <c r="F1" s="175" t="s">
        <v>214</v>
      </c>
    </row>
    <row r="2" spans="1:6" x14ac:dyDescent="0.15">
      <c r="A2">
        <v>1</v>
      </c>
      <c r="B2" s="174" t="s">
        <v>192</v>
      </c>
      <c r="C2">
        <v>0</v>
      </c>
      <c r="D2">
        <v>0</v>
      </c>
      <c r="E2">
        <v>0</v>
      </c>
      <c r="F2">
        <v>0</v>
      </c>
    </row>
    <row r="3" spans="1:6" x14ac:dyDescent="0.15">
      <c r="A3">
        <v>2</v>
      </c>
      <c r="B3" s="174" t="s">
        <v>193</v>
      </c>
      <c r="C3">
        <v>0</v>
      </c>
      <c r="D3">
        <v>0</v>
      </c>
      <c r="E3">
        <v>0</v>
      </c>
      <c r="F3">
        <v>0</v>
      </c>
    </row>
    <row r="4" spans="1:6" x14ac:dyDescent="0.15">
      <c r="A4">
        <v>3</v>
      </c>
      <c r="B4" s="174" t="s">
        <v>194</v>
      </c>
      <c r="C4">
        <v>0</v>
      </c>
      <c r="D4">
        <v>0</v>
      </c>
      <c r="E4">
        <v>0</v>
      </c>
      <c r="F4">
        <v>0</v>
      </c>
    </row>
    <row r="5" spans="1:6" x14ac:dyDescent="0.15">
      <c r="A5">
        <v>4</v>
      </c>
      <c r="B5" s="174" t="s">
        <v>195</v>
      </c>
      <c r="C5">
        <v>0</v>
      </c>
      <c r="D5">
        <v>0</v>
      </c>
      <c r="E5">
        <v>0</v>
      </c>
      <c r="F5">
        <v>0</v>
      </c>
    </row>
    <row r="6" spans="1:6" x14ac:dyDescent="0.15">
      <c r="A6">
        <v>5</v>
      </c>
      <c r="B6" s="174" t="s">
        <v>196</v>
      </c>
      <c r="C6">
        <v>0</v>
      </c>
      <c r="D6">
        <v>0.8</v>
      </c>
      <c r="E6">
        <v>0</v>
      </c>
      <c r="F6">
        <v>0</v>
      </c>
    </row>
    <row r="7" spans="1:6" x14ac:dyDescent="0.15">
      <c r="A7">
        <v>6</v>
      </c>
      <c r="B7" s="174" t="s">
        <v>197</v>
      </c>
      <c r="C7">
        <v>0.8</v>
      </c>
      <c r="D7">
        <v>0</v>
      </c>
      <c r="E7">
        <v>0</v>
      </c>
      <c r="F7">
        <v>0</v>
      </c>
    </row>
    <row r="8" spans="1:6" x14ac:dyDescent="0.15">
      <c r="A8">
        <v>7</v>
      </c>
      <c r="B8" s="174" t="s">
        <v>198</v>
      </c>
      <c r="C8">
        <v>0.8</v>
      </c>
      <c r="D8">
        <v>0.8</v>
      </c>
      <c r="E8">
        <v>0</v>
      </c>
      <c r="F8">
        <v>0</v>
      </c>
    </row>
    <row r="9" spans="1:6" x14ac:dyDescent="0.15">
      <c r="A9">
        <v>8</v>
      </c>
      <c r="B9" s="174" t="s">
        <v>199</v>
      </c>
      <c r="C9">
        <v>0.8</v>
      </c>
      <c r="D9">
        <v>0.8</v>
      </c>
      <c r="E9">
        <v>0.8</v>
      </c>
      <c r="F9">
        <v>0.8</v>
      </c>
    </row>
    <row r="10" spans="1:6" x14ac:dyDescent="0.15">
      <c r="A10">
        <v>9</v>
      </c>
      <c r="B10" s="174" t="s">
        <v>200</v>
      </c>
      <c r="C10">
        <v>0</v>
      </c>
      <c r="D10">
        <v>0</v>
      </c>
      <c r="E10">
        <v>0</v>
      </c>
      <c r="F10">
        <v>0</v>
      </c>
    </row>
    <row r="11" spans="1:6" x14ac:dyDescent="0.15">
      <c r="A11">
        <v>10</v>
      </c>
      <c r="B11" s="174" t="s">
        <v>201</v>
      </c>
      <c r="C11">
        <v>0</v>
      </c>
      <c r="D11">
        <v>0</v>
      </c>
      <c r="E11">
        <v>0.8</v>
      </c>
      <c r="F11">
        <v>0</v>
      </c>
    </row>
    <row r="12" spans="1:6" x14ac:dyDescent="0.15">
      <c r="A12">
        <v>11</v>
      </c>
      <c r="B12" s="174" t="s">
        <v>202</v>
      </c>
      <c r="C12">
        <v>0</v>
      </c>
      <c r="D12">
        <v>0</v>
      </c>
      <c r="E12">
        <v>0.8</v>
      </c>
      <c r="F12">
        <v>0</v>
      </c>
    </row>
    <row r="13" spans="1:6" x14ac:dyDescent="0.15">
      <c r="A13">
        <v>12</v>
      </c>
      <c r="B13" s="174" t="s">
        <v>203</v>
      </c>
      <c r="C13">
        <v>0</v>
      </c>
      <c r="D13">
        <v>0.8</v>
      </c>
      <c r="E13">
        <v>0.8</v>
      </c>
      <c r="F13">
        <v>0</v>
      </c>
    </row>
    <row r="14" spans="1:6" x14ac:dyDescent="0.15">
      <c r="A14">
        <v>13</v>
      </c>
      <c r="B14" s="174" t="s">
        <v>204</v>
      </c>
      <c r="C14">
        <v>0</v>
      </c>
      <c r="D14">
        <v>0</v>
      </c>
      <c r="E14">
        <v>0.8</v>
      </c>
      <c r="F14">
        <v>0</v>
      </c>
    </row>
    <row r="15" spans="1:6" x14ac:dyDescent="0.15">
      <c r="A15">
        <v>14</v>
      </c>
      <c r="B15" s="174" t="s">
        <v>205</v>
      </c>
      <c r="C15">
        <v>0.8</v>
      </c>
      <c r="D15">
        <v>0.8</v>
      </c>
      <c r="E15">
        <v>0.8</v>
      </c>
      <c r="F15">
        <v>0.8</v>
      </c>
    </row>
    <row r="16" spans="1:6" x14ac:dyDescent="0.15">
      <c r="A16">
        <v>15</v>
      </c>
      <c r="B16" s="174" t="s">
        <v>206</v>
      </c>
      <c r="C16">
        <v>0.8</v>
      </c>
      <c r="D16">
        <v>0.8</v>
      </c>
      <c r="E16">
        <v>0.8</v>
      </c>
      <c r="F16">
        <v>0.8</v>
      </c>
    </row>
    <row r="17" spans="1:6" x14ac:dyDescent="0.15">
      <c r="A17">
        <v>16</v>
      </c>
      <c r="B17" s="174" t="s">
        <v>207</v>
      </c>
      <c r="C17">
        <v>0.8</v>
      </c>
      <c r="D17">
        <v>0.8</v>
      </c>
      <c r="E17">
        <v>0.8</v>
      </c>
      <c r="F17">
        <v>0.8</v>
      </c>
    </row>
    <row r="18" spans="1:6" x14ac:dyDescent="0.15">
      <c r="A18">
        <v>17</v>
      </c>
      <c r="B18" s="174" t="s">
        <v>208</v>
      </c>
      <c r="C18">
        <v>0</v>
      </c>
      <c r="D18">
        <v>0</v>
      </c>
      <c r="E18">
        <v>0.8</v>
      </c>
      <c r="F18">
        <v>0</v>
      </c>
    </row>
    <row r="19" spans="1:6" x14ac:dyDescent="0.15">
      <c r="A19">
        <v>18</v>
      </c>
      <c r="B19" s="174" t="s">
        <v>209</v>
      </c>
      <c r="C19">
        <v>0</v>
      </c>
      <c r="D19">
        <v>0</v>
      </c>
      <c r="E19">
        <v>0</v>
      </c>
      <c r="F19">
        <v>0</v>
      </c>
    </row>
    <row r="20" spans="1:6" x14ac:dyDescent="0.15">
      <c r="A20">
        <v>19</v>
      </c>
      <c r="B20" s="174" t="s">
        <v>210</v>
      </c>
      <c r="C20">
        <v>0</v>
      </c>
      <c r="D20">
        <v>0</v>
      </c>
      <c r="E20">
        <v>0</v>
      </c>
      <c r="F20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F20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9.1640625" bestFit="1" customWidth="1"/>
    <col min="3" max="4" width="3.83203125" bestFit="1" customWidth="1"/>
    <col min="5" max="6" width="3.83203125" customWidth="1"/>
  </cols>
  <sheetData>
    <row r="1" spans="1:6" ht="112" x14ac:dyDescent="0.15">
      <c r="A1" s="5" t="s">
        <v>82</v>
      </c>
      <c r="B1" s="3" t="s">
        <v>0</v>
      </c>
      <c r="C1" s="177" t="s">
        <v>211</v>
      </c>
      <c r="D1" s="177" t="s">
        <v>212</v>
      </c>
      <c r="E1" s="177" t="s">
        <v>213</v>
      </c>
      <c r="F1" s="177" t="s">
        <v>214</v>
      </c>
    </row>
    <row r="2" spans="1:6" x14ac:dyDescent="0.15">
      <c r="A2">
        <v>1</v>
      </c>
      <c r="B2" s="176" t="s">
        <v>192</v>
      </c>
      <c r="C2">
        <v>0</v>
      </c>
      <c r="D2">
        <v>0</v>
      </c>
      <c r="E2">
        <v>0</v>
      </c>
      <c r="F2">
        <v>0</v>
      </c>
    </row>
    <row r="3" spans="1:6" x14ac:dyDescent="0.15">
      <c r="A3">
        <v>2</v>
      </c>
      <c r="B3" s="176" t="s">
        <v>193</v>
      </c>
      <c r="C3">
        <v>0</v>
      </c>
      <c r="D3">
        <v>0</v>
      </c>
      <c r="E3">
        <v>0</v>
      </c>
      <c r="F3">
        <v>0</v>
      </c>
    </row>
    <row r="4" spans="1:6" x14ac:dyDescent="0.15">
      <c r="A4">
        <v>3</v>
      </c>
      <c r="B4" s="176" t="s">
        <v>194</v>
      </c>
      <c r="C4">
        <v>0</v>
      </c>
      <c r="D4">
        <v>0</v>
      </c>
      <c r="E4">
        <v>0</v>
      </c>
      <c r="F4">
        <v>0</v>
      </c>
    </row>
    <row r="5" spans="1:6" x14ac:dyDescent="0.15">
      <c r="A5">
        <v>4</v>
      </c>
      <c r="B5" s="176" t="s">
        <v>195</v>
      </c>
      <c r="C5">
        <v>0</v>
      </c>
      <c r="D5">
        <v>0</v>
      </c>
      <c r="E5">
        <v>0</v>
      </c>
      <c r="F5">
        <v>0</v>
      </c>
    </row>
    <row r="6" spans="1:6" x14ac:dyDescent="0.15">
      <c r="A6">
        <v>5</v>
      </c>
      <c r="B6" s="176" t="s">
        <v>196</v>
      </c>
      <c r="C6">
        <v>0</v>
      </c>
      <c r="D6">
        <v>0.8</v>
      </c>
      <c r="E6">
        <v>0</v>
      </c>
      <c r="F6">
        <v>0</v>
      </c>
    </row>
    <row r="7" spans="1:6" x14ac:dyDescent="0.15">
      <c r="A7">
        <v>6</v>
      </c>
      <c r="B7" s="176" t="s">
        <v>197</v>
      </c>
      <c r="C7">
        <v>0.8</v>
      </c>
      <c r="D7">
        <v>0</v>
      </c>
      <c r="E7">
        <v>0</v>
      </c>
      <c r="F7">
        <v>0</v>
      </c>
    </row>
    <row r="8" spans="1:6" x14ac:dyDescent="0.15">
      <c r="A8">
        <v>7</v>
      </c>
      <c r="B8" s="176" t="s">
        <v>198</v>
      </c>
      <c r="C8">
        <v>0.8</v>
      </c>
      <c r="D8">
        <v>0.8</v>
      </c>
      <c r="E8">
        <v>0</v>
      </c>
      <c r="F8">
        <v>0</v>
      </c>
    </row>
    <row r="9" spans="1:6" x14ac:dyDescent="0.15">
      <c r="A9">
        <v>8</v>
      </c>
      <c r="B9" s="176" t="s">
        <v>199</v>
      </c>
      <c r="C9">
        <v>0.8</v>
      </c>
      <c r="D9">
        <v>0.8</v>
      </c>
      <c r="E9">
        <v>0.8</v>
      </c>
      <c r="F9">
        <v>0.8</v>
      </c>
    </row>
    <row r="10" spans="1:6" x14ac:dyDescent="0.15">
      <c r="A10">
        <v>9</v>
      </c>
      <c r="B10" s="176" t="s">
        <v>200</v>
      </c>
      <c r="C10">
        <v>0</v>
      </c>
      <c r="D10">
        <v>0</v>
      </c>
      <c r="E10">
        <v>0</v>
      </c>
      <c r="F10">
        <v>0</v>
      </c>
    </row>
    <row r="11" spans="1:6" x14ac:dyDescent="0.15">
      <c r="A11">
        <v>10</v>
      </c>
      <c r="B11" s="176" t="s">
        <v>201</v>
      </c>
      <c r="C11">
        <v>0</v>
      </c>
      <c r="D11">
        <v>0</v>
      </c>
      <c r="E11">
        <v>0.8</v>
      </c>
      <c r="F11">
        <v>0</v>
      </c>
    </row>
    <row r="12" spans="1:6" x14ac:dyDescent="0.15">
      <c r="A12">
        <v>11</v>
      </c>
      <c r="B12" s="176" t="s">
        <v>202</v>
      </c>
      <c r="C12">
        <v>0</v>
      </c>
      <c r="D12">
        <v>0</v>
      </c>
      <c r="E12">
        <v>0.8</v>
      </c>
      <c r="F12">
        <v>0</v>
      </c>
    </row>
    <row r="13" spans="1:6" x14ac:dyDescent="0.15">
      <c r="A13">
        <v>12</v>
      </c>
      <c r="B13" s="176" t="s">
        <v>203</v>
      </c>
      <c r="C13">
        <v>0</v>
      </c>
      <c r="D13">
        <v>0.8</v>
      </c>
      <c r="E13">
        <v>0.8</v>
      </c>
      <c r="F13">
        <v>0</v>
      </c>
    </row>
    <row r="14" spans="1:6" x14ac:dyDescent="0.15">
      <c r="A14">
        <v>13</v>
      </c>
      <c r="B14" s="176" t="s">
        <v>204</v>
      </c>
      <c r="C14">
        <v>0</v>
      </c>
      <c r="D14">
        <v>0</v>
      </c>
      <c r="E14">
        <v>0.8</v>
      </c>
      <c r="F14">
        <v>0</v>
      </c>
    </row>
    <row r="15" spans="1:6" x14ac:dyDescent="0.15">
      <c r="A15">
        <v>14</v>
      </c>
      <c r="B15" s="176" t="s">
        <v>205</v>
      </c>
      <c r="C15">
        <v>0.8</v>
      </c>
      <c r="D15">
        <v>0.8</v>
      </c>
      <c r="E15">
        <v>0.8</v>
      </c>
      <c r="F15">
        <v>0.8</v>
      </c>
    </row>
    <row r="16" spans="1:6" x14ac:dyDescent="0.15">
      <c r="A16">
        <v>15</v>
      </c>
      <c r="B16" s="176" t="s">
        <v>206</v>
      </c>
      <c r="C16">
        <v>0.8</v>
      </c>
      <c r="D16">
        <v>0.8</v>
      </c>
      <c r="E16">
        <v>0.8</v>
      </c>
      <c r="F16">
        <v>0.8</v>
      </c>
    </row>
    <row r="17" spans="1:6" x14ac:dyDescent="0.15">
      <c r="A17">
        <v>16</v>
      </c>
      <c r="B17" s="176" t="s">
        <v>207</v>
      </c>
      <c r="C17">
        <v>0.8</v>
      </c>
      <c r="D17">
        <v>0.8</v>
      </c>
      <c r="E17">
        <v>0.8</v>
      </c>
      <c r="F17">
        <v>0.8</v>
      </c>
    </row>
    <row r="18" spans="1:6" x14ac:dyDescent="0.15">
      <c r="A18">
        <v>17</v>
      </c>
      <c r="B18" s="176" t="s">
        <v>208</v>
      </c>
      <c r="C18">
        <v>0</v>
      </c>
      <c r="D18">
        <v>0</v>
      </c>
      <c r="E18">
        <v>0.8</v>
      </c>
      <c r="F18">
        <v>0</v>
      </c>
    </row>
    <row r="19" spans="1:6" x14ac:dyDescent="0.15">
      <c r="A19">
        <v>18</v>
      </c>
      <c r="B19" s="176" t="s">
        <v>209</v>
      </c>
      <c r="C19">
        <v>0</v>
      </c>
      <c r="D19">
        <v>0</v>
      </c>
      <c r="E19">
        <v>0</v>
      </c>
      <c r="F19">
        <v>0</v>
      </c>
    </row>
    <row r="20" spans="1:6" x14ac:dyDescent="0.15">
      <c r="A20">
        <v>19</v>
      </c>
      <c r="B20" s="176" t="s">
        <v>210</v>
      </c>
      <c r="C20">
        <v>0</v>
      </c>
      <c r="D20">
        <v>0</v>
      </c>
      <c r="E20">
        <v>0</v>
      </c>
      <c r="F20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4" sqref="K4"/>
    </sheetView>
  </sheetViews>
  <sheetFormatPr baseColWidth="10" defaultColWidth="8.83203125" defaultRowHeight="15" customHeight="1" x14ac:dyDescent="0.15"/>
  <cols>
    <col min="1" max="1" width="8.83203125" style="75"/>
    <col min="2" max="2" width="41.83203125" style="75" bestFit="1" customWidth="1"/>
    <col min="3" max="3" width="9.33203125" style="75" bestFit="1" customWidth="1"/>
    <col min="4" max="4" width="13" style="75" bestFit="1" customWidth="1"/>
    <col min="5" max="6" width="9.33203125" style="75" bestFit="1" customWidth="1"/>
    <col min="7" max="7" width="9.33203125" style="91" bestFit="1" customWidth="1"/>
    <col min="8" max="8" width="9.33203125" style="75" bestFit="1" customWidth="1"/>
    <col min="9" max="9" width="11" style="75" customWidth="1"/>
    <col min="10" max="10" width="8.83203125" style="75"/>
    <col min="15" max="16384" width="8.83203125" style="75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3" t="s">
        <v>14</v>
      </c>
      <c r="H1" s="1" t="s">
        <v>26</v>
      </c>
      <c r="I1" s="1" t="s">
        <v>24</v>
      </c>
    </row>
    <row r="2" spans="1:10" ht="15" customHeight="1" x14ac:dyDescent="0.15">
      <c r="A2" s="136">
        <v>1</v>
      </c>
      <c r="B2" s="136" t="s">
        <v>192</v>
      </c>
      <c r="C2" s="8">
        <v>1</v>
      </c>
      <c r="D2" s="9">
        <v>10.079999923706055</v>
      </c>
      <c r="E2" s="9">
        <v>102.55999755859375</v>
      </c>
      <c r="F2" s="10"/>
      <c r="G2" s="9">
        <v>0.70001488924026489</v>
      </c>
      <c r="H2" s="10"/>
      <c r="I2">
        <v>0</v>
      </c>
      <c r="J2"/>
    </row>
    <row r="3" spans="1:10" ht="15" customHeight="1" x14ac:dyDescent="0.15">
      <c r="A3" s="137">
        <v>2</v>
      </c>
      <c r="B3" s="137" t="s">
        <v>193</v>
      </c>
      <c r="C3" s="8">
        <v>1</v>
      </c>
      <c r="D3" s="9">
        <v>5.299999937415123E-2</v>
      </c>
      <c r="E3" s="9">
        <v>11</v>
      </c>
      <c r="F3" s="10"/>
      <c r="G3" s="9">
        <v>0.69770693778991699</v>
      </c>
      <c r="H3" s="10"/>
      <c r="I3">
        <v>0</v>
      </c>
      <c r="J3"/>
    </row>
    <row r="4" spans="1:10" ht="15" customHeight="1" x14ac:dyDescent="0.15">
      <c r="A4" s="138">
        <v>3</v>
      </c>
      <c r="B4" s="138" t="s">
        <v>194</v>
      </c>
      <c r="C4" s="8">
        <v>2.0526316165924072</v>
      </c>
      <c r="D4" s="9">
        <v>6.2899999618530273</v>
      </c>
      <c r="E4" s="9">
        <v>18.700000762939453</v>
      </c>
      <c r="F4" s="9">
        <v>125.41000366210938</v>
      </c>
      <c r="G4" s="9">
        <v>0.68721765279769897</v>
      </c>
      <c r="H4" s="9">
        <v>0.14911091327667236</v>
      </c>
      <c r="I4">
        <v>0</v>
      </c>
      <c r="J4"/>
    </row>
    <row r="5" spans="1:10" ht="15" customHeight="1" x14ac:dyDescent="0.15">
      <c r="A5" s="139">
        <v>4</v>
      </c>
      <c r="B5" s="139" t="s">
        <v>195</v>
      </c>
      <c r="C5" s="8">
        <v>2.2383899688720703</v>
      </c>
      <c r="D5" s="9">
        <v>15</v>
      </c>
      <c r="E5" s="9">
        <v>7</v>
      </c>
      <c r="F5" s="9">
        <v>27</v>
      </c>
      <c r="G5" s="9">
        <v>0.97504985332489014</v>
      </c>
      <c r="H5" s="9">
        <v>0.25925925374031067</v>
      </c>
      <c r="I5">
        <v>0</v>
      </c>
      <c r="J5"/>
    </row>
    <row r="6" spans="1:10" ht="15" customHeight="1" x14ac:dyDescent="0.15">
      <c r="A6" s="140">
        <v>5</v>
      </c>
      <c r="B6" s="140" t="s">
        <v>196</v>
      </c>
      <c r="C6" s="8">
        <v>2.6196839809417725</v>
      </c>
      <c r="D6" s="9">
        <v>5</v>
      </c>
      <c r="E6" s="9">
        <v>5</v>
      </c>
      <c r="F6" s="9">
        <v>19</v>
      </c>
      <c r="G6" s="9">
        <v>0.86806207895278931</v>
      </c>
      <c r="H6" s="9">
        <v>0.26315790414810181</v>
      </c>
      <c r="I6">
        <v>1.0000000474974513E-3</v>
      </c>
      <c r="J6"/>
    </row>
    <row r="7" spans="1:10" ht="15" customHeight="1" x14ac:dyDescent="0.15">
      <c r="A7" s="141">
        <v>6</v>
      </c>
      <c r="B7" s="141" t="s">
        <v>197</v>
      </c>
      <c r="C7" s="8">
        <v>2.6299495697021484</v>
      </c>
      <c r="D7" s="9">
        <v>0.70399999618530273</v>
      </c>
      <c r="E7" s="9">
        <v>7.570000171661377</v>
      </c>
      <c r="F7" s="9">
        <v>28</v>
      </c>
      <c r="G7" s="9">
        <v>0.90091288089752197</v>
      </c>
      <c r="H7" s="9">
        <v>0.2703571617603302</v>
      </c>
      <c r="I7">
        <v>4.999999888241291E-3</v>
      </c>
      <c r="J7"/>
    </row>
    <row r="8" spans="1:10" ht="15" customHeight="1" x14ac:dyDescent="0.15">
      <c r="A8" s="142">
        <v>7</v>
      </c>
      <c r="B8" s="142" t="s">
        <v>198</v>
      </c>
      <c r="C8" s="8">
        <v>2.5830209255218506</v>
      </c>
      <c r="D8" s="9">
        <v>0.83499997854232788</v>
      </c>
      <c r="E8" s="9">
        <v>3.369999885559082</v>
      </c>
      <c r="F8" s="9">
        <v>18.979999542236328</v>
      </c>
      <c r="G8" s="9">
        <v>0.89960449934005737</v>
      </c>
      <c r="H8" s="9">
        <v>0.17755532264709473</v>
      </c>
      <c r="I8">
        <v>0.69499999284744263</v>
      </c>
      <c r="J8"/>
    </row>
    <row r="9" spans="1:10" ht="15" customHeight="1" x14ac:dyDescent="0.15">
      <c r="A9" s="143">
        <v>8</v>
      </c>
      <c r="B9" s="143" t="s">
        <v>199</v>
      </c>
      <c r="C9" s="8">
        <v>2.7328753471374512</v>
      </c>
      <c r="D9" s="9">
        <v>0.15000000596046448</v>
      </c>
      <c r="E9" s="9">
        <v>1</v>
      </c>
      <c r="F9" s="9">
        <v>4.5</v>
      </c>
      <c r="G9" s="9">
        <v>0.85986995697021484</v>
      </c>
      <c r="H9" s="9">
        <v>0.2222222238779068</v>
      </c>
      <c r="I9">
        <v>5.3999997675418854E-2</v>
      </c>
      <c r="J9"/>
    </row>
    <row r="10" spans="1:10" ht="15" customHeight="1" x14ac:dyDescent="0.15">
      <c r="A10" s="144">
        <v>9</v>
      </c>
      <c r="B10" s="144" t="s">
        <v>200</v>
      </c>
      <c r="C10" s="8">
        <v>2.8651719093322754</v>
      </c>
      <c r="D10" s="9">
        <v>1.2999999523162842</v>
      </c>
      <c r="E10" s="9">
        <v>3.7999999523162842</v>
      </c>
      <c r="F10" s="9">
        <v>14.159999847412109</v>
      </c>
      <c r="G10" s="9">
        <v>0.83651179075241089</v>
      </c>
      <c r="H10" s="9">
        <v>0.26836156845092773</v>
      </c>
      <c r="I10">
        <v>0</v>
      </c>
      <c r="J10"/>
    </row>
    <row r="11" spans="1:10" ht="15" customHeight="1" x14ac:dyDescent="0.15">
      <c r="A11" s="145">
        <v>10</v>
      </c>
      <c r="B11" s="145" t="s">
        <v>201</v>
      </c>
      <c r="C11" s="8">
        <v>3.330594539642334</v>
      </c>
      <c r="D11" s="9">
        <v>0.47999998927116394</v>
      </c>
      <c r="E11" s="9">
        <v>0.80000001192092896</v>
      </c>
      <c r="F11" s="9">
        <v>7.3899998664855957</v>
      </c>
      <c r="G11" s="9">
        <v>0.53199732303619385</v>
      </c>
      <c r="H11" s="9">
        <v>0.10825440287590027</v>
      </c>
      <c r="I11">
        <v>2.0000000949949026E-3</v>
      </c>
      <c r="J11"/>
    </row>
    <row r="12" spans="1:10" ht="15" customHeight="1" x14ac:dyDescent="0.15">
      <c r="A12" s="146">
        <v>11</v>
      </c>
      <c r="B12" s="146" t="s">
        <v>202</v>
      </c>
      <c r="C12" s="8">
        <v>3.3995468616485596</v>
      </c>
      <c r="D12" s="9">
        <v>0.2800000011920929</v>
      </c>
      <c r="E12" s="9">
        <v>0.75999999046325684</v>
      </c>
      <c r="F12" s="9">
        <v>11.850000381469727</v>
      </c>
      <c r="G12" s="9">
        <v>0.92165213823318481</v>
      </c>
      <c r="H12" s="9">
        <v>6.413501501083374E-2</v>
      </c>
      <c r="I12">
        <v>1.0000000474974513E-3</v>
      </c>
      <c r="J12"/>
    </row>
    <row r="13" spans="1:10" ht="15" customHeight="1" x14ac:dyDescent="0.15">
      <c r="A13" s="147">
        <v>12</v>
      </c>
      <c r="B13" s="147" t="s">
        <v>203</v>
      </c>
      <c r="C13" s="8">
        <v>3.5081336498260498</v>
      </c>
      <c r="D13" s="9">
        <v>0.11999999731779099</v>
      </c>
      <c r="E13" s="9">
        <v>1.5800000429153442</v>
      </c>
      <c r="F13" s="9">
        <v>15.300000190734863</v>
      </c>
      <c r="G13" s="9">
        <v>0.96736282110214233</v>
      </c>
      <c r="H13" s="9">
        <v>0.10326797515153885</v>
      </c>
      <c r="I13">
        <v>2.1000001579523087E-2</v>
      </c>
      <c r="J13"/>
    </row>
    <row r="14" spans="1:10" ht="15" customHeight="1" x14ac:dyDescent="0.15">
      <c r="A14" s="148">
        <v>13</v>
      </c>
      <c r="B14" s="148" t="s">
        <v>204</v>
      </c>
      <c r="C14" s="8">
        <v>3.4711260795593262</v>
      </c>
      <c r="D14" s="9">
        <v>0.80000001192092896</v>
      </c>
      <c r="E14" s="9">
        <v>2.2999999523162842</v>
      </c>
      <c r="F14" s="9">
        <v>8.5500001907348633</v>
      </c>
      <c r="G14" s="9">
        <v>0.84701836109161377</v>
      </c>
      <c r="H14" s="9">
        <v>0.26900583505630493</v>
      </c>
      <c r="I14">
        <v>1.9999999494757503E-4</v>
      </c>
      <c r="J14"/>
    </row>
    <row r="15" spans="1:10" ht="15" customHeight="1" x14ac:dyDescent="0.15">
      <c r="A15" s="149">
        <v>14</v>
      </c>
      <c r="B15" s="149" t="s">
        <v>205</v>
      </c>
      <c r="C15" s="8">
        <v>3.8006021976470947</v>
      </c>
      <c r="D15" s="9">
        <v>0.33000001311302185</v>
      </c>
      <c r="E15" s="9">
        <v>0.9100000262260437</v>
      </c>
      <c r="F15" s="9">
        <v>8.8000001907348633</v>
      </c>
      <c r="G15" s="9">
        <v>0.95850813388824463</v>
      </c>
      <c r="H15" s="9">
        <v>0.10340908914804459</v>
      </c>
      <c r="I15">
        <v>0.27300000190734863</v>
      </c>
      <c r="J15"/>
    </row>
    <row r="16" spans="1:10" ht="15" customHeight="1" x14ac:dyDescent="0.15">
      <c r="A16" s="150">
        <v>15</v>
      </c>
      <c r="B16" s="150" t="s">
        <v>206</v>
      </c>
      <c r="C16" s="8">
        <v>3.8685529232025146</v>
      </c>
      <c r="D16" s="9">
        <v>0.27000001072883606</v>
      </c>
      <c r="E16" s="9">
        <v>0.60000002384185791</v>
      </c>
      <c r="F16" s="9">
        <v>6</v>
      </c>
      <c r="G16" s="9">
        <v>0.74437940120697021</v>
      </c>
      <c r="H16" s="9">
        <v>0.10000000149011612</v>
      </c>
      <c r="I16">
        <v>2.200000174343586E-2</v>
      </c>
      <c r="J16"/>
    </row>
    <row r="17" spans="1:10" ht="15" customHeight="1" x14ac:dyDescent="0.15">
      <c r="A17" s="151">
        <v>16</v>
      </c>
      <c r="B17" s="151" t="s">
        <v>207</v>
      </c>
      <c r="C17" s="8">
        <v>3.8649945259094238</v>
      </c>
      <c r="D17" s="9">
        <v>0.44999998807907104</v>
      </c>
      <c r="E17" s="9">
        <v>0.88999998569488525</v>
      </c>
      <c r="F17" s="9">
        <v>6.9899997711181641</v>
      </c>
      <c r="G17" s="9">
        <v>0.83709603548049927</v>
      </c>
      <c r="H17" s="9">
        <v>0.12732474505901337</v>
      </c>
      <c r="I17">
        <v>0.10700000077486038</v>
      </c>
      <c r="J17"/>
    </row>
    <row r="18" spans="1:10" ht="15" customHeight="1" x14ac:dyDescent="0.15">
      <c r="A18" s="152">
        <v>17</v>
      </c>
      <c r="B18" s="152" t="s">
        <v>208</v>
      </c>
      <c r="C18" s="8">
        <v>4.0242571830749512</v>
      </c>
      <c r="D18" s="9">
        <v>3.9999999105930328E-2</v>
      </c>
      <c r="E18" s="9">
        <v>0.60000002384185791</v>
      </c>
      <c r="F18" s="9">
        <v>5.3000001907348633</v>
      </c>
      <c r="G18" s="9">
        <v>4.1666667908430099E-2</v>
      </c>
      <c r="H18" s="9">
        <v>0.11320754885673523</v>
      </c>
      <c r="I18">
        <v>1.0000000474974513E-3</v>
      </c>
      <c r="J18"/>
    </row>
    <row r="19" spans="1:10" ht="15" customHeight="1" x14ac:dyDescent="0.15">
      <c r="A19" s="153">
        <v>18</v>
      </c>
      <c r="B19" s="153" t="s">
        <v>209</v>
      </c>
      <c r="C19" s="8">
        <v>1</v>
      </c>
      <c r="D19" s="10"/>
      <c r="E19" s="10"/>
      <c r="F19" s="10"/>
      <c r="G19" s="7">
        <v>0.67540383338928223</v>
      </c>
      <c r="H19" s="10"/>
      <c r="I19">
        <v>0</v>
      </c>
      <c r="J19"/>
    </row>
    <row r="20" spans="1:10" ht="15" customHeight="1" x14ac:dyDescent="0.15">
      <c r="A20" s="154">
        <v>19</v>
      </c>
      <c r="B20" s="154" t="s">
        <v>210</v>
      </c>
      <c r="C20" s="8">
        <v>1</v>
      </c>
      <c r="D20" s="9">
        <v>5</v>
      </c>
      <c r="E20" s="10"/>
      <c r="F20" s="10"/>
      <c r="G20" s="7">
        <v>0</v>
      </c>
      <c r="H20" s="10"/>
      <c r="I20">
        <v>0</v>
      </c>
      <c r="J20"/>
    </row>
    <row r="21" spans="1:10" ht="15" customHeight="1" x14ac:dyDescent="0.15">
      <c r="A21" s="155">
        <v>20</v>
      </c>
      <c r="B21" s="155" t="s">
        <v>211</v>
      </c>
      <c r="C21" s="8">
        <v>3.716383695602417</v>
      </c>
      <c r="D21" s="10"/>
      <c r="E21" s="10"/>
      <c r="F21" s="10"/>
      <c r="G21" s="10"/>
      <c r="H21" s="10"/>
      <c r="I21">
        <v>0.78200000524520874</v>
      </c>
      <c r="J21"/>
    </row>
    <row r="22" spans="1:10" ht="15" customHeight="1" x14ac:dyDescent="0.15">
      <c r="A22" s="156">
        <v>21</v>
      </c>
      <c r="B22" s="156" t="s">
        <v>212</v>
      </c>
      <c r="C22" s="8">
        <v>4.5895280838012695</v>
      </c>
      <c r="D22" s="10"/>
      <c r="E22" s="10"/>
      <c r="F22" s="10"/>
      <c r="G22" s="10"/>
      <c r="H22" s="10"/>
      <c r="I22">
        <v>0.18000002205371857</v>
      </c>
      <c r="J22"/>
    </row>
    <row r="23" spans="1:10" ht="15" customHeight="1" x14ac:dyDescent="0.15">
      <c r="A23" s="157">
        <v>22</v>
      </c>
      <c r="B23" s="157" t="s">
        <v>213</v>
      </c>
      <c r="C23" s="8">
        <v>4.699467658996582</v>
      </c>
      <c r="D23" s="10"/>
      <c r="E23" s="10"/>
      <c r="F23" s="10"/>
      <c r="G23" s="10"/>
      <c r="H23" s="10"/>
      <c r="I23">
        <v>7.9199999570846558E-2</v>
      </c>
      <c r="J23"/>
    </row>
    <row r="24" spans="1:10" ht="15" customHeight="1" x14ac:dyDescent="0.15">
      <c r="A24" s="158">
        <v>23</v>
      </c>
      <c r="B24" s="158" t="s">
        <v>214</v>
      </c>
      <c r="C24" s="8">
        <v>4.6872062683105469</v>
      </c>
      <c r="D24" s="10"/>
      <c r="E24" s="10"/>
      <c r="F24" s="10"/>
      <c r="G24" s="10"/>
      <c r="H24" s="10"/>
      <c r="I24">
        <v>0.14100000262260437</v>
      </c>
      <c r="J24"/>
    </row>
    <row r="25" spans="1:10" ht="15" customHeight="1" x14ac:dyDescent="0.15">
      <c r="A25"/>
      <c r="B25"/>
      <c r="C25"/>
      <c r="D25"/>
      <c r="E25"/>
      <c r="F25"/>
      <c r="G25"/>
      <c r="H25"/>
      <c r="I25"/>
      <c r="J25"/>
    </row>
    <row r="26" spans="1:10" ht="15" customHeight="1" x14ac:dyDescent="0.15">
      <c r="A26"/>
      <c r="B26"/>
      <c r="C26"/>
      <c r="D26"/>
      <c r="E26"/>
      <c r="F26"/>
      <c r="G26"/>
      <c r="H26"/>
      <c r="I26"/>
      <c r="J26"/>
    </row>
    <row r="27" spans="1:10" ht="15" customHeight="1" x14ac:dyDescent="0.15">
      <c r="A27"/>
      <c r="B27"/>
      <c r="C27"/>
      <c r="D27"/>
      <c r="E27"/>
      <c r="F27"/>
      <c r="G27"/>
      <c r="H27"/>
      <c r="I27"/>
      <c r="J27"/>
    </row>
    <row r="28" spans="1:10" ht="15" customHeight="1" x14ac:dyDescent="0.15">
      <c r="A28"/>
      <c r="B28"/>
      <c r="C28"/>
      <c r="D28"/>
      <c r="E28"/>
      <c r="F28"/>
      <c r="G28"/>
      <c r="H28"/>
      <c r="I28"/>
      <c r="J28"/>
    </row>
    <row r="29" spans="1:10" ht="15" customHeight="1" x14ac:dyDescent="0.15">
      <c r="A29"/>
      <c r="B29"/>
      <c r="C29"/>
      <c r="D29"/>
      <c r="E29"/>
      <c r="F29"/>
      <c r="G29"/>
      <c r="H29"/>
      <c r="I29"/>
      <c r="J29"/>
    </row>
    <row r="30" spans="1:10" ht="15" customHeight="1" x14ac:dyDescent="0.15">
      <c r="A30"/>
      <c r="B30"/>
      <c r="C30"/>
      <c r="D30"/>
      <c r="E30"/>
      <c r="F30"/>
      <c r="G30"/>
      <c r="H30"/>
      <c r="I30"/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75" bestFit="1" customWidth="1"/>
    <col min="2" max="4" width="9.5" style="75" bestFit="1" customWidth="1"/>
    <col min="5" max="7" width="9" style="75" bestFit="1" customWidth="1"/>
    <col min="8" max="16" width="12.6640625" style="75" bestFit="1" customWidth="1"/>
    <col min="17" max="17" width="12.33203125" style="75" bestFit="1" customWidth="1"/>
    <col min="18" max="18" width="8.83203125" style="75"/>
    <col min="19" max="21" width="9.33203125" style="75" bestFit="1" customWidth="1"/>
    <col min="22" max="23" width="8.83203125" style="75"/>
    <col min="24" max="24" width="9.33203125" style="75" bestFit="1" customWidth="1"/>
    <col min="25" max="27" width="8.83203125" style="75"/>
    <col min="28" max="58" width="9" style="75" bestFit="1" customWidth="1"/>
    <col min="59" max="59" width="12.33203125" style="75" bestFit="1" customWidth="1"/>
    <col min="60" max="60" width="9" style="75" bestFit="1" customWidth="1"/>
    <col min="61" max="61" width="11.33203125" style="75" bestFit="1" customWidth="1"/>
    <col min="62" max="77" width="9" style="75" bestFit="1" customWidth="1"/>
    <col min="78" max="78" width="12.33203125" style="75" bestFit="1" customWidth="1"/>
    <col min="79" max="79" width="9" style="75" bestFit="1" customWidth="1"/>
    <col min="80" max="80" width="12.33203125" style="75" bestFit="1" customWidth="1"/>
    <col min="81" max="107" width="9" style="75" bestFit="1" customWidth="1"/>
    <col min="108" max="108" width="11.33203125" style="75" bestFit="1" customWidth="1"/>
    <col min="109" max="124" width="9" style="75" bestFit="1" customWidth="1"/>
    <col min="125" max="125" width="10.33203125" style="75" bestFit="1" customWidth="1"/>
    <col min="126" max="129" width="9.33203125" style="75" bestFit="1" customWidth="1"/>
    <col min="130" max="130" width="9" style="75" bestFit="1" customWidth="1"/>
    <col min="131" max="134" width="9.33203125" style="75" bestFit="1" customWidth="1"/>
    <col min="135" max="165" width="9" style="75" bestFit="1" customWidth="1"/>
    <col min="166" max="166" width="12.33203125" style="75" bestFit="1" customWidth="1"/>
    <col min="167" max="170" width="9" style="75" bestFit="1" customWidth="1"/>
    <col min="171" max="176" width="8.83203125" style="75"/>
    <col min="177" max="177" width="13.83203125" style="75" bestFit="1" customWidth="1"/>
    <col min="178" max="16384" width="8.83203125" style="75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219</v>
      </c>
      <c r="E1" t="s">
        <v>220</v>
      </c>
      <c r="F1" t="s">
        <v>221</v>
      </c>
      <c r="G1" t="s">
        <v>222</v>
      </c>
      <c r="H1" t="s">
        <v>192</v>
      </c>
      <c r="I1" t="s">
        <v>193</v>
      </c>
      <c r="J1" t="s">
        <v>194</v>
      </c>
      <c r="K1" t="s">
        <v>195</v>
      </c>
      <c r="L1" t="s">
        <v>196</v>
      </c>
      <c r="M1" t="s">
        <v>197</v>
      </c>
      <c r="N1" t="s">
        <v>198</v>
      </c>
      <c r="O1" t="s">
        <v>199</v>
      </c>
      <c r="P1" t="s">
        <v>200</v>
      </c>
      <c r="Q1" t="s">
        <v>201</v>
      </c>
      <c r="R1" t="s">
        <v>202</v>
      </c>
      <c r="S1" t="s">
        <v>203</v>
      </c>
      <c r="T1" t="s">
        <v>204</v>
      </c>
      <c r="U1" t="s">
        <v>205</v>
      </c>
      <c r="V1" t="s">
        <v>206</v>
      </c>
      <c r="W1" t="s">
        <v>207</v>
      </c>
      <c r="X1" t="s">
        <v>208</v>
      </c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102.55999755859375</v>
      </c>
      <c r="C2">
        <v>30.766471862792969</v>
      </c>
      <c r="D2"/>
      <c r="E2"/>
      <c r="F2"/>
      <c r="G2"/>
      <c r="H2"/>
      <c r="I2"/>
      <c r="J2" s="228">
        <v>66.518310546875</v>
      </c>
      <c r="K2" s="226">
        <v>4.0178570747375488</v>
      </c>
      <c r="L2" s="12">
        <v>0.471230149269104</v>
      </c>
      <c r="M2"/>
      <c r="N2" s="22">
        <v>0.78612595796585083</v>
      </c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11</v>
      </c>
      <c r="C3">
        <v>3.3252236843109131</v>
      </c>
      <c r="D3"/>
      <c r="E3"/>
      <c r="F3"/>
      <c r="G3"/>
      <c r="H3"/>
      <c r="I3"/>
      <c r="J3"/>
      <c r="K3"/>
      <c r="L3"/>
      <c r="M3"/>
      <c r="N3"/>
      <c r="O3"/>
      <c r="P3"/>
      <c r="Q3" s="62">
        <v>0.60235470533370972</v>
      </c>
      <c r="R3" s="196">
        <v>0.62603777647018433</v>
      </c>
      <c r="S3"/>
      <c r="T3" s="210">
        <v>6.4463839530944824</v>
      </c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18.700000762939453</v>
      </c>
      <c r="C4">
        <v>5.8490300178527832</v>
      </c>
      <c r="D4"/>
      <c r="E4"/>
      <c r="F4"/>
      <c r="G4"/>
      <c r="H4"/>
      <c r="I4"/>
      <c r="J4" s="225">
        <v>6.270500659942627</v>
      </c>
      <c r="K4" s="100">
        <v>3.2193958759307861</v>
      </c>
      <c r="L4" s="223">
        <v>1.5103338956832886</v>
      </c>
      <c r="M4" s="64">
        <v>0.78346580266952515</v>
      </c>
      <c r="N4" s="205">
        <v>1.0078409910202026</v>
      </c>
      <c r="O4"/>
      <c r="P4"/>
      <c r="Q4"/>
      <c r="R4"/>
      <c r="S4"/>
      <c r="T4" s="14">
        <v>4.2367812246084213E-2</v>
      </c>
      <c r="U4" s="11">
        <v>1.7065290361642838E-2</v>
      </c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7</v>
      </c>
      <c r="C5">
        <v>0.17465102672576904</v>
      </c>
      <c r="D5"/>
      <c r="E5"/>
      <c r="F5"/>
      <c r="G5"/>
      <c r="H5"/>
      <c r="I5"/>
      <c r="J5"/>
      <c r="K5" s="227">
        <v>4.0500001907348633</v>
      </c>
      <c r="L5" s="224">
        <v>2.2166666984558105</v>
      </c>
      <c r="M5" s="21">
        <v>0.13141332566738129</v>
      </c>
      <c r="N5"/>
      <c r="O5" s="14">
        <v>1.5480000525712967E-2</v>
      </c>
      <c r="P5" s="27">
        <v>0.24543999135494232</v>
      </c>
      <c r="Q5" s="18">
        <v>7.898431271314621E-2</v>
      </c>
      <c r="R5" s="12">
        <v>2.4331996217370033E-2</v>
      </c>
      <c r="S5" s="23">
        <v>3.5338260233402252E-2</v>
      </c>
      <c r="T5" s="14">
        <v>1.82217787951231E-2</v>
      </c>
      <c r="U5"/>
      <c r="V5" s="11">
        <v>3.1320000998675823E-3</v>
      </c>
      <c r="W5" s="11">
        <v>5.6618996895849705E-3</v>
      </c>
      <c r="X5" s="11">
        <v>6.7840015981346369E-4</v>
      </c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5</v>
      </c>
      <c r="C6">
        <v>0.65968960523605347</v>
      </c>
      <c r="D6"/>
      <c r="E6" s="11">
        <v>2.0000000949949026E-4</v>
      </c>
      <c r="F6"/>
      <c r="G6"/>
      <c r="H6"/>
      <c r="I6"/>
      <c r="J6"/>
      <c r="K6"/>
      <c r="L6" s="222">
        <v>0.94999998807907104</v>
      </c>
      <c r="M6" s="194">
        <v>0.59135997295379639</v>
      </c>
      <c r="N6" s="66">
        <v>0.31696599721908569</v>
      </c>
      <c r="O6" s="12">
        <v>2.1870000287890434E-2</v>
      </c>
      <c r="P6" s="221">
        <v>0.73631995916366577</v>
      </c>
      <c r="Q6" s="64">
        <v>0.21070365607738495</v>
      </c>
      <c r="R6" s="220">
        <v>0.42868560552597046</v>
      </c>
      <c r="S6" s="15">
        <v>4.4386811554431915E-2</v>
      </c>
      <c r="T6" s="192">
        <v>0.67648351192474365</v>
      </c>
      <c r="U6" s="19">
        <v>8.7032966315746307E-2</v>
      </c>
      <c r="V6" s="63">
        <v>0.11080799996852875</v>
      </c>
      <c r="W6" s="24">
        <v>0.15790408849716187</v>
      </c>
      <c r="X6" s="14">
        <v>7.5896009802818298E-3</v>
      </c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7.570000171661377</v>
      </c>
      <c r="C7">
        <v>0.75008952617645264</v>
      </c>
      <c r="D7" s="11">
        <v>7.1022724732756615E-3</v>
      </c>
      <c r="E7"/>
      <c r="F7"/>
      <c r="G7"/>
      <c r="H7"/>
      <c r="I7"/>
      <c r="J7"/>
      <c r="K7"/>
      <c r="L7"/>
      <c r="M7"/>
      <c r="N7"/>
      <c r="O7"/>
      <c r="P7" s="219">
        <v>2.6147725582122803</v>
      </c>
      <c r="Q7" s="14">
        <v>2.0154545083642006E-2</v>
      </c>
      <c r="R7" s="195">
        <v>0.37233242392539978</v>
      </c>
      <c r="S7" s="62">
        <v>0.41685584187507629</v>
      </c>
      <c r="T7" s="217">
        <v>1.6694669723510742</v>
      </c>
      <c r="U7" s="212">
        <v>0.7994505763053894</v>
      </c>
      <c r="V7" s="64">
        <v>0.31755682826042175</v>
      </c>
      <c r="W7" s="211">
        <v>0.55403691530227661</v>
      </c>
      <c r="X7" s="23">
        <v>4.8181820660829544E-2</v>
      </c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3.369999885559082</v>
      </c>
      <c r="C8">
        <v>0.33833283185958862</v>
      </c>
      <c r="D8" s="186">
        <v>0.82634735107421875</v>
      </c>
      <c r="E8" s="14">
        <v>5.9880241751670837E-3</v>
      </c>
      <c r="F8"/>
      <c r="G8"/>
      <c r="H8"/>
      <c r="I8"/>
      <c r="J8"/>
      <c r="K8"/>
      <c r="L8"/>
      <c r="M8"/>
      <c r="N8"/>
      <c r="O8"/>
      <c r="P8"/>
      <c r="Q8"/>
      <c r="R8" s="13">
        <v>0.1231832280755043</v>
      </c>
      <c r="S8" s="26">
        <v>0.2548062801361084</v>
      </c>
      <c r="T8"/>
      <c r="U8" s="216">
        <v>1.4071199893951416</v>
      </c>
      <c r="V8" s="14">
        <v>5.8203595690429211E-3</v>
      </c>
      <c r="W8" s="208">
        <v>0.38047367334365845</v>
      </c>
      <c r="X8" s="22">
        <v>2.7928147464990616E-2</v>
      </c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1</v>
      </c>
      <c r="C9">
        <v>0.14013004302978516</v>
      </c>
      <c r="D9" s="17">
        <v>1.3333333656191826E-2</v>
      </c>
      <c r="E9" s="188">
        <v>0.1666666567325592</v>
      </c>
      <c r="F9" s="135">
        <v>5.9999994933605194E-2</v>
      </c>
      <c r="G9" s="131">
        <v>0.11999998986721039</v>
      </c>
      <c r="H9"/>
      <c r="I9"/>
      <c r="J9"/>
      <c r="K9"/>
      <c r="L9"/>
      <c r="M9"/>
      <c r="N9"/>
      <c r="O9"/>
      <c r="P9"/>
      <c r="Q9"/>
      <c r="R9"/>
      <c r="S9"/>
      <c r="T9"/>
      <c r="U9"/>
      <c r="V9" s="197">
        <v>0.22679997980594635</v>
      </c>
      <c r="W9" s="198">
        <v>0.23066996037960052</v>
      </c>
      <c r="X9" s="20">
        <v>4.2400006204843521E-2</v>
      </c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3.7999999523162842</v>
      </c>
      <c r="C10">
        <v>0.62125515937805176</v>
      </c>
      <c r="D10"/>
      <c r="E10"/>
      <c r="F10"/>
      <c r="G10"/>
      <c r="H10"/>
      <c r="I10"/>
      <c r="J10"/>
      <c r="K10"/>
      <c r="L10"/>
      <c r="M10"/>
      <c r="N10"/>
      <c r="O10"/>
      <c r="P10" s="218">
        <v>0.99119997024536133</v>
      </c>
      <c r="Q10" s="214">
        <v>0.58119505643844604</v>
      </c>
      <c r="R10" s="17">
        <v>5.3598463535308838E-2</v>
      </c>
      <c r="S10" s="17">
        <v>5.2203178405761719E-2</v>
      </c>
      <c r="T10" s="209">
        <v>0.67806035280227661</v>
      </c>
      <c r="U10"/>
      <c r="V10" s="195">
        <v>0.18816924095153809</v>
      </c>
      <c r="W10" s="215">
        <v>0.62909996509552002</v>
      </c>
      <c r="X10" s="14">
        <v>5.2184625528752804E-3</v>
      </c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0.80000001192092896</v>
      </c>
      <c r="C11">
        <v>0.37440213561058044</v>
      </c>
      <c r="D11"/>
      <c r="E11"/>
      <c r="F11" s="23">
        <v>4.1666668839752674E-3</v>
      </c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 s="132">
        <v>0.30219784379005432</v>
      </c>
      <c r="V11" s="194">
        <v>9.450000524520874E-2</v>
      </c>
      <c r="W11"/>
      <c r="X11" s="24">
        <v>2.4733338505029678E-2</v>
      </c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0.75999999046325684</v>
      </c>
      <c r="C12">
        <v>5.954437330365181E-2</v>
      </c>
      <c r="D12"/>
      <c r="E12"/>
      <c r="F12" s="12">
        <v>3.5714288242161274E-3</v>
      </c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 s="200">
        <v>0.16577708721160889</v>
      </c>
      <c r="V12" s="203">
        <v>0.29507142305374146</v>
      </c>
      <c r="W12" s="101">
        <v>0.22467856109142303</v>
      </c>
      <c r="X12" s="16">
        <v>1.1357144452631474E-2</v>
      </c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1.5800000429153442</v>
      </c>
      <c r="C13">
        <v>5.1566742360591888E-2</v>
      </c>
      <c r="D13"/>
      <c r="E13" s="189">
        <v>0.14166668057441711</v>
      </c>
      <c r="F13" s="63">
        <v>3.3333335071802139E-2</v>
      </c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 s="199">
        <v>0.36263737082481384</v>
      </c>
      <c r="V13" s="201">
        <v>0.4050000011920929</v>
      </c>
      <c r="W13" s="202">
        <v>0.55046242475509644</v>
      </c>
      <c r="X13" s="63">
        <v>3.5333335399627686E-2</v>
      </c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2.2999999523162842</v>
      </c>
      <c r="C14">
        <v>0.3518577516078949</v>
      </c>
      <c r="D14"/>
      <c r="E14"/>
      <c r="F14" s="11">
        <v>2.4999998277053237E-4</v>
      </c>
      <c r="G14"/>
      <c r="H14"/>
      <c r="I14"/>
      <c r="J14"/>
      <c r="K14"/>
      <c r="L14"/>
      <c r="M14"/>
      <c r="N14"/>
      <c r="O14" s="23">
        <v>1.5187500044703484E-2</v>
      </c>
      <c r="P14"/>
      <c r="Q14" s="25">
        <v>5.7641997933387756E-2</v>
      </c>
      <c r="R14"/>
      <c r="S14" s="209">
        <v>0.41039463877677917</v>
      </c>
      <c r="T14" s="206">
        <v>0.20499499142169952</v>
      </c>
      <c r="U14" s="205">
        <v>0.12329672276973724</v>
      </c>
      <c r="V14" s="99">
        <v>0.36247503757476807</v>
      </c>
      <c r="W14" s="213">
        <v>0.71560120582580566</v>
      </c>
      <c r="X14" s="25">
        <v>5.830000713467598E-2</v>
      </c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0.9100000262260437</v>
      </c>
      <c r="C15">
        <v>3.7757597863674164E-2</v>
      </c>
      <c r="D15" s="187">
        <v>0.24545453488826752</v>
      </c>
      <c r="E15" s="190">
        <v>0.35757574439048767</v>
      </c>
      <c r="F15" s="12">
        <v>3.0303031671792269E-3</v>
      </c>
      <c r="G15" s="193">
        <v>0.22121210396289825</v>
      </c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 s="195">
        <v>4.4969700276851654E-2</v>
      </c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0.60000002384185791</v>
      </c>
      <c r="C16">
        <v>0.15337236225605011</v>
      </c>
      <c r="D16" s="23">
        <v>3.7037036381661892E-3</v>
      </c>
      <c r="E16" s="191">
        <v>4.0740739554166794E-2</v>
      </c>
      <c r="F16" s="20">
        <v>2.5925925001502037E-2</v>
      </c>
      <c r="G16" s="19">
        <v>1.111111044883728E-2</v>
      </c>
      <c r="H16"/>
      <c r="I16"/>
      <c r="J16"/>
      <c r="K16"/>
      <c r="L16"/>
      <c r="M16"/>
      <c r="N16"/>
      <c r="O16"/>
      <c r="P16"/>
      <c r="Q16"/>
      <c r="R16"/>
      <c r="S16"/>
      <c r="T16"/>
      <c r="U16" s="204">
        <v>0.32234430313110352</v>
      </c>
      <c r="V16"/>
      <c r="W16" s="65">
        <v>3.4949995577335358E-2</v>
      </c>
      <c r="X16" s="17">
        <v>7.8518521040678024E-3</v>
      </c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0.88999998569488525</v>
      </c>
      <c r="C17">
        <v>0.14498452842235565</v>
      </c>
      <c r="D17" s="22">
        <v>6.6666668280959129E-3</v>
      </c>
      <c r="E17" s="22">
        <v>6.6666668280959129E-3</v>
      </c>
      <c r="F17" s="192">
        <v>0.12000000476837158</v>
      </c>
      <c r="G17" s="194">
        <v>0.10444444417953491</v>
      </c>
      <c r="H17"/>
      <c r="I17"/>
      <c r="J17"/>
      <c r="K17"/>
      <c r="L17"/>
      <c r="M17"/>
      <c r="N17"/>
      <c r="O17"/>
      <c r="P17"/>
      <c r="Q17"/>
      <c r="R17"/>
      <c r="S17"/>
      <c r="T17"/>
      <c r="U17" s="207">
        <v>0.45128214359283447</v>
      </c>
      <c r="V17" s="13">
        <v>3.2400000840425491E-2</v>
      </c>
      <c r="W17"/>
      <c r="X17" s="25">
        <v>2.3555561900138855E-2</v>
      </c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0.60000002384185791</v>
      </c>
      <c r="C18">
        <v>0.57500004768371582</v>
      </c>
      <c r="D18"/>
      <c r="E18"/>
      <c r="F18" s="64">
        <v>2.5000002235174179E-2</v>
      </c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/>
      <c r="C19">
        <v>0.67540383338928223</v>
      </c>
      <c r="D19"/>
      <c r="E19"/>
      <c r="F19"/>
      <c r="G19"/>
      <c r="H19"/>
      <c r="I19"/>
      <c r="J19" s="9">
        <v>78.882896423339844</v>
      </c>
      <c r="K19" s="9">
        <v>283.5</v>
      </c>
      <c r="L19" s="9">
        <v>42.75</v>
      </c>
      <c r="M19" s="9">
        <v>9.8559999465942383</v>
      </c>
      <c r="N19"/>
      <c r="O19" s="9">
        <v>0.32130002975463867</v>
      </c>
      <c r="P19" s="9">
        <v>7.9154396057128906</v>
      </c>
      <c r="Q19" s="9">
        <v>0.46113595366477966</v>
      </c>
      <c r="R19" s="9">
        <v>0.34175395965576172</v>
      </c>
      <c r="S19" s="9">
        <v>0.18158240616321564</v>
      </c>
      <c r="T19" s="9">
        <v>0.35532468557357788</v>
      </c>
      <c r="U19"/>
      <c r="V19" s="9">
        <v>3.0780000612139702E-2</v>
      </c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/>
      <c r="C20">
        <v>0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2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0" t="s">
        <v>166</v>
      </c>
    </row>
    <row r="2" spans="1:12" x14ac:dyDescent="0.15">
      <c r="A2" s="1" t="s">
        <v>37</v>
      </c>
      <c r="B2" s="37">
        <v>3</v>
      </c>
      <c r="C2" s="35"/>
      <c r="D2" t="s">
        <v>38</v>
      </c>
      <c r="E2">
        <v>1</v>
      </c>
      <c r="F2">
        <v>1</v>
      </c>
      <c r="G2">
        <v>1</v>
      </c>
      <c r="H2" t="s">
        <v>38</v>
      </c>
      <c r="J2" s="53"/>
      <c r="K2" s="54"/>
      <c r="L2" s="60" t="s">
        <v>167</v>
      </c>
    </row>
    <row r="3" spans="1:12" ht="14" thickBot="1" x14ac:dyDescent="0.2">
      <c r="A3" s="1" t="s">
        <v>39</v>
      </c>
      <c r="B3" s="38">
        <v>0</v>
      </c>
      <c r="C3" s="35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5"/>
      <c r="K3" s="56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5"/>
      <c r="K4" s="56"/>
    </row>
    <row r="5" spans="1:12" x14ac:dyDescent="0.15">
      <c r="D5" s="178" t="s">
        <v>192</v>
      </c>
      <c r="E5">
        <v>4</v>
      </c>
      <c r="F5">
        <v>2.1</v>
      </c>
      <c r="G5">
        <v>4</v>
      </c>
      <c r="H5" s="179" t="s">
        <v>192</v>
      </c>
      <c r="J5" s="55"/>
      <c r="K5" s="56"/>
    </row>
    <row r="6" spans="1:12" ht="14" thickBot="1" x14ac:dyDescent="0.2">
      <c r="A6" s="39" t="s">
        <v>121</v>
      </c>
      <c r="D6" s="178" t="s">
        <v>193</v>
      </c>
      <c r="E6">
        <v>5</v>
      </c>
      <c r="F6">
        <v>2.2200000000000002</v>
      </c>
      <c r="G6">
        <v>5</v>
      </c>
      <c r="H6" s="179" t="s">
        <v>193</v>
      </c>
      <c r="J6" s="55"/>
      <c r="K6" s="56"/>
    </row>
    <row r="7" spans="1:12" x14ac:dyDescent="0.15">
      <c r="A7" s="34" t="s">
        <v>126</v>
      </c>
      <c r="B7" s="41">
        <v>1</v>
      </c>
      <c r="C7" s="36"/>
      <c r="D7" s="178" t="s">
        <v>194</v>
      </c>
      <c r="E7">
        <v>6</v>
      </c>
      <c r="F7">
        <v>3.11</v>
      </c>
      <c r="G7">
        <v>6</v>
      </c>
      <c r="H7" s="179" t="s">
        <v>194</v>
      </c>
      <c r="J7" s="55"/>
      <c r="K7" s="56"/>
    </row>
    <row r="8" spans="1:12" x14ac:dyDescent="0.15">
      <c r="A8" s="34" t="s">
        <v>38</v>
      </c>
      <c r="B8" s="42">
        <v>1</v>
      </c>
      <c r="C8" s="36"/>
      <c r="D8" s="178" t="s">
        <v>195</v>
      </c>
      <c r="E8">
        <v>7</v>
      </c>
      <c r="F8">
        <v>3.21</v>
      </c>
      <c r="G8">
        <v>7</v>
      </c>
      <c r="H8" s="179" t="s">
        <v>195</v>
      </c>
      <c r="J8" s="55"/>
      <c r="K8" s="56"/>
    </row>
    <row r="9" spans="1:12" x14ac:dyDescent="0.15">
      <c r="A9" s="34" t="s">
        <v>40</v>
      </c>
      <c r="B9" s="42">
        <v>1.1000000000000001</v>
      </c>
      <c r="C9" s="36"/>
      <c r="D9" s="178" t="s">
        <v>196</v>
      </c>
      <c r="E9">
        <v>8</v>
      </c>
      <c r="F9">
        <v>3.21</v>
      </c>
      <c r="G9">
        <v>8</v>
      </c>
      <c r="H9" s="179" t="s">
        <v>196</v>
      </c>
      <c r="J9" s="55"/>
      <c r="K9" s="56"/>
    </row>
    <row r="10" spans="1:12" x14ac:dyDescent="0.15">
      <c r="A10" s="34" t="s">
        <v>41</v>
      </c>
      <c r="B10" s="42">
        <v>1.2</v>
      </c>
      <c r="C10" s="36"/>
      <c r="D10" s="178" t="s">
        <v>197</v>
      </c>
      <c r="E10">
        <v>9</v>
      </c>
      <c r="F10">
        <v>3.02</v>
      </c>
      <c r="G10">
        <v>9</v>
      </c>
      <c r="H10" s="179" t="s">
        <v>197</v>
      </c>
      <c r="J10" s="55"/>
      <c r="K10" s="56"/>
    </row>
    <row r="11" spans="1:12" ht="12" customHeight="1" x14ac:dyDescent="0.15">
      <c r="A11" s="40" t="s">
        <v>127</v>
      </c>
      <c r="B11" s="42">
        <v>2</v>
      </c>
      <c r="C11" s="36"/>
      <c r="D11" s="178" t="s">
        <v>198</v>
      </c>
      <c r="E11">
        <v>10</v>
      </c>
      <c r="F11">
        <v>3.14</v>
      </c>
      <c r="G11">
        <v>10</v>
      </c>
      <c r="H11" s="179" t="s">
        <v>198</v>
      </c>
      <c r="J11" s="55"/>
      <c r="K11" s="56"/>
    </row>
    <row r="12" spans="1:12" x14ac:dyDescent="0.15">
      <c r="A12" s="34" t="s">
        <v>42</v>
      </c>
      <c r="B12" s="42">
        <v>2.1</v>
      </c>
      <c r="C12" s="36"/>
      <c r="D12" s="178" t="s">
        <v>199</v>
      </c>
      <c r="E12">
        <v>11</v>
      </c>
      <c r="F12">
        <v>3.14</v>
      </c>
      <c r="G12">
        <v>11</v>
      </c>
      <c r="H12" s="179" t="s">
        <v>199</v>
      </c>
      <c r="J12" s="55"/>
      <c r="K12" s="56"/>
    </row>
    <row r="13" spans="1:12" x14ac:dyDescent="0.15">
      <c r="A13" s="34" t="s">
        <v>43</v>
      </c>
      <c r="B13" s="42">
        <v>2.2000000000000002</v>
      </c>
      <c r="C13" s="36"/>
      <c r="D13" s="178" t="s">
        <v>200</v>
      </c>
      <c r="E13">
        <v>12</v>
      </c>
      <c r="F13">
        <v>3.21</v>
      </c>
      <c r="G13">
        <v>12</v>
      </c>
      <c r="H13" s="179" t="s">
        <v>200</v>
      </c>
      <c r="J13" s="55"/>
      <c r="K13" s="56"/>
    </row>
    <row r="14" spans="1:12" x14ac:dyDescent="0.15">
      <c r="A14" s="34" t="s">
        <v>67</v>
      </c>
      <c r="B14" s="42">
        <v>2.2999999999999998</v>
      </c>
      <c r="C14" s="36"/>
      <c r="D14" s="178" t="s">
        <v>201</v>
      </c>
      <c r="E14">
        <v>13</v>
      </c>
      <c r="F14">
        <v>3.24</v>
      </c>
      <c r="G14">
        <v>13</v>
      </c>
      <c r="H14" s="179" t="s">
        <v>201</v>
      </c>
      <c r="J14" s="55"/>
      <c r="K14" s="56"/>
    </row>
    <row r="15" spans="1:12" x14ac:dyDescent="0.15">
      <c r="A15" s="40" t="s">
        <v>128</v>
      </c>
      <c r="B15" s="42">
        <v>3</v>
      </c>
      <c r="C15" s="36"/>
      <c r="D15" s="178" t="s">
        <v>202</v>
      </c>
      <c r="E15">
        <v>14</v>
      </c>
      <c r="F15">
        <v>3.24</v>
      </c>
      <c r="G15">
        <v>14</v>
      </c>
      <c r="H15" s="179" t="s">
        <v>202</v>
      </c>
      <c r="J15" s="55"/>
      <c r="K15" s="56"/>
    </row>
    <row r="16" spans="1:12" x14ac:dyDescent="0.15">
      <c r="A16" s="34" t="s">
        <v>62</v>
      </c>
      <c r="B16" s="42">
        <v>3.11</v>
      </c>
      <c r="C16" s="36"/>
      <c r="D16" s="178" t="s">
        <v>203</v>
      </c>
      <c r="E16">
        <v>15</v>
      </c>
      <c r="F16">
        <v>3.24</v>
      </c>
      <c r="G16">
        <v>15</v>
      </c>
      <c r="H16" s="179" t="s">
        <v>203</v>
      </c>
      <c r="J16" s="55"/>
      <c r="K16" s="56"/>
    </row>
    <row r="17" spans="1:12" x14ac:dyDescent="0.15">
      <c r="A17" s="34" t="s">
        <v>61</v>
      </c>
      <c r="B17" s="42">
        <v>3.12</v>
      </c>
      <c r="C17" s="36"/>
      <c r="D17" s="178" t="s">
        <v>204</v>
      </c>
      <c r="E17">
        <v>16</v>
      </c>
      <c r="F17">
        <v>3.24</v>
      </c>
      <c r="G17">
        <v>16</v>
      </c>
      <c r="H17" s="179" t="s">
        <v>204</v>
      </c>
      <c r="J17" s="55"/>
      <c r="K17" s="56"/>
    </row>
    <row r="18" spans="1:12" x14ac:dyDescent="0.15">
      <c r="A18" s="34" t="s">
        <v>68</v>
      </c>
      <c r="B18" s="42">
        <v>3.13</v>
      </c>
      <c r="C18" s="36"/>
      <c r="D18" s="178" t="s">
        <v>205</v>
      </c>
      <c r="E18">
        <v>17</v>
      </c>
      <c r="F18">
        <v>3.14</v>
      </c>
      <c r="G18">
        <v>17</v>
      </c>
      <c r="H18" s="179" t="s">
        <v>205</v>
      </c>
      <c r="J18" s="55"/>
      <c r="K18" s="56"/>
    </row>
    <row r="19" spans="1:12" x14ac:dyDescent="0.15">
      <c r="A19" s="34" t="s">
        <v>66</v>
      </c>
      <c r="B19" s="42">
        <v>3.21</v>
      </c>
      <c r="C19" s="36"/>
      <c r="D19" s="178" t="s">
        <v>206</v>
      </c>
      <c r="E19">
        <v>18</v>
      </c>
      <c r="F19">
        <v>3.24</v>
      </c>
      <c r="G19">
        <v>18</v>
      </c>
      <c r="H19" s="179" t="s">
        <v>206</v>
      </c>
      <c r="J19" s="55"/>
      <c r="K19" s="56"/>
    </row>
    <row r="20" spans="1:12" x14ac:dyDescent="0.15">
      <c r="A20" s="34" t="s">
        <v>63</v>
      </c>
      <c r="B20" s="42">
        <v>3.22</v>
      </c>
      <c r="C20" s="36"/>
      <c r="D20" s="178" t="s">
        <v>207</v>
      </c>
      <c r="E20">
        <v>19</v>
      </c>
      <c r="F20">
        <v>3.24</v>
      </c>
      <c r="G20">
        <v>19</v>
      </c>
      <c r="H20" s="179" t="s">
        <v>207</v>
      </c>
      <c r="J20" s="55"/>
      <c r="K20" s="56"/>
    </row>
    <row r="21" spans="1:12" ht="14" thickBot="1" x14ac:dyDescent="0.2">
      <c r="A21" s="34" t="s">
        <v>69</v>
      </c>
      <c r="B21" s="42">
        <v>3.23</v>
      </c>
      <c r="C21" s="36"/>
      <c r="D21" s="178" t="s">
        <v>208</v>
      </c>
      <c r="E21">
        <v>20</v>
      </c>
      <c r="F21">
        <v>3.24</v>
      </c>
      <c r="G21">
        <v>20</v>
      </c>
      <c r="H21" s="179" t="s">
        <v>208</v>
      </c>
      <c r="J21" s="57"/>
      <c r="K21" s="58"/>
      <c r="L21" s="60" t="s">
        <v>152</v>
      </c>
    </row>
    <row r="22" spans="1:12" x14ac:dyDescent="0.15">
      <c r="A22" s="34" t="s">
        <v>64</v>
      </c>
      <c r="B22" s="42">
        <v>8</v>
      </c>
      <c r="C22" s="36"/>
      <c r="D22" s="178" t="s">
        <v>209</v>
      </c>
      <c r="E22">
        <v>21</v>
      </c>
      <c r="F22">
        <v>4.0999999999999996</v>
      </c>
      <c r="G22">
        <v>21</v>
      </c>
      <c r="H22" s="179" t="s">
        <v>209</v>
      </c>
    </row>
    <row r="23" spans="1:12" x14ac:dyDescent="0.15">
      <c r="A23" s="34" t="s">
        <v>129</v>
      </c>
      <c r="B23" s="42">
        <v>4</v>
      </c>
      <c r="C23" s="36"/>
      <c r="D23" s="178" t="s">
        <v>210</v>
      </c>
      <c r="E23">
        <v>22</v>
      </c>
      <c r="F23">
        <v>4.3</v>
      </c>
      <c r="G23">
        <v>22</v>
      </c>
      <c r="H23" s="179" t="s">
        <v>210</v>
      </c>
    </row>
    <row r="24" spans="1:12" x14ac:dyDescent="0.15">
      <c r="A24" s="34" t="s">
        <v>122</v>
      </c>
      <c r="B24" s="42">
        <v>4.0999999999999996</v>
      </c>
      <c r="C24" s="36"/>
      <c r="D24" s="178" t="s">
        <v>211</v>
      </c>
      <c r="E24">
        <v>23</v>
      </c>
      <c r="F24">
        <v>5</v>
      </c>
      <c r="G24">
        <v>23</v>
      </c>
      <c r="H24" s="179" t="s">
        <v>211</v>
      </c>
    </row>
    <row r="25" spans="1:12" x14ac:dyDescent="0.15">
      <c r="A25" s="34" t="s">
        <v>70</v>
      </c>
      <c r="B25" s="42">
        <v>4.2</v>
      </c>
      <c r="C25" s="36"/>
      <c r="D25" s="178" t="s">
        <v>212</v>
      </c>
      <c r="E25">
        <v>24</v>
      </c>
      <c r="F25">
        <v>5</v>
      </c>
      <c r="G25">
        <v>24</v>
      </c>
      <c r="H25" s="179" t="s">
        <v>212</v>
      </c>
    </row>
    <row r="26" spans="1:12" x14ac:dyDescent="0.15">
      <c r="A26" s="34" t="s">
        <v>123</v>
      </c>
      <c r="B26" s="42">
        <v>4.3</v>
      </c>
      <c r="C26" s="36"/>
      <c r="D26" s="178" t="s">
        <v>213</v>
      </c>
      <c r="E26">
        <v>25</v>
      </c>
      <c r="F26">
        <v>5</v>
      </c>
      <c r="G26">
        <v>25</v>
      </c>
      <c r="H26" s="179" t="s">
        <v>213</v>
      </c>
    </row>
    <row r="27" spans="1:12" x14ac:dyDescent="0.15">
      <c r="A27" s="34" t="s">
        <v>125</v>
      </c>
      <c r="B27" s="42">
        <v>6.1</v>
      </c>
      <c r="D27" s="178" t="s">
        <v>214</v>
      </c>
      <c r="E27">
        <v>26</v>
      </c>
      <c r="F27">
        <v>5</v>
      </c>
      <c r="G27">
        <v>26</v>
      </c>
      <c r="H27" s="179" t="s">
        <v>214</v>
      </c>
    </row>
    <row r="28" spans="1:12" x14ac:dyDescent="0.15">
      <c r="A28" s="34" t="s">
        <v>124</v>
      </c>
      <c r="B28" s="42">
        <v>6.2</v>
      </c>
      <c r="D28" s="178" t="s">
        <v>138</v>
      </c>
      <c r="E28">
        <v>27</v>
      </c>
      <c r="F28">
        <v>6.1</v>
      </c>
      <c r="G28">
        <v>27</v>
      </c>
      <c r="H28" s="179" t="s">
        <v>138</v>
      </c>
    </row>
    <row r="29" spans="1:12" x14ac:dyDescent="0.15">
      <c r="A29" s="34" t="s">
        <v>44</v>
      </c>
      <c r="B29" s="42">
        <v>5</v>
      </c>
      <c r="D29" s="178" t="s">
        <v>45</v>
      </c>
      <c r="E29">
        <v>28</v>
      </c>
      <c r="F29">
        <v>6.2</v>
      </c>
      <c r="G29">
        <v>28</v>
      </c>
      <c r="H29" s="179" t="s">
        <v>45</v>
      </c>
    </row>
    <row r="30" spans="1:12" x14ac:dyDescent="0.15">
      <c r="A30" s="34" t="s">
        <v>73</v>
      </c>
      <c r="B30" s="42">
        <v>7</v>
      </c>
    </row>
    <row r="31" spans="1:12" x14ac:dyDescent="0.15">
      <c r="A31" s="34" t="s">
        <v>169</v>
      </c>
      <c r="B31" s="42">
        <v>3.14</v>
      </c>
    </row>
    <row r="32" spans="1:12" ht="12" customHeight="1" thickBot="1" x14ac:dyDescent="0.2">
      <c r="A32" s="40" t="s">
        <v>170</v>
      </c>
      <c r="B32" s="43">
        <v>9</v>
      </c>
    </row>
    <row r="33" customFormat="1" ht="12" customHeight="1" x14ac:dyDescent="0.15"/>
    <row r="34" customFormat="1" ht="12" customHeight="1" x14ac:dyDescent="0.15"/>
    <row r="35" customFormat="1" x14ac:dyDescent="0.15"/>
    <row r="36" customFormat="1" x14ac:dyDescent="0.15"/>
    <row r="37" customFormat="1" ht="12" customHeight="1" x14ac:dyDescent="0.15"/>
    <row r="38" customFormat="1" x14ac:dyDescent="0.15"/>
    <row r="39" customFormat="1" x14ac:dyDescent="0.15"/>
    <row r="40" customFormat="1" x14ac:dyDescent="0.15"/>
    <row r="41" customFormat="1" x14ac:dyDescent="0.15"/>
    <row r="42" customFormat="1" x14ac:dyDescent="0.15"/>
    <row r="43" customFormat="1" x14ac:dyDescent="0.15"/>
    <row r="44" customFormat="1" x14ac:dyDescent="0.15"/>
    <row r="45" customFormat="1" x14ac:dyDescent="0.15"/>
    <row r="46" customFormat="1" x14ac:dyDescent="0.15"/>
    <row r="47" customFormat="1" x14ac:dyDescent="0.15"/>
    <row r="4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3.1640625" style="76" bestFit="1" customWidth="1"/>
    <col min="2" max="2" width="12.83203125" style="75" customWidth="1"/>
    <col min="3" max="3" width="13.1640625" style="75" customWidth="1"/>
    <col min="4" max="4" width="9.83203125" style="75" customWidth="1"/>
    <col min="5" max="5" width="12.83203125" style="75" customWidth="1"/>
    <col min="6" max="6" width="21.6640625" style="75" bestFit="1" customWidth="1"/>
    <col min="7" max="9" width="2.33203125" style="75" customWidth="1"/>
    <col min="10" max="10" width="2.33203125" style="75" bestFit="1" customWidth="1"/>
    <col min="11" max="15" width="2.33203125" style="75" customWidth="1"/>
    <col min="16" max="16" width="2.33203125" style="68" customWidth="1"/>
    <col min="17" max="17" width="2.33203125" style="75" customWidth="1"/>
    <col min="18" max="18" width="2.33203125" style="69" customWidth="1"/>
    <col min="19" max="16384" width="11.5" style="75"/>
  </cols>
  <sheetData>
    <row r="1" spans="1:23" ht="15" customHeight="1" thickBot="1" x14ac:dyDescent="0.2">
      <c r="F1" s="1"/>
      <c r="G1" s="67" t="s">
        <v>46</v>
      </c>
      <c r="H1" s="67" t="s">
        <v>47</v>
      </c>
      <c r="I1" s="67" t="s">
        <v>120</v>
      </c>
      <c r="J1" s="67" t="s">
        <v>132</v>
      </c>
      <c r="K1" s="77" t="s">
        <v>48</v>
      </c>
      <c r="L1" s="69"/>
      <c r="M1" s="77" t="s">
        <v>119</v>
      </c>
      <c r="N1" s="69"/>
      <c r="O1" s="77" t="s">
        <v>49</v>
      </c>
      <c r="P1" s="70"/>
      <c r="Q1" s="77" t="s">
        <v>50</v>
      </c>
      <c r="R1" s="67" t="s">
        <v>154</v>
      </c>
    </row>
    <row r="2" spans="1:23" ht="15" customHeight="1" x14ac:dyDescent="0.15">
      <c r="A2" s="77" t="s">
        <v>51</v>
      </c>
      <c r="B2" s="78">
        <v>0.5</v>
      </c>
      <c r="C2" s="76" t="s">
        <v>52</v>
      </c>
      <c r="D2" s="79"/>
      <c r="F2" s="1"/>
      <c r="G2" s="80"/>
      <c r="H2" s="80"/>
      <c r="I2" s="80" t="s">
        <v>133</v>
      </c>
      <c r="J2" s="80" t="s">
        <v>133</v>
      </c>
      <c r="K2" s="80" t="s">
        <v>52</v>
      </c>
      <c r="L2" s="80" t="s">
        <v>53</v>
      </c>
      <c r="M2" s="80" t="s">
        <v>52</v>
      </c>
      <c r="N2" s="80" t="s">
        <v>53</v>
      </c>
      <c r="O2" s="80" t="s">
        <v>52</v>
      </c>
      <c r="P2" s="81" t="s">
        <v>53</v>
      </c>
      <c r="Q2" s="80"/>
      <c r="R2" s="82" t="s">
        <v>155</v>
      </c>
    </row>
    <row r="3" spans="1:23" ht="15" customHeight="1" thickBot="1" x14ac:dyDescent="0.2">
      <c r="A3" s="77" t="s">
        <v>54</v>
      </c>
      <c r="B3" s="83">
        <v>0.5</v>
      </c>
      <c r="C3" s="76" t="s">
        <v>53</v>
      </c>
      <c r="D3" s="79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0">
        <v>0</v>
      </c>
      <c r="R3" s="36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0">
        <v>0</v>
      </c>
      <c r="R4" s="103">
        <v>0</v>
      </c>
    </row>
    <row r="5" spans="1:23" ht="15" customHeight="1" x14ac:dyDescent="0.15">
      <c r="A5" s="77" t="s">
        <v>55</v>
      </c>
      <c r="B5" s="84">
        <v>0.5</v>
      </c>
      <c r="C5" s="76" t="s">
        <v>52</v>
      </c>
      <c r="D5" s="79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0">
        <v>0</v>
      </c>
      <c r="R5" s="103">
        <v>0</v>
      </c>
    </row>
    <row r="6" spans="1:23" ht="15" customHeight="1" thickBot="1" x14ac:dyDescent="0.2">
      <c r="A6" s="77"/>
      <c r="B6" s="85">
        <v>0.5</v>
      </c>
      <c r="C6" s="76" t="s">
        <v>53</v>
      </c>
      <c r="D6" s="79"/>
      <c r="F6" s="180" t="s">
        <v>192</v>
      </c>
      <c r="G6" s="75">
        <v>0</v>
      </c>
      <c r="H6" s="75">
        <v>0</v>
      </c>
      <c r="I6" s="75">
        <v>0</v>
      </c>
      <c r="J6" s="75">
        <v>0</v>
      </c>
      <c r="K6" s="75">
        <v>0</v>
      </c>
      <c r="L6" s="75">
        <v>0</v>
      </c>
      <c r="M6" s="75">
        <v>1</v>
      </c>
      <c r="N6" s="75">
        <v>0</v>
      </c>
      <c r="O6" s="75">
        <v>0</v>
      </c>
      <c r="P6" s="68">
        <v>0</v>
      </c>
      <c r="Q6" s="75">
        <v>0</v>
      </c>
      <c r="R6" s="69">
        <v>1</v>
      </c>
      <c r="S6"/>
      <c r="T6"/>
    </row>
    <row r="7" spans="1:23" ht="15" customHeight="1" thickBot="1" x14ac:dyDescent="0.2">
      <c r="F7" s="180" t="s">
        <v>193</v>
      </c>
      <c r="G7" s="75">
        <v>0</v>
      </c>
      <c r="H7" s="75">
        <v>0</v>
      </c>
      <c r="I7" s="75">
        <v>0</v>
      </c>
      <c r="J7" s="75">
        <v>0</v>
      </c>
      <c r="K7" s="75">
        <v>0</v>
      </c>
      <c r="L7" s="75">
        <v>0</v>
      </c>
      <c r="M7" s="75">
        <v>1</v>
      </c>
      <c r="N7" s="75">
        <v>0</v>
      </c>
      <c r="O7" s="75">
        <v>0</v>
      </c>
      <c r="P7" s="68">
        <v>0</v>
      </c>
      <c r="Q7" s="75">
        <v>0</v>
      </c>
      <c r="R7" s="69">
        <v>1</v>
      </c>
      <c r="S7"/>
      <c r="T7"/>
    </row>
    <row r="8" spans="1:23" ht="15" customHeight="1" x14ac:dyDescent="0.15">
      <c r="A8" s="77" t="s">
        <v>56</v>
      </c>
      <c r="B8" s="84">
        <v>0.99943638159692127</v>
      </c>
      <c r="C8" s="181" t="s">
        <v>192</v>
      </c>
      <c r="D8" s="79" t="s">
        <v>160</v>
      </c>
      <c r="F8" s="180" t="s">
        <v>194</v>
      </c>
      <c r="G8" s="75">
        <v>0</v>
      </c>
      <c r="H8" s="75">
        <v>0</v>
      </c>
      <c r="I8" s="75">
        <v>0</v>
      </c>
      <c r="J8" s="75">
        <v>0</v>
      </c>
      <c r="K8" s="75">
        <v>1</v>
      </c>
      <c r="L8" s="75">
        <v>0</v>
      </c>
      <c r="M8" s="75">
        <v>1</v>
      </c>
      <c r="N8" s="75">
        <v>0</v>
      </c>
      <c r="O8" s="75">
        <v>1</v>
      </c>
      <c r="P8" s="68">
        <v>0</v>
      </c>
      <c r="Q8" s="75">
        <v>0</v>
      </c>
      <c r="R8" s="69">
        <v>1</v>
      </c>
      <c r="S8"/>
      <c r="T8"/>
      <c r="W8"/>
    </row>
    <row r="9" spans="1:23" ht="15" customHeight="1" x14ac:dyDescent="0.15">
      <c r="A9" s="117" t="s">
        <v>168</v>
      </c>
      <c r="B9" s="86">
        <v>5.6361840307861313E-4</v>
      </c>
      <c r="C9" s="181" t="s">
        <v>193</v>
      </c>
      <c r="D9" s="79" t="s">
        <v>160</v>
      </c>
      <c r="F9" s="180" t="s">
        <v>195</v>
      </c>
      <c r="G9" s="75">
        <v>0</v>
      </c>
      <c r="H9" s="75">
        <v>0</v>
      </c>
      <c r="I9" s="75">
        <v>0</v>
      </c>
      <c r="J9" s="75">
        <v>0</v>
      </c>
      <c r="K9" s="75">
        <v>1</v>
      </c>
      <c r="L9" s="75">
        <v>0</v>
      </c>
      <c r="M9" s="75">
        <v>1</v>
      </c>
      <c r="N9" s="75">
        <v>0</v>
      </c>
      <c r="O9" s="75">
        <v>1</v>
      </c>
      <c r="P9" s="68">
        <v>0</v>
      </c>
      <c r="Q9" s="75">
        <v>0</v>
      </c>
      <c r="R9" s="69">
        <v>1</v>
      </c>
      <c r="S9"/>
      <c r="T9"/>
      <c r="W9"/>
    </row>
    <row r="10" spans="1:23" ht="15" customHeight="1" x14ac:dyDescent="0.15">
      <c r="B10" s="86"/>
      <c r="C10" s="74"/>
      <c r="D10" s="79" t="s">
        <v>160</v>
      </c>
      <c r="F10" s="180" t="s">
        <v>196</v>
      </c>
      <c r="G10" s="75">
        <v>0</v>
      </c>
      <c r="H10" s="75">
        <v>0</v>
      </c>
      <c r="I10" s="75">
        <v>0</v>
      </c>
      <c r="J10" s="75">
        <v>0</v>
      </c>
      <c r="K10" s="75">
        <v>1</v>
      </c>
      <c r="L10" s="75">
        <v>0</v>
      </c>
      <c r="M10" s="75">
        <v>1</v>
      </c>
      <c r="N10" s="75">
        <v>0</v>
      </c>
      <c r="O10" s="75">
        <v>1</v>
      </c>
      <c r="P10" s="68">
        <v>0</v>
      </c>
      <c r="Q10" s="75">
        <v>0</v>
      </c>
      <c r="R10" s="69">
        <v>1</v>
      </c>
      <c r="S10"/>
      <c r="T10"/>
      <c r="W10"/>
    </row>
    <row r="11" spans="1:23" ht="15" customHeight="1" x14ac:dyDescent="0.15">
      <c r="A11" s="77"/>
      <c r="B11" s="86"/>
      <c r="C11" s="89"/>
      <c r="D11" s="79" t="s">
        <v>160</v>
      </c>
      <c r="F11" s="180" t="s">
        <v>197</v>
      </c>
      <c r="G11" s="75">
        <v>0</v>
      </c>
      <c r="H11" s="75">
        <v>0</v>
      </c>
      <c r="I11" s="75">
        <v>0</v>
      </c>
      <c r="J11" s="75">
        <v>0</v>
      </c>
      <c r="K11" s="75">
        <v>1</v>
      </c>
      <c r="L11" s="75">
        <v>0</v>
      </c>
      <c r="M11" s="75">
        <v>1</v>
      </c>
      <c r="N11" s="75">
        <v>0</v>
      </c>
      <c r="O11" s="75">
        <v>1</v>
      </c>
      <c r="P11" s="68">
        <v>0</v>
      </c>
      <c r="Q11" s="75">
        <v>0</v>
      </c>
      <c r="R11" s="69">
        <v>1</v>
      </c>
      <c r="S11"/>
      <c r="T11"/>
      <c r="W11"/>
    </row>
    <row r="12" spans="1:23" ht="15" customHeight="1" x14ac:dyDescent="0.15">
      <c r="B12" s="86"/>
      <c r="C12" s="90"/>
      <c r="D12" s="79" t="s">
        <v>160</v>
      </c>
      <c r="F12" s="180" t="s">
        <v>198</v>
      </c>
      <c r="G12" s="75">
        <v>0</v>
      </c>
      <c r="H12" s="75">
        <v>0</v>
      </c>
      <c r="I12" s="75">
        <v>0</v>
      </c>
      <c r="J12" s="75">
        <v>0</v>
      </c>
      <c r="K12" s="75">
        <v>1</v>
      </c>
      <c r="L12" s="75">
        <v>0</v>
      </c>
      <c r="M12" s="75">
        <v>1</v>
      </c>
      <c r="N12" s="75">
        <v>0</v>
      </c>
      <c r="O12" s="75">
        <v>1</v>
      </c>
      <c r="P12" s="68">
        <v>0</v>
      </c>
      <c r="Q12" s="75">
        <v>0</v>
      </c>
      <c r="R12" s="69">
        <v>1</v>
      </c>
      <c r="S12"/>
      <c r="T12"/>
      <c r="W12"/>
    </row>
    <row r="13" spans="1:23" ht="15" customHeight="1" x14ac:dyDescent="0.15">
      <c r="B13" s="86"/>
      <c r="C13" s="90"/>
      <c r="D13" s="79" t="s">
        <v>160</v>
      </c>
      <c r="F13" s="180" t="s">
        <v>199</v>
      </c>
      <c r="G13" s="75">
        <v>0</v>
      </c>
      <c r="H13" s="75">
        <v>0</v>
      </c>
      <c r="I13" s="75">
        <v>0</v>
      </c>
      <c r="J13" s="75">
        <v>0</v>
      </c>
      <c r="K13" s="75">
        <v>1</v>
      </c>
      <c r="L13" s="75">
        <v>0</v>
      </c>
      <c r="M13" s="75">
        <v>1</v>
      </c>
      <c r="N13" s="75">
        <v>0</v>
      </c>
      <c r="O13" s="75">
        <v>1</v>
      </c>
      <c r="P13" s="68">
        <v>0</v>
      </c>
      <c r="Q13" s="75">
        <v>0</v>
      </c>
      <c r="R13" s="69">
        <v>1</v>
      </c>
      <c r="S13"/>
      <c r="T13"/>
      <c r="W13"/>
    </row>
    <row r="14" spans="1:23" ht="15" customHeight="1" x14ac:dyDescent="0.15">
      <c r="B14" s="86"/>
      <c r="C14" s="74"/>
      <c r="D14" s="79" t="s">
        <v>160</v>
      </c>
      <c r="F14" s="180" t="s">
        <v>200</v>
      </c>
      <c r="G14" s="75">
        <v>0</v>
      </c>
      <c r="H14" s="75">
        <v>0</v>
      </c>
      <c r="I14" s="75">
        <v>0</v>
      </c>
      <c r="J14" s="75">
        <v>0</v>
      </c>
      <c r="K14" s="75">
        <v>1</v>
      </c>
      <c r="L14" s="75">
        <v>0</v>
      </c>
      <c r="M14" s="75">
        <v>1</v>
      </c>
      <c r="N14" s="75">
        <v>0</v>
      </c>
      <c r="O14" s="75">
        <v>1</v>
      </c>
      <c r="P14" s="68">
        <v>0</v>
      </c>
      <c r="Q14" s="75">
        <v>0</v>
      </c>
      <c r="R14" s="69">
        <v>1</v>
      </c>
      <c r="S14"/>
      <c r="T14"/>
      <c r="W14"/>
    </row>
    <row r="15" spans="1:23" ht="15" customHeight="1" x14ac:dyDescent="0.15">
      <c r="B15" s="86"/>
      <c r="C15" s="74"/>
      <c r="D15" s="79" t="s">
        <v>160</v>
      </c>
      <c r="F15" s="180" t="s">
        <v>201</v>
      </c>
      <c r="G15" s="75">
        <v>0</v>
      </c>
      <c r="H15" s="75">
        <v>0</v>
      </c>
      <c r="I15" s="75">
        <v>0</v>
      </c>
      <c r="J15" s="75">
        <v>0</v>
      </c>
      <c r="K15" s="75">
        <v>1</v>
      </c>
      <c r="L15" s="75">
        <v>0</v>
      </c>
      <c r="M15" s="75">
        <v>1</v>
      </c>
      <c r="N15" s="75">
        <v>0</v>
      </c>
      <c r="O15" s="75">
        <v>1</v>
      </c>
      <c r="P15" s="68">
        <v>0</v>
      </c>
      <c r="Q15" s="75">
        <v>0</v>
      </c>
      <c r="R15" s="69">
        <v>1</v>
      </c>
      <c r="S15"/>
      <c r="T15"/>
      <c r="W15"/>
    </row>
    <row r="16" spans="1:23" ht="15" customHeight="1" x14ac:dyDescent="0.15">
      <c r="B16" s="86"/>
      <c r="C16" s="74"/>
      <c r="D16" s="79" t="s">
        <v>160</v>
      </c>
      <c r="F16" s="180" t="s">
        <v>202</v>
      </c>
      <c r="G16" s="75">
        <v>0</v>
      </c>
      <c r="H16" s="75">
        <v>0</v>
      </c>
      <c r="I16" s="75">
        <v>0</v>
      </c>
      <c r="J16" s="75">
        <v>0</v>
      </c>
      <c r="K16" s="75">
        <v>1</v>
      </c>
      <c r="L16" s="75">
        <v>0</v>
      </c>
      <c r="M16" s="75">
        <v>1</v>
      </c>
      <c r="N16" s="75">
        <v>0</v>
      </c>
      <c r="O16" s="75">
        <v>1</v>
      </c>
      <c r="P16" s="68">
        <v>0</v>
      </c>
      <c r="Q16" s="75">
        <v>0</v>
      </c>
      <c r="R16" s="69">
        <v>1</v>
      </c>
      <c r="S16"/>
      <c r="T16"/>
    </row>
    <row r="17" spans="1:20" ht="15" customHeight="1" thickBot="1" x14ac:dyDescent="0.2">
      <c r="B17" s="85"/>
      <c r="C17" s="74"/>
      <c r="D17" s="79" t="s">
        <v>160</v>
      </c>
      <c r="F17" s="180" t="s">
        <v>203</v>
      </c>
      <c r="G17" s="75">
        <v>0</v>
      </c>
      <c r="H17" s="75">
        <v>0</v>
      </c>
      <c r="I17" s="75">
        <v>0</v>
      </c>
      <c r="J17" s="75">
        <v>0</v>
      </c>
      <c r="K17" s="75">
        <v>1</v>
      </c>
      <c r="L17" s="75">
        <v>0</v>
      </c>
      <c r="M17" s="75">
        <v>1</v>
      </c>
      <c r="N17" s="75">
        <v>0</v>
      </c>
      <c r="O17" s="75">
        <v>1</v>
      </c>
      <c r="P17" s="68">
        <v>0</v>
      </c>
      <c r="Q17" s="75">
        <v>0</v>
      </c>
      <c r="R17" s="69">
        <v>1</v>
      </c>
      <c r="S17"/>
      <c r="T17"/>
    </row>
    <row r="18" spans="1:20" ht="15" customHeight="1" thickBot="1" x14ac:dyDescent="0.2">
      <c r="B18" s="87"/>
      <c r="F18" s="180" t="s">
        <v>204</v>
      </c>
      <c r="G18" s="75">
        <v>0</v>
      </c>
      <c r="H18" s="75">
        <v>0</v>
      </c>
      <c r="I18" s="75">
        <v>0</v>
      </c>
      <c r="J18" s="75">
        <v>0</v>
      </c>
      <c r="K18" s="75">
        <v>1</v>
      </c>
      <c r="L18" s="75">
        <v>0</v>
      </c>
      <c r="M18" s="75">
        <v>1</v>
      </c>
      <c r="N18" s="75">
        <v>0</v>
      </c>
      <c r="O18" s="75">
        <v>1</v>
      </c>
      <c r="P18" s="68">
        <v>0</v>
      </c>
      <c r="Q18" s="75">
        <v>0</v>
      </c>
      <c r="R18" s="69">
        <v>1</v>
      </c>
      <c r="S18"/>
      <c r="T18"/>
    </row>
    <row r="19" spans="1:20" ht="15" customHeight="1" x14ac:dyDescent="0.15">
      <c r="A19" s="77" t="s">
        <v>57</v>
      </c>
      <c r="B19" s="84">
        <v>0.99943638159692127</v>
      </c>
      <c r="C19" s="182" t="s">
        <v>192</v>
      </c>
      <c r="D19" s="79" t="s">
        <v>160</v>
      </c>
      <c r="F19" s="180" t="s">
        <v>205</v>
      </c>
      <c r="G19" s="75">
        <v>0</v>
      </c>
      <c r="H19" s="75">
        <v>0</v>
      </c>
      <c r="I19" s="75">
        <v>0</v>
      </c>
      <c r="J19" s="75">
        <v>0</v>
      </c>
      <c r="K19" s="75">
        <v>1</v>
      </c>
      <c r="L19" s="75">
        <v>0</v>
      </c>
      <c r="M19" s="75">
        <v>1</v>
      </c>
      <c r="N19" s="75">
        <v>0</v>
      </c>
      <c r="O19" s="75">
        <v>1</v>
      </c>
      <c r="P19" s="68">
        <v>0</v>
      </c>
      <c r="Q19" s="75">
        <v>0</v>
      </c>
      <c r="R19" s="69">
        <v>1</v>
      </c>
      <c r="S19"/>
      <c r="T19"/>
    </row>
    <row r="20" spans="1:20" ht="15" customHeight="1" x14ac:dyDescent="0.15">
      <c r="A20" s="117" t="s">
        <v>168</v>
      </c>
      <c r="B20" s="86">
        <v>5.6361840307861313E-4</v>
      </c>
      <c r="C20" s="182" t="s">
        <v>193</v>
      </c>
      <c r="D20" s="79" t="s">
        <v>160</v>
      </c>
      <c r="F20" s="180" t="s">
        <v>206</v>
      </c>
      <c r="G20" s="75">
        <v>0</v>
      </c>
      <c r="H20" s="75">
        <v>0</v>
      </c>
      <c r="I20" s="75">
        <v>0</v>
      </c>
      <c r="J20" s="75">
        <v>0</v>
      </c>
      <c r="K20" s="75">
        <v>1</v>
      </c>
      <c r="L20" s="75">
        <v>0</v>
      </c>
      <c r="M20" s="75">
        <v>1</v>
      </c>
      <c r="N20" s="75">
        <v>0</v>
      </c>
      <c r="O20" s="75">
        <v>1</v>
      </c>
      <c r="P20" s="68">
        <v>0</v>
      </c>
      <c r="Q20" s="75">
        <v>0</v>
      </c>
      <c r="R20" s="69">
        <v>1</v>
      </c>
      <c r="S20"/>
      <c r="T20"/>
    </row>
    <row r="21" spans="1:20" ht="15" customHeight="1" x14ac:dyDescent="0.15">
      <c r="B21" s="86"/>
      <c r="C21" s="74"/>
      <c r="D21" s="79" t="s">
        <v>160</v>
      </c>
      <c r="F21" s="180" t="s">
        <v>207</v>
      </c>
      <c r="G21" s="75">
        <v>0</v>
      </c>
      <c r="H21" s="75">
        <v>0</v>
      </c>
      <c r="I21" s="75">
        <v>0</v>
      </c>
      <c r="J21" s="75">
        <v>0</v>
      </c>
      <c r="K21" s="75">
        <v>1</v>
      </c>
      <c r="L21" s="75">
        <v>0</v>
      </c>
      <c r="M21" s="75">
        <v>1</v>
      </c>
      <c r="N21" s="75">
        <v>0</v>
      </c>
      <c r="O21" s="75">
        <v>1</v>
      </c>
      <c r="P21" s="68">
        <v>0</v>
      </c>
      <c r="Q21" s="75">
        <v>0</v>
      </c>
      <c r="R21" s="69">
        <v>1</v>
      </c>
      <c r="S21"/>
      <c r="T21"/>
    </row>
    <row r="22" spans="1:20" ht="15" customHeight="1" x14ac:dyDescent="0.15">
      <c r="A22" s="75"/>
      <c r="B22" s="86"/>
      <c r="C22" s="89"/>
      <c r="D22" s="79" t="s">
        <v>160</v>
      </c>
      <c r="F22" s="180" t="s">
        <v>208</v>
      </c>
      <c r="G22" s="75">
        <v>0</v>
      </c>
      <c r="H22" s="75">
        <v>0</v>
      </c>
      <c r="I22" s="75">
        <v>0</v>
      </c>
      <c r="J22" s="75">
        <v>0</v>
      </c>
      <c r="K22" s="75">
        <v>1</v>
      </c>
      <c r="L22" s="75">
        <v>0</v>
      </c>
      <c r="M22" s="75">
        <v>1</v>
      </c>
      <c r="N22" s="75">
        <v>0</v>
      </c>
      <c r="O22" s="75">
        <v>1</v>
      </c>
      <c r="P22" s="68">
        <v>0</v>
      </c>
      <c r="Q22" s="75">
        <v>0</v>
      </c>
      <c r="R22" s="69">
        <v>1</v>
      </c>
      <c r="S22"/>
      <c r="T22"/>
    </row>
    <row r="23" spans="1:20" ht="15" customHeight="1" x14ac:dyDescent="0.15">
      <c r="A23" s="75"/>
      <c r="B23" s="86"/>
      <c r="C23" s="90"/>
      <c r="D23" s="79" t="s">
        <v>160</v>
      </c>
      <c r="F23" s="180" t="s">
        <v>209</v>
      </c>
      <c r="G23" s="75">
        <v>0</v>
      </c>
      <c r="H23" s="75">
        <v>0</v>
      </c>
      <c r="I23" s="75">
        <v>0</v>
      </c>
      <c r="J23" s="75">
        <v>0</v>
      </c>
      <c r="K23" s="75">
        <v>0</v>
      </c>
      <c r="L23" s="75">
        <v>1</v>
      </c>
      <c r="M23" s="75">
        <v>0</v>
      </c>
      <c r="N23" s="75">
        <v>1</v>
      </c>
      <c r="O23" s="75">
        <v>0</v>
      </c>
      <c r="P23" s="68">
        <v>1</v>
      </c>
      <c r="Q23" s="75">
        <v>0</v>
      </c>
      <c r="R23" s="69">
        <v>1</v>
      </c>
      <c r="S23"/>
      <c r="T23"/>
    </row>
    <row r="24" spans="1:20" ht="15" customHeight="1" x14ac:dyDescent="0.15">
      <c r="A24" s="75"/>
      <c r="B24" s="86"/>
      <c r="C24" s="90"/>
      <c r="D24" s="79" t="s">
        <v>160</v>
      </c>
      <c r="F24" s="180" t="s">
        <v>210</v>
      </c>
      <c r="G24" s="75">
        <v>0</v>
      </c>
      <c r="H24" s="75">
        <v>0</v>
      </c>
      <c r="I24" s="75">
        <v>0</v>
      </c>
      <c r="J24" s="75">
        <v>0</v>
      </c>
      <c r="K24" s="75">
        <v>0</v>
      </c>
      <c r="L24" s="75">
        <v>1</v>
      </c>
      <c r="M24" s="75">
        <v>0</v>
      </c>
      <c r="N24" s="75">
        <v>1</v>
      </c>
      <c r="O24" s="75">
        <v>0</v>
      </c>
      <c r="P24" s="68">
        <v>1</v>
      </c>
      <c r="Q24" s="75">
        <v>0</v>
      </c>
      <c r="R24" s="69">
        <v>1</v>
      </c>
      <c r="S24"/>
      <c r="T24"/>
    </row>
    <row r="25" spans="1:20" ht="15" customHeight="1" x14ac:dyDescent="0.15">
      <c r="A25" s="75"/>
      <c r="B25" s="86"/>
      <c r="C25" s="74"/>
      <c r="D25" s="79" t="s">
        <v>160</v>
      </c>
      <c r="F25" s="180" t="s">
        <v>211</v>
      </c>
      <c r="G25" s="75">
        <v>0</v>
      </c>
      <c r="H25" s="75">
        <v>0</v>
      </c>
      <c r="I25" s="75">
        <v>0</v>
      </c>
      <c r="J25" s="75">
        <v>0</v>
      </c>
      <c r="K25" s="75">
        <v>0</v>
      </c>
      <c r="L25" s="75">
        <v>1</v>
      </c>
      <c r="M25" s="75">
        <v>0</v>
      </c>
      <c r="N25" s="75">
        <v>0</v>
      </c>
      <c r="O25" s="75">
        <v>0</v>
      </c>
      <c r="P25" s="68">
        <v>0</v>
      </c>
      <c r="Q25" s="75">
        <v>0</v>
      </c>
      <c r="R25" s="69">
        <v>1</v>
      </c>
      <c r="S25"/>
      <c r="T25"/>
    </row>
    <row r="26" spans="1:20" ht="15" customHeight="1" x14ac:dyDescent="0.15">
      <c r="B26" s="86"/>
      <c r="C26" s="74"/>
      <c r="D26" s="79" t="s">
        <v>160</v>
      </c>
      <c r="F26" s="180" t="s">
        <v>212</v>
      </c>
      <c r="G26" s="75">
        <v>0</v>
      </c>
      <c r="H26" s="75">
        <v>0</v>
      </c>
      <c r="I26" s="75">
        <v>0</v>
      </c>
      <c r="J26" s="75">
        <v>0</v>
      </c>
      <c r="K26" s="75">
        <v>0</v>
      </c>
      <c r="L26" s="75">
        <v>1</v>
      </c>
      <c r="M26" s="75">
        <v>0</v>
      </c>
      <c r="N26" s="75">
        <v>0</v>
      </c>
      <c r="O26" s="75">
        <v>0</v>
      </c>
      <c r="P26" s="68">
        <v>0</v>
      </c>
      <c r="Q26" s="75">
        <v>0</v>
      </c>
      <c r="R26" s="69">
        <v>1</v>
      </c>
      <c r="S26"/>
      <c r="T26"/>
    </row>
    <row r="27" spans="1:20" ht="15" customHeight="1" x14ac:dyDescent="0.15">
      <c r="B27" s="86"/>
      <c r="C27" s="74"/>
      <c r="D27" s="79" t="s">
        <v>160</v>
      </c>
      <c r="F27" s="180" t="s">
        <v>213</v>
      </c>
      <c r="G27" s="75">
        <v>0</v>
      </c>
      <c r="H27" s="75">
        <v>0</v>
      </c>
      <c r="I27" s="75">
        <v>0</v>
      </c>
      <c r="J27" s="75">
        <v>0</v>
      </c>
      <c r="K27" s="75">
        <v>0</v>
      </c>
      <c r="L27" s="75">
        <v>1</v>
      </c>
      <c r="M27" s="75">
        <v>0</v>
      </c>
      <c r="N27" s="75">
        <v>0</v>
      </c>
      <c r="O27" s="75">
        <v>0</v>
      </c>
      <c r="P27" s="68">
        <v>0</v>
      </c>
      <c r="Q27" s="75">
        <v>0</v>
      </c>
      <c r="R27" s="69">
        <v>1</v>
      </c>
      <c r="S27"/>
      <c r="T27"/>
    </row>
    <row r="28" spans="1:20" ht="15" customHeight="1" thickBot="1" x14ac:dyDescent="0.2">
      <c r="B28" s="85"/>
      <c r="C28" s="74"/>
      <c r="D28" s="79" t="s">
        <v>160</v>
      </c>
      <c r="F28" s="180" t="s">
        <v>214</v>
      </c>
      <c r="G28" s="75">
        <v>0</v>
      </c>
      <c r="H28" s="75">
        <v>0</v>
      </c>
      <c r="I28" s="75">
        <v>0</v>
      </c>
      <c r="J28" s="75">
        <v>0</v>
      </c>
      <c r="K28" s="75">
        <v>0</v>
      </c>
      <c r="L28" s="75">
        <v>1</v>
      </c>
      <c r="M28" s="75">
        <v>0</v>
      </c>
      <c r="N28" s="75">
        <v>0</v>
      </c>
      <c r="O28" s="75">
        <v>0</v>
      </c>
      <c r="P28" s="68">
        <v>0</v>
      </c>
      <c r="Q28" s="75">
        <v>0</v>
      </c>
      <c r="R28" s="69">
        <v>1</v>
      </c>
      <c r="S28"/>
      <c r="T28"/>
    </row>
    <row r="29" spans="1:20" ht="15" customHeight="1" x14ac:dyDescent="0.15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15" customHeight="1" x14ac:dyDescent="0.15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15" customHeight="1" x14ac:dyDescent="0.15">
      <c r="A31" s="118"/>
      <c r="B31" s="128" t="s">
        <v>17</v>
      </c>
      <c r="C31" s="128" t="s">
        <v>1</v>
      </c>
      <c r="D31" s="128" t="s">
        <v>161</v>
      </c>
      <c r="E31" s="129" t="s">
        <v>163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15" customHeight="1" x14ac:dyDescent="0.15">
      <c r="A32" s="183" t="s">
        <v>192</v>
      </c>
      <c r="B32" s="87">
        <v>10.08</v>
      </c>
      <c r="C32" s="87">
        <v>102.56</v>
      </c>
      <c r="D32" s="87">
        <v>1033.8048000000001</v>
      </c>
      <c r="E32" s="119">
        <v>0.99943638159692127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5" customHeight="1" x14ac:dyDescent="0.15">
      <c r="A33" s="183" t="s">
        <v>193</v>
      </c>
      <c r="B33" s="87">
        <v>5.2999999999999999E-2</v>
      </c>
      <c r="C33" s="87">
        <v>11</v>
      </c>
      <c r="D33" s="87">
        <v>0.58299999999999996</v>
      </c>
      <c r="E33" s="119">
        <v>5.6361840307861313E-4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 customHeight="1" x14ac:dyDescent="0.15">
      <c r="A34" s="120"/>
      <c r="B34" s="87"/>
      <c r="C34" s="87"/>
      <c r="D34" s="87"/>
      <c r="E34" s="119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121"/>
      <c r="B35" s="87"/>
      <c r="C35" s="87"/>
      <c r="D35" s="87"/>
      <c r="E35" s="119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22"/>
      <c r="B36" s="87"/>
      <c r="C36" s="87"/>
      <c r="D36" s="87"/>
      <c r="E36" s="119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22"/>
      <c r="B37" s="87"/>
      <c r="C37" s="87"/>
      <c r="D37" s="87"/>
      <c r="E37" s="119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23"/>
      <c r="B38" s="87"/>
      <c r="C38" s="87"/>
      <c r="D38" s="87"/>
      <c r="E38" s="119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23"/>
      <c r="B39" s="87"/>
      <c r="C39" s="87"/>
      <c r="D39" s="87"/>
      <c r="E39" s="11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23"/>
      <c r="B40" s="87"/>
      <c r="C40" s="87"/>
      <c r="D40" s="87"/>
      <c r="E40" s="119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23"/>
      <c r="B41" s="87"/>
      <c r="C41" s="87"/>
      <c r="D41" s="88"/>
      <c r="E41" s="124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25"/>
      <c r="B42" s="126"/>
      <c r="C42" s="126" t="s">
        <v>162</v>
      </c>
      <c r="D42" s="126">
        <f>SUM(D32:D41)</f>
        <v>1034.3878000000002</v>
      </c>
      <c r="E42" s="127">
        <f>SUM(E32:E41)</f>
        <v>0.99999999999999989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75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75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75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75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75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75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75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5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5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5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5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5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5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5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5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5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5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5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5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5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5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5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5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5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5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5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5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5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5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5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5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5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5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5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5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5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5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5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5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5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5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5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5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5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5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5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5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5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5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5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5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5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5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5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5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5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5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5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5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5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5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5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5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5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5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5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5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5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5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5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5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5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5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5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5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5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5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5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5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5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5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5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5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5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5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5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5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5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5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5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5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5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5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5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5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5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5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5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5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5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5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5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5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5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5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5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5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5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5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5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5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5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5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5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5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5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5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5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5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5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5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5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5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5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5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5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5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5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03" customWidth="1"/>
    <col min="3" max="5" width="7.83203125" style="103" customWidth="1"/>
    <col min="6" max="8" width="8.83203125" style="6"/>
    <col min="9" max="9" width="13.1640625" style="6" customWidth="1"/>
    <col min="10" max="10" width="12" style="6" customWidth="1"/>
    <col min="11" max="11" width="11.33203125" style="6" customWidth="1"/>
    <col min="12" max="12" width="7.1640625" style="6" customWidth="1"/>
    <col min="13" max="13" width="8.5" style="6" customWidth="1"/>
    <col min="14" max="14" width="8.1640625" style="6" customWidth="1"/>
    <col min="15" max="15" width="15.83203125" style="6" customWidth="1"/>
    <col min="16" max="16" width="13.33203125" style="6" customWidth="1"/>
    <col min="17" max="17" width="6.1640625" style="6" customWidth="1"/>
    <col min="18" max="18" width="15.5" style="6" customWidth="1"/>
    <col min="19" max="19" width="16" style="6" customWidth="1"/>
    <col min="20" max="20" width="14.5" style="6" customWidth="1"/>
    <col min="21" max="21" width="17.5" style="6" customWidth="1"/>
    <col min="22" max="22" width="19.1640625" style="6" customWidth="1"/>
    <col min="23" max="23" width="17.5" style="6" customWidth="1"/>
    <col min="24" max="24" width="14.83203125" style="6" customWidth="1"/>
    <col min="25" max="25" width="10.6640625" style="6" customWidth="1"/>
    <col min="26" max="26" width="7.6640625" style="6" customWidth="1"/>
    <col min="27" max="27" width="21.6640625" style="6" customWidth="1"/>
    <col min="28" max="28" width="11.83203125" style="6" customWidth="1"/>
    <col min="29" max="29" width="7.1640625" style="6" customWidth="1"/>
    <col min="30" max="30" width="8.6640625" style="6" customWidth="1"/>
    <col min="31" max="31" width="10.6640625" style="6" customWidth="1"/>
    <col min="32" max="38" width="8.83203125" style="6"/>
    <col min="81" max="81" width="22.1640625" bestFit="1" customWidth="1"/>
  </cols>
  <sheetData>
    <row r="1" spans="1:38" x14ac:dyDescent="0.15">
      <c r="A1" s="4" t="s">
        <v>156</v>
      </c>
      <c r="B1" s="35" t="s">
        <v>157</v>
      </c>
      <c r="C1" s="35" t="s">
        <v>17</v>
      </c>
      <c r="D1" s="35" t="s">
        <v>158</v>
      </c>
      <c r="E1" s="35" t="s">
        <v>159</v>
      </c>
      <c r="F1" t="s">
        <v>38</v>
      </c>
      <c r="G1" t="s">
        <v>40</v>
      </c>
      <c r="H1" t="s">
        <v>41</v>
      </c>
      <c r="I1" s="185" t="s">
        <v>192</v>
      </c>
      <c r="J1" s="185" t="s">
        <v>193</v>
      </c>
      <c r="K1" s="185" t="s">
        <v>194</v>
      </c>
      <c r="L1" s="185" t="s">
        <v>195</v>
      </c>
      <c r="M1" s="185" t="s">
        <v>196</v>
      </c>
      <c r="N1" s="185" t="s">
        <v>197</v>
      </c>
      <c r="O1" s="185" t="s">
        <v>198</v>
      </c>
      <c r="P1" s="185" t="s">
        <v>199</v>
      </c>
      <c r="Q1" s="185" t="s">
        <v>200</v>
      </c>
      <c r="R1" s="185" t="s">
        <v>201</v>
      </c>
      <c r="S1" s="185" t="s">
        <v>202</v>
      </c>
      <c r="T1" s="185" t="s">
        <v>203</v>
      </c>
      <c r="U1" s="185" t="s">
        <v>204</v>
      </c>
      <c r="V1" s="185" t="s">
        <v>205</v>
      </c>
      <c r="W1" s="185" t="s">
        <v>206</v>
      </c>
      <c r="X1" s="185" t="s">
        <v>207</v>
      </c>
      <c r="Y1" s="185" t="s">
        <v>208</v>
      </c>
      <c r="Z1" s="185" t="s">
        <v>209</v>
      </c>
      <c r="AA1" s="185" t="s">
        <v>210</v>
      </c>
      <c r="AB1" s="185" t="s">
        <v>211</v>
      </c>
      <c r="AC1" s="185" t="s">
        <v>212</v>
      </c>
      <c r="AD1" s="185" t="s">
        <v>213</v>
      </c>
      <c r="AE1" s="185" t="s">
        <v>214</v>
      </c>
      <c r="AF1"/>
      <c r="AG1"/>
      <c r="AH1"/>
      <c r="AI1"/>
      <c r="AJ1"/>
      <c r="AK1"/>
      <c r="AL1"/>
    </row>
    <row r="2" spans="1:38" x14ac:dyDescent="0.15">
      <c r="A2" t="s">
        <v>38</v>
      </c>
      <c r="B2" s="103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103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103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84" t="s">
        <v>192</v>
      </c>
      <c r="B5" s="103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84" t="s">
        <v>193</v>
      </c>
      <c r="B6" s="103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84" t="s">
        <v>194</v>
      </c>
      <c r="B7" s="103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84" t="s">
        <v>195</v>
      </c>
      <c r="B8" s="103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84" t="s">
        <v>196</v>
      </c>
      <c r="B9" s="103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84" t="s">
        <v>197</v>
      </c>
      <c r="B10" s="103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84" t="s">
        <v>198</v>
      </c>
      <c r="B11" s="103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84" t="s">
        <v>199</v>
      </c>
      <c r="B12" s="103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84" t="s">
        <v>200</v>
      </c>
      <c r="B13" s="103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84" t="s">
        <v>201</v>
      </c>
      <c r="B14" s="103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84" t="s">
        <v>202</v>
      </c>
      <c r="B15" s="103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A16" s="184" t="s">
        <v>203</v>
      </c>
      <c r="B16" s="103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84" t="s">
        <v>204</v>
      </c>
      <c r="B17" s="103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84" t="s">
        <v>205</v>
      </c>
      <c r="B18" s="103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84" t="s">
        <v>206</v>
      </c>
      <c r="B19" s="103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84" t="s">
        <v>207</v>
      </c>
      <c r="B20" s="103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84" t="s">
        <v>208</v>
      </c>
      <c r="B21" s="103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84" t="s">
        <v>209</v>
      </c>
      <c r="B22" s="103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84" t="s">
        <v>210</v>
      </c>
      <c r="B23" s="103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84" t="s">
        <v>211</v>
      </c>
      <c r="B24" s="103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84" t="s">
        <v>212</v>
      </c>
      <c r="B25" s="103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84" t="s">
        <v>213</v>
      </c>
      <c r="B26" s="103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84" t="s">
        <v>214</v>
      </c>
      <c r="B27" s="103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2022-10-23T22:13:45Z</dcterms:modified>
</cp:coreProperties>
</file>