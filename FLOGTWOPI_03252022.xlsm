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"/>
    </mc:Choice>
  </mc:AlternateContent>
  <xr:revisionPtr revIDLastSave="0" documentId="13_ncr:1_{A926B6FF-E794-6B41-9C0F-8B94AA9EC087}" xr6:coauthVersionLast="45" xr6:coauthVersionMax="45" xr10:uidLastSave="{00000000-0000-0000-0000-000000000000}"/>
  <bookViews>
    <workbookView xWindow="0" yWindow="460" windowWidth="25600" windowHeight="14240" tabRatio="728" firstSheet="8" activeTab="15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Main!$C$2:$N$31</definedName>
    <definedName name="matDetritus">Detritus!$C$2:$G$31</definedName>
    <definedName name="matDiet">Diets!$B$2:$Y$30</definedName>
    <definedName name="matDiscards">Discards!$C$2:$D$29</definedName>
    <definedName name="matFishery">Fishing!$C$2:$D$29</definedName>
    <definedName name="matFishing">Fishing!#REF!</definedName>
    <definedName name="matMort">Mortalities!$A$1:$AG$29</definedName>
    <definedName name="matOut">MainOutputs!$A$2:$I$31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87" l="1"/>
  <c r="X6" i="75"/>
  <c r="B8" i="75"/>
  <c r="B7" i="75"/>
  <c r="D42" i="86" l="1"/>
  <c r="E42" i="86" l="1"/>
</calcChain>
</file>

<file path=xl/sharedStrings.xml><?xml version="1.0" encoding="utf-8"?>
<sst xmlns="http://schemas.openxmlformats.org/spreadsheetml/2006/main" count="336" uniqueCount="199">
  <si>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</si>
  <si>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</si>
  <si>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</si>
  <si>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</si>
  <si>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</si>
  <si>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</si>
  <si>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</si>
  <si>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</si>
  <si>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</si>
  <si>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</si>
  <si>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</si>
  <si>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</si>
  <si>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</si>
  <si>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</si>
  <si>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</si>
  <si>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</si>
  <si>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</si>
  <si>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</si>
  <si>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</si>
  <si>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</si>
  <si>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</si>
  <si>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</si>
  <si>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</si>
  <si>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</si>
  <si>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</si>
  <si>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</si>
  <si>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</si>
  <si>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</si>
  <si>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</si>
  <si>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</si>
  <si>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</si>
  <si>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</si>
  <si>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</si>
  <si>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</si>
  <si>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</si>
  <si>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</si>
  <si>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</si>
  <si>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</si>
  <si>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</si>
  <si>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</si>
  <si>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</si>
  <si>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</si>
  <si>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</si>
  <si>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</si>
  <si>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</si>
  <si>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</si>
  <si>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</si>
  <si>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</si>
  <si>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</si>
  <si>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</si>
  <si>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</si>
  <si>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</si>
  <si>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</si>
  <si>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</si>
  <si>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</si>
  <si>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</si>
  <si>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</si>
  <si>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</si>
  <si>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</si>
  <si>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</si>
  <si>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</si>
  <si>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</si>
  <si>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</si>
  <si>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</si>
  <si>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</si>
  <si>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</si>
  <si>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</si>
  <si>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</si>
  <si>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</si>
  <si>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</si>
  <si>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</si>
  <si>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</si>
  <si>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</si>
  <si>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</si>
  <si>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</si>
  <si>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</si>
  <si>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</si>
  <si>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</si>
  <si>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</si>
  <si>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</si>
  <si>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</si>
  <si>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</si>
  <si>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</si>
  <si>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</si>
  <si>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</si>
  <si>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</si>
  <si>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</si>
  <si>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</si>
  <si>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</si>
  <si>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</si>
  <si>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</si>
  <si>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</si>
  <si>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</si>
  <si>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</si>
  <si>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</si>
  <si>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</si>
  <si>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</si>
  <si>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</si>
  <si>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</si>
  <si>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</si>
  <si>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</si>
  <si>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</si>
  <si>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</si>
  <si>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</si>
  <si>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</si>
  <si>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</si>
  <si>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</si>
  <si>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</si>
  <si>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</si>
  <si>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</si>
  <si>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</si>
  <si>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</si>
  <si>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</si>
  <si>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</si>
  <si>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</si>
  <si>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</si>
  <si>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</si>
  <si>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</si>
  <si>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</si>
  <si>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</si>
  <si>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</si>
  <si>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</si>
  <si>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</si>
  <si>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</si>
  <si>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</si>
  <si>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</si>
  <si>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</si>
  <si>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</si>
  <si>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</si>
  <si>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</si>
  <si>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</si>
  <si>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</si>
  <si>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</si>
  <si>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</si>
  <si>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</si>
  <si>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</si>
  <si>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</si>
  <si>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</si>
  <si>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</si>
  <si>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</si>
  <si>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</si>
  <si>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</si>
  <si>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</si>
  <si>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</si>
  <si>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</si>
  <si>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</si>
  <si>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</si>
  <si>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</si>
  <si>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</si>
  <si>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</si>
  <si>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</si>
  <si>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</si>
  <si>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</si>
  <si>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</si>
  <si>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</si>
  <si>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</si>
  <si>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</si>
  <si>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</si>
  <si>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</si>
  <si>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</si>
  <si>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</si>
  <si>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euphausiids</t>
  </si>
  <si>
    <t>P</t>
  </si>
  <si>
    <t>total--&gt;</t>
  </si>
  <si>
    <t>fraction</t>
  </si>
  <si>
    <t>revision date: 5-1-2016</t>
  </si>
  <si>
    <t>7) allows up to 10 primary producers</t>
  </si>
  <si>
    <t>micro-Z</t>
  </si>
  <si>
    <t>meso-Z</t>
  </si>
  <si>
    <t>macro-Z</t>
  </si>
  <si>
    <t>Gelatinous filter feeders</t>
  </si>
  <si>
    <t>Scyphozoid Jellies</t>
  </si>
  <si>
    <t>cephalopods</t>
  </si>
  <si>
    <t>planktivorous fish</t>
  </si>
  <si>
    <t>piscivorous fish</t>
  </si>
  <si>
    <t>benthivorous fish</t>
  </si>
  <si>
    <t>juvenile fish</t>
  </si>
  <si>
    <t>deposit feeding benthos</t>
  </si>
  <si>
    <t>carnivorous benthos</t>
  </si>
  <si>
    <t>suspension feeding benthos</t>
  </si>
  <si>
    <t>seabird</t>
  </si>
  <si>
    <t>gray whale</t>
  </si>
  <si>
    <t>baleen whale</t>
  </si>
  <si>
    <t>pinniped</t>
  </si>
  <si>
    <t>odontocete</t>
  </si>
  <si>
    <t>invert eggs</t>
  </si>
  <si>
    <t>fish eggs</t>
  </si>
  <si>
    <t>fisheries gear type I</t>
  </si>
  <si>
    <t>fisheries gear type II</t>
  </si>
  <si>
    <t>&lt;-NOTE: PreyGuilds are NOT necessary</t>
  </si>
  <si>
    <t>&lt;-- use AggregationCode numbers and brackets "[ ]"</t>
  </si>
  <si>
    <t>NOTE: Maximum of 10 primary producers-&gt;</t>
  </si>
  <si>
    <t>F fisheries gear type I</t>
  </si>
  <si>
    <t>F fisheries gear type II</t>
  </si>
  <si>
    <t>inert tracer 1</t>
  </si>
  <si>
    <t>inert tracer 2</t>
  </si>
  <si>
    <t>inert tracer 3</t>
  </si>
  <si>
    <t>micrograzers</t>
  </si>
  <si>
    <t>bacteria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</si>
</sst>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0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0" borderId="0" xfId="0" applyBorder="1"/>
    <xf numFmtId="0" fontId="0" fillId="55" borderId="0" xfId="0" applyFill="1"/>
    <xf numFmtId="0" fontId="0" fillId="56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165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166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3" x14ac:dyDescent="0.15">
      <c r="B49" s="49" t="s">
        <v>44</v>
      </c>
      <c r="C49" s="33">
        <v>5</v>
      </c>
    </row>
    <row r="50" spans="2:3" x14ac:dyDescent="0.15">
      <c r="B50" s="49"/>
      <c r="C50" s="33"/>
    </row>
    <row r="51" spans="2:3" ht="14" thickBot="1" x14ac:dyDescent="0.2">
      <c r="B51" s="50" t="s">
        <v>73</v>
      </c>
      <c r="C51" s="34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5" sqref="E5"/>
    </sheetView>
  </sheetViews>
  <sheetFormatPr baseColWidth="10" defaultColWidth="8.83203125" defaultRowHeight="15" customHeight="1" x14ac:dyDescent="0.15"/>
  <cols>
    <col min="1" max="1" width="22.5" style="86" customWidth="1"/>
    <col min="2" max="2" width="7.6640625" style="86" customWidth="1"/>
    <col min="3" max="3" width="8.83203125" style="86"/>
    <col min="4" max="4" width="14.33203125" style="86" customWidth="1"/>
    <col min="5" max="5" width="41.83203125" style="86" bestFit="1" customWidth="1"/>
    <col min="6" max="6" width="9.5" style="86" bestFit="1" customWidth="1"/>
    <col min="7" max="7" width="8.1640625" style="86" bestFit="1" customWidth="1"/>
    <col min="8" max="14" width="8.83203125" style="86"/>
    <col min="16" max="25" width="8.83203125" style="8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6"/>
  </cols>
  <sheetData>
    <row r="1" spans="1:46" s="103" customFormat="1" ht="15" customHeight="1" x14ac:dyDescent="0.15">
      <c r="A1" s="82" t="s">
        <v>18</v>
      </c>
      <c r="C1" s="83" t="s">
        <v>8</v>
      </c>
      <c r="D1" s="82" t="s">
        <v>23</v>
      </c>
      <c r="E1" s="82" t="s">
        <v>0</v>
      </c>
      <c r="F1" s="82" t="s">
        <v>7</v>
      </c>
      <c r="G1" s="84" t="s">
        <v>13</v>
      </c>
      <c r="H1" s="82" t="s">
        <v>1</v>
      </c>
      <c r="I1" s="82" t="s">
        <v>2</v>
      </c>
      <c r="J1" s="82" t="s">
        <v>14</v>
      </c>
      <c r="K1" s="82" t="s">
        <v>3</v>
      </c>
      <c r="L1" s="82" t="s">
        <v>4</v>
      </c>
      <c r="M1" s="82" t="s">
        <v>5</v>
      </c>
      <c r="N1" s="8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3">
        <v>1</v>
      </c>
      <c r="D2"/>
      <c r="E2" t="s">
        <v>43</v>
      </c>
      <c r="F2">
        <v>1</v>
      </c>
      <c r="G2">
        <v>4.7732080000000003</v>
      </c>
      <c r="H2">
        <v>215</v>
      </c>
      <c r="I2" s="6"/>
      <c r="J2" s="6"/>
      <c r="K2" s="6"/>
      <c r="L2" s="6"/>
      <c r="M2">
        <v>0</v>
      </c>
      <c r="N2">
        <v>0</v>
      </c>
    </row>
    <row r="3" spans="1:46" ht="15" customHeight="1" x14ac:dyDescent="0.15">
      <c r="A3" s="1" t="s">
        <v>9</v>
      </c>
      <c r="B3" s="4">
        <v>1</v>
      </c>
      <c r="C3"/>
      <c r="D3"/>
      <c r="E3"/>
      <c r="F3"/>
      <c r="G3"/>
      <c r="H3"/>
      <c r="I3"/>
      <c r="J3"/>
      <c r="K3"/>
      <c r="L3"/>
      <c r="M3"/>
      <c r="N3"/>
    </row>
    <row r="4" spans="1:46" ht="15" customHeight="1" x14ac:dyDescent="0.15">
      <c r="A4" s="1" t="s">
        <v>10</v>
      </c>
      <c r="B4" s="4">
        <v>1</v>
      </c>
      <c r="C4"/>
      <c r="D4"/>
      <c r="E4"/>
      <c r="F4"/>
      <c r="G4"/>
      <c r="H4"/>
      <c r="I4"/>
      <c r="J4"/>
      <c r="K4"/>
      <c r="L4"/>
      <c r="M4"/>
      <c r="N4"/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/>
      <c r="D5"/>
      <c r="E5"/>
      <c r="F5"/>
      <c r="G5"/>
      <c r="H5"/>
      <c r="I5"/>
      <c r="J5"/>
      <c r="K5"/>
      <c r="L5"/>
      <c r="M5"/>
      <c r="N5"/>
      <c r="P5" s="73"/>
      <c r="Q5" s="73"/>
      <c r="R5" s="73"/>
    </row>
    <row r="6" spans="1:46" ht="15" customHeight="1" thickBot="1" x14ac:dyDescent="0.2">
      <c r="B6" s="1"/>
      <c r="C6"/>
      <c r="D6"/>
      <c r="E6"/>
      <c r="F6"/>
      <c r="G6"/>
      <c r="H6"/>
      <c r="I6"/>
      <c r="J6"/>
      <c r="K6"/>
      <c r="L6"/>
      <c r="M6"/>
      <c r="N6"/>
      <c r="P6" s="73"/>
      <c r="Q6" s="73"/>
      <c r="R6" s="73"/>
      <c r="W6" s="36" t="s">
        <v>31</v>
      </c>
      <c r="X6" s="52">
        <f>MAX(MainOutputs!G:G)</f>
        <v>0.95931768417358398</v>
      </c>
    </row>
    <row r="7" spans="1:46" ht="15" customHeight="1" x14ac:dyDescent="0.15">
      <c r="A7" s="2" t="s">
        <v>27</v>
      </c>
      <c r="B7" s="86">
        <f ca="1">COUNTIF(OFFSET(cornerDiets,1,1,NumLiving+NumDead+1,NumLiving+NumDead),"&gt;0")+NumLiving+NumDead+1</f>
        <v>3</v>
      </c>
      <c r="C7"/>
      <c r="D7"/>
      <c r="E7"/>
      <c r="F7"/>
      <c r="G7"/>
      <c r="H7"/>
      <c r="I7"/>
      <c r="J7"/>
      <c r="K7"/>
      <c r="L7"/>
      <c r="M7"/>
      <c r="N7"/>
      <c r="P7" s="73"/>
      <c r="Q7" s="73"/>
      <c r="R7" s="73"/>
    </row>
    <row r="8" spans="1:46" ht="15" customHeight="1" x14ac:dyDescent="0.15">
      <c r="A8" s="2" t="s">
        <v>28</v>
      </c>
      <c r="B8" s="86">
        <f ca="1">COUNTIF(OFFSET(cornerFishing,1,2,NumLiving+NumDead,NumGears),"&gt;0")+NumDead*COUNTIF(OFFSET(cornerDiscards,1,2,NumLiving+NumDead,NumGears),"&gt;0")+NumLiving+NumDead+1</f>
        <v>3</v>
      </c>
      <c r="C8"/>
      <c r="D8"/>
      <c r="E8"/>
      <c r="F8"/>
      <c r="G8"/>
      <c r="H8"/>
      <c r="I8"/>
      <c r="J8"/>
      <c r="K8"/>
      <c r="L8"/>
      <c r="M8"/>
      <c r="N8"/>
      <c r="P8" s="73"/>
      <c r="Q8" s="73"/>
      <c r="R8" s="73"/>
    </row>
    <row r="9" spans="1:46" ht="15" customHeight="1" x14ac:dyDescent="0.15">
      <c r="B9" s="1"/>
      <c r="C9"/>
      <c r="D9"/>
      <c r="E9"/>
      <c r="F9"/>
      <c r="G9"/>
      <c r="H9"/>
      <c r="I9"/>
      <c r="J9"/>
      <c r="K9"/>
      <c r="L9"/>
      <c r="M9"/>
      <c r="N9"/>
      <c r="P9" s="73"/>
      <c r="Q9" s="73"/>
      <c r="R9" s="73"/>
    </row>
    <row r="10" spans="1:46" ht="15" customHeight="1" x14ac:dyDescent="0.15">
      <c r="B10" s="1"/>
      <c r="C10"/>
      <c r="D10"/>
      <c r="E10"/>
      <c r="F10"/>
      <c r="G10"/>
      <c r="H10"/>
      <c r="I10"/>
      <c r="J10"/>
      <c r="K10"/>
      <c r="L10"/>
      <c r="M10"/>
      <c r="N10"/>
    </row>
    <row r="11" spans="1:46" ht="15" customHeight="1" x14ac:dyDescent="0.15">
      <c r="C11"/>
      <c r="D11"/>
      <c r="E11"/>
      <c r="F11"/>
      <c r="G11"/>
      <c r="H11"/>
      <c r="I11"/>
      <c r="J11"/>
      <c r="K11"/>
      <c r="L11"/>
      <c r="M11"/>
      <c r="N11"/>
    </row>
    <row r="12" spans="1:46" ht="15" customHeight="1" x14ac:dyDescent="0.15">
      <c r="C12"/>
      <c r="D12"/>
      <c r="E12"/>
      <c r="F12"/>
      <c r="G12"/>
      <c r="H12"/>
      <c r="I12"/>
      <c r="J12"/>
      <c r="K12"/>
      <c r="L12"/>
      <c r="M12"/>
      <c r="N12"/>
    </row>
    <row r="13" spans="1:46" ht="15" customHeight="1" x14ac:dyDescent="0.15">
      <c r="C13"/>
      <c r="D13"/>
      <c r="E13"/>
      <c r="F13"/>
      <c r="G13"/>
      <c r="H13"/>
      <c r="I13"/>
      <c r="J13"/>
      <c r="K13"/>
      <c r="L13"/>
      <c r="M13"/>
      <c r="N13"/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47" t="s">
        <v>137</v>
      </c>
      <c r="B21" s="104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105" t="s">
        <v>58</v>
      </c>
      <c r="B22" s="106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105" t="s">
        <v>59</v>
      </c>
      <c r="B23" s="106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105" t="s">
        <v>60</v>
      </c>
      <c r="B24" s="106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107" t="s">
        <v>44</v>
      </c>
      <c r="B25" s="108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109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40.1640625" style="163" bestFit="1" customWidth="1"/>
    <col min="2" max="8" width="9" style="163" bestFit="1" customWidth="1"/>
    <col min="9" max="9" width="11.1640625" style="163" bestFit="1" customWidth="1"/>
    <col min="10" max="29" width="9" style="163" bestFit="1" customWidth="1"/>
    <col min="30" max="16384" width="8.83203125" style="163"/>
  </cols>
  <sheetData>
    <row r="1" spans="1:34" x14ac:dyDescent="0.15">
      <c r="A1" s="162" t="s">
        <v>19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/>
    <row r="3" spans="1:34" customFormat="1" x14ac:dyDescent="0.15"/>
    <row r="4" spans="1:34" customFormat="1" x14ac:dyDescent="0.15"/>
    <row r="5" spans="1:34" customFormat="1" x14ac:dyDescent="0.15"/>
    <row r="6" spans="1:34" customFormat="1" x14ac:dyDescent="0.15"/>
    <row r="7" spans="1:34" customFormat="1" x14ac:dyDescent="0.15"/>
    <row r="8" spans="1:34" customFormat="1" x14ac:dyDescent="0.15"/>
    <row r="9" spans="1:34" customFormat="1" x14ac:dyDescent="0.15"/>
    <row r="10" spans="1:34" customFormat="1" x14ac:dyDescent="0.15"/>
    <row r="11" spans="1:34" customFormat="1" x14ac:dyDescent="0.15"/>
    <row r="12" spans="1:34" customFormat="1" x14ac:dyDescent="0.15"/>
    <row r="13" spans="1:34" customFormat="1" x14ac:dyDescent="0.15"/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12.83203125" customWidth="1"/>
    <col min="2" max="2" width="21.6640625" customWidth="1"/>
    <col min="3" max="4" width="21.6640625" style="123" customWidth="1"/>
    <col min="5" max="5" width="13.33203125" style="122" bestFit="1" customWidth="1"/>
    <col min="6" max="6" width="14.33203125" style="122" bestFit="1" customWidth="1"/>
    <col min="7" max="8" width="8.83203125" style="123"/>
  </cols>
  <sheetData>
    <row r="1" spans="1:8" ht="14" x14ac:dyDescent="0.15">
      <c r="A1" s="5" t="s">
        <v>20</v>
      </c>
      <c r="B1" s="1" t="s">
        <v>0</v>
      </c>
      <c r="C1"/>
      <c r="D1"/>
      <c r="E1"/>
      <c r="F1"/>
      <c r="G1"/>
      <c r="H1"/>
    </row>
    <row r="2" spans="1:8" x14ac:dyDescent="0.15">
      <c r="C2"/>
      <c r="D2"/>
      <c r="E2"/>
      <c r="F2"/>
      <c r="G2"/>
      <c r="H2"/>
    </row>
    <row r="3" spans="1:8" x14ac:dyDescent="0.15">
      <c r="C3"/>
      <c r="D3"/>
      <c r="E3"/>
      <c r="F3"/>
      <c r="G3"/>
      <c r="H3"/>
    </row>
    <row r="4" spans="1:8" x14ac:dyDescent="0.15">
      <c r="C4"/>
      <c r="D4"/>
      <c r="E4"/>
      <c r="F4"/>
      <c r="G4"/>
      <c r="H4"/>
    </row>
    <row r="5" spans="1:8" x14ac:dyDescent="0.15">
      <c r="C5"/>
      <c r="D5"/>
      <c r="E5"/>
      <c r="F5"/>
      <c r="G5"/>
      <c r="H5"/>
    </row>
    <row r="6" spans="1:8" x14ac:dyDescent="0.15">
      <c r="C6"/>
      <c r="D6"/>
      <c r="E6"/>
      <c r="F6"/>
      <c r="G6"/>
      <c r="H6"/>
    </row>
    <row r="7" spans="1:8" x14ac:dyDescent="0.15">
      <c r="C7"/>
      <c r="D7"/>
      <c r="E7"/>
      <c r="F7"/>
      <c r="G7"/>
      <c r="H7"/>
    </row>
    <row r="8" spans="1:8" x14ac:dyDescent="0.15">
      <c r="C8"/>
      <c r="D8"/>
      <c r="E8"/>
      <c r="F8"/>
      <c r="G8"/>
      <c r="H8"/>
    </row>
    <row r="9" spans="1:8" x14ac:dyDescent="0.15">
      <c r="C9"/>
      <c r="D9"/>
      <c r="E9"/>
      <c r="F9"/>
      <c r="G9"/>
      <c r="H9"/>
    </row>
    <row r="10" spans="1:8" x14ac:dyDescent="0.15">
      <c r="C10"/>
      <c r="D10"/>
      <c r="E10"/>
      <c r="F10"/>
      <c r="G10"/>
      <c r="H10"/>
    </row>
    <row r="11" spans="1:8" x14ac:dyDescent="0.15">
      <c r="C11"/>
      <c r="D11"/>
      <c r="E11"/>
      <c r="F11"/>
      <c r="G11"/>
      <c r="H11"/>
    </row>
    <row r="12" spans="1:8" x14ac:dyDescent="0.15">
      <c r="C12"/>
      <c r="D12"/>
      <c r="E12"/>
      <c r="F12"/>
      <c r="G12"/>
      <c r="H12"/>
    </row>
    <row r="13" spans="1:8" x14ac:dyDescent="0.15">
      <c r="C13"/>
      <c r="D13"/>
      <c r="E13"/>
      <c r="F13"/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23"/>
      <c r="F36" s="123"/>
      <c r="G36"/>
      <c r="H36"/>
    </row>
    <row r="37" spans="3:8" ht="15" customHeight="1" x14ac:dyDescent="0.15">
      <c r="C37"/>
      <c r="D37"/>
      <c r="E37" s="123"/>
      <c r="F37" s="123"/>
      <c r="G37"/>
      <c r="H37"/>
    </row>
    <row r="38" spans="3:8" ht="15" customHeight="1" x14ac:dyDescent="0.15">
      <c r="C38"/>
      <c r="D38"/>
      <c r="E38" s="123"/>
      <c r="F38" s="123"/>
      <c r="G38"/>
      <c r="H38"/>
    </row>
    <row r="39" spans="3:8" ht="15" customHeight="1" x14ac:dyDescent="0.15">
      <c r="C39"/>
      <c r="D39"/>
      <c r="E39" s="123"/>
      <c r="F39" s="123"/>
      <c r="G39"/>
      <c r="H39"/>
    </row>
    <row r="40" spans="3:8" ht="15" customHeight="1" x14ac:dyDescent="0.15">
      <c r="C40"/>
      <c r="D40"/>
      <c r="E40" s="123"/>
      <c r="F40" s="123"/>
      <c r="G40"/>
      <c r="H40"/>
    </row>
    <row r="41" spans="3:8" ht="15" customHeight="1" x14ac:dyDescent="0.15">
      <c r="C41"/>
      <c r="D41"/>
      <c r="E41" s="123"/>
      <c r="F41" s="123"/>
      <c r="G41"/>
      <c r="H41"/>
    </row>
    <row r="42" spans="3:8" ht="15" customHeight="1" x14ac:dyDescent="0.15">
      <c r="C42"/>
      <c r="D42"/>
      <c r="E42" s="123"/>
      <c r="F42" s="123"/>
      <c r="G42"/>
      <c r="H42"/>
    </row>
    <row r="43" spans="3:8" ht="15" customHeight="1" x14ac:dyDescent="0.15">
      <c r="C43"/>
      <c r="D43"/>
      <c r="E43" s="123"/>
      <c r="F43" s="12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23"/>
      <c r="F46" s="12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12.6640625" customWidth="1"/>
    <col min="2" max="2" width="22" bestFit="1" customWidth="1"/>
    <col min="3" max="3" width="16" bestFit="1" customWidth="1"/>
    <col min="4" max="4" width="16.33203125" bestFit="1" customWidth="1"/>
    <col min="5" max="5" width="12.1640625" bestFit="1" customWidth="1"/>
  </cols>
  <sheetData>
    <row r="1" spans="1:5" s="124" customFormat="1" ht="28" x14ac:dyDescent="0.15">
      <c r="A1" s="5" t="s">
        <v>21</v>
      </c>
      <c r="B1" s="3" t="s">
        <v>0</v>
      </c>
      <c r="C1"/>
      <c r="D1"/>
      <c r="E1"/>
    </row>
    <row r="2" spans="1:5" ht="15" customHeight="1" x14ac:dyDescent="0.15"/>
    <row r="3" spans="1:5" ht="15" customHeight="1" x14ac:dyDescent="0.15"/>
    <row r="4" spans="1:5" ht="15" customHeight="1" x14ac:dyDescent="0.15"/>
    <row r="5" spans="1:5" ht="15" customHeight="1" x14ac:dyDescent="0.15"/>
    <row r="6" spans="1:5" ht="15" customHeight="1" x14ac:dyDescent="0.15"/>
    <row r="7" spans="1:5" ht="15" customHeight="1" x14ac:dyDescent="0.15"/>
    <row r="8" spans="1:5" ht="15" customHeight="1" x14ac:dyDescent="0.15"/>
    <row r="9" spans="1:5" ht="15" customHeight="1" x14ac:dyDescent="0.15"/>
    <row r="10" spans="1:5" ht="15" customHeight="1" x14ac:dyDescent="0.15"/>
    <row r="11" spans="1:5" ht="15" customHeight="1" x14ac:dyDescent="0.15"/>
    <row r="12" spans="1:5" ht="15" customHeight="1" x14ac:dyDescent="0.15"/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12.6640625" customWidth="1"/>
    <col min="2" max="2" width="22" bestFit="1" customWidth="1"/>
    <col min="3" max="3" width="16" bestFit="1" customWidth="1"/>
    <col min="4" max="4" width="16.33203125" bestFit="1" customWidth="1"/>
    <col min="5" max="5" width="12.1640625" bestFit="1" customWidth="1"/>
  </cols>
  <sheetData>
    <row r="1" spans="1:4" s="124" customFormat="1" ht="28" x14ac:dyDescent="0.15">
      <c r="A1" s="5" t="s">
        <v>22</v>
      </c>
      <c r="B1" s="3" t="s">
        <v>0</v>
      </c>
      <c r="C1"/>
      <c r="D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5" max="5" width="39.83203125" bestFit="1" customWidth="1"/>
    <col min="6" max="6" width="8.1640625" bestFit="1" customWidth="1"/>
    <col min="7" max="7" width="7.5" bestFit="1" customWidth="1"/>
    <col min="8" max="8" width="8.6640625" bestFit="1" customWidth="1"/>
    <col min="9" max="9" width="8.83203125" bestFit="1" customWidth="1"/>
    <col min="10" max="10" width="8.83203125" style="123" bestFit="1" customWidth="1"/>
    <col min="11" max="11" width="8.6640625" style="12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25" customFormat="1" ht="14" thickBot="1" x14ac:dyDescent="0.2">
      <c r="D1" s="126" t="s">
        <v>8</v>
      </c>
      <c r="E1" s="126" t="s">
        <v>0</v>
      </c>
      <c r="F1" s="127" t="s">
        <v>99</v>
      </c>
      <c r="G1" s="128" t="s">
        <v>84</v>
      </c>
      <c r="H1" s="128" t="s">
        <v>85</v>
      </c>
      <c r="I1" s="128" t="s">
        <v>86</v>
      </c>
      <c r="J1" s="128" t="s">
        <v>87</v>
      </c>
      <c r="K1" s="128" t="s">
        <v>88</v>
      </c>
      <c r="L1" s="129" t="s">
        <v>89</v>
      </c>
      <c r="M1" s="129" t="s">
        <v>93</v>
      </c>
      <c r="N1" s="129" t="s">
        <v>92</v>
      </c>
      <c r="O1" s="129" t="s">
        <v>90</v>
      </c>
      <c r="P1" s="129" t="s">
        <v>91</v>
      </c>
      <c r="Q1" s="130" t="s">
        <v>94</v>
      </c>
      <c r="R1" s="130" t="s">
        <v>95</v>
      </c>
      <c r="S1" s="130" t="s">
        <v>96</v>
      </c>
      <c r="T1" s="130" t="s">
        <v>97</v>
      </c>
      <c r="U1" s="130" t="s">
        <v>98</v>
      </c>
      <c r="V1" s="128" t="s">
        <v>100</v>
      </c>
      <c r="W1" s="128" t="s">
        <v>101</v>
      </c>
      <c r="X1" s="128" t="s">
        <v>102</v>
      </c>
      <c r="Y1" s="128" t="s">
        <v>134</v>
      </c>
      <c r="Z1" s="129" t="s">
        <v>103</v>
      </c>
      <c r="AA1" s="129" t="s">
        <v>104</v>
      </c>
      <c r="AB1" s="129" t="s">
        <v>105</v>
      </c>
      <c r="AC1" s="131" t="s">
        <v>135</v>
      </c>
      <c r="AD1" s="130" t="s">
        <v>106</v>
      </c>
      <c r="AE1" s="130" t="s">
        <v>107</v>
      </c>
      <c r="AF1" s="130" t="s">
        <v>108</v>
      </c>
      <c r="AG1" s="130" t="s">
        <v>136</v>
      </c>
      <c r="AH1" s="128" t="s">
        <v>109</v>
      </c>
      <c r="AI1" s="128" t="s">
        <v>111</v>
      </c>
      <c r="AJ1" s="128" t="s">
        <v>110</v>
      </c>
      <c r="AK1" s="129" t="s">
        <v>115</v>
      </c>
      <c r="AL1" s="129" t="s">
        <v>116</v>
      </c>
      <c r="AM1" s="129" t="s">
        <v>117</v>
      </c>
      <c r="AN1" s="130" t="s">
        <v>112</v>
      </c>
      <c r="AO1" s="130" t="s">
        <v>113</v>
      </c>
      <c r="AP1" s="130" t="s">
        <v>114</v>
      </c>
    </row>
    <row r="2" spans="1:42" x14ac:dyDescent="0.15">
      <c r="A2" s="132" t="s">
        <v>74</v>
      </c>
      <c r="B2" s="133">
        <v>1</v>
      </c>
      <c r="J2"/>
      <c r="K2"/>
    </row>
    <row r="3" spans="1:42" x14ac:dyDescent="0.15">
      <c r="A3" s="132" t="s">
        <v>75</v>
      </c>
      <c r="B3" s="134">
        <v>1</v>
      </c>
      <c r="J3"/>
      <c r="K3"/>
    </row>
    <row r="4" spans="1:42" x14ac:dyDescent="0.15">
      <c r="A4" s="132" t="s">
        <v>76</v>
      </c>
      <c r="B4" s="134">
        <v>1</v>
      </c>
      <c r="J4"/>
      <c r="K4"/>
    </row>
    <row r="5" spans="1:42" x14ac:dyDescent="0.15">
      <c r="A5" s="132" t="s">
        <v>77</v>
      </c>
      <c r="B5" s="134">
        <v>1</v>
      </c>
      <c r="J5"/>
      <c r="K5"/>
    </row>
    <row r="6" spans="1:42" x14ac:dyDescent="0.15">
      <c r="A6" s="132" t="s">
        <v>78</v>
      </c>
      <c r="B6" s="134">
        <v>1</v>
      </c>
      <c r="J6"/>
      <c r="K6"/>
    </row>
    <row r="7" spans="1:42" x14ac:dyDescent="0.15">
      <c r="A7" s="132" t="s">
        <v>79</v>
      </c>
      <c r="B7" s="134">
        <v>1</v>
      </c>
      <c r="J7"/>
      <c r="K7"/>
    </row>
    <row r="8" spans="1:42" x14ac:dyDescent="0.15">
      <c r="A8" s="132" t="s">
        <v>80</v>
      </c>
      <c r="B8" s="134">
        <v>1</v>
      </c>
      <c r="J8"/>
      <c r="K8"/>
    </row>
    <row r="9" spans="1:42" x14ac:dyDescent="0.15">
      <c r="A9" s="132" t="s">
        <v>81</v>
      </c>
      <c r="B9" s="134">
        <v>0.1</v>
      </c>
      <c r="C9" s="61" t="s">
        <v>150</v>
      </c>
      <c r="J9"/>
      <c r="K9"/>
    </row>
    <row r="10" spans="1:42" ht="14" thickBot="1" x14ac:dyDescent="0.2">
      <c r="A10" s="132" t="s">
        <v>149</v>
      </c>
      <c r="B10" s="135">
        <f>1/3</f>
        <v>0.33333333333333331</v>
      </c>
      <c r="C10" s="61" t="s">
        <v>150</v>
      </c>
      <c r="J10"/>
      <c r="K10"/>
    </row>
    <row r="11" spans="1:42" x14ac:dyDescent="0.15">
      <c r="J11"/>
      <c r="K11"/>
    </row>
    <row r="12" spans="1:42" x14ac:dyDescent="0.15">
      <c r="J12"/>
      <c r="K12"/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39.83203125" style="119" bestFit="1" customWidth="1"/>
    <col min="2" max="16384" width="10.83203125" style="119"/>
  </cols>
  <sheetData>
    <row r="1" spans="1:30" x14ac:dyDescent="0.15">
      <c r="A1" s="63" t="s">
        <v>118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/>
    <row r="3" spans="1:30" customFormat="1" x14ac:dyDescent="0.15"/>
    <row r="4" spans="1:30" customFormat="1" x14ac:dyDescent="0.15"/>
    <row r="5" spans="1:30" customFormat="1" x14ac:dyDescent="0.15"/>
    <row r="6" spans="1:30" customFormat="1" x14ac:dyDescent="0.15"/>
    <row r="7" spans="1:30" customFormat="1" x14ac:dyDescent="0.15"/>
    <row r="8" spans="1:30" customFormat="1" x14ac:dyDescent="0.15"/>
    <row r="9" spans="1:30" customFormat="1" x14ac:dyDescent="0.15"/>
    <row r="10" spans="1:30" customFormat="1" x14ac:dyDescent="0.15"/>
    <row r="11" spans="1:30" customFormat="1" x14ac:dyDescent="0.15"/>
    <row r="12" spans="1:30" customFormat="1" x14ac:dyDescent="0.15"/>
    <row r="13" spans="1:30" customFormat="1" x14ac:dyDescent="0.15"/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39.83203125" style="119" bestFit="1" customWidth="1"/>
    <col min="2" max="16384" width="10.83203125" style="119"/>
  </cols>
  <sheetData>
    <row r="1" spans="1:31" x14ac:dyDescent="0.15">
      <c r="A1" s="63" t="s">
        <v>139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/>
    <row r="3" spans="1:31" customFormat="1" x14ac:dyDescent="0.15"/>
    <row r="4" spans="1:31" customFormat="1" x14ac:dyDescent="0.15"/>
    <row r="5" spans="1:31" customFormat="1" x14ac:dyDescent="0.15"/>
    <row r="6" spans="1:31" customFormat="1" x14ac:dyDescent="0.15"/>
    <row r="7" spans="1:31" customFormat="1" x14ac:dyDescent="0.15"/>
    <row r="8" spans="1:31" customFormat="1" x14ac:dyDescent="0.15"/>
    <row r="9" spans="1:31" customFormat="1" x14ac:dyDescent="0.15"/>
    <row r="10" spans="1:31" customFormat="1" x14ac:dyDescent="0.15"/>
    <row r="11" spans="1:31" customFormat="1" x14ac:dyDescent="0.15"/>
    <row r="12" spans="1:31" customFormat="1" x14ac:dyDescent="0.15"/>
    <row r="13" spans="1:31" customFormat="1" x14ac:dyDescent="0.15"/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B185"/>
  <sheetViews>
    <sheetView workbookViewId="0">
      <selection activeCell="A3" sqref="A3"/>
    </sheetView>
  </sheetViews>
  <sheetFormatPr baseColWidth="10" defaultRowHeight="13" x14ac:dyDescent="0.15"/>
  <cols>
    <col min="1" max="1" width="12.6640625" customWidth="1"/>
    <col min="2" max="2" width="46.5" bestFit="1" customWidth="1"/>
    <col min="3" max="3" width="16" bestFit="1" customWidth="1"/>
    <col min="4" max="4" width="16.33203125" bestFit="1" customWidth="1"/>
  </cols>
  <sheetData>
    <row r="1" spans="1:2" ht="28" x14ac:dyDescent="0.15">
      <c r="A1" s="5" t="s">
        <v>83</v>
      </c>
      <c r="B1" s="3" t="s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B1"/>
  <sheetViews>
    <sheetView workbookViewId="0">
      <selection activeCell="A3" sqref="A3"/>
    </sheetView>
  </sheetViews>
  <sheetFormatPr baseColWidth="10" defaultRowHeight="13" x14ac:dyDescent="0.15"/>
  <cols>
    <col min="1" max="1" width="12.6640625" customWidth="1"/>
    <col min="2" max="2" width="46.5" bestFit="1" customWidth="1"/>
    <col min="3" max="3" width="16" bestFit="1" customWidth="1"/>
    <col min="4" max="4" width="16.33203125" bestFit="1" customWidth="1"/>
  </cols>
  <sheetData>
    <row r="1" spans="1:2" ht="28" x14ac:dyDescent="0.15">
      <c r="A1" s="5" t="s">
        <v>82</v>
      </c>
      <c r="B1" s="3" t="s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86"/>
    <col min="2" max="2" width="41.83203125" style="86" bestFit="1" customWidth="1"/>
    <col min="3" max="3" width="9.33203125" style="86" bestFit="1" customWidth="1"/>
    <col min="4" max="4" width="13" style="86" bestFit="1" customWidth="1"/>
    <col min="5" max="6" width="9.33203125" style="86" bestFit="1" customWidth="1"/>
    <col min="7" max="7" width="9.33203125" style="102" bestFit="1" customWidth="1"/>
    <col min="8" max="8" width="9.33203125" style="86" bestFit="1" customWidth="1"/>
    <col min="9" max="9" width="11" style="86" customWidth="1"/>
    <col min="10" max="10" width="8.83203125" style="86"/>
    <col min="15" max="16384" width="8.83203125" style="8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71">
        <v>1</v>
      </c>
      <c r="B2" s="171" t="s">
        <v>43</v>
      </c>
      <c r="C2" s="8">
        <v>1</v>
      </c>
      <c r="D2" s="9">
        <v>4.7732081413269043</v>
      </c>
      <c r="E2" s="9">
        <v>215</v>
      </c>
      <c r="F2" s="10"/>
      <c r="G2" s="7">
        <v>0.89586907625198364</v>
      </c>
      <c r="H2" s="10"/>
      <c r="I2">
        <v>0</v>
      </c>
      <c r="J2"/>
    </row>
    <row r="3" spans="1:10" ht="15" customHeight="1" x14ac:dyDescent="0.15">
      <c r="A3" s="172">
        <v>2</v>
      </c>
      <c r="B3" s="172" t="s">
        <v>42</v>
      </c>
      <c r="C3" s="8">
        <v>1</v>
      </c>
      <c r="D3" s="9">
        <v>35.582569122314453</v>
      </c>
      <c r="E3" s="9">
        <v>215</v>
      </c>
      <c r="F3" s="10"/>
      <c r="G3" s="7">
        <v>0.82913804054260254</v>
      </c>
      <c r="H3" s="10"/>
      <c r="I3">
        <v>0</v>
      </c>
      <c r="J3"/>
    </row>
    <row r="4" spans="1:10" ht="15" customHeight="1" x14ac:dyDescent="0.15">
      <c r="A4" s="173">
        <v>3</v>
      </c>
      <c r="B4" s="173" t="s">
        <v>167</v>
      </c>
      <c r="C4" s="8">
        <v>1.9999998807907104</v>
      </c>
      <c r="D4" s="9">
        <v>12.201860427856445</v>
      </c>
      <c r="E4" s="9">
        <v>150</v>
      </c>
      <c r="F4" s="7">
        <v>428.57144165039062</v>
      </c>
      <c r="G4" s="7">
        <v>0.80666804313659668</v>
      </c>
      <c r="H4" s="9">
        <v>0.34999999403953552</v>
      </c>
      <c r="I4">
        <v>0</v>
      </c>
      <c r="J4"/>
    </row>
    <row r="5" spans="1:10" ht="15" customHeight="1" x14ac:dyDescent="0.15">
      <c r="A5" s="174">
        <v>4</v>
      </c>
      <c r="B5" s="174" t="s">
        <v>168</v>
      </c>
      <c r="C5" s="8">
        <v>2.3623099327087402</v>
      </c>
      <c r="D5" s="9">
        <v>22.206539154052734</v>
      </c>
      <c r="E5" s="9">
        <v>31.448419570922852</v>
      </c>
      <c r="F5" s="7">
        <v>123.37730407714844</v>
      </c>
      <c r="G5" s="7">
        <v>0.87437289953231812</v>
      </c>
      <c r="H5" s="9">
        <v>0.25489631295204163</v>
      </c>
      <c r="I5">
        <v>0</v>
      </c>
      <c r="J5"/>
    </row>
    <row r="6" spans="1:10" ht="15" customHeight="1" x14ac:dyDescent="0.15">
      <c r="A6" s="175">
        <v>5</v>
      </c>
      <c r="B6" s="175" t="s">
        <v>169</v>
      </c>
      <c r="C6" s="8">
        <v>2.8657970428466797</v>
      </c>
      <c r="D6" s="9">
        <v>15.130370140075684</v>
      </c>
      <c r="E6" s="9">
        <v>7.3700518608093262</v>
      </c>
      <c r="F6" s="7">
        <v>29.480207443237305</v>
      </c>
      <c r="G6" s="7">
        <v>0.85575789213180542</v>
      </c>
      <c r="H6" s="9">
        <v>0.25</v>
      </c>
      <c r="I6">
        <v>3.9379997929245292E-8</v>
      </c>
      <c r="J6"/>
    </row>
    <row r="7" spans="1:10" ht="15" customHeight="1" x14ac:dyDescent="0.15">
      <c r="A7" s="176">
        <v>6</v>
      </c>
      <c r="B7" s="176" t="s">
        <v>170</v>
      </c>
      <c r="C7" s="8">
        <v>2.3695712089538574</v>
      </c>
      <c r="D7" s="9">
        <v>3.2718091011047363</v>
      </c>
      <c r="E7" s="9">
        <v>45</v>
      </c>
      <c r="F7" s="7">
        <v>150</v>
      </c>
      <c r="G7" s="7">
        <v>0.82263976335525513</v>
      </c>
      <c r="H7" s="9">
        <v>0.30000001192092896</v>
      </c>
      <c r="I7">
        <v>0</v>
      </c>
      <c r="J7"/>
    </row>
    <row r="8" spans="1:10" ht="15" customHeight="1" x14ac:dyDescent="0.15">
      <c r="A8" s="177">
        <v>7</v>
      </c>
      <c r="B8" s="177" t="s">
        <v>171</v>
      </c>
      <c r="C8" s="8">
        <v>3.4201409816741943</v>
      </c>
      <c r="D8" s="9">
        <v>6.7345027923583984</v>
      </c>
      <c r="E8" s="9">
        <v>15</v>
      </c>
      <c r="F8" s="7">
        <v>56.991207122802734</v>
      </c>
      <c r="G8" s="7">
        <v>7.6223388314247131E-2</v>
      </c>
      <c r="H8" s="9">
        <v>0.26319849491119385</v>
      </c>
      <c r="I8">
        <v>0</v>
      </c>
      <c r="J8"/>
    </row>
    <row r="9" spans="1:10" ht="15" customHeight="1" x14ac:dyDescent="0.15">
      <c r="A9" s="178">
        <v>8</v>
      </c>
      <c r="B9" s="178" t="s">
        <v>161</v>
      </c>
      <c r="C9" s="8">
        <v>2.4226076602935791</v>
      </c>
      <c r="D9" s="9">
        <v>38</v>
      </c>
      <c r="E9" s="9">
        <v>6.2894740104675293</v>
      </c>
      <c r="F9" s="7">
        <v>25.157896041870117</v>
      </c>
      <c r="G9" s="7">
        <v>0.87646913528442383</v>
      </c>
      <c r="H9" s="9">
        <v>0.25</v>
      </c>
      <c r="I9">
        <v>0</v>
      </c>
      <c r="J9"/>
    </row>
    <row r="10" spans="1:10" ht="15" customHeight="1" x14ac:dyDescent="0.15">
      <c r="A10" s="179">
        <v>9</v>
      </c>
      <c r="B10" s="179" t="s">
        <v>172</v>
      </c>
      <c r="C10" s="8">
        <v>3.5895431041717529</v>
      </c>
      <c r="D10" s="9">
        <v>2.2449719905853271</v>
      </c>
      <c r="E10" s="9">
        <v>2.9994430541992188</v>
      </c>
      <c r="F10" s="7">
        <v>11.997772216796875</v>
      </c>
      <c r="G10" s="7">
        <v>0.83426201343536377</v>
      </c>
      <c r="H10" s="9">
        <v>0.25</v>
      </c>
      <c r="I10">
        <v>5.0912797451019287E-4</v>
      </c>
      <c r="J10"/>
    </row>
    <row r="11" spans="1:10" ht="15" customHeight="1" x14ac:dyDescent="0.15">
      <c r="A11" s="180">
        <v>10</v>
      </c>
      <c r="B11" s="180" t="s">
        <v>173</v>
      </c>
      <c r="C11" s="8">
        <v>3.159015417098999</v>
      </c>
      <c r="D11" s="9">
        <v>36.855781555175781</v>
      </c>
      <c r="E11" s="9">
        <v>1.2745720148086548</v>
      </c>
      <c r="F11" s="7">
        <v>5.3722171783447266</v>
      </c>
      <c r="G11" s="7">
        <v>0.95931768417358398</v>
      </c>
      <c r="H11" s="9">
        <v>0.23725250363349915</v>
      </c>
      <c r="I11">
        <v>0.7853010892868042</v>
      </c>
      <c r="J11"/>
    </row>
    <row r="12" spans="1:10" ht="15" customHeight="1" x14ac:dyDescent="0.15">
      <c r="A12" s="181">
        <v>11</v>
      </c>
      <c r="B12" s="181" t="s">
        <v>174</v>
      </c>
      <c r="C12" s="8">
        <v>3.743593692779541</v>
      </c>
      <c r="D12" s="9">
        <v>36.639511108398438</v>
      </c>
      <c r="E12" s="9">
        <v>0.32586309313774109</v>
      </c>
      <c r="F12" s="7">
        <v>3.0451507568359375</v>
      </c>
      <c r="G12" s="7">
        <v>0.44713324308395386</v>
      </c>
      <c r="H12" s="9">
        <v>0.10701049864292145</v>
      </c>
      <c r="I12">
        <v>3.5357625484466553</v>
      </c>
      <c r="J12"/>
    </row>
    <row r="13" spans="1:10" ht="15" customHeight="1" x14ac:dyDescent="0.15">
      <c r="A13" s="182">
        <v>12</v>
      </c>
      <c r="B13" s="182" t="s">
        <v>175</v>
      </c>
      <c r="C13" s="8">
        <v>3.3364450931549072</v>
      </c>
      <c r="D13" s="9">
        <v>23.735210418701172</v>
      </c>
      <c r="E13" s="9">
        <v>0.32864090800285339</v>
      </c>
      <c r="F13" s="7">
        <v>2.8652088642120361</v>
      </c>
      <c r="G13" s="7">
        <v>0.7915341854095459</v>
      </c>
      <c r="H13" s="9">
        <v>0.11470050364732742</v>
      </c>
      <c r="I13">
        <v>0.12594512104988098</v>
      </c>
      <c r="J13"/>
    </row>
    <row r="14" spans="1:10" ht="15" customHeight="1" x14ac:dyDescent="0.15">
      <c r="A14" s="183">
        <v>13</v>
      </c>
      <c r="B14" s="183" t="s">
        <v>176</v>
      </c>
      <c r="C14" s="8">
        <v>3.3612613677978516</v>
      </c>
      <c r="D14" s="9">
        <v>3.7928860187530518</v>
      </c>
      <c r="E14" s="9">
        <v>2.7000000476837158</v>
      </c>
      <c r="F14" s="7">
        <v>10.800000190734863</v>
      </c>
      <c r="G14" s="7">
        <v>0.84430468082427979</v>
      </c>
      <c r="H14" s="9">
        <v>0.25</v>
      </c>
      <c r="I14">
        <v>0</v>
      </c>
      <c r="J14"/>
    </row>
    <row r="15" spans="1:10" ht="15" customHeight="1" x14ac:dyDescent="0.15">
      <c r="A15" s="184">
        <v>14</v>
      </c>
      <c r="B15" s="184" t="s">
        <v>177</v>
      </c>
      <c r="C15" s="8">
        <v>2.038212776184082</v>
      </c>
      <c r="D15" s="9">
        <v>105.18869781494141</v>
      </c>
      <c r="E15" s="9">
        <v>4.8811039924621582</v>
      </c>
      <c r="F15" s="7">
        <v>20.111568450927734</v>
      </c>
      <c r="G15" s="7">
        <v>0.35927402973175049</v>
      </c>
      <c r="H15" s="9">
        <v>0.24270130693912506</v>
      </c>
      <c r="I15">
        <v>0.1589287668466568</v>
      </c>
      <c r="J15"/>
    </row>
    <row r="16" spans="1:10" ht="15" customHeight="1" x14ac:dyDescent="0.15">
      <c r="A16" s="185">
        <v>15</v>
      </c>
      <c r="B16" s="185" t="s">
        <v>178</v>
      </c>
      <c r="C16" s="8">
        <v>2.7172877788543701</v>
      </c>
      <c r="D16" s="9">
        <v>17.347499847412109</v>
      </c>
      <c r="E16" s="9">
        <v>2.8809249401092529</v>
      </c>
      <c r="F16" s="7">
        <v>14.142333984375</v>
      </c>
      <c r="G16" s="7">
        <v>0.73057252168655396</v>
      </c>
      <c r="H16" s="9">
        <v>0.20370930433273315</v>
      </c>
      <c r="I16">
        <v>3.3270534127950668E-2</v>
      </c>
      <c r="J16"/>
    </row>
    <row r="17" spans="1:10" ht="15" customHeight="1" x14ac:dyDescent="0.15">
      <c r="A17" s="186">
        <v>16</v>
      </c>
      <c r="B17" s="186" t="s">
        <v>179</v>
      </c>
      <c r="C17" s="8">
        <v>2.0347533226013184</v>
      </c>
      <c r="D17" s="9">
        <v>31.857229232788086</v>
      </c>
      <c r="E17" s="9">
        <v>1.5983990430831909</v>
      </c>
      <c r="F17" s="7">
        <v>7.9919953346252441</v>
      </c>
      <c r="G17" s="7">
        <v>0.89246183633804321</v>
      </c>
      <c r="H17" s="9">
        <v>0.20000000298023224</v>
      </c>
      <c r="I17">
        <v>2.9396485537290573E-2</v>
      </c>
      <c r="J17"/>
    </row>
    <row r="18" spans="1:10" ht="15" customHeight="1" x14ac:dyDescent="0.15">
      <c r="A18" s="187">
        <v>17</v>
      </c>
      <c r="B18" s="187" t="s">
        <v>180</v>
      </c>
      <c r="C18" s="8">
        <v>4.1716980934143066</v>
      </c>
      <c r="D18" s="9">
        <v>7.4658587574958801E-2</v>
      </c>
      <c r="E18" s="9">
        <v>0.12417300045490265</v>
      </c>
      <c r="F18" s="7">
        <v>73.109123229980469</v>
      </c>
      <c r="G18" s="7">
        <v>0.12876129150390625</v>
      </c>
      <c r="H18" s="9">
        <v>1.6984611283987761E-3</v>
      </c>
      <c r="I18">
        <v>0</v>
      </c>
      <c r="J18"/>
    </row>
    <row r="19" spans="1:10" ht="15" customHeight="1" x14ac:dyDescent="0.15">
      <c r="A19" s="188">
        <v>18</v>
      </c>
      <c r="B19" s="188" t="s">
        <v>181</v>
      </c>
      <c r="C19" s="8">
        <v>3.174008846282959</v>
      </c>
      <c r="D19" s="9">
        <v>0.14411039650440216</v>
      </c>
      <c r="E19" s="9">
        <v>6.3000001013278961E-2</v>
      </c>
      <c r="F19" s="7">
        <v>8.8999996185302734</v>
      </c>
      <c r="G19" s="7">
        <v>5.4782994091510773E-2</v>
      </c>
      <c r="H19" s="9">
        <v>7.0786522701382637E-3</v>
      </c>
      <c r="I19">
        <v>0</v>
      </c>
      <c r="J19"/>
    </row>
    <row r="20" spans="1:10" ht="15" customHeight="1" x14ac:dyDescent="0.15">
      <c r="A20" s="189">
        <v>19</v>
      </c>
      <c r="B20" s="189" t="s">
        <v>182</v>
      </c>
      <c r="C20" s="8">
        <v>3.8058867454528809</v>
      </c>
      <c r="D20" s="9">
        <v>0.57161200046539307</v>
      </c>
      <c r="E20" s="9">
        <v>3.9999999105930328E-2</v>
      </c>
      <c r="F20" s="7">
        <v>7.5999994277954102</v>
      </c>
      <c r="G20" s="7">
        <v>4.350602999329567E-2</v>
      </c>
      <c r="H20" s="9">
        <v>5.2631581202149391E-3</v>
      </c>
      <c r="I20">
        <v>0</v>
      </c>
      <c r="J20"/>
    </row>
    <row r="21" spans="1:10" ht="15" customHeight="1" x14ac:dyDescent="0.15">
      <c r="A21" s="190">
        <v>20</v>
      </c>
      <c r="B21" s="190" t="s">
        <v>183</v>
      </c>
      <c r="C21" s="8">
        <v>4.3948187828063965</v>
      </c>
      <c r="D21" s="9">
        <v>0.12828050553798676</v>
      </c>
      <c r="E21" s="9">
        <v>7.236403226852417E-2</v>
      </c>
      <c r="F21" s="7">
        <v>17.210027694702148</v>
      </c>
      <c r="G21" s="7">
        <v>0.3753664493560791</v>
      </c>
      <c r="H21" s="9">
        <v>4.2047598399221897E-3</v>
      </c>
      <c r="I21">
        <v>0</v>
      </c>
      <c r="J21"/>
    </row>
    <row r="22" spans="1:10" ht="15" customHeight="1" x14ac:dyDescent="0.15">
      <c r="A22" s="191">
        <v>21</v>
      </c>
      <c r="B22" s="191" t="s">
        <v>184</v>
      </c>
      <c r="C22" s="8">
        <v>4.3941144943237305</v>
      </c>
      <c r="D22" s="9">
        <v>0.14611360430717468</v>
      </c>
      <c r="E22" s="9">
        <v>7.1867503225803375E-2</v>
      </c>
      <c r="F22" s="7">
        <v>13.606139183044434</v>
      </c>
      <c r="G22" s="7">
        <v>0</v>
      </c>
      <c r="H22" s="9">
        <v>5.281990859657526E-3</v>
      </c>
      <c r="I22">
        <v>0</v>
      </c>
      <c r="J22"/>
    </row>
    <row r="23" spans="1:10" ht="15" customHeight="1" x14ac:dyDescent="0.15">
      <c r="A23" s="192">
        <v>22</v>
      </c>
      <c r="B23" s="192" t="s">
        <v>194</v>
      </c>
      <c r="C23" s="8">
        <v>1</v>
      </c>
      <c r="D23" s="9">
        <v>100</v>
      </c>
      <c r="E23" s="9">
        <v>1</v>
      </c>
      <c r="F23" s="7">
        <v>1</v>
      </c>
      <c r="G23" s="7">
        <v>0</v>
      </c>
      <c r="H23" s="9">
        <v>1</v>
      </c>
      <c r="I23">
        <v>0</v>
      </c>
      <c r="J23"/>
    </row>
    <row r="24" spans="1:10" ht="15" customHeight="1" x14ac:dyDescent="0.15">
      <c r="A24" s="193">
        <v>23</v>
      </c>
      <c r="B24" s="193" t="s">
        <v>195</v>
      </c>
      <c r="C24" s="8">
        <v>1</v>
      </c>
      <c r="D24" s="9">
        <v>10</v>
      </c>
      <c r="E24" s="9">
        <v>1</v>
      </c>
      <c r="F24" s="7">
        <v>1</v>
      </c>
      <c r="G24" s="7">
        <v>0.10000000149011612</v>
      </c>
      <c r="H24" s="9">
        <v>1</v>
      </c>
      <c r="I24">
        <v>0</v>
      </c>
      <c r="J24"/>
    </row>
    <row r="25" spans="1:10" ht="15" customHeight="1" x14ac:dyDescent="0.15">
      <c r="A25" s="194">
        <v>24</v>
      </c>
      <c r="B25" s="194" t="s">
        <v>196</v>
      </c>
      <c r="C25" s="8">
        <v>2</v>
      </c>
      <c r="D25" s="9">
        <v>1</v>
      </c>
      <c r="E25" s="9">
        <v>1</v>
      </c>
      <c r="F25" s="7">
        <v>1</v>
      </c>
      <c r="G25" s="7">
        <v>0</v>
      </c>
      <c r="H25" s="9">
        <v>1</v>
      </c>
      <c r="I25">
        <v>0</v>
      </c>
      <c r="J25"/>
    </row>
    <row r="26" spans="1:10" ht="15" customHeight="1" x14ac:dyDescent="0.15">
      <c r="A26" s="195">
        <v>25</v>
      </c>
      <c r="B26" s="195" t="s">
        <v>185</v>
      </c>
      <c r="C26" s="8">
        <v>1</v>
      </c>
      <c r="D26" s="9">
        <v>0.20000000298023224</v>
      </c>
      <c r="E26" s="10"/>
      <c r="F26" s="10"/>
      <c r="G26" s="7">
        <v>0.17383159697055817</v>
      </c>
      <c r="H26" s="10"/>
      <c r="I26">
        <v>0</v>
      </c>
      <c r="J26"/>
    </row>
    <row r="27" spans="1:10" ht="15" customHeight="1" x14ac:dyDescent="0.15">
      <c r="A27" s="196">
        <v>26</v>
      </c>
      <c r="B27" s="196" t="s">
        <v>186</v>
      </c>
      <c r="C27" s="8">
        <v>1</v>
      </c>
      <c r="D27" s="9">
        <v>0.20000000298023224</v>
      </c>
      <c r="E27" s="10"/>
      <c r="F27" s="10"/>
      <c r="G27" s="7">
        <v>0.48401057720184326</v>
      </c>
      <c r="H27" s="10"/>
      <c r="I27">
        <v>0</v>
      </c>
      <c r="J27"/>
    </row>
    <row r="28" spans="1:10" ht="15" customHeight="1" x14ac:dyDescent="0.15">
      <c r="A28" s="197">
        <v>27</v>
      </c>
      <c r="B28" s="197" t="s">
        <v>71</v>
      </c>
      <c r="C28" s="8">
        <v>1</v>
      </c>
      <c r="D28" s="9">
        <v>10</v>
      </c>
      <c r="E28" s="10"/>
      <c r="F28" s="10"/>
      <c r="G28" s="7">
        <v>0.22854383289813995</v>
      </c>
      <c r="H28" s="10"/>
      <c r="I28">
        <v>0</v>
      </c>
      <c r="J28"/>
    </row>
    <row r="29" spans="1:10" ht="15" customHeight="1" x14ac:dyDescent="0.15">
      <c r="A29" s="198">
        <v>28</v>
      </c>
      <c r="B29" s="198" t="s">
        <v>72</v>
      </c>
      <c r="C29" s="8">
        <v>1</v>
      </c>
      <c r="D29" s="9">
        <v>15</v>
      </c>
      <c r="E29" s="10"/>
      <c r="F29" s="10"/>
      <c r="G29" s="7">
        <v>0.56339079141616821</v>
      </c>
      <c r="H29" s="10"/>
      <c r="I29">
        <v>0</v>
      </c>
      <c r="J29"/>
    </row>
    <row r="30" spans="1:10" ht="15" customHeight="1" x14ac:dyDescent="0.15">
      <c r="A30" s="199">
        <v>29</v>
      </c>
      <c r="B30" s="199" t="s">
        <v>187</v>
      </c>
      <c r="C30" s="8">
        <v>4.5646877288818359</v>
      </c>
      <c r="D30" s="10"/>
      <c r="E30" s="10"/>
      <c r="F30" s="10"/>
      <c r="G30" s="10"/>
      <c r="H30" s="10"/>
      <c r="I30">
        <v>4.6421136856079102</v>
      </c>
      <c r="J30"/>
    </row>
    <row r="31" spans="1:10" ht="15" customHeight="1" x14ac:dyDescent="0.15">
      <c r="A31" s="200">
        <v>30</v>
      </c>
      <c r="B31" s="200" t="s">
        <v>188</v>
      </c>
      <c r="C31" s="8">
        <v>3.4347596168518066</v>
      </c>
      <c r="D31" s="10"/>
      <c r="E31" s="10"/>
      <c r="F31" s="10"/>
      <c r="G31" s="10"/>
      <c r="H31" s="10"/>
      <c r="I31">
        <v>2.6999998837709427E-2</v>
      </c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6" bestFit="1" customWidth="1"/>
    <col min="2" max="4" width="9.5" style="86" bestFit="1" customWidth="1"/>
    <col min="5" max="7" width="9" style="86" bestFit="1" customWidth="1"/>
    <col min="8" max="16" width="12.6640625" style="86" bestFit="1" customWidth="1"/>
    <col min="17" max="17" width="12.33203125" style="86" bestFit="1" customWidth="1"/>
    <col min="18" max="18" width="8.83203125" style="86"/>
    <col min="19" max="21" width="9.33203125" style="86" bestFit="1" customWidth="1"/>
    <col min="22" max="23" width="8.83203125" style="86"/>
    <col min="24" max="24" width="9.33203125" style="86" bestFit="1" customWidth="1"/>
    <col min="25" max="27" width="8.83203125" style="86"/>
    <col min="28" max="58" width="9" style="86" bestFit="1" customWidth="1"/>
    <col min="59" max="59" width="12.33203125" style="86" bestFit="1" customWidth="1"/>
    <col min="60" max="60" width="9" style="86" bestFit="1" customWidth="1"/>
    <col min="61" max="61" width="11.33203125" style="86" bestFit="1" customWidth="1"/>
    <col min="62" max="77" width="9" style="86" bestFit="1" customWidth="1"/>
    <col min="78" max="78" width="12.33203125" style="86" bestFit="1" customWidth="1"/>
    <col min="79" max="79" width="9" style="86" bestFit="1" customWidth="1"/>
    <col min="80" max="80" width="12.33203125" style="86" bestFit="1" customWidth="1"/>
    <col min="81" max="107" width="9" style="86" bestFit="1" customWidth="1"/>
    <col min="108" max="108" width="11.33203125" style="86" bestFit="1" customWidth="1"/>
    <col min="109" max="124" width="9" style="86" bestFit="1" customWidth="1"/>
    <col min="125" max="125" width="10.33203125" style="86" bestFit="1" customWidth="1"/>
    <col min="126" max="129" width="9.33203125" style="86" bestFit="1" customWidth="1"/>
    <col min="130" max="130" width="9" style="86" bestFit="1" customWidth="1"/>
    <col min="131" max="134" width="9.33203125" style="86" bestFit="1" customWidth="1"/>
    <col min="135" max="165" width="9" style="86" bestFit="1" customWidth="1"/>
    <col min="166" max="166" width="12.33203125" style="86" bestFit="1" customWidth="1"/>
    <col min="167" max="170" width="9" style="86" bestFit="1" customWidth="1"/>
    <col min="171" max="176" width="8.83203125" style="86"/>
    <col min="177" max="177" width="13.83203125" style="86" bestFit="1" customWidth="1"/>
    <col min="178" max="16384" width="8.83203125" style="8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192</v>
      </c>
      <c r="E1" t="s">
        <v>193</v>
      </c>
      <c r="F1" t="s">
        <v>43</v>
      </c>
      <c r="G1" t="s">
        <v>42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161</v>
      </c>
      <c r="N1" t="s">
        <v>172</v>
      </c>
      <c r="O1" t="s">
        <v>173</v>
      </c>
      <c r="P1" t="s">
        <v>174</v>
      </c>
      <c r="Q1" t="s">
        <v>175</v>
      </c>
      <c r="R1" t="s">
        <v>176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  <c r="X1" t="s">
        <v>182</v>
      </c>
      <c r="Y1" t="s">
        <v>183</v>
      </c>
      <c r="Z1" t="s">
        <v>184</v>
      </c>
      <c r="AA1" t="s">
        <v>194</v>
      </c>
      <c r="AB1" t="s">
        <v>195</v>
      </c>
      <c r="AC1" t="s">
        <v>196</v>
      </c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43</v>
      </c>
      <c r="B2">
        <v>215</v>
      </c>
      <c r="C2">
        <v>22.388149261474609</v>
      </c>
      <c r="D2"/>
      <c r="E2"/>
      <c r="F2"/>
      <c r="G2"/>
      <c r="H2" s="159">
        <v>110.10447692871094</v>
      </c>
      <c r="I2" s="168">
        <v>54.496627807617188</v>
      </c>
      <c r="J2" s="24">
        <v>5.7700915336608887</v>
      </c>
      <c r="K2" s="13">
        <v>7.8442234992980957</v>
      </c>
      <c r="L2"/>
      <c r="M2" s="68">
        <v>13.414324760437012</v>
      </c>
      <c r="N2"/>
      <c r="O2" s="14">
        <v>0.26704105734825134</v>
      </c>
      <c r="P2"/>
      <c r="Q2"/>
      <c r="R2" s="11">
        <v>6.31522536277771E-2</v>
      </c>
      <c r="S2" s="14">
        <v>0.52701103687286377</v>
      </c>
      <c r="T2"/>
      <c r="U2" s="11">
        <v>0.12488510459661484</v>
      </c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42</v>
      </c>
      <c r="B3">
        <v>215</v>
      </c>
      <c r="C3">
        <v>36.735321044921875</v>
      </c>
      <c r="D3"/>
      <c r="E3"/>
      <c r="F3"/>
      <c r="G3"/>
      <c r="H3" s="159">
        <v>110.14977264404297</v>
      </c>
      <c r="I3" s="118">
        <v>41.562553405761719</v>
      </c>
      <c r="J3" s="16">
        <v>3.2953433990478516</v>
      </c>
      <c r="K3" s="13">
        <v>7.842991828918457</v>
      </c>
      <c r="L3"/>
      <c r="M3" s="68">
        <v>13.422866821289062</v>
      </c>
      <c r="N3"/>
      <c r="O3" s="23">
        <v>1.2768138647079468</v>
      </c>
      <c r="P3"/>
      <c r="Q3"/>
      <c r="R3" s="11">
        <v>6.3050419092178345E-2</v>
      </c>
      <c r="S3" s="14">
        <v>0.52841997146606445</v>
      </c>
      <c r="T3"/>
      <c r="U3" s="11">
        <v>0.12285280972719193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167</v>
      </c>
      <c r="B4">
        <v>150</v>
      </c>
      <c r="C4">
        <v>28.999794006347656</v>
      </c>
      <c r="D4"/>
      <c r="E4"/>
      <c r="F4"/>
      <c r="G4"/>
      <c r="H4"/>
      <c r="I4" s="160">
        <v>81.352432250976562</v>
      </c>
      <c r="J4" s="13">
        <v>5.4833416938781738</v>
      </c>
      <c r="K4" s="113">
        <v>10.054251670837402</v>
      </c>
      <c r="L4"/>
      <c r="M4" s="112">
        <v>23.504613876342773</v>
      </c>
      <c r="N4"/>
      <c r="O4"/>
      <c r="P4"/>
      <c r="Q4"/>
      <c r="R4"/>
      <c r="S4"/>
      <c r="T4"/>
      <c r="U4" s="12">
        <v>0.60556507110595703</v>
      </c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168</v>
      </c>
      <c r="B5">
        <v>31.448419570922852</v>
      </c>
      <c r="C5">
        <v>3.9507737159729004</v>
      </c>
      <c r="D5"/>
      <c r="E5"/>
      <c r="F5"/>
      <c r="G5"/>
      <c r="H5"/>
      <c r="I5"/>
      <c r="J5" s="153">
        <v>6.8054361343383789</v>
      </c>
      <c r="K5" s="64">
        <v>1.7192319631576538</v>
      </c>
      <c r="L5" s="169">
        <v>11.223269462585449</v>
      </c>
      <c r="M5" s="110">
        <v>3.8745348453521729</v>
      </c>
      <c r="N5" s="23">
        <v>0.2001429945230484</v>
      </c>
      <c r="O5" s="67">
        <v>1.873071551322937</v>
      </c>
      <c r="P5" s="11">
        <v>1.2495100498199463E-2</v>
      </c>
      <c r="Q5" s="14">
        <v>5.0615627318620682E-2</v>
      </c>
      <c r="R5" s="13">
        <v>1.1448159217834473</v>
      </c>
      <c r="S5" s="19">
        <v>0.58233439922332764</v>
      </c>
      <c r="T5"/>
      <c r="U5" s="11">
        <v>5.6080627255141735E-3</v>
      </c>
      <c r="V5" s="11">
        <v>1.3774957042187452E-3</v>
      </c>
      <c r="W5" s="11">
        <v>5.7756973546929657E-5</v>
      </c>
      <c r="X5" s="11">
        <v>4.6559791080653667E-3</v>
      </c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169</v>
      </c>
      <c r="B6">
        <v>7.3700518608093262</v>
      </c>
      <c r="C6">
        <v>1.0630718469619751</v>
      </c>
      <c r="D6" s="9">
        <v>2.6027122679295189E-9</v>
      </c>
      <c r="E6"/>
      <c r="F6"/>
      <c r="G6"/>
      <c r="H6"/>
      <c r="I6"/>
      <c r="J6"/>
      <c r="K6" s="25">
        <v>0.23676042258739471</v>
      </c>
      <c r="L6" s="158">
        <v>2.7903361320495605</v>
      </c>
      <c r="M6"/>
      <c r="N6" s="113">
        <v>0.49035060405731201</v>
      </c>
      <c r="O6" s="166">
        <v>1.8465269804000854</v>
      </c>
      <c r="P6" s="26">
        <v>0.18388611078262329</v>
      </c>
      <c r="Q6" s="22">
        <v>5.0938557833433151E-2</v>
      </c>
      <c r="R6" s="165">
        <v>0.45272758603096008</v>
      </c>
      <c r="S6" s="24">
        <v>0.20771433413028717</v>
      </c>
      <c r="T6"/>
      <c r="U6"/>
      <c r="V6" s="14">
        <v>2.0483477041125298E-2</v>
      </c>
      <c r="W6" s="14">
        <v>1.0172248817980289E-2</v>
      </c>
      <c r="X6" s="14">
        <v>1.7083717510104179E-2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170</v>
      </c>
      <c r="B7">
        <v>45</v>
      </c>
      <c r="C7">
        <v>7.9812107086181641</v>
      </c>
      <c r="D7"/>
      <c r="E7"/>
      <c r="F7"/>
      <c r="G7"/>
      <c r="H7"/>
      <c r="I7"/>
      <c r="J7" s="116">
        <v>8.1798133850097656</v>
      </c>
      <c r="K7"/>
      <c r="L7" s="120">
        <v>26.680335998535156</v>
      </c>
      <c r="M7"/>
      <c r="N7" s="11">
        <v>2.8977856345591135E-5</v>
      </c>
      <c r="O7" s="66">
        <v>1.8154844045639038</v>
      </c>
      <c r="P7" s="12">
        <v>0.21477271616458893</v>
      </c>
      <c r="Q7" s="11">
        <v>1.096007227897644E-2</v>
      </c>
      <c r="R7" s="14">
        <v>9.6004687249660492E-2</v>
      </c>
      <c r="S7"/>
      <c r="T7"/>
      <c r="U7"/>
      <c r="V7" s="11">
        <v>1.1861318853334524E-5</v>
      </c>
      <c r="W7"/>
      <c r="X7" s="11">
        <v>2.1377302706241608E-2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171</v>
      </c>
      <c r="B8">
        <v>15</v>
      </c>
      <c r="C8">
        <v>13.856649398803711</v>
      </c>
      <c r="D8"/>
      <c r="E8"/>
      <c r="F8"/>
      <c r="G8"/>
      <c r="H8"/>
      <c r="I8"/>
      <c r="J8" s="29">
        <v>0.71922570466995239</v>
      </c>
      <c r="K8"/>
      <c r="L8"/>
      <c r="M8"/>
      <c r="N8" s="11">
        <v>1.231846817972837E-5</v>
      </c>
      <c r="O8" s="21">
        <v>0.29400432109832764</v>
      </c>
      <c r="P8" s="23">
        <v>8.4524743258953094E-2</v>
      </c>
      <c r="Q8" s="11">
        <v>3.0323772225528955E-3</v>
      </c>
      <c r="R8" s="11">
        <v>1.1330081149935722E-2</v>
      </c>
      <c r="S8"/>
      <c r="T8"/>
      <c r="U8"/>
      <c r="V8" s="11">
        <v>4.9925973144127056E-5</v>
      </c>
      <c r="W8"/>
      <c r="X8" s="14">
        <v>1.6707411035895348E-2</v>
      </c>
      <c r="Y8"/>
      <c r="Z8" s="11">
        <v>1.4463975094258785E-2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161</v>
      </c>
      <c r="B9">
        <v>6.2894740104675293</v>
      </c>
      <c r="C9">
        <v>0.77694416046142578</v>
      </c>
      <c r="D9"/>
      <c r="E9"/>
      <c r="F9"/>
      <c r="G9"/>
      <c r="H9"/>
      <c r="I9"/>
      <c r="J9" s="114">
        <v>1.0891404151916504</v>
      </c>
      <c r="K9"/>
      <c r="L9" s="65">
        <v>0.13330712914466858</v>
      </c>
      <c r="M9"/>
      <c r="N9" s="70">
        <v>0.31840124726295471</v>
      </c>
      <c r="O9" s="111">
        <v>1.8236591815948486</v>
      </c>
      <c r="P9" s="80">
        <v>1.3898305892944336</v>
      </c>
      <c r="Q9" s="23">
        <v>4.2459398508071899E-2</v>
      </c>
      <c r="R9" s="15">
        <v>6.4075849950313568E-2</v>
      </c>
      <c r="S9" s="75">
        <v>0.59189510345458984</v>
      </c>
      <c r="T9" s="14">
        <v>7.544166874140501E-3</v>
      </c>
      <c r="U9" s="11">
        <v>1.6386237693950534E-3</v>
      </c>
      <c r="V9" s="11">
        <v>3.1611863523721695E-3</v>
      </c>
      <c r="W9" s="11">
        <v>1.6876084264367819E-3</v>
      </c>
      <c r="X9" s="22">
        <v>4.5728959143161774E-2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172</v>
      </c>
      <c r="B10">
        <v>2.9994430541992188</v>
      </c>
      <c r="C10">
        <v>0.497121661901474</v>
      </c>
      <c r="D10" s="11">
        <v>2.2678590903524309E-4</v>
      </c>
      <c r="E10"/>
      <c r="F10"/>
      <c r="G10"/>
      <c r="H10"/>
      <c r="I10"/>
      <c r="J10"/>
      <c r="K10"/>
      <c r="L10"/>
      <c r="M10"/>
      <c r="N10"/>
      <c r="O10" s="67">
        <v>0.17639179527759552</v>
      </c>
      <c r="P10" s="154">
        <v>1.3723673820495605</v>
      </c>
      <c r="Q10" s="67">
        <v>0.1770387589931488</v>
      </c>
      <c r="R10"/>
      <c r="S10"/>
      <c r="T10" s="65">
        <v>6.3848979771137238E-2</v>
      </c>
      <c r="U10"/>
      <c r="V10" s="79">
        <v>0.4241219162940979</v>
      </c>
      <c r="W10"/>
      <c r="X10" s="17">
        <v>3.8702052086591721E-2</v>
      </c>
      <c r="Y10" s="12">
        <v>1.2426569126546383E-2</v>
      </c>
      <c r="Z10" s="76">
        <v>0.23719708621501923</v>
      </c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173</v>
      </c>
      <c r="B11">
        <v>1.2745720148086548</v>
      </c>
      <c r="C11">
        <v>5.1852542906999588E-2</v>
      </c>
      <c r="D11" s="19">
        <v>2.1307405084371567E-2</v>
      </c>
      <c r="E11"/>
      <c r="F11"/>
      <c r="G11"/>
      <c r="H11"/>
      <c r="I11"/>
      <c r="J11"/>
      <c r="K11"/>
      <c r="L11"/>
      <c r="M11"/>
      <c r="N11" s="66">
        <v>5.2049893885850906E-2</v>
      </c>
      <c r="O11"/>
      <c r="P11" s="167">
        <v>0.923786461353302</v>
      </c>
      <c r="Q11" s="26">
        <v>3.2888945192098618E-2</v>
      </c>
      <c r="R11"/>
      <c r="S11"/>
      <c r="T11" s="22">
        <v>9.7229741513729095E-3</v>
      </c>
      <c r="U11"/>
      <c r="V11" s="27">
        <v>9.7839340567588806E-2</v>
      </c>
      <c r="W11"/>
      <c r="X11" s="13">
        <v>4.7148652374744415E-2</v>
      </c>
      <c r="Y11" s="15">
        <v>1.1866618879139423E-2</v>
      </c>
      <c r="Z11" s="21">
        <v>2.6109091937541962E-2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174</v>
      </c>
      <c r="B12">
        <v>0.32586309313774109</v>
      </c>
      <c r="C12">
        <v>0.18015886843204498</v>
      </c>
      <c r="D12" s="115">
        <v>9.6501357853412628E-2</v>
      </c>
      <c r="E12"/>
      <c r="F12"/>
      <c r="G12"/>
      <c r="H12"/>
      <c r="I12"/>
      <c r="J12"/>
      <c r="K12"/>
      <c r="L12"/>
      <c r="M12"/>
      <c r="N12" s="14">
        <v>6.0606369515880942E-4</v>
      </c>
      <c r="O12"/>
      <c r="P12"/>
      <c r="Q12" s="65">
        <v>7.2604282759130001E-3</v>
      </c>
      <c r="R12"/>
      <c r="S12"/>
      <c r="T12" s="14">
        <v>3.9103999733924866E-4</v>
      </c>
      <c r="U12"/>
      <c r="V12" s="12">
        <v>1.4139141421765089E-3</v>
      </c>
      <c r="W12"/>
      <c r="X12" s="11">
        <v>2.3713479458820075E-4</v>
      </c>
      <c r="Y12" s="69">
        <v>3.010195679962635E-2</v>
      </c>
      <c r="Z12" s="24">
        <v>9.1923289000988007E-3</v>
      </c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175</v>
      </c>
      <c r="B13">
        <v>0.32864090800285339</v>
      </c>
      <c r="C13">
        <v>6.8510398268699646E-2</v>
      </c>
      <c r="D13" s="16">
        <v>5.2009280771017075E-3</v>
      </c>
      <c r="E13" s="11">
        <v>1.0532875603530556E-4</v>
      </c>
      <c r="F13"/>
      <c r="G13"/>
      <c r="H13"/>
      <c r="I13"/>
      <c r="J13"/>
      <c r="K13"/>
      <c r="L13"/>
      <c r="M13"/>
      <c r="N13" s="11">
        <v>9.7252159321215004E-5</v>
      </c>
      <c r="O13" s="65">
        <v>7.160114124417305E-3</v>
      </c>
      <c r="P13" s="156">
        <v>0.21153289079666138</v>
      </c>
      <c r="Q13"/>
      <c r="R13"/>
      <c r="S13"/>
      <c r="T13" s="13">
        <v>1.2078188359737396E-2</v>
      </c>
      <c r="U13"/>
      <c r="V13" s="26">
        <v>8.5864579305052757E-3</v>
      </c>
      <c r="W13"/>
      <c r="X13"/>
      <c r="Y13" s="66">
        <v>1.3579912483692169E-2</v>
      </c>
      <c r="Z13" s="23">
        <v>1.7894464544951916E-3</v>
      </c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176</v>
      </c>
      <c r="B14">
        <v>2.7000000476837158</v>
      </c>
      <c r="C14">
        <v>0.42037737369537354</v>
      </c>
      <c r="D14"/>
      <c r="E14"/>
      <c r="F14"/>
      <c r="G14"/>
      <c r="H14"/>
      <c r="I14"/>
      <c r="J14"/>
      <c r="K14"/>
      <c r="L14"/>
      <c r="M14"/>
      <c r="N14" s="25">
        <v>8.5185118019580841E-2</v>
      </c>
      <c r="O14" s="153">
        <v>0.58191812038421631</v>
      </c>
      <c r="P14" s="155">
        <v>0.91515445709228516</v>
      </c>
      <c r="Q14" s="152">
        <v>0.32087567448616028</v>
      </c>
      <c r="R14"/>
      <c r="S14" s="78">
        <v>0.17504653334617615</v>
      </c>
      <c r="T14" s="68">
        <v>0.17006208002567291</v>
      </c>
      <c r="U14"/>
      <c r="V14"/>
      <c r="W14"/>
      <c r="X14" s="15">
        <v>2.8634205460548401E-2</v>
      </c>
      <c r="Y14"/>
      <c r="Z14" s="14">
        <v>2.7464348822832108E-3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177</v>
      </c>
      <c r="B15">
        <v>4.8811039924621582</v>
      </c>
      <c r="C15">
        <v>3.1274499893188477</v>
      </c>
      <c r="D15" s="11">
        <v>1.4063181588426232E-3</v>
      </c>
      <c r="E15" s="11">
        <v>1.0457397002028301E-4</v>
      </c>
      <c r="F15"/>
      <c r="G15"/>
      <c r="H15"/>
      <c r="I15"/>
      <c r="J15" s="18">
        <v>5.6275315582752228E-2</v>
      </c>
      <c r="K15"/>
      <c r="L15"/>
      <c r="M15"/>
      <c r="N15" s="14">
        <v>6.7081074230372906E-3</v>
      </c>
      <c r="O15" s="14">
        <v>6.8373661488294601E-3</v>
      </c>
      <c r="P15" s="17">
        <v>6.3969254493713379E-2</v>
      </c>
      <c r="Q15" s="72">
        <v>0.34016132354736328</v>
      </c>
      <c r="R15" s="12">
        <v>1.6918636858463287E-2</v>
      </c>
      <c r="S15"/>
      <c r="T15" s="170">
        <v>1.2455524206161499</v>
      </c>
      <c r="U15" s="11">
        <v>4.1437409818172455E-3</v>
      </c>
      <c r="V15" s="11">
        <v>6.5945232563535683E-6</v>
      </c>
      <c r="W15" s="14">
        <v>9.6813682466745377E-3</v>
      </c>
      <c r="X15" s="11">
        <v>1.1439989320933819E-3</v>
      </c>
      <c r="Y15" s="11">
        <v>7.4524088995531201E-4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178</v>
      </c>
      <c r="B16">
        <v>2.8809249401092529</v>
      </c>
      <c r="C16">
        <v>0.77620035409927368</v>
      </c>
      <c r="D16" s="11">
        <v>1.2837892863899469E-3</v>
      </c>
      <c r="E16" s="11">
        <v>6.3409714493900537E-4</v>
      </c>
      <c r="F16"/>
      <c r="G16"/>
      <c r="H16"/>
      <c r="I16"/>
      <c r="J16"/>
      <c r="K16"/>
      <c r="L16"/>
      <c r="M16"/>
      <c r="N16"/>
      <c r="O16" s="65">
        <v>6.0297280550003052E-2</v>
      </c>
      <c r="P16" s="28">
        <v>0.10361208021640778</v>
      </c>
      <c r="Q16" s="117">
        <v>1.3276867866516113</v>
      </c>
      <c r="R16" s="26">
        <v>7.0640787482261658E-2</v>
      </c>
      <c r="S16" s="114">
        <v>0.49964809417724609</v>
      </c>
      <c r="T16"/>
      <c r="U16" s="22">
        <v>2.5126080960035324E-2</v>
      </c>
      <c r="V16" s="11">
        <v>1.8005075980909169E-4</v>
      </c>
      <c r="W16" s="11">
        <v>1.8483678577467799E-3</v>
      </c>
      <c r="X16"/>
      <c r="Y16" s="12">
        <v>1.376718282699585E-2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179</v>
      </c>
      <c r="B17">
        <v>1.5983990430831909</v>
      </c>
      <c r="C17">
        <v>0.17188890278339386</v>
      </c>
      <c r="D17" s="11">
        <v>8.442820399068296E-4</v>
      </c>
      <c r="E17" s="11">
        <v>7.8475124610122293E-5</v>
      </c>
      <c r="F17"/>
      <c r="G17"/>
      <c r="H17"/>
      <c r="I17"/>
      <c r="J17"/>
      <c r="K17"/>
      <c r="L17"/>
      <c r="M17"/>
      <c r="N17"/>
      <c r="O17"/>
      <c r="P17" s="11">
        <v>3.0714969034306705E-4</v>
      </c>
      <c r="Q17" s="164">
        <v>4.7709248960018158E-2</v>
      </c>
      <c r="R17" s="23">
        <v>9.615601971745491E-3</v>
      </c>
      <c r="S17" s="81">
        <v>0.27023795247077942</v>
      </c>
      <c r="T17" s="157">
        <v>1.097118616104126</v>
      </c>
      <c r="U17"/>
      <c r="V17" s="11">
        <v>1.9608928414527327E-4</v>
      </c>
      <c r="W17" s="11">
        <v>4.0260326932184398E-4</v>
      </c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180</v>
      </c>
      <c r="B18">
        <v>0.12417300045490265</v>
      </c>
      <c r="C18">
        <v>0.1081843227148056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 s="151">
        <v>1.5988675877451897E-2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181</v>
      </c>
      <c r="B19">
        <v>6.3000001013278961E-2</v>
      </c>
      <c r="C19">
        <v>5.9548672288656235E-2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 s="64">
        <v>3.4513287246227264E-3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182</v>
      </c>
      <c r="B20">
        <v>3.9999999105930328E-2</v>
      </c>
      <c r="C20">
        <v>3.8259759545326233E-2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20">
        <v>1.740241190418601E-3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183</v>
      </c>
      <c r="B21">
        <v>7.236403226852417E-2</v>
      </c>
      <c r="C21">
        <v>4.5201003551483154E-2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s="121">
        <v>2.7163028717041016E-2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184</v>
      </c>
      <c r="B22">
        <v>7.1867503225803375E-2</v>
      </c>
      <c r="C22">
        <v>7.1867503225803375E-2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194</v>
      </c>
      <c r="B23">
        <v>1</v>
      </c>
      <c r="C23">
        <v>1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195</v>
      </c>
      <c r="B24">
        <v>1</v>
      </c>
      <c r="C24">
        <v>0.89999997615814209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161">
        <v>0.10000000149011612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196</v>
      </c>
      <c r="B25">
        <v>1</v>
      </c>
      <c r="C25">
        <v>1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185</v>
      </c>
      <c r="B26"/>
      <c r="C26">
        <v>0.17383159697055817</v>
      </c>
      <c r="D26"/>
      <c r="E26"/>
      <c r="F26"/>
      <c r="G26"/>
      <c r="H26"/>
      <c r="I26" s="9">
        <v>2.7397830486297607</v>
      </c>
      <c r="J26" s="9">
        <v>0.44604647159576416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186</v>
      </c>
      <c r="B27"/>
      <c r="C27">
        <v>0.48401057720184326</v>
      </c>
      <c r="D27"/>
      <c r="E27"/>
      <c r="F27"/>
      <c r="G27"/>
      <c r="H27"/>
      <c r="I27"/>
      <c r="J27" s="9">
        <v>0.44604647159576416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71</v>
      </c>
      <c r="B28"/>
      <c r="C28">
        <v>0.22854383289813995</v>
      </c>
      <c r="D28"/>
      <c r="E28"/>
      <c r="F28"/>
      <c r="G28"/>
      <c r="H28" s="9">
        <v>784.4053955078125</v>
      </c>
      <c r="I28" s="9">
        <v>5.3658761978149414</v>
      </c>
      <c r="J28" s="9">
        <v>3.4103066921234131</v>
      </c>
      <c r="K28" s="9">
        <v>9.8144454956054688</v>
      </c>
      <c r="L28"/>
      <c r="M28"/>
      <c r="N28"/>
      <c r="O28"/>
      <c r="P28"/>
      <c r="Q28"/>
      <c r="R28"/>
      <c r="S28"/>
      <c r="T28"/>
      <c r="U28" s="9">
        <v>12.294266700744629</v>
      </c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72</v>
      </c>
      <c r="B29"/>
      <c r="C29">
        <v>0.56339079141616821</v>
      </c>
      <c r="D29"/>
      <c r="E29"/>
      <c r="F29"/>
      <c r="G29"/>
      <c r="H29"/>
      <c r="I29"/>
      <c r="J29"/>
      <c r="K29"/>
      <c r="L29"/>
      <c r="M29" s="9">
        <v>41.510524749755859</v>
      </c>
      <c r="N29"/>
      <c r="O29"/>
      <c r="P29" s="9">
        <v>0.27192163467407227</v>
      </c>
      <c r="Q29" s="9">
        <v>1.0161669254302979</v>
      </c>
      <c r="R29" s="9">
        <v>9.1898003593087196E-3</v>
      </c>
      <c r="S29" s="9">
        <v>2037.6845703125</v>
      </c>
      <c r="T29" s="9">
        <v>77.630538940429688</v>
      </c>
      <c r="U29" s="9">
        <v>228.89346313476562</v>
      </c>
      <c r="V29" s="9">
        <v>9.0488836169242859E-2</v>
      </c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1" bestFit="1" customWidth="1"/>
    <col min="5" max="5" width="13.83203125" bestFit="1" customWidth="1"/>
    <col min="6" max="6" width="10.1640625" bestFit="1" customWidth="1"/>
    <col min="7" max="7" width="15.33203125" bestFit="1" customWidth="1"/>
    <col min="8" max="8" width="31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189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190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J5" s="57"/>
      <c r="K5" s="58"/>
    </row>
    <row r="6" spans="1:12" ht="14" thickBot="1" x14ac:dyDescent="0.2">
      <c r="A6" s="41" t="s">
        <v>121</v>
      </c>
      <c r="J6" s="57"/>
      <c r="K6" s="58"/>
    </row>
    <row r="7" spans="1:12" x14ac:dyDescent="0.15">
      <c r="A7" s="36" t="s">
        <v>126</v>
      </c>
      <c r="B7" s="43">
        <v>1</v>
      </c>
      <c r="C7" s="38"/>
      <c r="J7" s="57"/>
      <c r="K7" s="58"/>
    </row>
    <row r="8" spans="1:12" x14ac:dyDescent="0.15">
      <c r="A8" s="36" t="s">
        <v>38</v>
      </c>
      <c r="B8" s="44">
        <v>1</v>
      </c>
      <c r="C8" s="38"/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J9" s="57"/>
      <c r="K9" s="58"/>
    </row>
    <row r="10" spans="1:12" x14ac:dyDescent="0.15">
      <c r="A10" s="36" t="s">
        <v>41</v>
      </c>
      <c r="B10" s="44">
        <v>1.2</v>
      </c>
      <c r="C10" s="38"/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J11" s="57"/>
      <c r="K11" s="58"/>
    </row>
    <row r="12" spans="1:12" x14ac:dyDescent="0.15">
      <c r="A12" s="36" t="s">
        <v>42</v>
      </c>
      <c r="B12" s="44">
        <v>2.1</v>
      </c>
      <c r="C12" s="38"/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J14" s="57"/>
      <c r="K14" s="58"/>
    </row>
    <row r="15" spans="1:12" x14ac:dyDescent="0.15">
      <c r="A15" s="42" t="s">
        <v>128</v>
      </c>
      <c r="B15" s="44">
        <v>3</v>
      </c>
      <c r="C15" s="38"/>
      <c r="J15" s="57"/>
      <c r="K15" s="58"/>
    </row>
    <row r="16" spans="1:12" x14ac:dyDescent="0.15">
      <c r="A16" s="36" t="s">
        <v>62</v>
      </c>
      <c r="B16" s="44">
        <v>3.11</v>
      </c>
      <c r="C16" s="38"/>
      <c r="J16" s="57"/>
      <c r="K16" s="58"/>
    </row>
    <row r="17" spans="1:12" x14ac:dyDescent="0.15">
      <c r="A17" s="36" t="s">
        <v>61</v>
      </c>
      <c r="B17" s="44">
        <v>3.12</v>
      </c>
      <c r="C17" s="38"/>
      <c r="J17" s="57"/>
      <c r="K17" s="58"/>
    </row>
    <row r="18" spans="1:12" x14ac:dyDescent="0.15">
      <c r="A18" s="36" t="s">
        <v>68</v>
      </c>
      <c r="B18" s="44">
        <v>3.13</v>
      </c>
      <c r="C18" s="38"/>
      <c r="J18" s="57"/>
      <c r="K18" s="58"/>
    </row>
    <row r="19" spans="1:12" x14ac:dyDescent="0.15">
      <c r="A19" s="36" t="s">
        <v>66</v>
      </c>
      <c r="B19" s="44">
        <v>3.21</v>
      </c>
      <c r="C19" s="38"/>
      <c r="J19" s="57"/>
      <c r="K19" s="58"/>
    </row>
    <row r="20" spans="1:12" x14ac:dyDescent="0.15">
      <c r="A20" s="36" t="s">
        <v>63</v>
      </c>
      <c r="B20" s="44">
        <v>3.22</v>
      </c>
      <c r="C20" s="38"/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</row>
    <row r="23" spans="1:12" x14ac:dyDescent="0.15">
      <c r="A23" s="36" t="s">
        <v>129</v>
      </c>
      <c r="B23" s="44">
        <v>4</v>
      </c>
      <c r="C23" s="38"/>
    </row>
    <row r="24" spans="1:12" x14ac:dyDescent="0.15">
      <c r="A24" s="36" t="s">
        <v>122</v>
      </c>
      <c r="B24" s="44">
        <v>4.0999999999999996</v>
      </c>
      <c r="C24" s="38"/>
    </row>
    <row r="25" spans="1:12" x14ac:dyDescent="0.15">
      <c r="A25" s="36" t="s">
        <v>70</v>
      </c>
      <c r="B25" s="44">
        <v>4.2</v>
      </c>
      <c r="C25" s="38"/>
    </row>
    <row r="26" spans="1:12" x14ac:dyDescent="0.15">
      <c r="A26" s="36" t="s">
        <v>123</v>
      </c>
      <c r="B26" s="44">
        <v>4.3</v>
      </c>
      <c r="C26" s="38"/>
    </row>
    <row r="27" spans="1:12" x14ac:dyDescent="0.15">
      <c r="A27" s="36" t="s">
        <v>125</v>
      </c>
      <c r="B27" s="44">
        <v>6.1</v>
      </c>
    </row>
    <row r="28" spans="1:12" x14ac:dyDescent="0.15">
      <c r="A28" s="36" t="s">
        <v>124</v>
      </c>
      <c r="B28" s="44">
        <v>6.2</v>
      </c>
    </row>
    <row r="29" spans="1:12" x14ac:dyDescent="0.15">
      <c r="A29" s="36" t="s">
        <v>44</v>
      </c>
      <c r="B29" s="44">
        <v>5</v>
      </c>
    </row>
    <row r="30" spans="1:12" x14ac:dyDescent="0.15">
      <c r="A30" s="36" t="s">
        <v>73</v>
      </c>
      <c r="B30" s="44">
        <v>7</v>
      </c>
    </row>
    <row r="31" spans="1:12" x14ac:dyDescent="0.15">
      <c r="A31" s="36" t="s">
        <v>197</v>
      </c>
      <c r="B31" s="44">
        <v>3.14</v>
      </c>
    </row>
    <row r="32" spans="1:12" ht="12" customHeight="1" thickBot="1" x14ac:dyDescent="0.2">
      <c r="A32" s="42" t="s">
        <v>198</v>
      </c>
      <c r="B32" s="45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3" activePane="bottomLeft" state="frozen"/>
      <selection pane="bottomLeft" activeCell="F6" sqref="F6"/>
    </sheetView>
  </sheetViews>
  <sheetFormatPr baseColWidth="10" defaultColWidth="11.5" defaultRowHeight="15" customHeight="1" x14ac:dyDescent="0.15"/>
  <cols>
    <col min="1" max="1" width="26.1640625" style="87" bestFit="1" customWidth="1"/>
    <col min="2" max="5" width="16.1640625" style="86" customWidth="1"/>
    <col min="6" max="6" width="45.6640625" style="86" bestFit="1" customWidth="1"/>
    <col min="7" max="9" width="11.5" style="86"/>
    <col min="10" max="10" width="12.1640625" style="86" bestFit="1" customWidth="1"/>
    <col min="11" max="15" width="11.5" style="86"/>
    <col min="16" max="16" width="11.5" style="73"/>
    <col min="17" max="17" width="14.83203125" style="86" customWidth="1"/>
    <col min="18" max="18" width="22.1640625" style="74" customWidth="1"/>
    <col min="19" max="16384" width="11.5" style="86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8" t="s">
        <v>48</v>
      </c>
      <c r="L1" s="74"/>
      <c r="M1" s="88" t="s">
        <v>119</v>
      </c>
      <c r="N1" s="74"/>
      <c r="O1" s="88" t="s">
        <v>49</v>
      </c>
      <c r="P1" s="77"/>
      <c r="Q1" s="88" t="s">
        <v>50</v>
      </c>
      <c r="R1" s="71" t="s">
        <v>154</v>
      </c>
    </row>
    <row r="2" spans="1:23" ht="15" customHeight="1" x14ac:dyDescent="0.15">
      <c r="A2" s="88" t="s">
        <v>51</v>
      </c>
      <c r="B2" s="89">
        <v>0.5</v>
      </c>
      <c r="C2" s="87" t="s">
        <v>52</v>
      </c>
      <c r="D2" s="90"/>
      <c r="F2" s="1"/>
      <c r="G2" s="91"/>
      <c r="H2" s="91"/>
      <c r="I2" s="91" t="s">
        <v>133</v>
      </c>
      <c r="J2" s="91" t="s">
        <v>133</v>
      </c>
      <c r="K2" s="91" t="s">
        <v>52</v>
      </c>
      <c r="L2" s="91" t="s">
        <v>53</v>
      </c>
      <c r="M2" s="91" t="s">
        <v>52</v>
      </c>
      <c r="N2" s="91" t="s">
        <v>53</v>
      </c>
      <c r="O2" s="91" t="s">
        <v>52</v>
      </c>
      <c r="P2" s="92" t="s">
        <v>53</v>
      </c>
      <c r="Q2" s="91"/>
      <c r="R2" s="93" t="s">
        <v>155</v>
      </c>
    </row>
    <row r="3" spans="1:23" ht="15" customHeight="1" thickBot="1" x14ac:dyDescent="0.2">
      <c r="A3" s="88" t="s">
        <v>54</v>
      </c>
      <c r="B3" s="94">
        <v>0.5</v>
      </c>
      <c r="C3" s="87" t="s">
        <v>53</v>
      </c>
      <c r="D3" s="9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5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50">
        <v>0</v>
      </c>
      <c r="R4" s="122">
        <v>0</v>
      </c>
    </row>
    <row r="5" spans="1:23" ht="15" customHeight="1" x14ac:dyDescent="0.15">
      <c r="A5" s="88" t="s">
        <v>55</v>
      </c>
      <c r="B5" s="95">
        <v>0.5</v>
      </c>
      <c r="C5" s="87" t="s">
        <v>52</v>
      </c>
      <c r="D5" s="9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50">
        <v>0</v>
      </c>
      <c r="R5" s="122">
        <v>0</v>
      </c>
    </row>
    <row r="6" spans="1:23" ht="15" customHeight="1" thickBot="1" x14ac:dyDescent="0.2">
      <c r="A6" s="88"/>
      <c r="B6" s="96">
        <v>0.5</v>
      </c>
      <c r="C6" s="87" t="s">
        <v>53</v>
      </c>
      <c r="D6" s="90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3" ht="15" customHeight="1" thickBot="1" x14ac:dyDescent="0.2"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3" ht="15" customHeight="1" x14ac:dyDescent="0.15">
      <c r="A8" s="88" t="s">
        <v>56</v>
      </c>
      <c r="B8" s="95"/>
      <c r="C8" s="85"/>
      <c r="D8" s="90" t="s">
        <v>160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W8"/>
    </row>
    <row r="9" spans="1:23" ht="15" customHeight="1" x14ac:dyDescent="0.15">
      <c r="A9" s="136" t="s">
        <v>191</v>
      </c>
      <c r="B9" s="97"/>
      <c r="C9" s="85"/>
      <c r="D9" s="90" t="s">
        <v>160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W9"/>
    </row>
    <row r="10" spans="1:23" ht="15" customHeight="1" x14ac:dyDescent="0.15">
      <c r="B10" s="97"/>
      <c r="C10" s="85"/>
      <c r="D10" s="90" t="s">
        <v>160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W10"/>
    </row>
    <row r="11" spans="1:23" ht="15" customHeight="1" x14ac:dyDescent="0.15">
      <c r="A11" s="88"/>
      <c r="B11" s="97"/>
      <c r="C11" s="100"/>
      <c r="D11" s="90" t="s">
        <v>160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W11"/>
    </row>
    <row r="12" spans="1:23" ht="15" customHeight="1" x14ac:dyDescent="0.15">
      <c r="B12" s="97"/>
      <c r="C12" s="101"/>
      <c r="D12" s="90" t="s">
        <v>160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W12"/>
    </row>
    <row r="13" spans="1:23" ht="15" customHeight="1" x14ac:dyDescent="0.15">
      <c r="B13" s="97"/>
      <c r="C13" s="101"/>
      <c r="D13" s="90" t="s">
        <v>160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W13"/>
    </row>
    <row r="14" spans="1:23" ht="15" customHeight="1" x14ac:dyDescent="0.15">
      <c r="B14" s="97"/>
      <c r="C14" s="85"/>
      <c r="D14" s="90" t="s">
        <v>160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W14"/>
    </row>
    <row r="15" spans="1:23" ht="15" customHeight="1" x14ac:dyDescent="0.15">
      <c r="B15" s="97"/>
      <c r="C15" s="85"/>
      <c r="D15" s="90" t="s">
        <v>160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W15"/>
    </row>
    <row r="16" spans="1:23" ht="15" customHeight="1" x14ac:dyDescent="0.15">
      <c r="B16" s="97"/>
      <c r="C16" s="85"/>
      <c r="D16" s="90" t="s">
        <v>160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5" customHeight="1" thickBot="1" x14ac:dyDescent="0.2">
      <c r="B17" s="96"/>
      <c r="C17" s="85"/>
      <c r="D17" s="90" t="s">
        <v>160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 customHeight="1" thickBot="1" x14ac:dyDescent="0.2">
      <c r="B18" s="9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88" t="s">
        <v>57</v>
      </c>
      <c r="B19" s="95"/>
      <c r="C19" s="85"/>
      <c r="D19" s="90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136" t="s">
        <v>191</v>
      </c>
      <c r="B20" s="97"/>
      <c r="C20" s="85"/>
      <c r="D20" s="90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97"/>
      <c r="C21" s="85"/>
      <c r="D21" s="90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86"/>
      <c r="B22" s="97"/>
      <c r="C22" s="100"/>
      <c r="D22" s="90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86"/>
      <c r="B23" s="97"/>
      <c r="C23" s="101"/>
      <c r="D23" s="90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86"/>
      <c r="B24" s="97"/>
      <c r="C24" s="101"/>
      <c r="D24" s="90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86"/>
      <c r="B25" s="97"/>
      <c r="C25" s="85"/>
      <c r="D25" s="90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97"/>
      <c r="C26" s="85"/>
      <c r="D26" s="90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97"/>
      <c r="C27" s="85"/>
      <c r="D27" s="90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96"/>
      <c r="C28" s="85"/>
      <c r="D28" s="90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37"/>
      <c r="B31" s="148" t="s">
        <v>17</v>
      </c>
      <c r="C31" s="148" t="s">
        <v>1</v>
      </c>
      <c r="D31" s="148" t="s">
        <v>162</v>
      </c>
      <c r="E31" s="149" t="s">
        <v>164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38"/>
      <c r="B32" s="98"/>
      <c r="C32" s="98"/>
      <c r="D32" s="98"/>
      <c r="E32" s="139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38"/>
      <c r="B33" s="98"/>
      <c r="C33" s="98"/>
      <c r="D33" s="98"/>
      <c r="E33" s="139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40"/>
      <c r="B34" s="98"/>
      <c r="C34" s="98"/>
      <c r="D34" s="98"/>
      <c r="E34" s="13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41"/>
      <c r="B35" s="98"/>
      <c r="C35" s="98"/>
      <c r="D35" s="98"/>
      <c r="E35" s="13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42"/>
      <c r="B36" s="98"/>
      <c r="C36" s="98"/>
      <c r="D36" s="98"/>
      <c r="E36" s="13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42"/>
      <c r="B37" s="98"/>
      <c r="C37" s="98"/>
      <c r="D37" s="98"/>
      <c r="E37" s="13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43"/>
      <c r="B38" s="98"/>
      <c r="C38" s="98"/>
      <c r="D38" s="98"/>
      <c r="E38" s="13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43"/>
      <c r="B39" s="98"/>
      <c r="C39" s="98"/>
      <c r="D39" s="98"/>
      <c r="E39" s="1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43"/>
      <c r="B40" s="98"/>
      <c r="C40" s="98"/>
      <c r="D40" s="98"/>
      <c r="E40" s="13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43"/>
      <c r="B41" s="98"/>
      <c r="C41" s="98"/>
      <c r="D41" s="99"/>
      <c r="E41" s="14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45"/>
      <c r="B42" s="146"/>
      <c r="C42" s="146" t="s">
        <v>163</v>
      </c>
      <c r="D42" s="146">
        <f>SUM(D32:D41)</f>
        <v>0</v>
      </c>
      <c r="E42" s="147">
        <f>SUM(E32:E41)</f>
        <v>0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ColWidth="8.83203125" defaultRowHeight="13" x14ac:dyDescent="0.15"/>
  <cols>
    <col min="1" max="1" width="40" bestFit="1" customWidth="1"/>
    <col min="2" max="5" width="7.83203125" style="122" customWidth="1"/>
    <col min="6" max="38" width="8.83203125" style="6"/>
    <col min="81" max="81" width="22.1640625" bestFit="1" customWidth="1"/>
  </cols>
  <sheetData>
    <row r="1" spans="1:38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2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2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2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2022-03-25T22:02:53Z</dcterms:modified>
</cp:coreProperties>
</file>